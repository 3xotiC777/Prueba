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oque\Downloads\Ruteador\"/>
    </mc:Choice>
  </mc:AlternateContent>
  <xr:revisionPtr revIDLastSave="0" documentId="13_ncr:1_{8DF31295-0D28-4E7D-815D-6156C07F6AAA}" xr6:coauthVersionLast="47" xr6:coauthVersionMax="47" xr10:uidLastSave="{00000000-0000-0000-0000-000000000000}"/>
  <bookViews>
    <workbookView xWindow="-120" yWindow="-120" windowWidth="29040" windowHeight="15720" xr2:uid="{FA30FFFF-E7CF-417E-9231-E4DA9BE25424}"/>
  </bookViews>
  <sheets>
    <sheet name="UNIVERSO" sheetId="1" r:id="rId1"/>
  </sheets>
  <externalReferences>
    <externalReference r:id="rId2"/>
  </externalReferences>
  <definedNames>
    <definedName name="DatosExternos_1" localSheetId="0" hidden="1">UNIVERSO!$A$1:$R$4276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276" i="1" l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48532-08FB-4EBA-9FFC-F8302BD53AC0}" keepAlive="1" name="Consulta - EXPORT" description="Conexión a la consulta 'EXPORT' en el libro." type="5" refreshedVersion="0" background="1">
    <dbPr connection="Provider=Microsoft.Mashup.OleDb.1;Data Source=$Workbook$;Location=EXPORT;Extended Properties=&quot;&quot;" command="SELECT * FROM [EXPORT]"/>
  </connection>
  <connection id="2" xr16:uid="{9234B4DF-D08B-4C3F-988C-8BE6FBDA918D}" keepAlive="1" name="Consulta - UNIVERSO" description="Conexión a la consulta 'UNIVERSO' en el libro." type="5" refreshedVersion="8" background="1" saveData="1">
    <dbPr connection="Provider=Microsoft.Mashup.OleDb.1;Data Source=$Workbook$;Location=UNIVERSO;Extended Properties=&quot;&quot;" command="SELECT * FROM [UNIVERSO]"/>
  </connection>
</connections>
</file>

<file path=xl/sharedStrings.xml><?xml version="1.0" encoding="utf-8"?>
<sst xmlns="http://schemas.openxmlformats.org/spreadsheetml/2006/main" count="55594" uniqueCount="8400">
  <si>
    <t>PDV</t>
  </si>
  <si>
    <t>Pais</t>
  </si>
  <si>
    <t>Agencia</t>
  </si>
  <si>
    <t>Canal</t>
  </si>
  <si>
    <t>SubCanal</t>
  </si>
  <si>
    <t>Gec</t>
  </si>
  <si>
    <t>Ruta</t>
  </si>
  <si>
    <t>DireccionPDV</t>
  </si>
  <si>
    <t>Latitud</t>
  </si>
  <si>
    <t>Longitud</t>
  </si>
  <si>
    <t>PDV FIJO/PRIORITARIO</t>
  </si>
  <si>
    <t xml:space="preserve">Responsable </t>
  </si>
  <si>
    <t>MT</t>
  </si>
  <si>
    <t>MT FINAL</t>
  </si>
  <si>
    <t>DIA</t>
  </si>
  <si>
    <t>Dia_Asignado</t>
  </si>
  <si>
    <t>EXPORT.Estado</t>
  </si>
  <si>
    <t>DESCARGAR</t>
  </si>
  <si>
    <t>SUPER LA PARADA</t>
  </si>
  <si>
    <t>Costa Rica</t>
  </si>
  <si>
    <t>GV ALAJUELA</t>
  </si>
  <si>
    <t>HOME MARKET TRADICIONAL</t>
  </si>
  <si>
    <t>TIENDAS</t>
  </si>
  <si>
    <t>ORO</t>
  </si>
  <si>
    <t>CRP913</t>
  </si>
  <si>
    <t>PAVAS, SAN JOSE COST. OESTE D PLAZA D DEPORTES</t>
  </si>
  <si>
    <t>SI</t>
  </si>
  <si>
    <t xml:space="preserve">Kristian </t>
  </si>
  <si>
    <t>ALA02</t>
  </si>
  <si>
    <t xml:space="preserve">ALA02-Kristian </t>
  </si>
  <si>
    <t>Día 22</t>
  </si>
  <si>
    <t>SUPER ZHEN</t>
  </si>
  <si>
    <t>GV SAN JOSE</t>
  </si>
  <si>
    <t>PLATA</t>
  </si>
  <si>
    <t>CRP126</t>
  </si>
  <si>
    <t>ZAPOTE, SAN JOSE 100 O DE COLEGIO ABOGADOS</t>
  </si>
  <si>
    <t>Sylvia</t>
  </si>
  <si>
    <t>SANJ04</t>
  </si>
  <si>
    <t>SANJ04-Sylvia</t>
  </si>
  <si>
    <t>Día 7</t>
  </si>
  <si>
    <t>MINI SUPER VALERIA</t>
  </si>
  <si>
    <t>SAN JOSÉ SAN JOSE SAN FRANCISCO DE DOS RIOS ESQUINA PARQUE MENDEZ</t>
  </si>
  <si>
    <t>Día 12</t>
  </si>
  <si>
    <t>SUPER EL CAMPESINO</t>
  </si>
  <si>
    <t>CRP903</t>
  </si>
  <si>
    <t>SAN MIGUEL, NARANJO 150 SUR PARQUE SAN MIGUEL</t>
  </si>
  <si>
    <t xml:space="preserve">Julio </t>
  </si>
  <si>
    <t>ALA01</t>
  </si>
  <si>
    <t xml:space="preserve">ALA01-Julio </t>
  </si>
  <si>
    <t>Día 6</t>
  </si>
  <si>
    <t>PANTER SUPER MERCADO</t>
  </si>
  <si>
    <t>MINIMERCADOS</t>
  </si>
  <si>
    <t>CRP923</t>
  </si>
  <si>
    <t>SAN JOSÉ SAN JOSE CARMEN COSTADO SUR DE LA IGLESIA</t>
  </si>
  <si>
    <t xml:space="preserve">Marcel </t>
  </si>
  <si>
    <t>ALA03</t>
  </si>
  <si>
    <t xml:space="preserve">ALA03-Marcel </t>
  </si>
  <si>
    <t>MINI SUPER BARRANTES</t>
  </si>
  <si>
    <t>CRP911</t>
  </si>
  <si>
    <t>ALAJUELA ALAJUELA DESAMPARADOS FRENTE A LA ESCUELA DESAMPARAD</t>
  </si>
  <si>
    <t>Día 16</t>
  </si>
  <si>
    <t>TACO RICO</t>
  </si>
  <si>
    <t>ON PREMISE</t>
  </si>
  <si>
    <t>CAFETERIA / RESTAURANTE INFORMAL</t>
  </si>
  <si>
    <t>BRONCE</t>
  </si>
  <si>
    <t>CRP155</t>
  </si>
  <si>
    <t>TRES RIOS, LA UNION 100 O 25 S ESQ NO DEL PARQUE</t>
  </si>
  <si>
    <t>Día 19</t>
  </si>
  <si>
    <t>ABASTECEDOR BUEN TRATO</t>
  </si>
  <si>
    <t>CRP148</t>
  </si>
  <si>
    <t>PATARRA, DESAMPARADOS BALCON VERDE LOS GUIDOS</t>
  </si>
  <si>
    <t xml:space="preserve">Claudia </t>
  </si>
  <si>
    <t>SANJ02</t>
  </si>
  <si>
    <t xml:space="preserve">SANJ02-Claudia </t>
  </si>
  <si>
    <t>Día 20</t>
  </si>
  <si>
    <t>SUPER RINDE</t>
  </si>
  <si>
    <t>CRP134</t>
  </si>
  <si>
    <t>SAN JOSÉ GOICOECHEA PURRAL 100 O DE LAS ASAMBLEAS DE DIOS</t>
  </si>
  <si>
    <t>MINI SUPER   YOLY</t>
  </si>
  <si>
    <t>SAN JOSÉ SAN JOSE CARMEN 400 E. COLEGIO METODISTA.</t>
  </si>
  <si>
    <t>Día 9</t>
  </si>
  <si>
    <t>SUPER DOS ROBLES</t>
  </si>
  <si>
    <t>CRP147</t>
  </si>
  <si>
    <t>DESAMPARADOS, DESAMPARADOS COSTADO SUR DE LA PLAZA</t>
  </si>
  <si>
    <t>Día 18</t>
  </si>
  <si>
    <t>ABASTECEDOR LA CASTELLANA</t>
  </si>
  <si>
    <t>CRP125</t>
  </si>
  <si>
    <t>SAN SEBASTIAN, SAN JOSE 25 O. 50 N. TEMPLO BAUTISTA</t>
  </si>
  <si>
    <t>BAR CHUCITOS</t>
  </si>
  <si>
    <t>CRP144</t>
  </si>
  <si>
    <t>SAN SEBASTIAN, SAN JOSE 100 E DEL SEMINARIO CENTRAL</t>
  </si>
  <si>
    <t>SUPER PRAGA</t>
  </si>
  <si>
    <t>CRP133</t>
  </si>
  <si>
    <t>GUADALUPE, GOICOECHEA 200 E ESC. JUAN FLORES</t>
  </si>
  <si>
    <t xml:space="preserve">Byron </t>
  </si>
  <si>
    <t>SANJ01</t>
  </si>
  <si>
    <t xml:space="preserve">SANJ01-Byron </t>
  </si>
  <si>
    <t>Día 8</t>
  </si>
  <si>
    <t>ABASTECEDOR LA MINITA NO 1</t>
  </si>
  <si>
    <t>CRP138</t>
  </si>
  <si>
    <t>HOSPITAL, SAN JOSE FTE IGLESIA MEDALLA MILAGROSA</t>
  </si>
  <si>
    <t>Día 3</t>
  </si>
  <si>
    <t>MINI SUPER LEITON</t>
  </si>
  <si>
    <t>CRP123</t>
  </si>
  <si>
    <t>HATILLO, SAN JOSE 150 S SEMAFOROS HATILO 4</t>
  </si>
  <si>
    <t>SUPER ADRIANA</t>
  </si>
  <si>
    <t>CRP141</t>
  </si>
  <si>
    <t>HATILLO, SAN JOSE 50 S ULTIMA PARADA BUSES</t>
  </si>
  <si>
    <t>Día 11</t>
  </si>
  <si>
    <t>ABASTECEDOR LA PESETA</t>
  </si>
  <si>
    <t>HATILLO, SAN JOSE 100 E IGLESIA HATILLO 1</t>
  </si>
  <si>
    <t>ABASTECEDOR GUISELLE MUNOZ</t>
  </si>
  <si>
    <t>CRP130</t>
  </si>
  <si>
    <t>URUCA_, SANTA ANA 400 N DE LA PLAZA</t>
  </si>
  <si>
    <t>MINI SUPER EL UNICO</t>
  </si>
  <si>
    <t>CRP131</t>
  </si>
  <si>
    <t>SAN JUAN, TIBAS 400N 150 O ESC CINCO ESQUINAS</t>
  </si>
  <si>
    <t>Día 5</t>
  </si>
  <si>
    <t>MINI MERCADO SERRANA</t>
  </si>
  <si>
    <t>CALLE BLANCOS, GOICOECHEA 100 S DE ASTRO BOY</t>
  </si>
  <si>
    <t>Día 4</t>
  </si>
  <si>
    <t>PULPERIA LA BENDICION</t>
  </si>
  <si>
    <t>CARMEN, SAN JOSE 100 NORTE DEL PLAY</t>
  </si>
  <si>
    <t>SUPER LOTO</t>
  </si>
  <si>
    <t>DESAMPARADOS, DESAMPARADOS URB LOTTO 2 DESAMPARADOS</t>
  </si>
  <si>
    <t>Día 23</t>
  </si>
  <si>
    <t>ABAST.PRESTACIONES DEL70</t>
  </si>
  <si>
    <t>CRP146</t>
  </si>
  <si>
    <t>ASERRI, ASERRI 100 N DE IGLESIA</t>
  </si>
  <si>
    <t>SANJ03</t>
  </si>
  <si>
    <t xml:space="preserve">SANJ03-Marcel </t>
  </si>
  <si>
    <t>MINI SUPER MARGOT</t>
  </si>
  <si>
    <t>SAN RAFAEL ABAJO, DESAMPARADOS 200 E  PLAZA LA VALENCIA</t>
  </si>
  <si>
    <t>SUPER COMERCIAL SANTA RITA</t>
  </si>
  <si>
    <t>CRP121</t>
  </si>
  <si>
    <t>SAN JUAN, TIBAS 100 N 50 E TERMINAL DE BUSES</t>
  </si>
  <si>
    <t>Día 10</t>
  </si>
  <si>
    <t>SUPER OFERTAS</t>
  </si>
  <si>
    <t>CRP122</t>
  </si>
  <si>
    <t>PURRAL, GOICOECHEA 100 E AYA LOS CUADROS</t>
  </si>
  <si>
    <t>PULPERIA SAN BOSCO</t>
  </si>
  <si>
    <t>IPIS, GOICOECHEA 200 E DE LA CRUZ ROJA.</t>
  </si>
  <si>
    <t>SUPER MERCADO PAVAS</t>
  </si>
  <si>
    <t>CRP924</t>
  </si>
  <si>
    <t>PAVAS, SAN JOSE 300 O ENT.AEROPUERTO</t>
  </si>
  <si>
    <t>MEIFU SOCIEDAD R.L</t>
  </si>
  <si>
    <t>HEREDIA HEREDIA HEREDIA 300 O 150 N COSTADO S FOSFORER</t>
  </si>
  <si>
    <t>PULPERIA LA DEPORTIVA</t>
  </si>
  <si>
    <t>CRP128</t>
  </si>
  <si>
    <t>LA TRINIDAD, MORAVIA FRENTE A LA PLAZA DEPORTES</t>
  </si>
  <si>
    <t>Día 2</t>
  </si>
  <si>
    <t>1' DE MAYO</t>
  </si>
  <si>
    <t>SAN JERONIMO, MORAVIA 25 N DE LA IGLESIA</t>
  </si>
  <si>
    <t>SUPER GAMA</t>
  </si>
  <si>
    <t>MATA DE PLATANO, GOICOECHEA 50 E FARMACIA TEPEYAC</t>
  </si>
  <si>
    <t>Día 1</t>
  </si>
  <si>
    <t>MINI SUPER MONTERO</t>
  </si>
  <si>
    <t>PATALILLO, VAZQUEZ DE CORONADO 100 E MACHETAZO</t>
  </si>
  <si>
    <t>ABAST MUÑOZ</t>
  </si>
  <si>
    <t>CRP143</t>
  </si>
  <si>
    <t>SAN FELIPE, ALAJUELITA ENTRADA 1  TEJARCILLO</t>
  </si>
  <si>
    <t>Día 13</t>
  </si>
  <si>
    <t>ABASTECEDOR 18 KILATES</t>
  </si>
  <si>
    <t>ALAJUELITA, ALAJUELITA 100 S 300 E ESTADIO</t>
  </si>
  <si>
    <t>SUPER AMISTAD</t>
  </si>
  <si>
    <t>MATA DE PLATANO, GOICOECHEA 300E TAMQUES CARME GUADALUPE</t>
  </si>
  <si>
    <t>ABASTECEDOR SAN FRANCISCO</t>
  </si>
  <si>
    <t>SAN ISIDRO, SAN ISIDRO DIAGONAL PLAZA SAN ISIDRO</t>
  </si>
  <si>
    <t>SUPER 88</t>
  </si>
  <si>
    <t>SAN ANTONIO, BELEN DE LA ESCUELA DE GUARARI 100 N</t>
  </si>
  <si>
    <t>MERCED, SAN JOSE 100 OE BOMBEROS BO. MEXICO</t>
  </si>
  <si>
    <t>SUPER JORCO.</t>
  </si>
  <si>
    <t>TARBACA, ASERRI 300 E DE LA ESCUELA</t>
  </si>
  <si>
    <t>SODA Y RESTAURANTE LUNG WAT</t>
  </si>
  <si>
    <t>CRP137</t>
  </si>
  <si>
    <t>MERCED, SAN JOSE 50 E CASTROS BAR</t>
  </si>
  <si>
    <t>SUPER JENNYE</t>
  </si>
  <si>
    <t>DULCE NOMBRE, LA UNION 100 O BAR MAGNOLIA</t>
  </si>
  <si>
    <t>ABASTECEDOR TRES A</t>
  </si>
  <si>
    <t>CRP152</t>
  </si>
  <si>
    <t>DAMAS, DESAMPARADOS 25 O.TERMINAL BUSES DOS CERCAS</t>
  </si>
  <si>
    <t>Día 14</t>
  </si>
  <si>
    <t>MINI SUPER CHAVARRIA</t>
  </si>
  <si>
    <t>CRP129</t>
  </si>
  <si>
    <t>SAN JUAN, TIBAS 300 E 50 S DEL GOLLO</t>
  </si>
  <si>
    <t>MINISUPER CORALES 3</t>
  </si>
  <si>
    <t>GV LIMON</t>
  </si>
  <si>
    <t>CRP682</t>
  </si>
  <si>
    <t>LIMON, LIMON LIMON CORALES 3</t>
  </si>
  <si>
    <t xml:space="preserve">Yocelin </t>
  </si>
  <si>
    <t>LIM01</t>
  </si>
  <si>
    <t xml:space="preserve">LIM01-Yocelin </t>
  </si>
  <si>
    <t>SUPERMERCADO LA PARADA</t>
  </si>
  <si>
    <t>CRP910</t>
  </si>
  <si>
    <t>ALAJUELA ATENAS SAN JOSE URB LISBOA LA PLYWOOD, ALAJUEL</t>
  </si>
  <si>
    <t>SUPER LA GUACIMA</t>
  </si>
  <si>
    <t>ALAJUELA, ALAJUELA GUACIM FTE SUP BAMBU RINCON HI</t>
  </si>
  <si>
    <t>MINI SUPER LOS ABUELOS</t>
  </si>
  <si>
    <t>CRP922</t>
  </si>
  <si>
    <t>SAN JOSÉ SANTA ANA SALITRAL 200 N DE LA IGLESIA</t>
  </si>
  <si>
    <t>SUPER LEMUEL</t>
  </si>
  <si>
    <t>GV PUNTARENAS</t>
  </si>
  <si>
    <t>CRP635</t>
  </si>
  <si>
    <t>PUNTARENAS, PUNTARENAS 2DA ENTRAD DEL HUERTO 200E</t>
  </si>
  <si>
    <t xml:space="preserve">Shirley </t>
  </si>
  <si>
    <t>PUN02</t>
  </si>
  <si>
    <t xml:space="preserve">PUN02-Shirley </t>
  </si>
  <si>
    <t>3-101-796243 SOCIEDAD ANONIMA</t>
  </si>
  <si>
    <t>GV GUAPILES</t>
  </si>
  <si>
    <t>CRP554</t>
  </si>
  <si>
    <t>LIMÓN POCOCI GUAPILES 100 S ENTRADA RIO FRIO</t>
  </si>
  <si>
    <t>GUA01</t>
  </si>
  <si>
    <t xml:space="preserve">GUA01-Yocelin </t>
  </si>
  <si>
    <t>SUPER ALLY</t>
  </si>
  <si>
    <t>HATILLO, SAN JOSE 100 N ESCUEA PARAGUAY</t>
  </si>
  <si>
    <t>SUPERMERCADO ARRECIFE</t>
  </si>
  <si>
    <t>LIMON, LIMON CARRETERA A PIUTA PLAYA BONITA</t>
  </si>
  <si>
    <t>SODA BUENOS AIRES</t>
  </si>
  <si>
    <t>CRP558</t>
  </si>
  <si>
    <t>GUAPILES, POCOCI FRENTE TRANSITO GUAPILES</t>
  </si>
  <si>
    <t>PULPERIA MELISA</t>
  </si>
  <si>
    <t>CRP552</t>
  </si>
  <si>
    <t>EL CAIRO, SIQUIRRES CALLE A CATALINA SIQUIRRES</t>
  </si>
  <si>
    <t>SUPER MEI</t>
  </si>
  <si>
    <t>CRP560</t>
  </si>
  <si>
    <t>RITA, POCOCI FTE BAR LA ESQUINA LA RITA</t>
  </si>
  <si>
    <t>ABASTECEDOR EL PUEBLO</t>
  </si>
  <si>
    <t>CARIARI, POCOCI 250N ESC DE NAJERA</t>
  </si>
  <si>
    <t>PULPERIA CENTROAMERICANA</t>
  </si>
  <si>
    <t>CRP681</t>
  </si>
  <si>
    <t>LIMON, LIMON BO. CRISTOBAL COLON</t>
  </si>
  <si>
    <t>Día 15</t>
  </si>
  <si>
    <t>SÚPER JOHAN</t>
  </si>
  <si>
    <t>LIMON, LIMON LIMÓN BARRIO LA COLINA ENTRADA TERREMOTO</t>
  </si>
  <si>
    <t>PULPERIA  LA MARAVILLA</t>
  </si>
  <si>
    <t>LIMON, LIMON 200 ANTES TALLER DE BUSES</t>
  </si>
  <si>
    <t>PULPERIA MINI</t>
  </si>
  <si>
    <t>CRP684</t>
  </si>
  <si>
    <t>VALLE LA ESTRELLA, LIMON BO.LOS ALMENDROS</t>
  </si>
  <si>
    <t>Día 21</t>
  </si>
  <si>
    <t>MINI SÚPER  ERIKA..</t>
  </si>
  <si>
    <t>CRP683</t>
  </si>
  <si>
    <t>RIO BLANCO, LIMON 150 O DE ESC. DE LIVERPOOL</t>
  </si>
  <si>
    <t>ABASTECEDOR TATIANA</t>
  </si>
  <si>
    <t>GV SAN ISIDRO</t>
  </si>
  <si>
    <t>CRP434</t>
  </si>
  <si>
    <t>RIVAS, PEREZ ZELEDON 50 ESTE DE LA ESCUELA UVITA</t>
  </si>
  <si>
    <t>SANI01</t>
  </si>
  <si>
    <t xml:space="preserve">SANI01-Julio </t>
  </si>
  <si>
    <t>DIST ELECTA Q.U.E.V.I. S.A.</t>
  </si>
  <si>
    <t>CRP907</t>
  </si>
  <si>
    <t>GRECIA, GRECIA COSTADO SUR MERCADO GRECIA</t>
  </si>
  <si>
    <t>RV SUPERMERCADOS</t>
  </si>
  <si>
    <t>SAN JERONIMO, NARANJO COSTADO SUR PLAZASN JERONIMO</t>
  </si>
  <si>
    <t>EL PEQUENO SUPER</t>
  </si>
  <si>
    <t>CRP908</t>
  </si>
  <si>
    <t>SARCHI NORTE, SARCHI 25 N PARQUE DE SARCHI OLA</t>
  </si>
  <si>
    <t>DONGGUI ZHONG</t>
  </si>
  <si>
    <t>SARCHI NORTE, SARCHI COSTADO O DE PARQUE SARCHI N</t>
  </si>
  <si>
    <t>MINI SUPER EL INVU</t>
  </si>
  <si>
    <t>CRP901</t>
  </si>
  <si>
    <t>SAN JUAN, POAS 200 NORTE HOSPITAL</t>
  </si>
  <si>
    <t>ABASTECEDOR CINCO ESQUINAS</t>
  </si>
  <si>
    <t>CRP904</t>
  </si>
  <si>
    <t>ALAJUELA NARANJO NARANJO 200 N SALON COMUNAL CANDELARIA</t>
  </si>
  <si>
    <t>ABASTECEDOR CHAVERRI</t>
  </si>
  <si>
    <t>GV CARTAGO</t>
  </si>
  <si>
    <t>CRP834</t>
  </si>
  <si>
    <t>TURRIALBA, TURRIALBA ENTRADA PRINCIPAL BARRIO LOS CEDROS</t>
  </si>
  <si>
    <t>CAR04</t>
  </si>
  <si>
    <t xml:space="preserve">CAR04-Yocelin </t>
  </si>
  <si>
    <t>PULPERIA LA PUENTE</t>
  </si>
  <si>
    <t>CRP828</t>
  </si>
  <si>
    <t>CARTAGO PARAISO SANTIAGO 150 E ESCUELA PUENTE</t>
  </si>
  <si>
    <t>CAR02</t>
  </si>
  <si>
    <t xml:space="preserve">CAR02-Marcel </t>
  </si>
  <si>
    <t>SUPER LA FLOR</t>
  </si>
  <si>
    <t>CRP909</t>
  </si>
  <si>
    <t>SAN RAFAEL, SAN RAMON 100 S CRISTO PIEDRAS SN RAFAEL</t>
  </si>
  <si>
    <t>ABASTECEDOR PASO FLORES</t>
  </si>
  <si>
    <t>CRP937</t>
  </si>
  <si>
    <t>ALAJUELA, ALAJUELA 400E ANTIGUA FARMACIA DEL ESTE</t>
  </si>
  <si>
    <t>SUPER LA RIVERA</t>
  </si>
  <si>
    <t>LA RIBERA, BELEN 100 E 100 S 100 E CEMENTERIO</t>
  </si>
  <si>
    <t>SUPER AMERICA</t>
  </si>
  <si>
    <t>CRP938</t>
  </si>
  <si>
    <t>LLORENTE, FLORES 400 E 100 S FIRESTONE B ANGELE</t>
  </si>
  <si>
    <t>Día 17</t>
  </si>
  <si>
    <t>ABASTECEDOR EL ALTO</t>
  </si>
  <si>
    <t>RIO SEGUNDO, ALAJUELA 200 N 25 O DE SUPER SANTIAGO</t>
  </si>
  <si>
    <t>SUPER EL CARMEN</t>
  </si>
  <si>
    <t>ALAJUELA ALAJUELA RIO SEGUNDO COST. SUR D LA PLAZA DL CARMEN</t>
  </si>
  <si>
    <t>SUPER RIO ORO</t>
  </si>
  <si>
    <t>SANTA ANA, SANTA ANA FRENTE A LA ESCUELA ISABEL LA CATOLICA</t>
  </si>
  <si>
    <t>SUPER GLORIA</t>
  </si>
  <si>
    <t>SAN JOSÉ SANTA ANA SALITRAL 400 N IGLESIA DE SALITRAL</t>
  </si>
  <si>
    <t>MINI SUPER EL ENCANTÓ</t>
  </si>
  <si>
    <t>SANTA ANA, SANTA ANA 400 E CRUZ ROJA SANTA ANA</t>
  </si>
  <si>
    <t>COMERCIAL VEMI</t>
  </si>
  <si>
    <t>SAN ANTONIO, ALAJUELA 100 O 100 N URB VEGAS ROBLE</t>
  </si>
  <si>
    <t>SUPER NARANJO</t>
  </si>
  <si>
    <t>SAN ANTONIO, ALAJUELA FRENTE A LA PLAZA ROBLE CENTRO</t>
  </si>
  <si>
    <t>MINI SUPER AMIGOS</t>
  </si>
  <si>
    <t>CRP935</t>
  </si>
  <si>
    <t>SAN ANTONIO, ALAJUELA FRENTE PLAZA DEL ROBLE</t>
  </si>
  <si>
    <t>SUPER  EL RECUERDO</t>
  </si>
  <si>
    <t>ALAJUELA ATENAS SAN JOSE 300 OESTE D LA PRINCESA MARINA</t>
  </si>
  <si>
    <t>SUPER CENTRO</t>
  </si>
  <si>
    <t>CRP949</t>
  </si>
  <si>
    <t>PALMICHAL, ACOSTA 50 N GAR PALMICHAL DE ACOSTA</t>
  </si>
  <si>
    <t>MINI SUPER EL FUTURO</t>
  </si>
  <si>
    <t>CRP948</t>
  </si>
  <si>
    <t>SAN RAFAEL, SAN RAMON 300 S DEL RODEO STA ANA</t>
  </si>
  <si>
    <t>SUPER FERNANDO</t>
  </si>
  <si>
    <t>CRP825</t>
  </si>
  <si>
    <t>CARTAGO CARTAGO SAN NICOLAS 150 E TRANSITO DE TARAS DE</t>
  </si>
  <si>
    <t>CAR03</t>
  </si>
  <si>
    <t>CAR03-Sylvia</t>
  </si>
  <si>
    <t>MINI SUPER M Y M</t>
  </si>
  <si>
    <t>CARTAGO CARTAGO SAN NICOLAS FT PANADERIA LA PERLA</t>
  </si>
  <si>
    <t>SUPER CALDERON</t>
  </si>
  <si>
    <t>CRP830</t>
  </si>
  <si>
    <t>CARTAGO CARTAGO CORRALILLO 500 N 300 O PLAZA EL LLANO</t>
  </si>
  <si>
    <t>MINI SUPER JAIKEL</t>
  </si>
  <si>
    <t>GV SAN CARLOS</t>
  </si>
  <si>
    <t>CRP444</t>
  </si>
  <si>
    <t>ALAJUELA, ALAJUELA LA LUCHA DE LA TIGRA</t>
  </si>
  <si>
    <t xml:space="preserve">Ciannie </t>
  </si>
  <si>
    <t>SANC01</t>
  </si>
  <si>
    <t xml:space="preserve">SANC01-Ciannie </t>
  </si>
  <si>
    <t>SUPERMERCADO SUPER TODO  1</t>
  </si>
  <si>
    <t>CRP442</t>
  </si>
  <si>
    <t>QUESADA, SAN CARLOS 100 N ESC LOS CHILES AGUAS Z,</t>
  </si>
  <si>
    <t>SURTIDOR ESPARZA</t>
  </si>
  <si>
    <t>CRP634</t>
  </si>
  <si>
    <t>PUNTARENAS ESPARZA ESPIRITU SANTO FRENTE AL MERCADO MUNICIPAL</t>
  </si>
  <si>
    <t>PULPERIA EL PARAISO</t>
  </si>
  <si>
    <t>GV LIBERIA</t>
  </si>
  <si>
    <t>CRP361</t>
  </si>
  <si>
    <t>CAÑAS, CAÑAS B°PALMAS CANAS GTE.   2</t>
  </si>
  <si>
    <t>LIB01</t>
  </si>
  <si>
    <t xml:space="preserve">LIB01-Ciannie </t>
  </si>
  <si>
    <t>PULPERIA LA HOJA</t>
  </si>
  <si>
    <t>CRP355</t>
  </si>
  <si>
    <t>GUANACASTE CAÑAS CAÑAS Bª SAN CRISTOBAL</t>
  </si>
  <si>
    <t>SODA LA FUENTE</t>
  </si>
  <si>
    <t>CRP353</t>
  </si>
  <si>
    <t>BAGACES, BAGACES BAGACES CENTRO</t>
  </si>
  <si>
    <t>MINI SUPER SAN MARTIN</t>
  </si>
  <si>
    <t>GV NICOYA</t>
  </si>
  <si>
    <t>CRP304</t>
  </si>
  <si>
    <t>SANTA CRUZ, SANTA CRUZ 400 SE.Bº SAN MARTIN  STA CRUZ</t>
  </si>
  <si>
    <t xml:space="preserve">Luis Gonzales </t>
  </si>
  <si>
    <t>NIC01</t>
  </si>
  <si>
    <t xml:space="preserve">NIC01-Luis Gonzales </t>
  </si>
  <si>
    <t>PULPERIA LA GARANTIA</t>
  </si>
  <si>
    <t>CRP302</t>
  </si>
  <si>
    <t>GUANACASTE SANTA CRUZ SANTA CRUZ FRENTE SANCHEZ LI</t>
  </si>
  <si>
    <t>SODA VANNESA</t>
  </si>
  <si>
    <t>CRP303</t>
  </si>
  <si>
    <t>NICOYA, NICOYA MERCADO MUNICIPAL,</t>
  </si>
  <si>
    <t>SÚPER LA AMISTAD</t>
  </si>
  <si>
    <t>NICOYA, NICOYA 20MTS ESTE DELEGACIÓN DE POLICÍA NICOYA</t>
  </si>
  <si>
    <t>LIYUAN 07</t>
  </si>
  <si>
    <t>MERCED, SAN JOSE COSTADO N BNCR</t>
  </si>
  <si>
    <t>SUPER VILLA DEL SOL</t>
  </si>
  <si>
    <t>CRP824</t>
  </si>
  <si>
    <t>AGUACALIENTE O SAN F, CARTAGO URB VILLA DEL SOL LA PITAHAYA</t>
  </si>
  <si>
    <t>ABASTECEDOR EL CEREZO</t>
  </si>
  <si>
    <t>CRP915</t>
  </si>
  <si>
    <t>SAN RAFAEL, SAN RAFAEL 450 OE 250 N IGLESIA SAN RAFAE</t>
  </si>
  <si>
    <t>MINI SUPER VARELA</t>
  </si>
  <si>
    <t>CRP833</t>
  </si>
  <si>
    <t>TURRIALBA, TURRIALBA FTE COLEGIO NOCTURNO</t>
  </si>
  <si>
    <t>ABASTECEDOR VIVIAN</t>
  </si>
  <si>
    <t>SAN JOSÉ PURISCAL SAN RAFAEL ESCAZU SAN RAFAEL BELLO HORIZONTE DE</t>
  </si>
  <si>
    <t>SUPER JOHN</t>
  </si>
  <si>
    <t>SAN RAFAEL ABAJO, DESAMPARADOS 200 E PLAZA VALENCIA</t>
  </si>
  <si>
    <t>LA ESQUINITA</t>
  </si>
  <si>
    <t>DESAMPARADOS, DESAMPARADOS 100 S 100 O DE LA CRUZ ROJA</t>
  </si>
  <si>
    <t>MINI SUPER DANUBIO AZUL</t>
  </si>
  <si>
    <t>DAMAS, DESAMPARADOS 50 SUR SALON COMUNAL</t>
  </si>
  <si>
    <t>SUPER LA LIBERTAD</t>
  </si>
  <si>
    <t>CRP640</t>
  </si>
  <si>
    <t>PUNTARENAS PUNTARENAS PUNTARENAS DIAGONAL AL GIMNACIO MUNICIPAL</t>
  </si>
  <si>
    <t>MINISUPER MILENIUM</t>
  </si>
  <si>
    <t>PUNTARENAS ESPARZA ESPIRITU SANTO FTE TELEF PUBLICO</t>
  </si>
  <si>
    <t>SUPER LINDA VISTA</t>
  </si>
  <si>
    <t>ALAJUELA NARANJO SAN MIGUEL 1 KM SUR IGLE. SAN MIGUEL</t>
  </si>
  <si>
    <t>SUPER EL AHORRO</t>
  </si>
  <si>
    <t>CRP443</t>
  </si>
  <si>
    <t>ALAJUELA SAN CARLOS QUESADA 500 E SALON SUCRE</t>
  </si>
  <si>
    <t>ABASTECEDOR LA FAMILIA</t>
  </si>
  <si>
    <t>CRP441</t>
  </si>
  <si>
    <t>ALAJUELA, ALAJUELA FRENTE A LA IGLESIA</t>
  </si>
  <si>
    <t>SUPER TODO 2</t>
  </si>
  <si>
    <t>CRP447</t>
  </si>
  <si>
    <t>QUESADA, SAN CARLOS CRUCE LOS CHILES AGUAS ZARCAS</t>
  </si>
  <si>
    <t>SUPER SAN ISIDRO</t>
  </si>
  <si>
    <t>QUESADA, SAN CARLOS SAN ISIDRO PEÑAS BLANCAS</t>
  </si>
  <si>
    <t>MINI SUPER MI DESPENSA</t>
  </si>
  <si>
    <t>CRP352</t>
  </si>
  <si>
    <t>LIBERIA, LIBERIA FRENTE A LIBRERIA MARTECO</t>
  </si>
  <si>
    <t>MINI SUPER ERIKA</t>
  </si>
  <si>
    <t>CRP826</t>
  </si>
  <si>
    <t>PARAISO, PARAISO FRENTE A LA ESCUELA STA LUCIA</t>
  </si>
  <si>
    <t>MINI SUPER ALLISON</t>
  </si>
  <si>
    <t>CRP827</t>
  </si>
  <si>
    <t>SAN LORENZO, TARRAZU 300 S IGLESIA SAN LORENZO</t>
  </si>
  <si>
    <t xml:space="preserve">Hazell </t>
  </si>
  <si>
    <t>CAR01</t>
  </si>
  <si>
    <t xml:space="preserve">CAR01-Hazell </t>
  </si>
  <si>
    <t>SUPER GONDOLAS SA</t>
  </si>
  <si>
    <t>SAN JOSE, ATENAS 400 E DE LA IGLESIA</t>
  </si>
  <si>
    <t>SUPER ROHRMOSER</t>
  </si>
  <si>
    <t>PAVAS, SAN JOSE 500 N DEL A.I.D.</t>
  </si>
  <si>
    <t>SUPER CHEN</t>
  </si>
  <si>
    <t>CRP555</t>
  </si>
  <si>
    <t>LAS HORQUETAS, SARAPIQUI COSTADO S DE ESC FINCA 11</t>
  </si>
  <si>
    <t>CHICHARRONERA LOS ALMENDROS</t>
  </si>
  <si>
    <t>CRP685</t>
  </si>
  <si>
    <t>LIMON, LIMON 300 S CEMENTE COLINAS DE PAZ</t>
  </si>
  <si>
    <t>SUPER MONTUFAR</t>
  </si>
  <si>
    <t>SAN DIEGO, LA UNION URB. FLORENCIO DELCASTILLO</t>
  </si>
  <si>
    <t>PULPERIA EL RINCONCITO</t>
  </si>
  <si>
    <t>CRP145</t>
  </si>
  <si>
    <t>SAN JUAN DE DIOS, DESAMPARADOS 250 O ABASTEC SAN MARTIN</t>
  </si>
  <si>
    <t>ALMACEN EL ORIENTE (MYM)</t>
  </si>
  <si>
    <t>SAN JOSÉ SAN JOSE CATEDRAL 50 N ESQUINA NO MERCADO CENTRAL</t>
  </si>
  <si>
    <t>SUPER LUNASOL</t>
  </si>
  <si>
    <t>CONCEPCION, LA UNION 300 OE IGLESIA CATOLICA CONCEPCION</t>
  </si>
  <si>
    <t>SUPER 4 ESQUINAS</t>
  </si>
  <si>
    <t>ULLOA, HEREDIA 100 E ABASTECEDOR LOS ANGELES</t>
  </si>
  <si>
    <t>ALMACEN MUNOS Y VILLALOBOS</t>
  </si>
  <si>
    <t>LIMON, LIMON FTE CEMENTERIO DE NAJERA</t>
  </si>
  <si>
    <t>SUPER NATASHA</t>
  </si>
  <si>
    <t>CRP425</t>
  </si>
  <si>
    <t>QUEPOS, QUEPOS CONTIGUO A SODA CECI</t>
  </si>
  <si>
    <t>CHIRINGUIN</t>
  </si>
  <si>
    <t>SAN FELIPE, ALAJUELITA 100 E 25 S ESQUINA SE PLAZA</t>
  </si>
  <si>
    <t>SUPER LA ESPERANZA #1</t>
  </si>
  <si>
    <t>CRP124</t>
  </si>
  <si>
    <t>ALAJUELITA, ALAJUELITA 300 SE PUENTE RIO CANAS</t>
  </si>
  <si>
    <t>RESTAURANTE MEY JO</t>
  </si>
  <si>
    <t>SAN FRANCISCO DE DOS, SAN JOSE 75 S IGLESIA SAN FRANCISCO</t>
  </si>
  <si>
    <t>ABASTECEDOR SUPER ECONOMICO</t>
  </si>
  <si>
    <t>PURRAL, GOICOECHEA 200 S CEMENTERIO DE PURRAL</t>
  </si>
  <si>
    <t>SUPER LOS MAGUITOS</t>
  </si>
  <si>
    <t>CRP305</t>
  </si>
  <si>
    <t>HEREDIA, HEREDIA DIAGONAL PLAZA STA BARBARA</t>
  </si>
  <si>
    <t>SODA EL ALMENDRO</t>
  </si>
  <si>
    <t>CRP351</t>
  </si>
  <si>
    <t>GUANACASTE LIBERIA LIBERIA FTE EMERGEN HOSP ENRRIQUE BALT</t>
  </si>
  <si>
    <t>PULPERIA GENESIS</t>
  </si>
  <si>
    <t>LIBERIA, LIBERIA 300 O 75 S IGL EVANG CORA JESU</t>
  </si>
  <si>
    <t>SUPER EXCELENTE</t>
  </si>
  <si>
    <t>CARMEN, SAN JOSE 200 N BAR POCHOS</t>
  </si>
  <si>
    <t>ABASTECEDOR MONTERO</t>
  </si>
  <si>
    <t>CRP931</t>
  </si>
  <si>
    <t>ALAJUELA, ALAJUELA URBANIZACION LA LANGOSTA</t>
  </si>
  <si>
    <t>SUPER VICTORIA</t>
  </si>
  <si>
    <t>HATILLO, SAN JOSE 500 E ABASTECEDOR LOS ANGELES</t>
  </si>
  <si>
    <t>SUPER CORONA</t>
  </si>
  <si>
    <t>ALAJUELITA, ALAJUELITA 200 O ESCUELA SAN FELIPE</t>
  </si>
  <si>
    <t>OKAYAMA SNACKS DEL ESTE S.A.</t>
  </si>
  <si>
    <t>SAN FRANCISCO DE DOS, SAN JOSE COSTADO S PARQUE OKAYAMA</t>
  </si>
  <si>
    <t>ABASTECEDOR RAMONENSE 2</t>
  </si>
  <si>
    <t>PUNTARENAS PUNTARENAS PUNTARENAS 600 N SIMBOMBA MARAÑONAL</t>
  </si>
  <si>
    <t>MINI SÚPER SUPIN</t>
  </si>
  <si>
    <t>LIMON, LIMON 400 N RTV</t>
  </si>
  <si>
    <t>SÚPER 07</t>
  </si>
  <si>
    <t>CAHUITA, TALAMANCA FRENTE A GUARDIA RURAL</t>
  </si>
  <si>
    <t>SUPER COOPERECOPE</t>
  </si>
  <si>
    <t>LIMON, LIMON DIAGONBAL COLEGIO TECNICO</t>
  </si>
  <si>
    <t>SUPER LA MEXICANITA</t>
  </si>
  <si>
    <t>SAN JOSÉ SAN JOSE PAVAS 100 S CORREO DE PAVAS</t>
  </si>
  <si>
    <t>ABASTECEDOR LA VICTORIA</t>
  </si>
  <si>
    <t>ALAJUELITA, ALAJUELITA 400 E MEGA SUPER</t>
  </si>
  <si>
    <t>LA GALERITA S.A</t>
  </si>
  <si>
    <t>PATARRA, DESAMPARADOS 150 S PLAZA DE PATARRA</t>
  </si>
  <si>
    <t>MINI SUPER SAN VICENTE</t>
  </si>
  <si>
    <t>CARMEN, SAN JOSE 225 S ASERRADERO ALPIZAR</t>
  </si>
  <si>
    <t>MINI SUPER DARIANA</t>
  </si>
  <si>
    <t>CRP359</t>
  </si>
  <si>
    <t>CAÑAS, CAÑAS BO BELLO HORIZONTE</t>
  </si>
  <si>
    <t>MINI SUPER Y LICORERA  M Y M</t>
  </si>
  <si>
    <t>GUANACASTE LIBERIA LIBERIA 150 O PUENTE FELIPE PEREZ</t>
  </si>
  <si>
    <t>PULPERIA MAR AZUL</t>
  </si>
  <si>
    <t>CRP631</t>
  </si>
  <si>
    <t>PUNTARENAS PUNTARENAS PUNTARENAS 25S 250 OEST CLINICA MIRAMAR</t>
  </si>
  <si>
    <t>SUPER KAMELYN</t>
  </si>
  <si>
    <t>CRP638</t>
  </si>
  <si>
    <t>PUNTARENAS GARABITO JACO DIAG SUPER DANIELA</t>
  </si>
  <si>
    <t>MINI SUPER MARDY</t>
  </si>
  <si>
    <t>PUNTARENAS, PUNTARENAS CONT ABAST POLIDEPORTIVO</t>
  </si>
  <si>
    <t>SUPER YOSEF</t>
  </si>
  <si>
    <t>CRP301</t>
  </si>
  <si>
    <t>NICOYA, NICOYA BARRIO EL CARMEN</t>
  </si>
  <si>
    <t>SODA LA COSTANERA</t>
  </si>
  <si>
    <t>CRP636</t>
  </si>
  <si>
    <t>ALAJUELA OROTINA OROTINA BOMBA LA COSTANERA 27</t>
  </si>
  <si>
    <t>ABASTECEDOR SAN RAMON</t>
  </si>
  <si>
    <t>CRP556</t>
  </si>
  <si>
    <t>GUAPILES, POCOCI CARRETERA VILLA FRANCA GUACIMO</t>
  </si>
  <si>
    <t>MINI SUPER J Y J N2</t>
  </si>
  <si>
    <t>SAN MIGUEL, DESAMPARADOS EL LLANO  CALLE SABANILLAS</t>
  </si>
  <si>
    <t>ABAST MILENIUM</t>
  </si>
  <si>
    <t>LIMÓN POCOCI GUAPILES 400N DEL CEMENTERIO DE GUAPILE</t>
  </si>
  <si>
    <t>ABASTECEDOR JESUS DE NAZARETH</t>
  </si>
  <si>
    <t>CINCO ESQUINAS, TIBAS 100 O 150 N YUGO DE ORO</t>
  </si>
  <si>
    <t>POLLO FRITO CHACHAGUA</t>
  </si>
  <si>
    <t>CRP445</t>
  </si>
  <si>
    <t>ALAJUELA, ALAJUELA CONT AL COLONO CHACHAGUA</t>
  </si>
  <si>
    <t>MINI SUP. LOS CHAVAS</t>
  </si>
  <si>
    <t>SANTA ANA, SANTA ANA BARRIO EL FUTURO 1ER ENTRADA</t>
  </si>
  <si>
    <t>MNISUPER LA DESPENSITA</t>
  </si>
  <si>
    <t>HATILLO, SAN JOSE 100 S IGELSIA FATIMA</t>
  </si>
  <si>
    <t>COMLOSA DE J.C.G S.A</t>
  </si>
  <si>
    <t>CRP917</t>
  </si>
  <si>
    <t>SAN JOAQUIN, FLORES 100 S SUPER AMERICA</t>
  </si>
  <si>
    <t>SUPER CANAAN</t>
  </si>
  <si>
    <t>SAN JOSÉ SANTA ANA SANTA ANA 400 E 50 S CRUZ ROJA</t>
  </si>
  <si>
    <t>SUPERMERCADO BELEN</t>
  </si>
  <si>
    <t>LA ASUNCION, BELEN 500 O HOTEL MARRIOT</t>
  </si>
  <si>
    <t>PULPERIA HERMANOS FERNANDEZ</t>
  </si>
  <si>
    <t>CRP421</t>
  </si>
  <si>
    <t>PARRITA, PARRITA PROYECTO LA LOMA GRUPO 5</t>
  </si>
  <si>
    <t>ABASTECEDOR PUEBLO NUEVO</t>
  </si>
  <si>
    <t>CRP630</t>
  </si>
  <si>
    <t>PUNTARENAS PUNTARENAS PUNTARENAS 150 NORTE DEL CRUCE</t>
  </si>
  <si>
    <t>PUN01</t>
  </si>
  <si>
    <t xml:space="preserve">PUN01-Ciannie </t>
  </si>
  <si>
    <t>SODA LA LLANTERA  PIPIRIBAO</t>
  </si>
  <si>
    <t>CRP637</t>
  </si>
  <si>
    <t>ALAJUELA OROTINA OROTINA DIAGONAL MEGA SUPER OROTINA</t>
  </si>
  <si>
    <t>SUPER LA BODEGA</t>
  </si>
  <si>
    <t>CARTAGO CARTAGO ORIENTAL 75 N DE IGLESIA BARRIO CARMEN</t>
  </si>
  <si>
    <t>ABASTECEDOR B Y R</t>
  </si>
  <si>
    <t>SAN MIGUEL, NARANJO 50 O BENEFICIO COOPRONARANJO</t>
  </si>
  <si>
    <t>CASA SUPERMERCADO</t>
  </si>
  <si>
    <t>ALAJUELA ALAJUELA SAN ANTONIO 200 E DE LA PLAZA EL ROBLE</t>
  </si>
  <si>
    <t>SUPERMERCADO LA ESTRELLA</t>
  </si>
  <si>
    <t>SAN DIEGO, LA UNION 25 M OESTE PLAZA DE FUTBOL</t>
  </si>
  <si>
    <t>SUPER CONCEPCION</t>
  </si>
  <si>
    <t>ALAJUELITA, ALAJUELITA 100 E 200 S CONCEPCION ARRIBA</t>
  </si>
  <si>
    <t>SUPER AGUILA DE ORO 5</t>
  </si>
  <si>
    <t>MATINA, MATINA COSTADO N PARQUE DE ESTRADA</t>
  </si>
  <si>
    <t>SÚPER ECONOMÍA</t>
  </si>
  <si>
    <t>LIMÓN LIMON LIMON ENTRADA CUBA CREEK</t>
  </si>
  <si>
    <t>MINI SUPER CRISTAL</t>
  </si>
  <si>
    <t>SAN PABLO, SAN PABLO 250N SODA LOS PIRATAS</t>
  </si>
  <si>
    <t>MINI SUPER EL COUNTRY</t>
  </si>
  <si>
    <t>SAN JOSÉ ESCAZU ESCAZU ESQUINA SUR COLEGIO COUNTRY</t>
  </si>
  <si>
    <t>SUPER CALLE VIQUEZ</t>
  </si>
  <si>
    <t>CRP912</t>
  </si>
  <si>
    <t>SAN JOAQUIN, FLORES SAN JOAQUIN HEREDIA</t>
  </si>
  <si>
    <t>SUPER MARKET ARENAL</t>
  </si>
  <si>
    <t>CRP446</t>
  </si>
  <si>
    <t>LA FORTUNA, SAN CARLOS 50 N IGLESIA CATOLICA</t>
  </si>
  <si>
    <t>SUPERMERCADO SAYRA</t>
  </si>
  <si>
    <t>ALAJUELA SAN CARLOS QUESADA CONTIGUO SUPER JY QUEBRADA PAL</t>
  </si>
  <si>
    <t>SODA AV10</t>
  </si>
  <si>
    <t>MERCED, SAN JOSE AV10 FRENTE BOMBA LA CASTELLA</t>
  </si>
  <si>
    <t>SUPER CRISTAL</t>
  </si>
  <si>
    <t>CINCO ESQUINAS, TIBAS 125 S 20 E DE LA IGLESIA</t>
  </si>
  <si>
    <t>SUPER MERCADO RUBI</t>
  </si>
  <si>
    <t>CRP431</t>
  </si>
  <si>
    <t>PUNTARENAS BUENOS AIRES BUENOS AIRES 200 MSUR URB LAS VEGAS</t>
  </si>
  <si>
    <t>SUPER NURY</t>
  </si>
  <si>
    <t>GV RIO CLARO</t>
  </si>
  <si>
    <t>CRP671</t>
  </si>
  <si>
    <t>PALMAR, OSA PALMAR NORTE</t>
  </si>
  <si>
    <t xml:space="preserve">Adriana </t>
  </si>
  <si>
    <t>RIO01</t>
  </si>
  <si>
    <t xml:space="preserve">RIO01-Adriana </t>
  </si>
  <si>
    <t>MINISUPER VIQUI</t>
  </si>
  <si>
    <t>CRP360</t>
  </si>
  <si>
    <t>GUANACASTE LIBERIA LIBERIA COSTADO NORTE LAVACAR EL INVU</t>
  </si>
  <si>
    <t>RESTAURANTE CHEN</t>
  </si>
  <si>
    <t>ALAJUELA, ALAJUELA FRENTE A LA FARMACIA SAN MIGUEL</t>
  </si>
  <si>
    <t>SUPER LOS JARDINES</t>
  </si>
  <si>
    <t>ALAJUELA ATENAS SAN JOSE 1100 O IGLESIA MONTECILLOS</t>
  </si>
  <si>
    <t>ABAST. LA GARCITA</t>
  </si>
  <si>
    <t>GUACIMA, ALAJUELA 2KM O DE LA PLAZA GUACIMA</t>
  </si>
  <si>
    <t>ABAST. LOS ANGELES</t>
  </si>
  <si>
    <t>SAN ANTONIO, ALAJUELA 1KM O PLAZA SAN ANTONIO</t>
  </si>
  <si>
    <t>SPORT PIZZA EXPRESS</t>
  </si>
  <si>
    <t>ASERRI, ASERRI COSTADO O DEL PARQUE DE ASERRI</t>
  </si>
  <si>
    <t>SUPERMERCADO FATIMA</t>
  </si>
  <si>
    <t>CARTAGO CARTAGO ORIENTAL COSTADO SUR PLAZA FATIMA</t>
  </si>
  <si>
    <t>SUPER SUCRE</t>
  </si>
  <si>
    <t>ALAJUELA SAN CARLOS QUESADA FTE SALON COMUNAL DE SUCRE</t>
  </si>
  <si>
    <t>SUPER SAN LUIS</t>
  </si>
  <si>
    <t>CRP633</t>
  </si>
  <si>
    <t>PUNTARENAS PUNTARENAS PUNTARENAS 50 OEST 2DA ENTRADA SAN LUIS</t>
  </si>
  <si>
    <t>SUPER LA FAMILIA</t>
  </si>
  <si>
    <t>CUTRIS, SAN CARLOS FRENTE A SODA SUPER POLLO  BOCA ARENAL</t>
  </si>
  <si>
    <t>SUPER CHAVA #1</t>
  </si>
  <si>
    <t>PUNTARENAS PUNTARENAS BARRANCA 900M S C.T.P.P. PALMAS DEL RIO</t>
  </si>
  <si>
    <t>FONDA TAMESIS</t>
  </si>
  <si>
    <t>RITA, POCOCI 50M OE ENT FCA TAMESIS</t>
  </si>
  <si>
    <t>SUPER UNO MAS UNO</t>
  </si>
  <si>
    <t>DESAMPARADOS, DESAMPARADOS 150 OE ULTIMA PARADA LOMA LIND</t>
  </si>
  <si>
    <t>PULPERIA LAS PROME</t>
  </si>
  <si>
    <t>ALAJUELA, ALAJUELA 200 O QUINTAS DEL DORADO 25 N</t>
  </si>
  <si>
    <t>MINI SUPER JIN LI FU</t>
  </si>
  <si>
    <t>MERCED, SAN JOSE SAN JOSE</t>
  </si>
  <si>
    <t>SÚPER RIO BANANO</t>
  </si>
  <si>
    <t>MATAMA, LIMON RIO BANANO A UN COSTADO DE LA PLAZA</t>
  </si>
  <si>
    <t>SUPER CAMPOS</t>
  </si>
  <si>
    <t>PAVAS, SAN JOSE 125 N CEMENTERIO PAVAS</t>
  </si>
  <si>
    <t>SUPERMERCADO BERNEMAR</t>
  </si>
  <si>
    <t>TURRIALBA, TURRIALBA 400 ESTRADA COYOL TURRI</t>
  </si>
  <si>
    <t>INVERSIONES FERSA MIL NOVECIEN</t>
  </si>
  <si>
    <t>LIMÓN POCOCI CARIARI CARRETERA A TORTUGUERO</t>
  </si>
  <si>
    <t>SUPER LA TRINIDAD</t>
  </si>
  <si>
    <t>CRP551</t>
  </si>
  <si>
    <t>PUERTO VIEJO, SARAPIQUI FTE ENT A COMANDO Y CRUCE BANA</t>
  </si>
  <si>
    <t>SUPER ESQUIVEL Y MORA</t>
  </si>
  <si>
    <t>MATINA, MATINA MATINA SANTA MARTA</t>
  </si>
  <si>
    <t>SUPER VENECIA</t>
  </si>
  <si>
    <t>CARRANDI, MATINA VENECIA, 600 E DEL B.C.R.</t>
  </si>
  <si>
    <t>MINI SUPER EL BOSQUE</t>
  </si>
  <si>
    <t>LIMON, LIMON 75M PLAZA DEPORTES EL BOSQUE</t>
  </si>
  <si>
    <t>SUPER OSO POLAR</t>
  </si>
  <si>
    <t>CRP127</t>
  </si>
  <si>
    <t>SAN MIGUEL, SANTO DOMINGO FRENTE PUENTE PEATONAL SAN MIG</t>
  </si>
  <si>
    <t>SUPER YI YUAN</t>
  </si>
  <si>
    <t>HATILLO, SAN JOSE 150 O 150N M X M HATILLO</t>
  </si>
  <si>
    <t>ALAJUELA, ALAJUELA 50 NO IGLESIA DE LA AGONIA</t>
  </si>
  <si>
    <t>MINISUPER EL VERANO</t>
  </si>
  <si>
    <t>CRP557</t>
  </si>
  <si>
    <t>LIMON, LIMON 100N ESC EL HUMO</t>
  </si>
  <si>
    <t>SUPERMERCADO PERLA ORIENTAL</t>
  </si>
  <si>
    <t>ALAJUELA, ALAJUELA 500 OE. COOPEMONTECILLOS</t>
  </si>
  <si>
    <t>ALMACEN BONANZA NO.2</t>
  </si>
  <si>
    <t>CARRANDI, MATINA BO.GALLO MANZO VENECIA</t>
  </si>
  <si>
    <t>MINI SUPER MACKENZIE</t>
  </si>
  <si>
    <t>CRP936</t>
  </si>
  <si>
    <t>ALAJUELA, ALAJUELA 100N DEL POLIDEPORTIVO DE ALAJ</t>
  </si>
  <si>
    <t>MINISUPER EL DIAMANTE</t>
  </si>
  <si>
    <t>SAN RAFAEL, OREAMUNO 200 E DEL CEMENTERIO</t>
  </si>
  <si>
    <t>SUPER MERCADO EL AHORRO  3</t>
  </si>
  <si>
    <t>PUNTARENAS PUNTARENAS BARRANCA 25M N DEL ANTIGUO BCR ROBLE</t>
  </si>
  <si>
    <t>SUPER   KROMI</t>
  </si>
  <si>
    <t>CARTAGO CARTAGO EL CARMEN 200 E BAR LA PERLA</t>
  </si>
  <si>
    <t>SUPER EL GALLO</t>
  </si>
  <si>
    <t>QUESADA, SAN CARLOS 200M NORTE DEL CRUCE CALLE LAPAS</t>
  </si>
  <si>
    <t>LICORERA LA RECTA 3</t>
  </si>
  <si>
    <t>ZARAGOZA, PALMARES 250 O BAR LA LIRA ZARAGOZA</t>
  </si>
  <si>
    <t>PUNTARENAS MONTES DE ORO MIRAMAR DIAGONAL PARQUE DE LINDAVISTA</t>
  </si>
  <si>
    <t>SUPER ROXI</t>
  </si>
  <si>
    <t>ASERRI, ASERRI COSTADO SUR ANTIG JOCKEY</t>
  </si>
  <si>
    <t>ABASTECEDOR LA GUARIA</t>
  </si>
  <si>
    <t>SAN JOSÉ PEREZ ZELEDON SAN ISIDRO DE EL GENERAL FTE A LA ESCUELA SINAI</t>
  </si>
  <si>
    <t>SUPER SONRISAS</t>
  </si>
  <si>
    <t>EL TEJAR, EL GUARCO ENTRADA A GUATUSO DEL GUARCO</t>
  </si>
  <si>
    <t>NATHAN ISMAEL</t>
  </si>
  <si>
    <t>TAMBOR, ALAJUELA CONT TALLER D BUSES LOPEZ TUET</t>
  </si>
  <si>
    <t>SUPER DRAGON DE ORO</t>
  </si>
  <si>
    <t>LIMON, LIMON FTE ESC SAN LUIS DE GUACIMO</t>
  </si>
  <si>
    <t>SUPER Y LICORERA J Y J</t>
  </si>
  <si>
    <t>GUACIMA, ALAJUELA 400 N 150 OESTE DE OTTOS BAR EN GAUCIMA</t>
  </si>
  <si>
    <t>MINI SUPER NAJERA</t>
  </si>
  <si>
    <t>LIMON, LIMON 250S DEL AEROPUERTO DE NAJERA</t>
  </si>
  <si>
    <t>SUPERMERCADO ANNY</t>
  </si>
  <si>
    <t>ALAJUELA, ALAJUELA 800E DEL AUTODROMO LA GUACIMA</t>
  </si>
  <si>
    <t>SUPER LA SABANA</t>
  </si>
  <si>
    <t>SAN JOSÉ TARRAZU SAN MARCOS 50 MTS OESTE DE LA ESCUELA LA SABANA</t>
  </si>
  <si>
    <t>SUPER MERCADO LA VEGA</t>
  </si>
  <si>
    <t>FLORENCIA, SAN CARLOS LA VEGA</t>
  </si>
  <si>
    <t>SUPER LA ESPERANZA SJ DIOS DESAMPA</t>
  </si>
  <si>
    <t>SAN JUAN DE DIOS, DESAMPARADOS SN JUAN DIOS FRENTE CRUZ ROJA</t>
  </si>
  <si>
    <t>SUPER MERCADO 2 ERRES 2</t>
  </si>
  <si>
    <t>CRP900</t>
  </si>
  <si>
    <t>ALAJUELA ZARCERO ZARCERO 200E ESC. TAPEZCO ZARCERO ALAJ</t>
  </si>
  <si>
    <t>SUPER VIOLETA #2</t>
  </si>
  <si>
    <t>SAN JOSÉ ESCAZU ESCAZU 300 ESTE DEL PARQUE DE ESCAZU</t>
  </si>
  <si>
    <t>MINISUPER YITVA</t>
  </si>
  <si>
    <t>LIMON, LIMON CONT.REST.YITVA COLINA</t>
  </si>
  <si>
    <t>SUPER AHORRO#2</t>
  </si>
  <si>
    <t>PUNTARENAS PUNTARENAS PUNTARENAS ENTRADA EL BOLI FRAYCASIANO</t>
  </si>
  <si>
    <t>MINI SUPER EL PARQUE</t>
  </si>
  <si>
    <t>CRP140</t>
  </si>
  <si>
    <t>MATA REDONDA, SAN JOSE MC DONALDS SABANA 100 S</t>
  </si>
  <si>
    <t>MINI SUP. GABRIEL</t>
  </si>
  <si>
    <t>SAN RAFAEL, SAN RAMON 600 OESTE DEL MEGASUPER</t>
  </si>
  <si>
    <t>LA MILAGROSA</t>
  </si>
  <si>
    <t>SAN RAFAEL ABAJO, DESAMPARADOS RAF AB CTR COM HIG 100S 100 O</t>
  </si>
  <si>
    <t>SUPER Y CARNICERIA LA FORTUNA #8</t>
  </si>
  <si>
    <t>PITAL, SAN CARLOS FRENTE A ECONOMAS</t>
  </si>
  <si>
    <t>SUPER BARATO</t>
  </si>
  <si>
    <t>ZAPOTE, SAN JOSE ZAPOTE ESC NAPOL QUESADA 150N</t>
  </si>
  <si>
    <t>MINI SUPER DIAMANTES</t>
  </si>
  <si>
    <t>MERCEDES, HEREDIA FRENTE COLEGIO CLARETIANO</t>
  </si>
  <si>
    <t>MINI SUPER MARAVILLOSO</t>
  </si>
  <si>
    <t>PUNTARENAS PUNTARENAS PUNTARENAS ANTIG SUPER CASTILLO B.CARMEN</t>
  </si>
  <si>
    <t>SUPER 28</t>
  </si>
  <si>
    <t>CRP132</t>
  </si>
  <si>
    <t>GUADALUPE, GOICOECHEA ALTO COL DIV PASTOR 100S 25 O</t>
  </si>
  <si>
    <t>MINI SUPER LAS LOMAS</t>
  </si>
  <si>
    <t>PURRAL, GOICOECHEA PLANTEL BUSES PURRAL 400 S</t>
  </si>
  <si>
    <t>PULPERIA LA BRUMOSA</t>
  </si>
  <si>
    <t>CRP822</t>
  </si>
  <si>
    <t>TOBOSI, EL GUARCO TOBOSI DE LA ESCUELA 500 OESTE</t>
  </si>
  <si>
    <t>MINI SÚPER GUADALUPE</t>
  </si>
  <si>
    <t>CRP823</t>
  </si>
  <si>
    <t>CARTAGO CARTAGO GUADALUPE O ARENILLA GUADA SUPER VIOLETERA 100 N</t>
  </si>
  <si>
    <t>SUPERMERCADO ARCO IRIS</t>
  </si>
  <si>
    <t>SAN VICENTE, MORAVIA MORAVIA FRENTE BAR LA PORTEÑITA</t>
  </si>
  <si>
    <t>MINI SUPER LICORERA POZO DE AG</t>
  </si>
  <si>
    <t>CRP307</t>
  </si>
  <si>
    <t>GUANACASTE NICOYA NICOYA 1 K. ANTES CENTRO POZO DE AGUA</t>
  </si>
  <si>
    <t>SUPER LAJAS</t>
  </si>
  <si>
    <t>SANTA CRUZ, SANTA CRUZ 400O DE SUPER LA URUCA HUACAS</t>
  </si>
  <si>
    <t>MARISQUERIA EL SESTEO</t>
  </si>
  <si>
    <t>CRP154</t>
  </si>
  <si>
    <t>CURRIDABAT, CURRIDABAT FT ENTRADA PRINCIPAL DEL C</t>
  </si>
  <si>
    <t>ABASTECEDOR OASIS</t>
  </si>
  <si>
    <t>CRP550</t>
  </si>
  <si>
    <t>CARIARI, POCOCI 200E ESC PALERMO</t>
  </si>
  <si>
    <t>RAPI MARKET</t>
  </si>
  <si>
    <t>CRP925</t>
  </si>
  <si>
    <t>ESCAZU, ESCAZU 250 N DEL COLEGIO SAINT MARY</t>
  </si>
  <si>
    <t>MI SUPER EL CENTRO</t>
  </si>
  <si>
    <t>COLORADO, ABANGARES COSTAD E CLINICA COLORADO</t>
  </si>
  <si>
    <t>SUPER MIRAMAR</t>
  </si>
  <si>
    <t>PUNTARENAS MONTES DE ORO MIRAMAR 200E DEL B.N ANTIGU MEGASUPER</t>
  </si>
  <si>
    <t>EL SUPER DE MI BARRIO</t>
  </si>
  <si>
    <t>SIQUIRRES, SIQUIRRES 25 N Y 150 E DE ANTENAS CABLE CARIBE</t>
  </si>
  <si>
    <t>SUPER CENTRAL</t>
  </si>
  <si>
    <t>EL TEJAR, EL GUARCO TEJAR BCR 50 ESTE</t>
  </si>
  <si>
    <t>MINI SUPER CALLE FALLAS</t>
  </si>
  <si>
    <t>DESAMPARADOS, DESAMPARADOS 300 OE IGLESIA  CALLE FALLAS</t>
  </si>
  <si>
    <t>MINI SUP. Y LIC. ALMACONI</t>
  </si>
  <si>
    <t>NICOYA, NICOYA 100 OE. LUBRICENTRO SAN MARTIN</t>
  </si>
  <si>
    <t>SODA GUAPINOL</t>
  </si>
  <si>
    <t>PUERTO VIEJO, SARAPIQUI FTE PLANTA EMP FCA GUAPINOL</t>
  </si>
  <si>
    <t>SODA CANFIN</t>
  </si>
  <si>
    <t>PUERTO VIEJO, SARAPIQUI COSTADO PLANTA EMP FCA CANFIN</t>
  </si>
  <si>
    <t>SUPER CEN S</t>
  </si>
  <si>
    <t>ALAJUELA, ALAJUELA JARDINES ALAJUELA 50 SUPER LOS</t>
  </si>
  <si>
    <t>MINI SUPER Y LICOR MANU</t>
  </si>
  <si>
    <t>CRP934</t>
  </si>
  <si>
    <t>MERCEDES, ATENAS 150 ESTE DE GERMAN S</t>
  </si>
  <si>
    <t>ALMACEN FUENTE TERMAL</t>
  </si>
  <si>
    <t>GUAPILES, POCOCI COSTADO NORTE PARQUE LA RITA</t>
  </si>
  <si>
    <t>SUPERMERCADO LA FORTUNA DEL CAIRO</t>
  </si>
  <si>
    <t>EL CAIRO, SIQUIRRES 100M OESTE ENTRADA PRINCIPAL AL CAIRO</t>
  </si>
  <si>
    <t>SUPERMERCADO LA CORONA</t>
  </si>
  <si>
    <t>SAN JOSÉ LEON CORTES CASTRO SAN ISIDRO SAN ISIDRO CENTRO P.Z.</t>
  </si>
  <si>
    <t>FONDA APROVECO</t>
  </si>
  <si>
    <t>MATINA, MATINA ENT.PRINCIPAL ZEN 100 OESTE 1</t>
  </si>
  <si>
    <t>OCCIDENTAL, CARTAGO 50 S PULPERIA EL DIAMANTE</t>
  </si>
  <si>
    <t>SUPER ORIENTAL DEL NORTE</t>
  </si>
  <si>
    <t>ALAJUELA, ALAJUELA 50 ESTE SUPER TROPICANA</t>
  </si>
  <si>
    <t>MINI SUPER PACIFICO</t>
  </si>
  <si>
    <t>CARTAGO CARTAGO SAN NICOLAS DETRAS DE LA IGLESIA</t>
  </si>
  <si>
    <t>SUPER EL DIAMANTE</t>
  </si>
  <si>
    <t>GUADALUPE, GOICOECHEA CONTIGUO A MUEBLERIA LA ROBERT</t>
  </si>
  <si>
    <t>MINISUPER Y LICORERA MIGUELITO #2</t>
  </si>
  <si>
    <t>SANTA EULALIA, ATENAS 400 S DE LA ESCUELA</t>
  </si>
  <si>
    <t>SUPERMERCADO EL AHORRO</t>
  </si>
  <si>
    <t>PUNTARENAS PUNTARENAS BARRANCA FRNTE ENTRADA PRINC. DEL INVU</t>
  </si>
  <si>
    <t>SÚPER ALBA</t>
  </si>
  <si>
    <t>LIBERIA, LIBERIA 150N DE EBAIS BEBEDERO CAÑAS</t>
  </si>
  <si>
    <t>MINI SUPER SINAI</t>
  </si>
  <si>
    <t>CRP435</t>
  </si>
  <si>
    <t>DANIEL FLORES, PEREZ ZELEDON B.SINAI FRENTE ABAST.XIOMARA</t>
  </si>
  <si>
    <t>ABASTECEDOR SANTA MARTA</t>
  </si>
  <si>
    <t>ALAJUELA ALAJUELA ALAJUELA 300 NORTE OFIBODEGAS CONDAL</t>
  </si>
  <si>
    <t>SODA LA TURRIALBEÑA</t>
  </si>
  <si>
    <t>LIMON, LIMON MOIN CONTIGUO ENTRADA PRINCIPAL</t>
  </si>
  <si>
    <t>MINI SUPER DEL BARRIO</t>
  </si>
  <si>
    <t>CRP930</t>
  </si>
  <si>
    <t>SANTA ANA, SANTA ANA 200 OESTE DEL BAR CHACOS</t>
  </si>
  <si>
    <t>FONDA  OROSI 1</t>
  </si>
  <si>
    <t>BATAN, MATINA BATAAN BARRIO LOS ALMENDROS</t>
  </si>
  <si>
    <t>SUPERMERCADO EL VECINO</t>
  </si>
  <si>
    <t>PALMAR, OSA ENTRADA PRINCIPAL PALMAR NORTE</t>
  </si>
  <si>
    <t>SUPER LIANG MAYOREO</t>
  </si>
  <si>
    <t>EL TEJAR, EL GUARCO 300 METROS SUR DEL PARQUE EL GUARCO</t>
  </si>
  <si>
    <t>MINISUPER MATAPALO</t>
  </si>
  <si>
    <t>GUANACASTE SANTA CRUZ CABO VELAS FRENTE A LA PLAZA DE MATAPALO</t>
  </si>
  <si>
    <t>SUPER MERCADO MORALES</t>
  </si>
  <si>
    <t>CRP632</t>
  </si>
  <si>
    <t>CHOMES, PUNTARENAS 50 N DE LA ESCUELA PUNTA MORALES</t>
  </si>
  <si>
    <t>SUPER LUCKY VEN</t>
  </si>
  <si>
    <t>IPIS, GOICOECHEA FT A IGLESIA DE LOS ANGELES</t>
  </si>
  <si>
    <t>SUPER LISBOA</t>
  </si>
  <si>
    <t>ALAJUELA, ALAJUELA PACTO DEL JOCOTE CONTIGUO REST PANDA</t>
  </si>
  <si>
    <t>MINI SUPER SAN MARCOS</t>
  </si>
  <si>
    <t>SAN MARCOS, TARRAZU FRENTE FARMACIA LOS SANTOS</t>
  </si>
  <si>
    <t>REST PURA VIDA #3</t>
  </si>
  <si>
    <t>CRP639</t>
  </si>
  <si>
    <t>PUNTARENAS GARABITO JACO CARRETERA PRINCIPAL FRENTE HOTEL TANGERI</t>
  </si>
  <si>
    <t>MINI SUPER EL MORADITO</t>
  </si>
  <si>
    <t>GUACIMO, GUACIMO BARRIO LOS GERANIOS</t>
  </si>
  <si>
    <t>MINI SUPER PURA VIDA</t>
  </si>
  <si>
    <t>PUNTARENAS PUNTARENAS BARRANCA DIAGONAL FOTOS SALAZAR</t>
  </si>
  <si>
    <t>SUPER KATHERINE</t>
  </si>
  <si>
    <t>SAN ISIDRO, VAZQUEZ DE CORONADO 200 OE DE LA CRUZ ROJA</t>
  </si>
  <si>
    <t>SODA EL YUGO</t>
  </si>
  <si>
    <t>ALAJUELA OROTINA OROTINA 500 ESTE BOMBA LA 27</t>
  </si>
  <si>
    <t>MINI SUPER HUA RUAN</t>
  </si>
  <si>
    <t>ZAPOTE, SAN JOSE 200 OE DE LA TERMINAL DE BUSES ZAPOTE</t>
  </si>
  <si>
    <t>SUPER EL PROGRESO</t>
  </si>
  <si>
    <t>LA RIBERA, BELEN 400 OESTE DE HOTEL MARRIOTT DE LA RIVERA</t>
  </si>
  <si>
    <t>SUPER DRAGON</t>
  </si>
  <si>
    <t>PUNTARENAS ESPARZA ESPIRITU SANTO MARAÑONAL DEL BANCO BCR 150 OESTE</t>
  </si>
  <si>
    <t>MINI SUPER SARDINAL YANG</t>
  </si>
  <si>
    <t>SARDINAL, CARRILLO 200S DEL PARQUE DE SARDINAL</t>
  </si>
  <si>
    <t>MINI SUPER POPULAR</t>
  </si>
  <si>
    <t>GUANACASTE NICOYA NICOYA FRENTE AL CRUCE DE CORRALILLO</t>
  </si>
  <si>
    <t>MULTICENTER GALAXY LTDA</t>
  </si>
  <si>
    <t>SAN ISIDRO, VAZQUEZ DE CORONADO 75 E CRUZ ROJA CORONADO</t>
  </si>
  <si>
    <t>SUPERMERCADO DIAMOND GONG S.A. 2</t>
  </si>
  <si>
    <t>VALLE LA ESTRELLA, LIMON VALLE ESTRELLA 25 DESP. FERRETERIA VIALE</t>
  </si>
  <si>
    <t>PARRIMARKET</t>
  </si>
  <si>
    <t>CRP422</t>
  </si>
  <si>
    <t>PARRITA, PARRITA FRENTE ESTACION BOMBEROS</t>
  </si>
  <si>
    <t>MINI SUPER LA FUENTE</t>
  </si>
  <si>
    <t>SAN JOSÉ SAN JOSE CARMEN CALLE 18 AVE 13-15</t>
  </si>
  <si>
    <t>RESTAURANTE LEITU</t>
  </si>
  <si>
    <t>CRP356</t>
  </si>
  <si>
    <t>CAÑAS, CAÑAS CAÑAS CENTRO</t>
  </si>
  <si>
    <t>SUPER NANY</t>
  </si>
  <si>
    <t>PUNTARENAS PUNTARENAS PUNTARENAS 200 OESTE DE LA REFORMA</t>
  </si>
  <si>
    <t>MINI SUPER Y LICORERA RUTA 34</t>
  </si>
  <si>
    <t>PUNTARENAS GARABITO TARCOLES FRENTE ENTRADA LAGUNILLAS</t>
  </si>
  <si>
    <t>MINISUPER  LA CORONA</t>
  </si>
  <si>
    <t>SAN ISIDRO, LEON CORTES CASTRO SAN ISIDRO CENTRO P.Z.</t>
  </si>
  <si>
    <t>ABASTECEDOR LA CENTRAL</t>
  </si>
  <si>
    <t>SANTA CRUZ, SANTA CRUZ 50 N. DEL SALON LAS BRISAS DEL ORIENTE</t>
  </si>
  <si>
    <t>POLLOS CORALES 3</t>
  </si>
  <si>
    <t>LIMON, LIMON FRENTE MINISUPER CORALES 3</t>
  </si>
  <si>
    <t>SUPER Y LICORRERA SC</t>
  </si>
  <si>
    <t>ALAJUELA, ALAJUELA 300 SUR POSTES ROMA</t>
  </si>
  <si>
    <t>SUPER NICO</t>
  </si>
  <si>
    <t>CARMEN, SAN JOSE 100 SUR 100 ESTE DEL LICEO SAN JOSE</t>
  </si>
  <si>
    <t>SUPER HATILLOS</t>
  </si>
  <si>
    <t>HATILLO, SAN JOSE COSTADO OESTE DE LA GUARDIA RURAL</t>
  </si>
  <si>
    <t>SUPERMERCADO EL KIOSKO</t>
  </si>
  <si>
    <t>ALAJUELA GRECIA GRECIA DE LA BOMBA ALVARADO 200 SUR</t>
  </si>
  <si>
    <t>SUPER LA AMISTAD</t>
  </si>
  <si>
    <t>POZOS, SANTA ANA FRENTE A LOS BRINCA BRINCA FURATI</t>
  </si>
  <si>
    <t>MINI SUPER LA PLYWOOD</t>
  </si>
  <si>
    <t>ALAJUELA, ALAJUELA 25 ESTE LICEO PACTO JOCOTE</t>
  </si>
  <si>
    <t>CINCO ESTRELAS</t>
  </si>
  <si>
    <t>ALAJUELA, ALAJUELA 400 ANTES URGELLES Y PENON</t>
  </si>
  <si>
    <t>SUPER EXCELENTE  3</t>
  </si>
  <si>
    <t>CARTAGO CARTAGO GUADALUPE O ARENILLA 25 E DE LA ESCUELA DE GUADALUPE</t>
  </si>
  <si>
    <t>SUPER RIO SEGUNDO</t>
  </si>
  <si>
    <t>RIO SEGUNDO, ALAJUELA DEL SEMAFORO PEATONAL 75 ESTE</t>
  </si>
  <si>
    <t>MINI SUPER LA PLAZA</t>
  </si>
  <si>
    <t>CALLE BLANCOS, GOICOECHEA 25 N PLAZA DE CALLE BLANCOS</t>
  </si>
  <si>
    <t>SODA GASOTICA</t>
  </si>
  <si>
    <t>CRP436</t>
  </si>
  <si>
    <t>SAN ISIDRO, LEON CORTES CASTRO B.SAN LUIS FRENTE COOPEAGRI</t>
  </si>
  <si>
    <t>ABASTECEDOR EL LIDER</t>
  </si>
  <si>
    <t>SAN JOSÉ PEREZ ZELEDON RIVAS RIVAS FRENTE ESCUELA RIVAS</t>
  </si>
  <si>
    <t>CHACA</t>
  </si>
  <si>
    <t>CRP921</t>
  </si>
  <si>
    <t>LA RIBERA, BELEN 100 SUR DE LA ESCUELA LA RIVERA</t>
  </si>
  <si>
    <t>GUACIMO, GUACIMO FRENTE IGLESIA EN GUACIMO</t>
  </si>
  <si>
    <t>MINISUPER SOL NACIENTE 3</t>
  </si>
  <si>
    <t>VALLE LA ESTRELLA, LIMON PENSHURT DIAGONAL GASOLINERA</t>
  </si>
  <si>
    <t>SODA FAMILY</t>
  </si>
  <si>
    <t>CRP680</t>
  </si>
  <si>
    <t>LIMON, LIMON LIMON FTE A PIZZA HUT</t>
  </si>
  <si>
    <t>DESAMPARADOS, DESAMPARADOS DESAMPARADOS CENTRO</t>
  </si>
  <si>
    <t>SUPER COMPRE MAS</t>
  </si>
  <si>
    <t>SAN RAFAEL ABAJO, DESAMPARADOS DESAMPARADOS SAN RAFAEL ABAJO</t>
  </si>
  <si>
    <t>POLLOS CHARLY</t>
  </si>
  <si>
    <t>CRP918</t>
  </si>
  <si>
    <t>ULLOA, HEREDIA FRENTE ESCUELA GUARARI</t>
  </si>
  <si>
    <t>SÚPER SARITA</t>
  </si>
  <si>
    <t>VALLE LA ESTRELLA, LIMON PENSHURT DIAGONAL ABAST FERRY</t>
  </si>
  <si>
    <t>MINI SUPER LA CRUZ</t>
  </si>
  <si>
    <t>CRP139</t>
  </si>
  <si>
    <t>CATEDRAL, SAN JOSE BARRIO LA CRUZ CALLE 11 AVE 26</t>
  </si>
  <si>
    <t>SODA JANTAR</t>
  </si>
  <si>
    <t>URUCA_, SANTA ANA FRENTE HOSPITAL DEL TRAUMA</t>
  </si>
  <si>
    <t>ALMACEN ISABELA</t>
  </si>
  <si>
    <t>SANTO DOMINGO, SANTA BARBARA 150 E PALI SANTO DOMINGO</t>
  </si>
  <si>
    <t>SUPER LOS GEMELOS</t>
  </si>
  <si>
    <t>SAN JOSÉ GOICOECHEA GUADALUPE 100 E 100 S COLEGIO DIVINO PASTOR</t>
  </si>
  <si>
    <t>MINI SUPER TOLIMA</t>
  </si>
  <si>
    <t>CRP920</t>
  </si>
  <si>
    <t>HEREDIA, HEREDIA 400 N Y 200 OESTE DEL PALACIO DE LOS DEP</t>
  </si>
  <si>
    <t>SODA MARIELOS #2</t>
  </si>
  <si>
    <t>ALAJUELA SAN CARLOS VENECIA 1.5 KM AL ESTE DEL PUENTE DE SANTA RITA</t>
  </si>
  <si>
    <t>ABAST SAN FRANCISCO</t>
  </si>
  <si>
    <t>SAN ISIDRO, VAZQUEZ DE CORONADO 1 K ESTE DE LA BOMBA</t>
  </si>
  <si>
    <t>SUPER LILO</t>
  </si>
  <si>
    <t>ALAJUELA, ALAJUELA CIRUELAS ALAJUELA 500 ESTE PLAZA</t>
  </si>
  <si>
    <t>POLLOS DEL SOL</t>
  </si>
  <si>
    <t>PUNTARENAS ESPARZA SAN JUAN GRANDE CONTIGUO AL REST CALDERA</t>
  </si>
  <si>
    <t>SUPER CEN</t>
  </si>
  <si>
    <t>SABANILLA, MONTES DE OCA FERNTE A COLEGIO DE CEDROS</t>
  </si>
  <si>
    <t>MINI SUPER SANTA FE</t>
  </si>
  <si>
    <t>CRP902</t>
  </si>
  <si>
    <t>PALMARES, PALMARES 300 ESTE DE LA IGLESIA PALMARES</t>
  </si>
  <si>
    <t>COMERCIAL SANTA ROSA</t>
  </si>
  <si>
    <t>SANTA ROSA, OREAMUNO 50 M SUR DE LA IGLESIA SANTA ROSA</t>
  </si>
  <si>
    <t>MINI SUPER MAR CARIBE NO.2</t>
  </si>
  <si>
    <t>LIMON, LIMON BO.COCOS DIAGONAL AL TALLER COCOS</t>
  </si>
  <si>
    <t>SUPER LA POPULAR</t>
  </si>
  <si>
    <t>CRP306</t>
  </si>
  <si>
    <t>SANTA CRUZ, SANTA CRUZ FRENTE AL AYA SANTA CRUZ</t>
  </si>
  <si>
    <t>CRP916</t>
  </si>
  <si>
    <t>HEREDIA HEREDIA MERCEDES 100 OESTE DE LA ESCUELA FIGUERES FERRER</t>
  </si>
  <si>
    <t>SUPER EL ROBLE</t>
  </si>
  <si>
    <t>CRP947</t>
  </si>
  <si>
    <t>URUCA_, SANTA ANA FRENTE LA PRIMERA PARADA LA CARPIO</t>
  </si>
  <si>
    <t>BETO'S MARKET</t>
  </si>
  <si>
    <t>SAN ISIDRO, LEON CORTES CASTRO 50 S ESC.12 DE MARZO SN ISIDRO</t>
  </si>
  <si>
    <t>ABASTECEDOR SAGRADA FAMILIA</t>
  </si>
  <si>
    <t>SAN RAFAEL, OREAMUNO 225 M N DE LA IGLESIA SAN RAFAEL</t>
  </si>
  <si>
    <t>SUPER SANTA CECILIA</t>
  </si>
  <si>
    <t>SAN MARCOS, TARRAZU 350 MTS S COOPESANTOS  SANTA CECILIA</t>
  </si>
  <si>
    <t>SUPER GIGANTE 2 HEREDIA</t>
  </si>
  <si>
    <t>SAN FRANCISCO, HEREDIA 400 OESTE DEL SAMUEL SAENS</t>
  </si>
  <si>
    <t>SUPERMERCADO ECONOMICO</t>
  </si>
  <si>
    <t>SAN JOSÉ TARRAZU SAN MARCOS COSTADO OESTE DE LOS BOMBEROS</t>
  </si>
  <si>
    <t>LA PIAZZA</t>
  </si>
  <si>
    <t>SAN ANTONIO, BELEN COSTADO NORTE DE LA PLAZA BELEN</t>
  </si>
  <si>
    <t>MINISUPER LA QUINTA ENTRADA</t>
  </si>
  <si>
    <t>ALAJUELA, ALAJUELA 5TA ENTRADA DE LOTES LLOBET 15 SUR DE</t>
  </si>
  <si>
    <t>SUPER SAN RAFAEL</t>
  </si>
  <si>
    <t>LIMÓN SIQUIRRES SIQUIRRES SIQUIRRES CRUCE DE SAN RAFAEL</t>
  </si>
  <si>
    <t>SUPER CAMILO  2</t>
  </si>
  <si>
    <t>GUACIMA, ALAJUELA GUACIMA CENTRO 100 ESTE SUPER LA</t>
  </si>
  <si>
    <t>SUPER EL SELECTO</t>
  </si>
  <si>
    <t>SARCHI NORTE, SARCHI 150 SO DE LA CLINICA DE SEGURA SARCHI</t>
  </si>
  <si>
    <t>SUPERMERCADO EMPINO PITAL</t>
  </si>
  <si>
    <t>PITAL, SAN CARLOS 25 NORTE DEL BANCO NACIONAL</t>
  </si>
  <si>
    <t>SODA PREDIO RADA</t>
  </si>
  <si>
    <t>LIMON, LIMON FRENTE ANTIGUO PREDIO CONSTENLA</t>
  </si>
  <si>
    <t>SUPER MONTAÑA</t>
  </si>
  <si>
    <t>COLON, MORA COSTADO SUR DEL PARQUE DE CUIDAD COLON</t>
  </si>
  <si>
    <t>SUPER SAN ROQUE</t>
  </si>
  <si>
    <t>SAN ROQUE, BARVA FRENTE A SODA KIOSKO SAN ROQUE HEREDIA</t>
  </si>
  <si>
    <t>SUPER GIRASOL  2</t>
  </si>
  <si>
    <t>HEREDIA, HEREDIA 300 SUR Y 200 OESTE  200 SUR DE LA</t>
  </si>
  <si>
    <t>MINI SUPER LA CUMBRE</t>
  </si>
  <si>
    <t>CARTAGO OREAMUNO CIPRESES 400M N DE LA ESCUELA DE CIPRESES</t>
  </si>
  <si>
    <t>Día 24</t>
  </si>
  <si>
    <t>REST EL TABARIS ESPARZA</t>
  </si>
  <si>
    <t>PUNTARENAS ESPARZA ESPIRITU SANTO ESPARZA CONTIGUO A LA BOMBA DEL PACIFICO</t>
  </si>
  <si>
    <t>MULTI COMPRA</t>
  </si>
  <si>
    <t>GUADALUPE, GOICOECHEA GUADALUPE FRENTE AL CORREO</t>
  </si>
  <si>
    <t>SODA TACO RICO</t>
  </si>
  <si>
    <t>LIMON, LIMON BARRIO LA COLINA</t>
  </si>
  <si>
    <t>SUPER LA ESQUINA</t>
  </si>
  <si>
    <t>PUNTARENAS PUNTARENAS GUACIMAL SARDINAL DIAGONAL LA PLAZA DE FUTBOL</t>
  </si>
  <si>
    <t>RESTAURANTE LA ROTONDA</t>
  </si>
  <si>
    <t>SAN JOSÉ GOICOECHEA GUADALUPE DIALGONAL AL WALMART</t>
  </si>
  <si>
    <t>MINI SUPER LA JUNTA</t>
  </si>
  <si>
    <t>HOSPITAL, SAN JOSE 75 N JPS PASEO COLON</t>
  </si>
  <si>
    <t>POLLO EL BUEN GUSTO</t>
  </si>
  <si>
    <t>SAN JOSÉ DESAMPARADOS SAN ANTONIO SAN ANATONIO DE ESCAZU 75 OESTE DE LA</t>
  </si>
  <si>
    <t>MINISUPER POPULAR</t>
  </si>
  <si>
    <t>SANTA CRUZ, SANTA CRUZ 200 SUR ESC.BARRIO LIMON  SANTA CRUZ</t>
  </si>
  <si>
    <t>MINI SUPER SOL</t>
  </si>
  <si>
    <t>SANTA ANA, SANTA ANA SAN JOSE, SANTA ANA</t>
  </si>
  <si>
    <t>VISTA DEL VALLE #1</t>
  </si>
  <si>
    <t>ASERRI, ASERRI DIAGONAL AL CEMENTERIO DE ASERRI</t>
  </si>
  <si>
    <t>SUPER LOS ANGELES</t>
  </si>
  <si>
    <t>BARVA, BARVA CONTIGUO A LA MUNICIPALIDAD DE BARVA</t>
  </si>
  <si>
    <t>MINI SUPER RINDE</t>
  </si>
  <si>
    <t>CARIARI, POCOCI 200MTS SUR DE LA BOMBA CARIARI</t>
  </si>
  <si>
    <t>PULPERIA LA GUARIA</t>
  </si>
  <si>
    <t>ULLOA, HEREDIA URB LA GUARIA 150 OESTE IGLESIA BARREAL</t>
  </si>
  <si>
    <t>CASA TICA</t>
  </si>
  <si>
    <t>CRP914</t>
  </si>
  <si>
    <t>HEREDIA, HEREDIA MERCADO MUNICIPAL DE HEREDIA</t>
  </si>
  <si>
    <t>MINI SUPER GISSELA</t>
  </si>
  <si>
    <t>ALAJUELA SAN CARLOS QUESADA LOS ANGELES DE LA FORTUNA 150M NORTE DEL</t>
  </si>
  <si>
    <t>MINI SUPER Y LICORERA COLIBRÍ</t>
  </si>
  <si>
    <t>MATA REDONDA, SAN JOSE FRENTE UCIMED SABANA</t>
  </si>
  <si>
    <t>SUPER FULL</t>
  </si>
  <si>
    <t>SAN FELIPE, ALAJUELITA SAN JOSÉ ALAJUELITA SAN FELIPE  200 SUR</t>
  </si>
  <si>
    <t>ABASTECEDOR EL ALMENDRO #2</t>
  </si>
  <si>
    <t>CAÑAS, CAÑAS 100 OESTE DE LA ESCUELA DE BEBEDERO</t>
  </si>
  <si>
    <t>FOODLAND MARKET</t>
  </si>
  <si>
    <t>ATENAS, ATENAS 15 SUR DE LOS BOMBEROS ATENAS</t>
  </si>
  <si>
    <t>SUPER SOL Y LUNA</t>
  </si>
  <si>
    <t>HEREDIA FLORES SAN JOAQUIN 100 ESTE 75 SUR DEL PALI DE MERCEDES SUR</t>
  </si>
  <si>
    <t>SODA NUVIA</t>
  </si>
  <si>
    <t>PALMIRA, CARRILLO FRENTE AL PARQUE DE COMUNIDAD</t>
  </si>
  <si>
    <t>ABASTECEDOR 4 ESQUINAS</t>
  </si>
  <si>
    <t>SAN JOSÉ DESAMPARADOS DESAMPARADOS 250 SUR DE ESCUELA DE GRAVILLIAS</t>
  </si>
  <si>
    <t>PULPERIA RODRIGUEZ</t>
  </si>
  <si>
    <t>CARRANDI, MATINA 250 M NORESTE DEL PARQUE ESTRADA</t>
  </si>
  <si>
    <t>BRASIL, SANTA ANA 125S DE CONDOMINIO LOMAS DE STA ANA</t>
  </si>
  <si>
    <t>SODA Y CEVICHERA SABOR MARINO</t>
  </si>
  <si>
    <t>PITAL, SAN CARLOS CENTRO PITAL CONTIGO ALVARAZO</t>
  </si>
  <si>
    <t>MINI SUPER PANDA</t>
  </si>
  <si>
    <t>HOSPITAL, SAN JOSE PLAZA VIQUEZ DEL MOP 300 SUR</t>
  </si>
  <si>
    <t>SMART MARKET</t>
  </si>
  <si>
    <t>PUNTARENAS GARABITO JACO 150 E ESCUELA LAS NUBES HERRADURA</t>
  </si>
  <si>
    <t>EL MERCADITO</t>
  </si>
  <si>
    <t>TURRUCARES, ALAJUELA TURRUCARES CENTRO FRENTE A URBANIZACIÓN</t>
  </si>
  <si>
    <t>MINI SUPER LOS ANDES</t>
  </si>
  <si>
    <t>MERCED, SAN JOSE FRENTE AL EBAIS BARRIO MEXICO</t>
  </si>
  <si>
    <t>MINISUPER K Y F 2</t>
  </si>
  <si>
    <t>PALMIRA, CARRILLO CONTIGUO AL SALÓN COMUNAL DE PALMIRA</t>
  </si>
  <si>
    <t>MINI SUPER FELICIDAD</t>
  </si>
  <si>
    <t>IPIS, GOICOECHEA IPIS, URB EL ROCÍO CONT A REST EL DELFIN</t>
  </si>
  <si>
    <t>MINI SUPER Y LICORERA SAN ISIDRO</t>
  </si>
  <si>
    <t>CRP829</t>
  </si>
  <si>
    <t>TIERRA BLANCA, CARTAGO 100 NORTE DE LA IGLESIA DE TIERRA BLANCA</t>
  </si>
  <si>
    <t>MINISUPER HATILLO #2</t>
  </si>
  <si>
    <t>HATILLO, SAN JOSE HATILLO #2</t>
  </si>
  <si>
    <t>REST MIL SABORES GOICOECHEA</t>
  </si>
  <si>
    <t>GUADALUPE, GOICOECHEA FRENTE AL PLANTEL DE BUSES DEL ALTO GUAD</t>
  </si>
  <si>
    <t>GUANACASTE SANTA CRUZ DIRIA SANTA BARBARA</t>
  </si>
  <si>
    <t>MINI SUPER LA ESQUINA</t>
  </si>
  <si>
    <t>ORIENTAL, CARTAGO CARTAGO RESIDENCIAL CARTAGO</t>
  </si>
  <si>
    <t>MINI SUPER BODEGA</t>
  </si>
  <si>
    <t>CRP906</t>
  </si>
  <si>
    <t>TACARES, GRECIA 100 N DE BODEGAS</t>
  </si>
  <si>
    <t>ABASTECEDOR EL VIEJO</t>
  </si>
  <si>
    <t>ALAJUELITA, ALAJUELITA URB. LA CHOROTEGA, 100 SUR PANAD. NUEVO</t>
  </si>
  <si>
    <t>MINI SUPER LALA</t>
  </si>
  <si>
    <t>LIMON, LIMON COLINA LIMÓN.</t>
  </si>
  <si>
    <t>MINI SUPER FULL SMART</t>
  </si>
  <si>
    <t>ALAJUELITA, ALAJUELITA 50 OESTE DE A Y A</t>
  </si>
  <si>
    <t>MINI SUPER Y LICORERA ILA</t>
  </si>
  <si>
    <t>ALAJUELA OROTINA OROTINA DIAGONAL AL SUPER ECONÓMICO</t>
  </si>
  <si>
    <t>SUPER MERCADO MUNDO</t>
  </si>
  <si>
    <t>DAMAS, DESAMPARADOS 50ESTE DEL PARQUE DE DOS CERCA</t>
  </si>
  <si>
    <t>MINI SUPER LA SELVA</t>
  </si>
  <si>
    <t>GUACIMO, GUACIMO GUACIMO</t>
  </si>
  <si>
    <t>MINI SUPER MADRID</t>
  </si>
  <si>
    <t>GUANACASTE LIBERIA LIBERIA 300 SUR DE LA ANTIGUA GOBERNACIÓN</t>
  </si>
  <si>
    <t>SUPER COT</t>
  </si>
  <si>
    <t>CARTAGO OREAMUNO COT 300 OESTE DEL LICEO DE COT OREAMUNO</t>
  </si>
  <si>
    <t>SUPER LICORERA DORADO</t>
  </si>
  <si>
    <t>MATA REDONDA, SAN JOSE FRENTE A CEMACO</t>
  </si>
  <si>
    <t>LIKO MARKET</t>
  </si>
  <si>
    <t>HOSPITAL, SAN JOSE CONTIGUO A SUDWAY PASEO COLON</t>
  </si>
  <si>
    <t>OCEAN MARINA</t>
  </si>
  <si>
    <t>PUNTARENAS PUNTARENAS PUNTARENAS PUNTARENAS</t>
  </si>
  <si>
    <t>SUPER IGUANA #2</t>
  </si>
  <si>
    <t>QUEPOS, QUEPOS QUEPOS LOS ÁNGELES DETRAS DE JORDIX</t>
  </si>
  <si>
    <t>MINISUPER BONITA</t>
  </si>
  <si>
    <t>CURRIDABAT, CURRIDABAT 50 SUR D PLAZA CRISTAL</t>
  </si>
  <si>
    <t>SUPER VILLA TAOBAO #8</t>
  </si>
  <si>
    <t>HEREDIA, HEREDIA MIRAFLORES</t>
  </si>
  <si>
    <t>MINI SUPER Y LIC LA DUEÑA</t>
  </si>
  <si>
    <t>LIBERIA, LIBERIA DEL BAR RESTAURANTE VILLA SOL 150M E</t>
  </si>
  <si>
    <t>MINI SUPER J Y C</t>
  </si>
  <si>
    <t>CATEDRAL, SAN JOSE SAN JOSE ENTRE AV18 CALLE 5</t>
  </si>
  <si>
    <t>SÚPER LUX</t>
  </si>
  <si>
    <t>CONCEPCION, ALAJUELITA 200 NORTE CEDES DON BOSCO</t>
  </si>
  <si>
    <t>SÚPER BUENO SUERTE</t>
  </si>
  <si>
    <t>NARANJO, NARANJO SAN JOSECITO NARANJO</t>
  </si>
  <si>
    <t>POLLOS LOS AMIGOS</t>
  </si>
  <si>
    <t>SAN JOAQUIN, FLORES HEREDIA</t>
  </si>
  <si>
    <t>SÚPER CIENEGUITA</t>
  </si>
  <si>
    <t>LIMON, LIMON CIENEGUITA . SOBRE CALLE 36 PRINCIPAL</t>
  </si>
  <si>
    <t>SUPERMERCADO APENPUN</t>
  </si>
  <si>
    <t>PUNTARENAS, PUNTARENAS 150 METROS ESTE DE PALI CHACARITA</t>
  </si>
  <si>
    <t>LULU MARKET</t>
  </si>
  <si>
    <t>GUADALUPE, GOICOECHEA 150  OESTE DEL RESTAURANTE EL PALACIO</t>
  </si>
  <si>
    <t>SUPERMERCADO NUEVA ESTRELLA</t>
  </si>
  <si>
    <t>SAN MARCOS, TARRAZU FRENTE AL BCR SAN MARCOS DE TARRAZU</t>
  </si>
  <si>
    <t>CATEDRAL, SAN JOSE DIAGONAL IGLESIA DE SAN CAYETANO</t>
  </si>
  <si>
    <t>SUPER DESCUENTOS ROBLE</t>
  </si>
  <si>
    <t>ALAJUELA ALAJUELA ALAJUELA EL ROBLE ALAJUELA COSTADO DE LA PLAZA</t>
  </si>
  <si>
    <t>MINISUPER Y LIC.TRICATRACHOS</t>
  </si>
  <si>
    <t>PUNTARENAS PUNTARENAS CHOMES 35 METROS DEL AYA DE JUDAS DE CHOMES</t>
  </si>
  <si>
    <t>MINI SÚPER LICORERA LAS OLAS</t>
  </si>
  <si>
    <t>PUNTARENAS GARABITO TARCOLES DE ENTRADA DE QUEBRADA 200 LOCAL COLOR T</t>
  </si>
  <si>
    <t>SUPERMERCADO LOS MANGOS 2</t>
  </si>
  <si>
    <t>SARDINAL, CARRILLO PLAYAS DEL COCO, CAMINO PLAYA OCOTAL.</t>
  </si>
  <si>
    <t>MINI SÚPER DELUX FERCHO</t>
  </si>
  <si>
    <t>ALAJUELITA, ALAJUELITA ALAJUELITA CENTRO</t>
  </si>
  <si>
    <t>SÚPER LA ESTRELLA ORIENTAL KY</t>
  </si>
  <si>
    <t>GUAPILES, POCOCI CARRETERA A LA COLONIA</t>
  </si>
  <si>
    <t>MINISUPER CALLE LORIA</t>
  </si>
  <si>
    <t>SAN JOSE, ATENAS CALLE LORIA CALLE UNIÓN</t>
  </si>
  <si>
    <t>SUPER FÉNIX DORADO</t>
  </si>
  <si>
    <t>PUNTARENAS PUNTARENAS PITAHAYA 150MTS NORTE DE LA PLAZA ARANJUEZ</t>
  </si>
  <si>
    <t>SUPER MAXIMAYA#2</t>
  </si>
  <si>
    <t>ALAJUELA ZARCERO ZARCERO ZARCERO</t>
  </si>
  <si>
    <t>MINISUPER LOS LIRIOS</t>
  </si>
  <si>
    <t>PUNTARENAS GOLFITO GOLFITO LA MONA 15 METROS OESTE LA IGLESIA</t>
  </si>
  <si>
    <t>MINI SÚPER Y LICORERA EL RETÉN #2</t>
  </si>
  <si>
    <t>PUNTARENAS PUNTARENAS PUNTARENAS PASEO DE LOS TURISTAS</t>
  </si>
  <si>
    <t>MERCA MAS</t>
  </si>
  <si>
    <t>SAN RAMON, SAN RAMON FRENTE A CICLO YUCA EN SAN RAMÓN</t>
  </si>
  <si>
    <t>MINI SUPER LA AMISTAD</t>
  </si>
  <si>
    <t>CINCO ESQUINAS, TIBAS 5 ESQUINAS DE TIBAS 125 ESTE DEL PUENTE</t>
  </si>
  <si>
    <t>MINI SUPER MATAPALO #2</t>
  </si>
  <si>
    <t>COLORADO, ABANGARES ENTRADA SODA EL COYOL</t>
  </si>
  <si>
    <t>MINI SUPER Y LICORERA EL COCO</t>
  </si>
  <si>
    <t>ALAJUELA, ALAJUELA 250 OESTE DEL CRUCE DEL COCO ALAJUELA</t>
  </si>
  <si>
    <t>HELLEN LAM CHEN</t>
  </si>
  <si>
    <t>PUNTARENAS PUNTARENAS PUNTARENAS PUNTARENAS 100 S Y 75 E DEL BCR</t>
  </si>
  <si>
    <t>SEAHOUSE MINISUPER</t>
  </si>
  <si>
    <t>PUNTARENAS PUNTARENAS PUNTARENAS PUNTARENAS MUELLE DE FERRY</t>
  </si>
  <si>
    <t>SODA LUNA BRASILITO</t>
  </si>
  <si>
    <t>SANTA CRUZ, SANTA CRUZ PLAYA BRASILITO</t>
  </si>
  <si>
    <t>TIERRA D GOSEN</t>
  </si>
  <si>
    <t>VALLE LA ESTRELLA, LIMON VALLE ESTRELLA LA GUARIA 200 NORTE D C T</t>
  </si>
  <si>
    <t>MINI SUPER LA ESTRELLA</t>
  </si>
  <si>
    <t>NICOYA, NICOYA BARRIO LA GRANJA 300METROS SUR DE LA</t>
  </si>
  <si>
    <t>SUPER LION</t>
  </si>
  <si>
    <t>SAN RAFAEL, SAN RAMON SAN RAFAEL ALAJUELA EL FUTURO ENTRADA 1</t>
  </si>
  <si>
    <t>LA REFORMA</t>
  </si>
  <si>
    <t>CRP135</t>
  </si>
  <si>
    <t>CATEDRAL, SAN JOSE 100 SUR DOS PINOS</t>
  </si>
  <si>
    <t>LA FAMILIA</t>
  </si>
  <si>
    <t>ZAPOTE, SAN JOSE 100 O 15 N COL CASTRO MADRIZ</t>
  </si>
  <si>
    <t>SUPER EL BUEN PRECIO</t>
  </si>
  <si>
    <t>SAN RAFAEL ABAJO, DESAMPARADOS 300 N ENTRADA VIZCAYA CASA 54</t>
  </si>
  <si>
    <t>SUPER FERRARI</t>
  </si>
  <si>
    <t>PATALILLO, VAZQUEZ DE CORONADO FRENTE A LA CASONA DEL PUEBLO</t>
  </si>
  <si>
    <t>SUPER CRECEN</t>
  </si>
  <si>
    <t>SAN JOSÉ SAN JOSE CATEDRAL 200 S FERRETERIA PIPIOLO</t>
  </si>
  <si>
    <t>SUPER EL SUR</t>
  </si>
  <si>
    <t>ALAJUELA, ALAJUELA INVU LAS CAÑAS 25 NE DE BAR LOS APACHES</t>
  </si>
  <si>
    <t>SUPER LA MINA N°2</t>
  </si>
  <si>
    <t>SANTA ANA, SANTA ANA 500 O SUPER RIO ORO C-PRINCIP</t>
  </si>
  <si>
    <t>COMERCIAL LA GUARIA</t>
  </si>
  <si>
    <t>CRP905</t>
  </si>
  <si>
    <t>SAN JOSE, ALAJUELA 50 NE IGLESIA STA GERTRUDIZ</t>
  </si>
  <si>
    <t>SUPER SANTIAGO</t>
  </si>
  <si>
    <t>RIO SEGUNDO, ALAJUELA 150 O GAR DE RIO SEGUNDO</t>
  </si>
  <si>
    <t>SUPER LA FUERZA</t>
  </si>
  <si>
    <t>SAN JOSE, ATENAS 400 O MONUM.P.JOCOTE</t>
  </si>
  <si>
    <t>LICORERA LA NUEVA PISTA</t>
  </si>
  <si>
    <t>ALAJUELA OROTINA OROTINA 25 S  BOMBA LOS REYES</t>
  </si>
  <si>
    <t>MINI SUPER MAGALY</t>
  </si>
  <si>
    <t>GUANACASTE CAÑAS CAÑAS B SAN MARTIN</t>
  </si>
  <si>
    <t>DIAMANTE</t>
  </si>
  <si>
    <t>HOSPITAL, SAN JOSE 50 N CASA EPISCOPAL BO. MEXICO</t>
  </si>
  <si>
    <t>SUPER SUWIN</t>
  </si>
  <si>
    <t>CARTAGO EL GUARCO EL TEJAR 500 N MINI SUPER LAS CATALINAS</t>
  </si>
  <si>
    <t>SUPER CHACONY</t>
  </si>
  <si>
    <t>CRP946</t>
  </si>
  <si>
    <t>DESAMPARADOS, ALAJUELA 500 E IGLE DESAMPARADOS</t>
  </si>
  <si>
    <t>SUPER TONY</t>
  </si>
  <si>
    <t>CARMEN, SAN JOSE 400 S ESCUELA QUEMADA</t>
  </si>
  <si>
    <t>SUPER AGUILA DE ORO #3</t>
  </si>
  <si>
    <t>ALAJUELA, ALAJUELA 100 O IGLESIA LA CANADA</t>
  </si>
  <si>
    <t>ABASTECEDOR ZURQUI</t>
  </si>
  <si>
    <t>HEREDIA, HEREDIA 100 O URB LOMAS ZURQUI</t>
  </si>
  <si>
    <t>SUPER LADIE RIVER</t>
  </si>
  <si>
    <t>PATARRA, DESAMPARADOS FTE BAR CHURRIS</t>
  </si>
  <si>
    <t>ABASTECEDOR BLESSING</t>
  </si>
  <si>
    <t>RITA, POCOCI BARRIO CASCADA</t>
  </si>
  <si>
    <t>LICORERA LA MARINA</t>
  </si>
  <si>
    <t>GUAPILES, POCOCI CONTIGUO A LA PONDEROZA</t>
  </si>
  <si>
    <t>SUPER TEJAR</t>
  </si>
  <si>
    <t>ALAJUELA, ALAJUELA 150 S ESC S ANTONIO TEJAR</t>
  </si>
  <si>
    <t>SÚPER OFERMAS</t>
  </si>
  <si>
    <t>SAN RAFAEL ARRIBA, DESAMPARADOS FRENTE A ESCUELA QUEMADA</t>
  </si>
  <si>
    <t>SUPER BARRIO SAN JOSE</t>
  </si>
  <si>
    <t>ALAJUELA, ALAJUELA 700N DE IGLESIA CATOLICA</t>
  </si>
  <si>
    <t>SUPER MERCADO QUIRCOT</t>
  </si>
  <si>
    <t>CARTAGO CARTAGO ORIENTAL 200 N DE LA IGLESIA QUIRCOT</t>
  </si>
  <si>
    <t>SUPER BUENA SUERTE</t>
  </si>
  <si>
    <t>OCCIDENTAL, CARTAGO 100 M ESTE DE GOLLO TEJAR DEL GUARCO</t>
  </si>
  <si>
    <t>SUPER LA PITAHAYA</t>
  </si>
  <si>
    <t>CARTAGO CARTAGO AGUACALIENTE O SAN FRANCISCO DEL CUCE AGUA CALIENTE 200 N</t>
  </si>
  <si>
    <t>SUPER TOÑO</t>
  </si>
  <si>
    <t>LIMON, LIMON LIMON CENTRO</t>
  </si>
  <si>
    <t>SUPER CARIBEAN</t>
  </si>
  <si>
    <t>GUAPILES, POCOCI 800N CEMENTERIO GUAPILES</t>
  </si>
  <si>
    <t>PARRITA, PARRITA LA PALMA DE PARRITA 200 S PLAZ</t>
  </si>
  <si>
    <t>SUPER SAN MIGUEL</t>
  </si>
  <si>
    <t>HEREDIA, HEREDIA SN MIGUEL BAR MIGUELEÑO 250 E</t>
  </si>
  <si>
    <t>SUPER CIPRESES</t>
  </si>
  <si>
    <t>CARTAGO OREAMUNO CIPRESES FT POLLOS EL CLON</t>
  </si>
  <si>
    <t>GRUPO ECONOMICO</t>
  </si>
  <si>
    <t>GUANACASTE LIBERIA LIBERIA 250N DE ESCUELA LA VICTORIA</t>
  </si>
  <si>
    <t>MINI SUPER DON RENE</t>
  </si>
  <si>
    <t>GUAPILES, POCOCI 700E CANCHA LA COLONIA</t>
  </si>
  <si>
    <t>SUPER SAN MARCOS</t>
  </si>
  <si>
    <t>SAN JOSÉ TARRAZU SAN MARCOS 200 S BNCR</t>
  </si>
  <si>
    <t>MINI SUPER Y LICORES PAZ</t>
  </si>
  <si>
    <t>SAN JOSÉ SAN JOSE CARMEN 300S MINI SUPER COUNTRY</t>
  </si>
  <si>
    <t>MINI SUPER METROPOLI #1</t>
  </si>
  <si>
    <t>DESAMPARADOS, DESAMPARADOS 100 E DEL BAR LA MURALLA</t>
  </si>
  <si>
    <t>MINI SUPER LOMAS DEL SOL</t>
  </si>
  <si>
    <t>CURRIDABAT, CURRIDABAT CENTRO COMERCIAL LOMAS DEL SOL</t>
  </si>
  <si>
    <t>SUPER FRANCISCO</t>
  </si>
  <si>
    <t>CRP153</t>
  </si>
  <si>
    <t>SAN DIEGO, LA UNION 500 S IGLESIA CATOLICA</t>
  </si>
  <si>
    <t>SUPER LA GUARIA</t>
  </si>
  <si>
    <t>SAN RAFAEL ARRIBA, DESAMPARADOS 300 O ENTRADA BARRIO LA GUARIA</t>
  </si>
  <si>
    <t>MINI SUPER SANTA MARTHA N.2</t>
  </si>
  <si>
    <t>SAN JUAN, TIBAS 400 N DE LA BOMBA</t>
  </si>
  <si>
    <t>DOS MIL VEINTITRES FORTUNA</t>
  </si>
  <si>
    <t>TRES RIOS, LA UNION 25MTS S DE FARMACIA LA BOMBA TRES RIOS</t>
  </si>
  <si>
    <t>SUPER LIANG LIANG</t>
  </si>
  <si>
    <t>ALAJUELA, ALAJUELA 100 ESTE DEL ASCILO ANCIANOS ALAJUELA</t>
  </si>
  <si>
    <t>LICORERA Y MINI SUPER LA CANALLA</t>
  </si>
  <si>
    <t>BAHIA BALLENA, OSA UVITA 150 MTS ESTE DEL B.C.R.</t>
  </si>
  <si>
    <t>ABASTECEDOR LA VIOLETERA</t>
  </si>
  <si>
    <t>CARTAGO CARTAGO GUADALUPE O ARENILLA 200 O BAR LOS VIKINGOS</t>
  </si>
  <si>
    <t>SUPER EL ONCE S.A.</t>
  </si>
  <si>
    <t>CINCO ESQUINAS, TIBAS 80 N BAR LA CONFIANZA</t>
  </si>
  <si>
    <t>SUPER EL REY</t>
  </si>
  <si>
    <t>SAN JUAN DE DIOS, DESAMPARADOS CONTIGUO AL SALON COMUNAL SAN JUAN DIOS</t>
  </si>
  <si>
    <t>SUPER LOS MANGOS</t>
  </si>
  <si>
    <t>ALAJUELA SAN RAMON SAN RAFAEL 300 O DEL ACUEDUCTO BARRIO NAZARETH</t>
  </si>
  <si>
    <t>SUPER SAN LA LUCHA</t>
  </si>
  <si>
    <t>GUAPILES, POCOCI B LA COLONIA, FRENTE A PLAZA DE DEPORTE</t>
  </si>
  <si>
    <t>SUPERMERCADO DRAGON PITAL</t>
  </si>
  <si>
    <t>PITAL, SAN CARLOS 100M NORTE BCR</t>
  </si>
  <si>
    <t>SUPER DESCUENTO HACIENDA VIEJA</t>
  </si>
  <si>
    <t>ALAJUELA OROTINA HACIENDA VIEJA OROTINA</t>
  </si>
  <si>
    <t>MINI SUPER HATILLO 6</t>
  </si>
  <si>
    <t>HATILLO, SAN JOSE SÁN JOSÉ HATILLO 6</t>
  </si>
  <si>
    <t>SÚPER Y LICORERA LOS PINOS</t>
  </si>
  <si>
    <t>CARTAGO CARTAGO OCCIDENTAL COSTADO OESTE VITA FITNES</t>
  </si>
  <si>
    <t>SÚPER Y LICORERA IMPERIO</t>
  </si>
  <si>
    <t>GUAPILES, POCOCI 200MTS SUR CTP POCOCÍ</t>
  </si>
  <si>
    <t>SUPER BOULEVAR</t>
  </si>
  <si>
    <t>PAVAS, SAN JOSE 700 N DEL HOTEL ISLA VERDE</t>
  </si>
  <si>
    <t>NO</t>
  </si>
  <si>
    <t>SUPER YIRETH</t>
  </si>
  <si>
    <t>ALAJUELA ALAJUELA DESAMPARADOS DESAMPARADOS ALAJUELA</t>
  </si>
  <si>
    <t>MINI SUPER DOS PINOS</t>
  </si>
  <si>
    <t>SANTO DOMINGO, SANTA BARBARA 600 N PALACIO MUNICIPAL</t>
  </si>
  <si>
    <t>MINI SUPER SNTA PRISCA</t>
  </si>
  <si>
    <t>HOSPITAL, SAN JOSE 200 E SODA TAPIA</t>
  </si>
  <si>
    <t>ABASTECEDOR JIMENEZ</t>
  </si>
  <si>
    <t>CRP433</t>
  </si>
  <si>
    <t>DANIEL FLORES, PEREZ ZELEDON 200 METROS SUR DEL TALLER RPM</t>
  </si>
  <si>
    <t>MINI SUPER AMIGO</t>
  </si>
  <si>
    <t>LAS HORQUETAS, SARAPIQUI FRENTE ALA ESCUELA FINCA 11</t>
  </si>
  <si>
    <t>MINI SUPER SARITA</t>
  </si>
  <si>
    <t>SIQUIRRES, SIQUIRRES SAN MARTIN, 50M NORTE DE CABLE CARIBE</t>
  </si>
  <si>
    <t>AUTO SERVICIO LA FUENTE</t>
  </si>
  <si>
    <t>ABASTECEDOR EL ARBOLITO</t>
  </si>
  <si>
    <t>SAN JOSE, ALAJUELA 100 S PLAZA STA GERTRUDIS SUR</t>
  </si>
  <si>
    <t>ABASTECEDOR EL COMBATE</t>
  </si>
  <si>
    <t>NARANJO, NARANJO 50 O DE LA CRUZ ROJA NARANJO</t>
  </si>
  <si>
    <t>SUPER LA HIEDRA</t>
  </si>
  <si>
    <t>ALAJUELA, ALAJUELA 150 E DISTRIB LA AGONIA</t>
  </si>
  <si>
    <t>DISTRIBUIDORA EL CACIQUE</t>
  </si>
  <si>
    <t>PUNTARENAS PUNTARENAS PUNTARENAS 50 S ESQ.SE L JOSE MARTI P</t>
  </si>
  <si>
    <t>CARTAGOS 3 NICOYA</t>
  </si>
  <si>
    <t>NICOYA, NICOYA COSTADO N DE LA IGLESIA NUEVA</t>
  </si>
  <si>
    <t>SUPER BARVA</t>
  </si>
  <si>
    <t>BARVA, BARVA COSTADO S PARQUE</t>
  </si>
  <si>
    <t>SUPER SAN ANTONIO</t>
  </si>
  <si>
    <t>CARTAGO CARTAGO ORIENTAL 100 OE ESC. SAN ANTONIO CRISTOBAL NORTE</t>
  </si>
  <si>
    <t>ABASTECEDOR DARIELA</t>
  </si>
  <si>
    <t>NICOYA, NICOYA CONT BAR EL RETONO</t>
  </si>
  <si>
    <t>SUPER MESEN</t>
  </si>
  <si>
    <t>SAN DIEGO, LA UNION 50 N PUENTE TIRIBI</t>
  </si>
  <si>
    <t>ALMAC AGUILA DE ORO</t>
  </si>
  <si>
    <t>GUACIMO, GUACIMO COSTADO ESC GERANIO</t>
  </si>
  <si>
    <t>MINI SUPER EL ESFUERZO</t>
  </si>
  <si>
    <t>QUEPOS, QUEPOS CONTIGUO POOLES EL CRUCE</t>
  </si>
  <si>
    <t>PULP HNOS SALAZAR</t>
  </si>
  <si>
    <t>PUNTARENAS PUNTARENAS CHOMES 25 O DE IGLESIA CATOLICA</t>
  </si>
  <si>
    <t>SUPERMERCADO SAN ANTONIO</t>
  </si>
  <si>
    <t>ALAJUELA, ALAJUELA 200O D LA PLAZA SAN ANTONIO</t>
  </si>
  <si>
    <t>SUPER LA VICTORIA</t>
  </si>
  <si>
    <t>ASERRI, ASERRI 100 E DE LA ESCUELA SOTERO G</t>
  </si>
  <si>
    <t>SUPER LOS RODRIGUEZ</t>
  </si>
  <si>
    <t>CURRIDABAT, CURRIDABAT TIRRASES CURRIDABAT</t>
  </si>
  <si>
    <t>MINI SUPER LIZA</t>
  </si>
  <si>
    <t>SAN JOSÉ MONTES DE OCA SAN PEDRO 150 O 200N DEL ARCHIVO NACION</t>
  </si>
  <si>
    <t>MINI SUPER LA ESQUINA PRINCIPA</t>
  </si>
  <si>
    <t>SAN MIGUEL, DESAMPARADOS ENTR PRINC URB OROWE SECT 4</t>
  </si>
  <si>
    <t>CARTAGO EL GUARCO SAN ISIDRO HIGUITO SAN ISIDRO EL GUARCO</t>
  </si>
  <si>
    <t>PULPERIA XINIA</t>
  </si>
  <si>
    <t>LIMON, LIMON STA EDUVIGES ATRAS TERRAMAR</t>
  </si>
  <si>
    <t>MINI SUPER MAYI</t>
  </si>
  <si>
    <t>PITAL, SAN CARLOS 400 SUR SALON COMUNAL PITAL</t>
  </si>
  <si>
    <t>MINI SUPER EL PUEBLO</t>
  </si>
  <si>
    <t>ALAJUELA SAN CARLOS LA TIGRA 200 OESTE GUARDIA RURAL</t>
  </si>
  <si>
    <t>SERVIMAX</t>
  </si>
  <si>
    <t>MIRAMAR, MONTES DE ORO DIAGONAL ACADEMIA OK MIRAMAR</t>
  </si>
  <si>
    <t>MINI SUPER ANGEL</t>
  </si>
  <si>
    <t>ALAJUELA, ALAJUELA 50 O ESC. VILLA BONITA</t>
  </si>
  <si>
    <t>SUPER AZUL</t>
  </si>
  <si>
    <t>RIO AZUL, LA UNION ENTRADA URB LOMAS SN ANTONIO</t>
  </si>
  <si>
    <t>MINI SUPER KABUL</t>
  </si>
  <si>
    <t>SAN VICENTE, MORAVIA LA ISLA 150 O   SALON COMUNAL</t>
  </si>
  <si>
    <t>MINI SUPER 26 DE OCTUBRE</t>
  </si>
  <si>
    <t>NICOYA, NICOYA 300 E. DEL CEMENTERIO NICOYA</t>
  </si>
  <si>
    <t>MINI SUPER EL ECONOMICO</t>
  </si>
  <si>
    <t>ATENAS, ATENAS ENTRADA URBANIZACION BRASIL</t>
  </si>
  <si>
    <t>AUTOSERVICIO LA CENIZA</t>
  </si>
  <si>
    <t>CRP432</t>
  </si>
  <si>
    <t>DANIEL FLORES, PEREZ ZELEDON 200M NORTE DE ESC. LA CENIZA</t>
  </si>
  <si>
    <t>SUPERMERCADO 88</t>
  </si>
  <si>
    <t>MATINA, MATINA VENECIA ZENT FTE ENTRADA SABOR</t>
  </si>
  <si>
    <t>MINI SUPER COMERCIAL LA PISTA</t>
  </si>
  <si>
    <t>LIMÓN SIQUIRRES SIQUIRRES COSTADO NORTE SERVICENTRO UNO</t>
  </si>
  <si>
    <t>PULPERIA LA CASITA</t>
  </si>
  <si>
    <t>POCORA, GUACIMO 200N ENT DESTIERRO B EL CARMEN</t>
  </si>
  <si>
    <t>MINI SUPER POLI</t>
  </si>
  <si>
    <t>ALAJUELA, ALAJUELA 25 SE DEL POLIDEPORTIVO</t>
  </si>
  <si>
    <t>SUPERMERCADO DE ACOSTA</t>
  </si>
  <si>
    <t>SAN IGNACIO, ACOSTA 25 OE PARQUE DE ACOSTA</t>
  </si>
  <si>
    <t>MINI SUPER LEON</t>
  </si>
  <si>
    <t>ALAJUELA ALAJUELA ALAJUELA ENTRADA LA PLAZA LOTES SANCHEZ</t>
  </si>
  <si>
    <t>SUPER EL AMIGO</t>
  </si>
  <si>
    <t>LIMÓN GUACIMO RIO JIMENEZ CONTIGUO A LA CARNICERIA RIO JIMENEZ</t>
  </si>
  <si>
    <t>LA VEREDA</t>
  </si>
  <si>
    <t>PIEDADES, SANTA ANA COSTADO NORTE DE LA PLAZA PIEDADES DE</t>
  </si>
  <si>
    <t>SUPER MERCADO CAIRO</t>
  </si>
  <si>
    <t>EL CAIRO, SIQUIRRES COSTADO SU ESCULA CAIRO</t>
  </si>
  <si>
    <t>LICORERA ORQUIDEAS</t>
  </si>
  <si>
    <t>EL TEJAR, EL GUARCO 500 OESTE Y 50 SUR DEL COLEGIO SAGRADO</t>
  </si>
  <si>
    <t>SUPER ORIENTE</t>
  </si>
  <si>
    <t>LIMÓN MATINA BATAN BATAAN CENTRO 150 N DE LA IGLESIA CATOLI</t>
  </si>
  <si>
    <t>SUPER PRIMAVERA</t>
  </si>
  <si>
    <t>ALAJUELA POAS CARRILLOS 100 ESTE CARRILLOS ALTO</t>
  </si>
  <si>
    <t>SUPER TABARCIA</t>
  </si>
  <si>
    <t>PALMICHAL, ACOSTA COSTADO ESTE DE LA FARMACIA DE TABARCIA</t>
  </si>
  <si>
    <t>INDUSTRIA COMERCIALIZADORA HAOBING</t>
  </si>
  <si>
    <t>SAN JOSÉ SANTA ANA POZOS 200 NORTE DE COMPLEJO FURATI SAN JOSE</t>
  </si>
  <si>
    <t>DENMARKET</t>
  </si>
  <si>
    <t>SAN RAFAEL ARRIBA, DESAMPARADOS 300 S 100 0 Y 50 S DEL CC HIGUERONES</t>
  </si>
  <si>
    <t>MINISUPER J Y B</t>
  </si>
  <si>
    <t>LIMON, LIMON LIMÓN CENTRO CONTIGUO A CARNES CHARLIE</t>
  </si>
  <si>
    <t>MINI SUPER Y LICORERA EL ESTADIO</t>
  </si>
  <si>
    <t>PUNTARENAS PUNTARENAS PUNTARENAS PUNTARENAS BARRIO EL CARMEN</t>
  </si>
  <si>
    <t>SUPER EL PARQUE</t>
  </si>
  <si>
    <t>CARIARI, POCOCI DIAGONAL A LA CLÍNICA DE CARIARI</t>
  </si>
  <si>
    <t>MINI SUPER QUICK MARKET</t>
  </si>
  <si>
    <t>MATA REDONDA, SAN JOSE 100 N DE REST. EL CHICOTE</t>
  </si>
  <si>
    <t>SUPER HNAS BLANCO</t>
  </si>
  <si>
    <t>MATA REDONDA, SAN JOSE 100 E DE LA CONTRALORIA</t>
  </si>
  <si>
    <t>SUPER MANFRED</t>
  </si>
  <si>
    <t>PAVAS, SAN JOSE FINAL DE BOULEVAR RORHMOSER</t>
  </si>
  <si>
    <t>DONA MARTA</t>
  </si>
  <si>
    <t>SAN JOSÉ SAN JOSE PAVAS 100 O 350 S PARQUE LLAMA BOSQU</t>
  </si>
  <si>
    <t>SUPER ROMA</t>
  </si>
  <si>
    <t>PAVAS, SAN JOSE 400 N.FINAL DEL BOULEVARD</t>
  </si>
  <si>
    <t>ABAST. HNOS. TONG</t>
  </si>
  <si>
    <t>CATEDRAL, SAN JOSE 100 E 50 S 100 O BOMBEROS</t>
  </si>
  <si>
    <t>ABASTECEDOR SAN MARTIN</t>
  </si>
  <si>
    <t>CRP136</t>
  </si>
  <si>
    <t>CATEDRAL, SAN JOSE 150 SUR DEL OIJ SAN JOSE</t>
  </si>
  <si>
    <t>CARMEN, SAN JOSE 200 O CHICLERA</t>
  </si>
  <si>
    <t>ABAST.M.AUXILIADORA</t>
  </si>
  <si>
    <t>CARMEN, SAN JOSE 25 NE DE LA IGLESIA</t>
  </si>
  <si>
    <t>PULPERIA DEL SUR</t>
  </si>
  <si>
    <t>CATEDRAL, SAN JOSE DE FERRT PIPIOLO 100 S 75 O</t>
  </si>
  <si>
    <t>PULPERIA SAN RAFAEL</t>
  </si>
  <si>
    <t>CATEDRAL, SAN JOSE 100 E 15 N IGL CAT SN CAYETANO</t>
  </si>
  <si>
    <t>ABAST.ARIAS</t>
  </si>
  <si>
    <t>ASERRI, ASERRI 100 O ESC.LAS MERCEDES</t>
  </si>
  <si>
    <t>ABASTECEDOR EL TIPICO</t>
  </si>
  <si>
    <t>CATEDRAL, SAN JOSE 100 S 125 E DE LA CASA ITALIA</t>
  </si>
  <si>
    <t>SUPER JHONNY</t>
  </si>
  <si>
    <t>CARMEN, SAN JOSE 600 S 50 E ANT.HIGUERON</t>
  </si>
  <si>
    <t>MINI SUPER SOFI</t>
  </si>
  <si>
    <t>SAN ANTONIO, ALAJUELITA 200 S DEL CEMENTERIO DE SAN ANTONIO</t>
  </si>
  <si>
    <t>SUPER LA CONSTANCIA</t>
  </si>
  <si>
    <t>SAN JOSÉ ALAJUELITA SAN ANTONIO 100 O CEMENTERIO SN ANTONIO</t>
  </si>
  <si>
    <t>SUPER ZHEN  2</t>
  </si>
  <si>
    <t>SAN JOSÉ CURRIDABAT CURRIDABAT 100 E 25 N ESTADIO</t>
  </si>
  <si>
    <t>SUPER ALERSA</t>
  </si>
  <si>
    <t>SAN ANTONIO, DESAMPARADOS ULTIMA PARADA BUSES 600 N 250E</t>
  </si>
  <si>
    <t>PULPERIA LA Y GRIEGA</t>
  </si>
  <si>
    <t>PATARRA, DESAMPARADOS PRECARIO LAS PALMAS</t>
  </si>
  <si>
    <t>ABASTECEDOR SANTA TERESITA</t>
  </si>
  <si>
    <t>CARMEN, SAN JOSE 200 O  IGLESIA STA TERESITA</t>
  </si>
  <si>
    <t>MINI SUPER DEL ESTE</t>
  </si>
  <si>
    <t>SABANILLA, MONTES DE OCA 400 E. COLEGIO METODISTA.</t>
  </si>
  <si>
    <t>SUPER NAPOLI</t>
  </si>
  <si>
    <t>CARMEN, SAN JOSE 100 E BAR CUCHIFRITO</t>
  </si>
  <si>
    <t>ABASTECEDOR 13 DE JUNIO</t>
  </si>
  <si>
    <t>CARMEN, SAN JOSE 200 S 150 O DEL NOPAL</t>
  </si>
  <si>
    <t>PULPERIA LA AMISTAD</t>
  </si>
  <si>
    <t>DESAMPARADOS, DESAMPARADOS 150 E 50 N ESCUELA GRAVILIAS</t>
  </si>
  <si>
    <t>ABASTECEDOR CORONA DANESSA</t>
  </si>
  <si>
    <t>DESAMPARADOS, DESAMPARADOS 200 ESTE DE LA PLAZA</t>
  </si>
  <si>
    <t>MINI SÚPER CHULITO</t>
  </si>
  <si>
    <t>CRP142</t>
  </si>
  <si>
    <t>SAN SEBASTIAN, SAN JOSE 100 O. 50 N. IGLESIA</t>
  </si>
  <si>
    <t>SUPER LICORERA MANDY´S</t>
  </si>
  <si>
    <t>SAN SEBASTIAN, SAN JOSE 200 S ROTONDA GUACAMAYA</t>
  </si>
  <si>
    <t>PULPERIA MIREYA</t>
  </si>
  <si>
    <t>SAN JOSÉ SAN JOSE SAN SEBASTIAN 100 S.O  PLAZA DE DEPORTES</t>
  </si>
  <si>
    <t>PULPERIA EL SANTO</t>
  </si>
  <si>
    <t>PURRAL, GOICOECHEA FRENTE SUPER RINDE</t>
  </si>
  <si>
    <t>PATARRA, DESAMPARADOS 150 S 600 O TERMINAL BUSES</t>
  </si>
  <si>
    <t>MINI SUPER EL ALTO</t>
  </si>
  <si>
    <t>GUADALUPE, GOICOECHEA 200 N TERMINAL BUSES EL ALTO</t>
  </si>
  <si>
    <t>SUPER ANGELA</t>
  </si>
  <si>
    <t>SAN VICENTE, MORAVIA 200 N DE LA CLINICA JERUSALEM</t>
  </si>
  <si>
    <t>AUTOSERVICIO JARDINES</t>
  </si>
  <si>
    <t>SAN VICENTE, MORAVIA 400 E 100 S  PLAZA DEPORTES</t>
  </si>
  <si>
    <t>INDUSTRIAL REASA S.A.</t>
  </si>
  <si>
    <t>HOSPITAL, SAN JOSE 50 S CEMENTERIO ISRAELITA</t>
  </si>
  <si>
    <t>SUPERMERCADO BARRIO CUBA</t>
  </si>
  <si>
    <t>HOSPITAL, SAN JOSE 100 S IGLES MEDALLA MILAGROSA</t>
  </si>
  <si>
    <t>SUPER WENDY</t>
  </si>
  <si>
    <t>HOSPITAL, SAN JOSE CONTIGUO A PALI BARRIO CUBA</t>
  </si>
  <si>
    <t>PULP. KARINA</t>
  </si>
  <si>
    <t>HOSPITAL, SAN JOSE 100 N 600 O PTE M.AGUILAR</t>
  </si>
  <si>
    <t>SUPER CADENA</t>
  </si>
  <si>
    <t>HOSPITAL, SAN JOSE 100 S INDUSTRIAS LEONISA</t>
  </si>
  <si>
    <t>AUTOSERVICIO TIRIBI</t>
  </si>
  <si>
    <t>HATILLO, SAN JOSE 100 S ESC JORGE DE BRAVO</t>
  </si>
  <si>
    <t>AB LA SELECTA</t>
  </si>
  <si>
    <t>SAN JOSÉ SAN JOSE HATILLO HATILLO 2 200OE OPTICA MUNDIAL</t>
  </si>
  <si>
    <t>ABASTECEDOR LAS LILAS</t>
  </si>
  <si>
    <t>CINCO ESQUINAS, TIBAS 150 O DE ENVASA</t>
  </si>
  <si>
    <t>SUPER FELIZ</t>
  </si>
  <si>
    <t>SAN JOSÉ SANTA ANA URUCA_ 600 O DE CANAL SEIS</t>
  </si>
  <si>
    <t>MINI SUPER LA ESMERALDA</t>
  </si>
  <si>
    <t>SAN RAFAEL ABAJO, DESAMPARADOS 100 N ESC QUEMADA SN RAFAEL</t>
  </si>
  <si>
    <t>ABAST.LAJAS</t>
  </si>
  <si>
    <t>ASERRI, ASERRI 350 S PARADA  BUSES</t>
  </si>
  <si>
    <t>ABASTECEDOR LA FLOR</t>
  </si>
  <si>
    <t>ASERRI, ASERRI 450 S PLAZA STA TERESITA</t>
  </si>
  <si>
    <t>CHICHARRONERA ACSERRI ASERRI</t>
  </si>
  <si>
    <t>ASERRI, ASERRI 100 S DE LA PLAZA</t>
  </si>
  <si>
    <t>ABAST.CAMACHO</t>
  </si>
  <si>
    <t>ASERRI, ASERRI 150 NE TERMINAL BUSES</t>
  </si>
  <si>
    <t>ABAST EL BORUCA</t>
  </si>
  <si>
    <t>SAN SEBASTIAN, SAN JOSE DETRAS 2DA COMISARIA</t>
  </si>
  <si>
    <t>ABASTECEDOR GAMBOA</t>
  </si>
  <si>
    <t>HATILLO, SAN JOSE FTE COSTADO S TALLER INA</t>
  </si>
  <si>
    <t>MICKER TAPIA SOJO</t>
  </si>
  <si>
    <t>SAN JOSÉ SAN JOSE SAN SEBASTIAN 100 NE ESQ ESTADIO</t>
  </si>
  <si>
    <t>SUPER LA TROPICAL</t>
  </si>
  <si>
    <t>HATILLO, SAN JOSE 200 O SEMAFOROS DE HATILLO</t>
  </si>
  <si>
    <t>ABASTECEDOR ANA MARGARETH</t>
  </si>
  <si>
    <t>DESAMPARADOS, DESAMPARADOS 400 E DEL PUENTE TIRIBI</t>
  </si>
  <si>
    <t>HATILLO, SAN JOSE 100 E. 25 E. CENTRO DE SALUD</t>
  </si>
  <si>
    <t>MINISUPER D' YEYE</t>
  </si>
  <si>
    <t>SAN JOSÉ DESAMPARADOS SAN RAFAEL ARRIBA 200 S PUENTE CAÑAS MAYQUETIA</t>
  </si>
  <si>
    <t>ABASTECEDOR LAS FUENTES</t>
  </si>
  <si>
    <t>SAN JUAN DE DIOS, DESAMPARADOS 400 O NOVEDADES SN BLAS FUENTE</t>
  </si>
  <si>
    <t>SUPER HAO</t>
  </si>
  <si>
    <t>SAN JUAN DE DIOS, DESAMPARADOS 25 S ESC SOTERO GONZALEZ</t>
  </si>
  <si>
    <t>PULPERIA EL TRIANGULO</t>
  </si>
  <si>
    <t>SAN JOSÉ SANTA ANA URUCA_ 1 KM OESTE DE CANAL 13</t>
  </si>
  <si>
    <t>ABASTECEDOR LUCY</t>
  </si>
  <si>
    <t>DESAMPARADOS, DESAMPARADOS 300 N 100 S URB TICA LINDA</t>
  </si>
  <si>
    <t>SUPER CUATRO REINAS</t>
  </si>
  <si>
    <t>ANSELMO LLORENTE, TIBAS 200 O TERMINAL BUSES 4 REINAS</t>
  </si>
  <si>
    <t>ABASTECEDOR 4 REINAS</t>
  </si>
  <si>
    <t>ANSELMO LLORENTE, TIBAS 400 O.E 200 N DE METALCO</t>
  </si>
  <si>
    <t>PULPERIA VALVANERA</t>
  </si>
  <si>
    <t>SAN JOSÉ TIBAS SAN JUAN 500 O DE LA MUNICIPALIDAD</t>
  </si>
  <si>
    <t>MINISUPER LINDA VISTA</t>
  </si>
  <si>
    <t>SAN JUAN, TIBAS 100 E ESTADIO MUNICIPAL</t>
  </si>
  <si>
    <t>MINI SUPER YENNI</t>
  </si>
  <si>
    <t>ORIENTAL, CARTAGO 200 O ESCUELA</t>
  </si>
  <si>
    <t>SUPER TACORA</t>
  </si>
  <si>
    <t>SAN DIEGO, LA UNION 500 OE YUCA TICA TACORA</t>
  </si>
  <si>
    <t>ABASTECEDOR EL PANA</t>
  </si>
  <si>
    <t>SAN JOSÉ SANTA ANA URUCA_ FRENTE LA COMISARIA LA CARPIO</t>
  </si>
  <si>
    <t>PULPERIA CANAAN</t>
  </si>
  <si>
    <t>IPIS, GOICOECHEA FTE TERMINAL BUSES LOS ANGELES</t>
  </si>
  <si>
    <t>SUPER ECONOMICO</t>
  </si>
  <si>
    <t>IPIS, GOICOECHEA 225 N TALLERES DEL I.N.A.</t>
  </si>
  <si>
    <t>ABASTECEDOR EL ROBLE</t>
  </si>
  <si>
    <t>SAN RAFAEL, LA UNION 1 KM N IGLESIA SAN RAFAEL</t>
  </si>
  <si>
    <t>PULPERIA LA ESQUINA</t>
  </si>
  <si>
    <t>SAN FELIPE, ALAJUELITA DEL ICE CARRET. AURORA</t>
  </si>
  <si>
    <t>MINI SUPER CALLE BLANCOS</t>
  </si>
  <si>
    <t>CALLE BLANCOS, GOICOECHEA 110 N DE LA PLAZA</t>
  </si>
  <si>
    <t>MINI SUPER SANTA JULIA</t>
  </si>
  <si>
    <t>CALLE BLANCOS, GOICOECHEA 400 N 400 O PLAZA</t>
  </si>
  <si>
    <t>ABASTECEDOR GUAPILES</t>
  </si>
  <si>
    <t>SAN JOSÉ GOICOECHEA CALLE BLANCOS 400 N 450 OE DE LA PLAZA</t>
  </si>
  <si>
    <t>ABASTECEDOR MI CASA</t>
  </si>
  <si>
    <t>CALLE BLANCOS, GOICOECHEA 350 E DE PLAZA DEPORTES</t>
  </si>
  <si>
    <t>PULPERIA RAMONENSE</t>
  </si>
  <si>
    <t>CALLE BLANCOS, GOICOECHEA 150M OESTE CALOX</t>
  </si>
  <si>
    <t>PULPERIA  M Y M</t>
  </si>
  <si>
    <t>SAN JOSÉ SAN JOSE CARMEN 100 S MULTIPLAZA</t>
  </si>
  <si>
    <t>MINI SUPER GUACHIPELIN</t>
  </si>
  <si>
    <t>ESCAZU, ESCAZU 25 SUR DE LA ESCUELA</t>
  </si>
  <si>
    <t>SAN JOSÉ ESCAZU ESCAZU 500 NORTE DEL BANCO NACIONAL</t>
  </si>
  <si>
    <t>ABASTECEDOR CHALANGOS</t>
  </si>
  <si>
    <t>SAN MIGUEL, DESAMPARADOS 200 N CARVOCAL.</t>
  </si>
  <si>
    <t>PULPERIA KIMBERLY</t>
  </si>
  <si>
    <t>SAN FELIPE, ALAJUELITA ESCU. TEJARCILLO ALAJUELITA</t>
  </si>
  <si>
    <t>SUPER SAINT CLARE</t>
  </si>
  <si>
    <t>SAN VICENTE, MORAVIA 300 O 100 S PASTAS SAN VICENTE</t>
  </si>
  <si>
    <t>SUPER ECONÓMICO CRISTINA</t>
  </si>
  <si>
    <t>IPIS, GOICOECHEA FRENTE A LIC. LAS CEREZAS</t>
  </si>
  <si>
    <t>MINI SUPER LA MINITA</t>
  </si>
  <si>
    <t>LA TRINIDAD, MORAVIA 100 N 50 O DE ENTRADA PRINCIPA</t>
  </si>
  <si>
    <t>EL SUPER MAYORISTA S.A</t>
  </si>
  <si>
    <t>HEREDIA HEREDIA SAN FRANCISCO GUARDIA RURAL 100 E 400 N 75 E</t>
  </si>
  <si>
    <t>SURTIDOR BRASILIA</t>
  </si>
  <si>
    <t>SANTA ROSA, SANTO DOMINGO FRENTE ESCUELA RUBEN DARIO</t>
  </si>
  <si>
    <t>SUPER MERCEDO SESTEO TROPICAL</t>
  </si>
  <si>
    <t>SANTO TOMAS, SANTO DOMINGO 25 E ESQUINA SE PLAZA STO TM</t>
  </si>
  <si>
    <t>SAN PABLO, SAN PABLO 200 S 25 E MAS X MENOS</t>
  </si>
  <si>
    <t>MARIA MONTOYA AGUIRRE</t>
  </si>
  <si>
    <t>HEREDIA SANTA BARBARA SANTO DOMINGO 300 S PALACIO MUNICIPAL</t>
  </si>
  <si>
    <t>SUPER SAN LORENZO</t>
  </si>
  <si>
    <t>DAMAS, DESAMPARADOS 25 OE GUARDIA RURAL</t>
  </si>
  <si>
    <t>DAMAS, DESAMPARADOS 100 SE 75 SO TEMPLO BIBLICO</t>
  </si>
  <si>
    <t>CRP919</t>
  </si>
  <si>
    <t>HEREDIA, HEREDIA DE LA ESC. LA MILPA 800 N 100O</t>
  </si>
  <si>
    <t>PULPERIA ISIS</t>
  </si>
  <si>
    <t>SAN JOSÉ GOICOECHEA PURRAL 100 E 25 N IGLESIA</t>
  </si>
  <si>
    <t>PULPERIA EL TREBOL 2</t>
  </si>
  <si>
    <t>TIRRASES, CURRIDABAT ESQUINA SE DE PLAZA TIRRASES</t>
  </si>
  <si>
    <t>SUPER LA BELLA</t>
  </si>
  <si>
    <t>SAN JUAN, TIBAS 300 O IGLESIA CUATRO REINAS</t>
  </si>
  <si>
    <t>SODA LA PARADA</t>
  </si>
  <si>
    <t>SANTO DOMINGO, SANTA BARBARA DIAGONAL CENTRO SALUD</t>
  </si>
  <si>
    <t>SUPER MAGOS</t>
  </si>
  <si>
    <t>SAN VICENTE, MORAVIA 300 N LICEO LABORATORIO</t>
  </si>
  <si>
    <t>MINI SUPER GARANTIA</t>
  </si>
  <si>
    <t>SAN VICENTE, MORAVIA 200 OE LICEO DE MORAVIA</t>
  </si>
  <si>
    <t>FENG WU MAOYI</t>
  </si>
  <si>
    <t>SAN VICENTE, MORAVIA ENTR URB. 100 O.100 N.</t>
  </si>
  <si>
    <t>SUPER JUAN</t>
  </si>
  <si>
    <t>SAN VICENTE, MORAVIA ANT ENTRADA COLEGIO SAINT CLAR</t>
  </si>
  <si>
    <t>SURTIDOR LA CENTRAL</t>
  </si>
  <si>
    <t>PATALILLO, VAZQUEZ DE CORONADO 250 E IGLESIA</t>
  </si>
  <si>
    <t>ABASTECEDOR NUEVO AMANECER</t>
  </si>
  <si>
    <t>SAN ISIDRO, VAZQUEZ DE CORONADO 250 N DE LA FINCA AYA</t>
  </si>
  <si>
    <t>COMERCIAL ISIDRENO</t>
  </si>
  <si>
    <t>SAN ISIDRO, VAZQUEZ DE CORONADO 200 N ESQ. N.O DE LA IGLESIA</t>
  </si>
  <si>
    <t>SURTIDOR YANGO</t>
  </si>
  <si>
    <t>SAN ISIDRO, VAZQUEZ DE CORONADO 250 N ESQ. N.O DE LA IGLESIA</t>
  </si>
  <si>
    <t>PULPERIA OFELIA MORA</t>
  </si>
  <si>
    <t>DULCE NOMBRE DE JESU, VAZQUEZ DE CORONADO 300 E DE LA PLAZA DE DEPORTES</t>
  </si>
  <si>
    <t>ABASTECEDOR JIMENEZ LEIZONDO</t>
  </si>
  <si>
    <t>ALAJUELITA, ALAJUELITA 300 S EBAIS TEJERCILLOS</t>
  </si>
  <si>
    <t>FRUTERIA LAS DELICIAS</t>
  </si>
  <si>
    <t>URUCA_, SANTA ANA 100 S 25 E  PUENTE JUAN PABLO</t>
  </si>
  <si>
    <t>PULPERIA CARLOS</t>
  </si>
  <si>
    <t>SAN FELIPE, ALAJUELITA 50 O DE ESCU. URB. TIRIBI</t>
  </si>
  <si>
    <t>SUPER FAMILIAR</t>
  </si>
  <si>
    <t>ALAJUELITA, ALAJUELITA 100 S 100 E IGLESIA SN FELIPE</t>
  </si>
  <si>
    <t>PULP.LA AMISTAD 2</t>
  </si>
  <si>
    <t>SAN FELIPE, ALAJUELITA 200 S 200 O CASA MODELO TEJ AL</t>
  </si>
  <si>
    <t>LICORERA SAN FELIPE</t>
  </si>
  <si>
    <t>SAN FELIPE, ALAJUELITA FTE IGLESIA SN FELIPE</t>
  </si>
  <si>
    <t>KENNETH CHINCHILLA PADILLA</t>
  </si>
  <si>
    <t>SAN ANTONIO, ESCAZU FRENTE AL MIRADOR SAN JOSE</t>
  </si>
  <si>
    <t>ABASTECEDOR X 2</t>
  </si>
  <si>
    <t>SAN ISIDRO, SAN ISIDRO 200 S PLANTEL BUSES SAN ISIDRO</t>
  </si>
  <si>
    <t>MINI SUPER CHING</t>
  </si>
  <si>
    <t>CASCAJAL, VAZQUEZ DE CORONADO SAN PEDRO</t>
  </si>
  <si>
    <t>SUPER TEGA</t>
  </si>
  <si>
    <t>SAN VICENTE, MORAVIA FRENTE MUNICIPALIDAD</t>
  </si>
  <si>
    <t>SUPER BUENOS AIRES</t>
  </si>
  <si>
    <t>SAN JOSÉ ESCAZU ESCAZU 200 SUR DE ESCUELA</t>
  </si>
  <si>
    <t>SAN JOSÉ SAN JOSE CARMEN 800 SUR DEL LICEO</t>
  </si>
  <si>
    <t>SUPER  SABANILLA</t>
  </si>
  <si>
    <t>SAN JOSÉ SAN JOSE CARMEN 200 ESTE RESTAURANT MIRAMONTES</t>
  </si>
  <si>
    <t>MINI SUPER CABALLO BLANCO</t>
  </si>
  <si>
    <t>ORIENTAL, CARTAGO 100 E IGLESIA CATOLICA</t>
  </si>
  <si>
    <t>SÚPER LA FLORECILLA</t>
  </si>
  <si>
    <t>ESCAZU, ESCAZU 100 O DE LA IGLESIA</t>
  </si>
  <si>
    <t>SUPER AGUIMAR S.A.</t>
  </si>
  <si>
    <t>CARMEN, SAN JOSE 300 S ENTRADA B.EL CARMEN</t>
  </si>
  <si>
    <t>PULPERIA SAN MARTIN</t>
  </si>
  <si>
    <t>SAN ANTONIO, DESAMPARADOS 600 NE HERMITA DE BEBEDERO</t>
  </si>
  <si>
    <t>ALDINO FELIZ S.A.</t>
  </si>
  <si>
    <t>CARMEN, SAN JOSE FRENTE A LA IGLESIA CATOLICA</t>
  </si>
  <si>
    <t>FELI MERCADO</t>
  </si>
  <si>
    <t>SABANILLA, MONTES DE OCA SAN PEDRO FRENTE LABORATORIOS</t>
  </si>
  <si>
    <t>ABASTECEDOR CISNE DE ORO</t>
  </si>
  <si>
    <t>SAN RAFAEL ABAJO, DESAMPARADOS 300 E DE MAXI MERCADO</t>
  </si>
  <si>
    <t>PULP SAN GERARDO</t>
  </si>
  <si>
    <t>SAN MIGUEL, DESAMPARADOS 600 S 100 E CRUCE SN MIGUEL</t>
  </si>
  <si>
    <t>ABASTECEDOR J Y J</t>
  </si>
  <si>
    <t>PATARRA, DESAMPARADOS CASA CUBA SECTOR 7</t>
  </si>
  <si>
    <t>CORPORACION HONG KONG</t>
  </si>
  <si>
    <t>PATARRA, DESAMPARADOS COSTADO O IGLESIA LOS GUIDOS</t>
  </si>
  <si>
    <t>MINI SUPER COLOCHOS</t>
  </si>
  <si>
    <t>PATARRA, DESAMPARADOS LOS GUIDOS SECTOR B</t>
  </si>
  <si>
    <t>SAN MIGUEL, DESAMPARADOS 50 E IGLESIA DE HIGUITO</t>
  </si>
  <si>
    <t>SUPER LA ESTACIÓN</t>
  </si>
  <si>
    <t>SAN MIGUEL, DESAMPARADOS HIGUITO CENTRO 300 E DE LA IGLESIA</t>
  </si>
  <si>
    <t>ABASTECEDOR LOS GEMELOS #1</t>
  </si>
  <si>
    <t>RIO AZUL, LA UNION 600 S G.A.R. LINDA VISTA</t>
  </si>
  <si>
    <t>ABASTECEDOR EL 2000</t>
  </si>
  <si>
    <t>SAN DIEGO, LA UNION 100 O 300 S DE LA PLAZA</t>
  </si>
  <si>
    <t>ABASTECEDOR LA ESQUINITA</t>
  </si>
  <si>
    <t>SAN DIEGO, LA UNION 100 S PUENTE SANTIAGO MONTE</t>
  </si>
  <si>
    <t>MINISUPER LOS ANGELES</t>
  </si>
  <si>
    <t>RIO AZUL, LA UNION ULTIMA PARAD DE BUS QUEBRADAS</t>
  </si>
  <si>
    <t>PULPERIA LA BODEGUITA</t>
  </si>
  <si>
    <t>SAN ISIDRO, SAN ISIDRO 150 SUR DE ESCUELA LOURDES</t>
  </si>
  <si>
    <t>MINI SUPER EL CANASTO</t>
  </si>
  <si>
    <t>SAN MIGUEL, SANTO DOMINGO FTE DEPOSITO LOS LAURELES</t>
  </si>
  <si>
    <t>ABASTECEDOR SAN BOSCO</t>
  </si>
  <si>
    <t>HOSPITAL, SAN JOSE BARRIO DON BOSCO</t>
  </si>
  <si>
    <t>MINI SUPER LAS TRES JOTAS</t>
  </si>
  <si>
    <t>TARBACA, ASERRI 1 KM AL O DE LA G.A.R.</t>
  </si>
  <si>
    <t>SUPER SAN IGNACIO</t>
  </si>
  <si>
    <t>GUAITIL, ACOSTA COST.E DE LA ESCUELA</t>
  </si>
  <si>
    <t>SUPER LA ESMERALDA</t>
  </si>
  <si>
    <t>PURRAL, GOICOECHEA URBANIZACION LA ESMERALDA</t>
  </si>
  <si>
    <t>ABASTECEDOR SANDI</t>
  </si>
  <si>
    <t>IPIS, GOICOECHEA 100 OE TERMINAL DE BUSES LA MORA</t>
  </si>
  <si>
    <t>SUPER LA CENTRAL</t>
  </si>
  <si>
    <t>SAN GABRIEL, ASERRI CONTIGUO BAR EL GATO NEGRO</t>
  </si>
  <si>
    <t>PULPERIA EL HIGUERON</t>
  </si>
  <si>
    <t>ASERRI, ASERRI 300 S 700 S.O. ESC. ASERRI</t>
  </si>
  <si>
    <t>SUPER ECONOMICO #2</t>
  </si>
  <si>
    <t>URUCA_, SANTA ANA CONTIGUO SALON COMUNAL</t>
  </si>
  <si>
    <t>ABASTECEDOR JOSUE</t>
  </si>
  <si>
    <t>DULCE NOMBRE DE JESU, VAZQUEZ DE CORONADO URB JOSUE</t>
  </si>
  <si>
    <t>ABASTECEDOR EL PUENTE</t>
  </si>
  <si>
    <t>DULCE NOMBRE DE JESU, VAZQUEZ DE CORONADO CONTIGUO AL PUENTE</t>
  </si>
  <si>
    <t>COMISARIATO SAN RAFAEL</t>
  </si>
  <si>
    <t>SAN RAFAEL, ESCAZU FT TEMPLO CATOLICO SAN RAFAEL</t>
  </si>
  <si>
    <t>SUPER EL VALLE</t>
  </si>
  <si>
    <t>CARTAGO CARTAGO OCCIDENTAL FRENTE PLAZA DE OROSI CARTAGO</t>
  </si>
  <si>
    <t>SUPER EL CAMINANTE</t>
  </si>
  <si>
    <t>CARTAGO PARAISO CACHI 500 S IGLESIA CACHI</t>
  </si>
  <si>
    <t>SUPER ORO</t>
  </si>
  <si>
    <t>CARTAGO CARTAGO AGUACALIENTE O SAN FRANCISCO URBANIZACION HACIENDA DE ORO</t>
  </si>
  <si>
    <t>SUPER FUENTE N2</t>
  </si>
  <si>
    <t>SAN ISIDRO, VAZQUEZ DE CORONADO 300 N BOMBA TRAPICHE</t>
  </si>
  <si>
    <t>SUPER LLANOS DE MONTE VERDE</t>
  </si>
  <si>
    <t>DAMAS, DESAMPARADOS 100 O G.A.R. FATIMA</t>
  </si>
  <si>
    <t>COMERCIAL LA COSECHA</t>
  </si>
  <si>
    <t>SAN DIEGO, LA UNION URB MANOS UNIDAS CASA N 13</t>
  </si>
  <si>
    <t>SUPER PRISMA</t>
  </si>
  <si>
    <t>CARMEN, SAN JOSE 25 E COLEGIO MALAVASSI</t>
  </si>
  <si>
    <t>SUPERMERADO DEL SOL</t>
  </si>
  <si>
    <t>SAN NICOLAS, CARTAGO FRENTE A A LA IGLESIA DE SAN B</t>
  </si>
  <si>
    <t>ABASTECEDOR LA ECONOMICA</t>
  </si>
  <si>
    <t>DULCE NOMBRE DE JESU, VAZQUEZ DE CORONADO EL CARMEN</t>
  </si>
  <si>
    <t>PATALILLO, VAZQUEZ DE CORONADO 350 S SN ANTONIO CORONADO</t>
  </si>
  <si>
    <t>SUPER MIRAVALLES</t>
  </si>
  <si>
    <t>SAN RAFAEL, VAZQUEZ DE CORONADO 1 KM E ESC STA MARTA</t>
  </si>
  <si>
    <t>SUPER LA COSECHA</t>
  </si>
  <si>
    <t>SAN ANTONIO, ALAJUELITA 150 E SUPER PLAZOLETA SN ANTON</t>
  </si>
  <si>
    <t>SUPER MAS Y MAS</t>
  </si>
  <si>
    <t>SAN DIEGO, LA UNION 100 S PUENTE DE LA PISTA</t>
  </si>
  <si>
    <t>HOSPITAL SAN JOSE S.A.</t>
  </si>
  <si>
    <t>CARMEN, SAN JOSE 1 KM E.MULTIPLAZA</t>
  </si>
  <si>
    <t>MINI SUPER LOS PRIMOS</t>
  </si>
  <si>
    <t>URUCA_, SANTA ANA 100 S 3ERA PARADA BUSES CARPIO</t>
  </si>
  <si>
    <t>ABASTECEDOR SELECTO</t>
  </si>
  <si>
    <t>MATA DE PLATANO, GOICOECHEA CARMEN 200 E</t>
  </si>
  <si>
    <t>SUPER ANGELES ZURQUI</t>
  </si>
  <si>
    <t>PATALILLO, VAZQUEZ DE CORONADO 300 N BAR LA PIAPIA</t>
  </si>
  <si>
    <t>SUPER HAIMOU(LIPING)</t>
  </si>
  <si>
    <t>LA TRINIDAD, MORAVIA 50 N TERM BUSES SAN ANTONIO</t>
  </si>
  <si>
    <t>SUPER LI PING 2</t>
  </si>
  <si>
    <t>PATALILLO, VAZQUEZ DE CORONADO 1300 OE BOMBEROS DE CORONADO</t>
  </si>
  <si>
    <t>SUPER SANTA MARTA</t>
  </si>
  <si>
    <t>SAN JOSÉ SAN JOSE CARMEN 200 E ESC STA MARTA LOURDES</t>
  </si>
  <si>
    <t>SUPER CAM</t>
  </si>
  <si>
    <t>CARMEN, SAN JOSE 50 E. BARRIO LOS CEDROS IICA</t>
  </si>
  <si>
    <t>SUPER CARNES FACUNDO</t>
  </si>
  <si>
    <t>SAN PABLO, SAN PABLO FRENTE A LA PLAZA</t>
  </si>
  <si>
    <t>SUPER SANTA CRUZ</t>
  </si>
  <si>
    <t>SAN SEBASTIAN, SAN JOSE 200 S. PLAZA</t>
  </si>
  <si>
    <t>SUPER LOS NARANJOS</t>
  </si>
  <si>
    <t>DESAMPARADOS, DESAMPARADOS 100 O DE LA IGLESIA</t>
  </si>
  <si>
    <t>CARTAGO LA UNION RIO AZUL 200 E CRUCE RIO AZUL LINDA V</t>
  </si>
  <si>
    <t>SERVICENTRO TOURNON</t>
  </si>
  <si>
    <t>SAN JOSÉ SAN JOSE CATEDRAL 75 N TERMINAL LOS CARIBEÑOS</t>
  </si>
  <si>
    <t>SUPER 99</t>
  </si>
  <si>
    <t>SAN JOSÉ SAN JOSE PAVAS 200N DE LA IGLESIA V ESPERANZA</t>
  </si>
  <si>
    <t>ABASTECEDOR CORAZON DE JESUS</t>
  </si>
  <si>
    <t>CARMEN, SAN JOSE 50 E 25 S DE LA CRUZ ROJA</t>
  </si>
  <si>
    <t>MINI EL CASTILLO</t>
  </si>
  <si>
    <t>SAN MIGUEL, SANTO DOMINGO SAN MIGUEL</t>
  </si>
  <si>
    <t>SUPER MILENIUM</t>
  </si>
  <si>
    <t>CARMEN, SAN JOSE 100 O DEL IICA</t>
  </si>
  <si>
    <t>ABASTECEDOR MANA</t>
  </si>
  <si>
    <t>SAN FELIPE, ALAJUELITA 25 S CENCINAI TEJARCILLOS</t>
  </si>
  <si>
    <t>ABASTECEDOR YIMMY</t>
  </si>
  <si>
    <t>CARMEN, SAN JOSE CALLE LA MAQUINA</t>
  </si>
  <si>
    <t>ABASTECEDOR JAZMIN</t>
  </si>
  <si>
    <t>SAN RAFAEL, LA UNION 600 S 400 O DEL TUNEL</t>
  </si>
  <si>
    <t>SUPER AMIGO</t>
  </si>
  <si>
    <t>CARTAGO EL GUARCO EL TEJAR 400 S SUPER FELIX CONDOMI ANTI</t>
  </si>
  <si>
    <t>MINISUPER Y LICORERA GEMINIS</t>
  </si>
  <si>
    <t>SAN SEBASTIAN, SAN JOSE 200 S DE LA PLAZA</t>
  </si>
  <si>
    <t>SÚPER Y LICORERA LA GAVIOTA</t>
  </si>
  <si>
    <t>SAN JOSÉ MORAVIA SAN VICENTE FT ROMANAS BALLAR</t>
  </si>
  <si>
    <t>MINI SUPER M Y T</t>
  </si>
  <si>
    <t>PATARRA, DESAMPARADOS LOS GUIDOS SECTOR 6</t>
  </si>
  <si>
    <t>SUPER LILY</t>
  </si>
  <si>
    <t>LA TRINIDAD, MORAVIA COST.N PLAZA DEL ALTO</t>
  </si>
  <si>
    <t>MINI SUPER Y LICORERA 83</t>
  </si>
  <si>
    <t>SAN FELIPE, ALAJUELITA 250 E RTV</t>
  </si>
  <si>
    <t>TAQUERIA COSTA RICA</t>
  </si>
  <si>
    <t>HATILLO, SAN JOSE CALLE COSTA RICA HATILLO 2</t>
  </si>
  <si>
    <t>MINI SUPER MI FINCA</t>
  </si>
  <si>
    <t>SAN RAFAEL, ESCAZU CRUCE Y GRIEGA A SAN PEDRO</t>
  </si>
  <si>
    <t>SUPER LOS BOMBEROS</t>
  </si>
  <si>
    <t>ASERRI, ASERRI ACOSTA M AUXILIADORA</t>
  </si>
  <si>
    <t>ABASTECEDOR ZETILLAL</t>
  </si>
  <si>
    <t>IPIS, GOICOECHEA 200 N DEL INA</t>
  </si>
  <si>
    <t>ABASTEC PAPITO</t>
  </si>
  <si>
    <t>CARTAGO TURRIALBA TURRIALBA ENTRAD SAN JUAN 25 S ANTIGUA P</t>
  </si>
  <si>
    <t>ABASTECEDOR LA UNION</t>
  </si>
  <si>
    <t>SAN JOSE, SAN ISIDRO SAN ISIDRO FRENTE ENTRADA</t>
  </si>
  <si>
    <t>PULPERIA TUOLON</t>
  </si>
  <si>
    <t>LIMON, LIMON PLANTEL BUFALO LIMON</t>
  </si>
  <si>
    <t>CARTAGO OREAMUNO SAN RAFAEL 100N PLAZA DEPORTES SAN RAFAEL</t>
  </si>
  <si>
    <t>MINI SUPER LOS ANGELES</t>
  </si>
  <si>
    <t>SANTO DOMINGO, SANTA BARBARA FRENTE AL EBAIS  LOS ANGELES S</t>
  </si>
  <si>
    <t>PULPERIA CASTILLO</t>
  </si>
  <si>
    <t>MATINA, MATINA 4 MILLAS 100 E PULP BONITA</t>
  </si>
  <si>
    <t>ABASTECEDOR BERAKA</t>
  </si>
  <si>
    <t>URUCA_, SANTA ANA 25 N TERCERA PARADA LA  CARPIO</t>
  </si>
  <si>
    <t>MAGDIELS STORE CORP. S.A.</t>
  </si>
  <si>
    <t>HEREDIA HEREDIA SAN FRANCISCO FTE A COCORISA LOC. ESQUINERO</t>
  </si>
  <si>
    <t>POLLOS EL PUEBLO</t>
  </si>
  <si>
    <t>HEREDIA, HEREDIA DEL BAR AZTECA 200 S</t>
  </si>
  <si>
    <t>SODA Y PUPUSERIA EL GRANITO</t>
  </si>
  <si>
    <t>HEREDIA, HEREDIA COST NORTE IGLESIA EL CARMEN</t>
  </si>
  <si>
    <t>VENTANA FRANCIS</t>
  </si>
  <si>
    <t>MERCED, SAN JOSE MERCADO LA COCA COLA</t>
  </si>
  <si>
    <t>MINI SUPER LOS PROYECTOS</t>
  </si>
  <si>
    <t>PALMARES, PALMARES FRTE PLAZA  DEPOR.EL PROYECTO</t>
  </si>
  <si>
    <t>SUPER GRIFO ALTO</t>
  </si>
  <si>
    <t>GRIFO ALTO, PURISCAL GRIFO ALTO DE PURISCAL</t>
  </si>
  <si>
    <t>LIBERIA, LIBERIA 200 E PLAZA LA GARITA</t>
  </si>
  <si>
    <t>SOKOTO NORTE S N S.A SUPER LANGOSTA</t>
  </si>
  <si>
    <t>SANTA CRUZ, SANTA CRUZ FTE BARCELO</t>
  </si>
  <si>
    <t>NOSARA, NICOYA 200 N. DEL SUPER DOS LORENAS</t>
  </si>
  <si>
    <t>SUPER LA MURALLA</t>
  </si>
  <si>
    <t>CRP354</t>
  </si>
  <si>
    <t>TEMPATE, SANTA CRUZ CONTIGUO SODA GUANACASTE</t>
  </si>
  <si>
    <t>MINI SUPER BARRIO EDEN</t>
  </si>
  <si>
    <t>CARTAGENA, SANTA CRUZ DEL COLEGIO CARTAGENA 500 E</t>
  </si>
  <si>
    <t>SUPER EL BARRIO</t>
  </si>
  <si>
    <t>NICOYA, NICOYA 300 MTS OE DEL SALON COMUNAL</t>
  </si>
  <si>
    <t>ABASTECEDOR SAN VICENTE</t>
  </si>
  <si>
    <t>NICOYA, NICOYA SAN VICENTE DE NICOYA,FTE. ESC</t>
  </si>
  <si>
    <t>ABAST LAS BERMUDAS</t>
  </si>
  <si>
    <t>SAN JOSÉ PEREZ ZELEDON SAN ISIDRO DE EL GENERAL 50 ANTES PUESTO SALUD</t>
  </si>
  <si>
    <t>ABASTECEDOR AARON</t>
  </si>
  <si>
    <t>GARITA, ALAJUELA 800 SUR DE SUPER OASIS</t>
  </si>
  <si>
    <t>MINI SUPER EL MALINCHE</t>
  </si>
  <si>
    <t>LA CRUZ, LA CRUZ FRNTE IGLE CATOLICA CUAJINIQUI</t>
  </si>
  <si>
    <t>SANTIAGO, SAN RAMON 150 S ESCUELA</t>
  </si>
  <si>
    <t>MINISUPER DAMEL</t>
  </si>
  <si>
    <t>PUNTARENAS BUENOS AIRES BUENOS AIRES BUENOS AIRES Y GRIEGA</t>
  </si>
  <si>
    <t>MINI SUPER BOSTON</t>
  </si>
  <si>
    <t>SAN ISIDRO, LEON CORTES CASTRO B.BOSTON 5 ESQUINAS PEREZ ZELEDON</t>
  </si>
  <si>
    <t>MINISUPER SAN JORGE</t>
  </si>
  <si>
    <t>ALAJUELA, ALAJUELA 600 S ESCUELA SAN JORGE</t>
  </si>
  <si>
    <t>SUPER MARKET</t>
  </si>
  <si>
    <t>DULCE NOMBRE, CARTAGO 25 S GAR DULCE NOMBRE CARTA</t>
  </si>
  <si>
    <t>DOMINICAL SUPERMARKET</t>
  </si>
  <si>
    <t>SAN JOSÉ PEREZ ZELEDON BARU PLAZA PACIFICA DOMINICAL</t>
  </si>
  <si>
    <t>MINI SUPER LAS ESTRELLAS</t>
  </si>
  <si>
    <t>SAN ISIDRO, LEON CORTES CASTRO 50 S SALON EL YUGO</t>
  </si>
  <si>
    <t>SUPER ECONOMICO 2R</t>
  </si>
  <si>
    <t>ALAJUELA SAN CARLOS MONTERREY 25 ESTE DEL BCR MONTERREY</t>
  </si>
  <si>
    <t>SUPER KIQUE</t>
  </si>
  <si>
    <t>ALAJUELA, ALAJUELA 300 S ESCUELA MONTERREY</t>
  </si>
  <si>
    <t>ABASTECEDOR ROYKA</t>
  </si>
  <si>
    <t>PUNTARENAS PUNTARENAS BARRANCA COSTADO E ENTRAD MANUEL MORA</t>
  </si>
  <si>
    <t>PULPERIA MARIELOS</t>
  </si>
  <si>
    <t>ALAJUELA OROTINA COYOLAR 300M E EBAIS BA CORAZON JESUS</t>
  </si>
  <si>
    <t>ABASTECEDOR MONSE</t>
  </si>
  <si>
    <t>QUEPOS, QUEPOS 25 ESTE ESCUELA EL INVU</t>
  </si>
  <si>
    <t>PULPERIA LA JOYA</t>
  </si>
  <si>
    <t>QUEPOS, QUEPOS EL COCAL FRENT ESCUELA</t>
  </si>
  <si>
    <t>MINI SUPER LOS SUREÑOS</t>
  </si>
  <si>
    <t>LIMON, LIMON EL CAIRO SIQUIRRES FTE PLAZA</t>
  </si>
  <si>
    <t>PULPERIA LOS TRES REYES</t>
  </si>
  <si>
    <t>LIMON, LIMON URBANIZACION EL LLANO CARIARI</t>
  </si>
  <si>
    <t>SUPER  SANCHEZ</t>
  </si>
  <si>
    <t>MATINA, MATINA BO.DAVAO BATAAN FTE ESCUELA</t>
  </si>
  <si>
    <t>ABASTECEDOR COTO BRUS</t>
  </si>
  <si>
    <t>LIMÓN POCOCI GUAPILES CASCADAS 5, LA COLONIA</t>
  </si>
  <si>
    <t>LA COSTA</t>
  </si>
  <si>
    <t>HEREDIA, HEREDIA COSTADO ESTE PALI RIO FRIO</t>
  </si>
  <si>
    <t>PULPERIA ELI #2</t>
  </si>
  <si>
    <t>LIMON, LIMON 50 N ABASTECEDOR MI CHOZA</t>
  </si>
  <si>
    <t>FONDA VICTORIA.</t>
  </si>
  <si>
    <t>HEREDIA SARAPIQUI PUERTO VIEJO FCA ENCANTOS DEL MAR ROJO</t>
  </si>
  <si>
    <t>SODA ALAMO</t>
  </si>
  <si>
    <t>HEREDIA SARAPIQUI PUERTO VIEJO FCA ALAMO</t>
  </si>
  <si>
    <t>ABASTECEDOR KEY</t>
  </si>
  <si>
    <t>CARIARI, POCOCI 700 N RADIO ESPAÑA</t>
  </si>
  <si>
    <t>SUPERMERCADO LA VIRGEN</t>
  </si>
  <si>
    <t>PUERTO VIEJO, SARAPIQUI FRENTE A SUPER SAN MARTA</t>
  </si>
  <si>
    <t>SUPER COMERCIAL POCORA</t>
  </si>
  <si>
    <t>LIMON, LIMON POCORA CENTRO</t>
  </si>
  <si>
    <t>MINI SUPER RK</t>
  </si>
  <si>
    <t>CRP553</t>
  </si>
  <si>
    <t>PUERTO VIEJO, SARAPIQUI FTE JARDIN DE NIÑAS  FCA 2</t>
  </si>
  <si>
    <t>SUPER MARIO</t>
  </si>
  <si>
    <t>ALAJUELA POAS SAN PEDRO TEMPL CATOL 350 S SN PEDRO</t>
  </si>
  <si>
    <t>MINI SUPER MARINA</t>
  </si>
  <si>
    <t>ALAJUELA, ALAJUELA 50 S HOTEL ORQUIDIAS TUETAL</t>
  </si>
  <si>
    <t>ABSTECEDOR ROJAS</t>
  </si>
  <si>
    <t>ALAJUELA, ALAJUELA CALLE LORIA FRENTE GRANJA MERC</t>
  </si>
  <si>
    <t>SUPER EL FAVORITO</t>
  </si>
  <si>
    <t>SAN JUAN, SANTA BARBARA DIAGONAL ESQUINA SO PLAZA S. J</t>
  </si>
  <si>
    <t>DISTRIBUIDORA SUMO</t>
  </si>
  <si>
    <t>GRECIA, GRECIA FRTE A REST. MEIJO, ANGELES GR</t>
  </si>
  <si>
    <t>PULPERIA EL RAICERO</t>
  </si>
  <si>
    <t>ATENAS, ATENAS 250O SALON COMUNAL, LA ARGENTI</t>
  </si>
  <si>
    <t>MINI SUPER GONCAS</t>
  </si>
  <si>
    <t>SAN ANTONIO, BELEN COT. ANTIGUAS BOD. ABNOS AGRO</t>
  </si>
  <si>
    <t>PULPERIA SEGURA</t>
  </si>
  <si>
    <t>SANTO DOMINGO, SANTA BARBARA 700 N DE LA POZUELO</t>
  </si>
  <si>
    <t>MINI MARKET ARISBETH</t>
  </si>
  <si>
    <t>CARTAGO LA UNION SAN RAFAEL LA CARPINTERA 800 E DEL TUNEL</t>
  </si>
  <si>
    <t>MINI SUPER FANNY</t>
  </si>
  <si>
    <t>SANTO DOMINGO, SANTA BARBARA LOS ANGELES PROYECTO ZAMORA</t>
  </si>
  <si>
    <t>SUPERMERCADO LA SACA</t>
  </si>
  <si>
    <t>SAN ISIDRO, SAN ISIDRO 700 O CRUZ ROJA</t>
  </si>
  <si>
    <t>ABASTECEDOR VEGA</t>
  </si>
  <si>
    <t>SAN DIEGO, LA UNION CALLE JIRALES 100 O DE LA ENTR</t>
  </si>
  <si>
    <t>SUPER EL NORTEÑO</t>
  </si>
  <si>
    <t>PARAISO, PARAISO 400 N MERCADO DE PARAISO</t>
  </si>
  <si>
    <t>SUPER SANTA MARIA</t>
  </si>
  <si>
    <t>SAN JOSÉ DOTA SANTA MARIA COSTADO SUR DE IGLESIA SANTA M</t>
  </si>
  <si>
    <t>SUPER PASEO</t>
  </si>
  <si>
    <t>SAN ISIDRO, SAN ISIDRO 200 N  IGLESIA SAN ISIDRO</t>
  </si>
  <si>
    <t>MINISUPER GARCIA</t>
  </si>
  <si>
    <t>ABAST EL CARMEN</t>
  </si>
  <si>
    <t>GUANACASTE CARRILLO SARDINAL BARRIO NICODEMES</t>
  </si>
  <si>
    <t>MINI SUPER OASIS</t>
  </si>
  <si>
    <t>GUANACASTE CARRILLO SARDINAL BO SN MARTIN CAMINO A OCOTAL</t>
  </si>
  <si>
    <t>ASECATSA</t>
  </si>
  <si>
    <t>PALMIRA, CARRILLO PLANTEL DE CATSA</t>
  </si>
  <si>
    <t>ABSTE LA Y GRIEGA</t>
  </si>
  <si>
    <t>SAN MIGUEL, DESAMPARADOS ENTRADA A EL GUASO</t>
  </si>
  <si>
    <t>PULP LORE</t>
  </si>
  <si>
    <t>SAN JOSÉ DESAMPARADOS SAN JUAN DE DIOS 250 N DEL BAR NOVEDADES SAN JU</t>
  </si>
  <si>
    <t>MINISUPER LOS TANQUES</t>
  </si>
  <si>
    <t>SAN JOSÉ GOICOECHEA MATA DE PLATANO 25 MTRS ESTE DE LOS TANQUES A Y A</t>
  </si>
  <si>
    <t>PULPERIA MARLEN</t>
  </si>
  <si>
    <t>SAN JUAN DE DIOS, DESAMPARADOS 250 S 250 OE IGLESIA CATOLICA</t>
  </si>
  <si>
    <t>SUPER MORPHO</t>
  </si>
  <si>
    <t>CARIARI, POCOCI BARRA DEL COLORADO</t>
  </si>
  <si>
    <t>SUPER LA PENSION</t>
  </si>
  <si>
    <t>RITA, POCOCI 300 O DE SUPER LOS ANGELES</t>
  </si>
  <si>
    <t>SUPER ASOATLAN</t>
  </si>
  <si>
    <t>SIQUIRRES, SIQUIRRES 800 S DE CRUCE DE SAN ISIDRO</t>
  </si>
  <si>
    <t>SUPER RIO JIMENES</t>
  </si>
  <si>
    <t>RIO JIMENEZ, GUACIMO COSTADO DE IMPORTADORA MONGE</t>
  </si>
  <si>
    <t>SNACK STORE</t>
  </si>
  <si>
    <t>LIMÓN LIMON LIMON TERMINAL DE MEPE</t>
  </si>
  <si>
    <t>PULPERIA ROJAS</t>
  </si>
  <si>
    <t>ALAJUELA OROTINA HACIENDA VIEJA 150M NORESTE LAGAR DE OROTINA</t>
  </si>
  <si>
    <t>PULPERIA LA SALVADITA</t>
  </si>
  <si>
    <t>PUNTARENAS GARABITO TARCOLES CASA H1 ENTRAD VIEJA PUNTA LEO</t>
  </si>
  <si>
    <t>PULP Y PAÑALERA SAN CRISTOBAL</t>
  </si>
  <si>
    <t>SAN CRISTOBAL, DESAMPARADOS 1 KM O IGLESIA SN CRISTO NORTE</t>
  </si>
  <si>
    <t>SUPER Y LICORERA EL ESTADIO</t>
  </si>
  <si>
    <t>SARCHI NORTE, SARCHI 200 N ESTADIO SARCHI</t>
  </si>
  <si>
    <t>PULPERIA TONY</t>
  </si>
  <si>
    <t>ATENAS, ATENAS 1.5 KM AL OESTE DE LA ESC THOMAS JEFFERS</t>
  </si>
  <si>
    <t>PATRICIA GOMEZ CARBALLO</t>
  </si>
  <si>
    <t>GUAPILES, POCOCI 100M OE DEL INS</t>
  </si>
  <si>
    <t>ABASTECEDOR LOS ANGELES</t>
  </si>
  <si>
    <t>LIMÓN POCOCI GUAPILES 300 E AEROPUERTO DE GUAPILES</t>
  </si>
  <si>
    <t>ABASTECEDOR EL ALMENDRO</t>
  </si>
  <si>
    <t>GUAPILES, POCOCI BO SINAI GUAPILES</t>
  </si>
  <si>
    <t>PULPERIA LA PURISCALENA</t>
  </si>
  <si>
    <t>RIO JIMENEZ, GUACIMO 150 O ESCUELA CARAMBOLA</t>
  </si>
  <si>
    <t>MINI SUPER EL CRUCE CARTAGENA</t>
  </si>
  <si>
    <t>LIMÓN GUACIMO GUACIMO FTE SALON NEW JERSEY</t>
  </si>
  <si>
    <t>SUPERMERCADO LA GUARIA</t>
  </si>
  <si>
    <t>HEREDIA SARAPIQUI PUERTO VIEJO FTE SALON COMUNAL LA GUARIA</t>
  </si>
  <si>
    <t>ABASTECEDOR BARRANTES</t>
  </si>
  <si>
    <t>RIO JIMENEZ, GUACIMO 200N CEMENTARIO B ANGELES RJ</t>
  </si>
  <si>
    <t>MINI SUPER MIREYA</t>
  </si>
  <si>
    <t>RIO JIMENEZ, GUACIMO SANTA ROSA DE RIO JIMENEZ</t>
  </si>
  <si>
    <t>SUPER VALERIA</t>
  </si>
  <si>
    <t>RIO JIMENEZ, GUACIMO 150S PLAZA LA LUCHA RIO JIMENE</t>
  </si>
  <si>
    <t>DISTRIBUIDORA LOS CHINITOS</t>
  </si>
  <si>
    <t>GUAPILES, POCOCI 300 E CEMENTERIO DE GUAPILES</t>
  </si>
  <si>
    <t>SUPER PALACIOS</t>
  </si>
  <si>
    <t>LIMÓN POCOCI CARIARI LAS VEGAS DE RIO PALACIOS</t>
  </si>
  <si>
    <t>ABASTECEDOR SUPER CHICO</t>
  </si>
  <si>
    <t>CARIARI, POCOCI FRT ESC CAMPO 5 CARIARI</t>
  </si>
  <si>
    <t>SÚPER BATALLA</t>
  </si>
  <si>
    <t>LIMÓN POCOCI CARIARI FRENTE PLAZA BARRIO CARIBE</t>
  </si>
  <si>
    <t>PULPERIA LA CENTRAL</t>
  </si>
  <si>
    <t>CARIARI, POCOCI FRENTE ESC DE CARIBE CARIARI</t>
  </si>
  <si>
    <t>ABASTECEDOR SAN JOSE</t>
  </si>
  <si>
    <t>CARIARI, POCOCI FINCA OESTE EL ROTULO</t>
  </si>
  <si>
    <t>ABASTECEDOR EL TUCAN DEL RIO</t>
  </si>
  <si>
    <t>MATINA, MATINA ENTRADA URB LOS LAGOS</t>
  </si>
  <si>
    <t>SUPER MANA</t>
  </si>
  <si>
    <t>CARIARI, POCOCI 50 SUR EBAIS JORDAN</t>
  </si>
  <si>
    <t>RODZINA SOCIEDAD ANONIMA</t>
  </si>
  <si>
    <t>LIMON, LIMON FTE IMPORTADORA MONGE</t>
  </si>
  <si>
    <t>SUPER LOS CHINITOS</t>
  </si>
  <si>
    <t>GUAPILES, POCOCI FTE REGISTRO CIVIL</t>
  </si>
  <si>
    <t>DANIRIA VIACHICA VALVERDE</t>
  </si>
  <si>
    <t>GUAPILES, POCOCI BARRIO PINARES</t>
  </si>
  <si>
    <t>LIMÓN SIQUIRRES PACUARITO SIQUIRRES LA PERLITA</t>
  </si>
  <si>
    <t>COMERCIAL BETANIA</t>
  </si>
  <si>
    <t>LIMÓN SIQUIRRES SIQUIRRES BARRIO BETANIA SIQUIRRES</t>
  </si>
  <si>
    <t>PULPERIA LA DIFERENTE</t>
  </si>
  <si>
    <t>SIQUIRRES, SIQUIRRES SIQUIRRES, FINCA INDIANA 1</t>
  </si>
  <si>
    <t>MINI SUPER LA CENTRAL</t>
  </si>
  <si>
    <t>FLORIDA, SIQUIRRES LA ALEGRIA SIQUIRRES</t>
  </si>
  <si>
    <t>SODA FINCA EL TROPICO</t>
  </si>
  <si>
    <t>SIQUIRRES, SIQUIRRES SAN ALBERTO COBAL SIQUIRRES</t>
  </si>
  <si>
    <t>COMISARIATO IMPERIO #2</t>
  </si>
  <si>
    <t>SIQUIRRES, SIQUIRRES FINCA IMPERIO 2 SIQUIRRES</t>
  </si>
  <si>
    <t>SERVICENTRO EL CRUCE S.A.</t>
  </si>
  <si>
    <t>GUAPILES, POCOCI 400 E ENTRADA RIO FRIO</t>
  </si>
  <si>
    <t>SUPER LA UNION</t>
  </si>
  <si>
    <t>GUAPILES, POCOCI LA UNION FTE LA PLAZA GUAPILES</t>
  </si>
  <si>
    <t>MINI SUPER VENITA</t>
  </si>
  <si>
    <t>RIO BLANCO, LIMON 50 E RIO POCORA SUR</t>
  </si>
  <si>
    <t>SODA BANANO EARTH</t>
  </si>
  <si>
    <t>POCORA, GUACIMO EL TROPICO HUMEDO LAS MERCEDES</t>
  </si>
  <si>
    <t>ABASTECEDOR LA CASONA</t>
  </si>
  <si>
    <t>RIO BLANCO, LIMON MILANO CENTRO POCORA</t>
  </si>
  <si>
    <t>SUPER SAN BOSCO</t>
  </si>
  <si>
    <t>RITA, POCOCI BARRIO LA T  LA RITA</t>
  </si>
  <si>
    <t>SUPER LA FAVORITA DE CARIARI S.A.</t>
  </si>
  <si>
    <t>MATAMA, LIMON CARIARI CENTRO</t>
  </si>
  <si>
    <t>ABASTECEDOR BUEN PRECIO</t>
  </si>
  <si>
    <t>ROXANA, POCOCI 25 E RAMIREZ PORVENUIR</t>
  </si>
  <si>
    <t>ABASTECEDOR LA AMISTAD</t>
  </si>
  <si>
    <t>ROXANA, POCOCI FRENTE ESCUELA PORVENIR</t>
  </si>
  <si>
    <t>MINI SUPER RP23</t>
  </si>
  <si>
    <t>RITA, POCOCI FRENTE PLAZA PORVENIR</t>
  </si>
  <si>
    <t>SUPER EL PRADO</t>
  </si>
  <si>
    <t>RITA, POCOCI URBANIZACION EL PRADO</t>
  </si>
  <si>
    <t>ABASTECEDOR LA CRUZ</t>
  </si>
  <si>
    <t>LIMÓN POCOCI ROXANA 1 KM O CLINICA C.C.S.S  ROXANA</t>
  </si>
  <si>
    <t>SUPERMERCADO MG</t>
  </si>
  <si>
    <t>LIMÓN POCOCI JIMENEZ 100N PARQUE JIMENEZ</t>
  </si>
  <si>
    <t>RESTAURANT CHON LU</t>
  </si>
  <si>
    <t>PUERTO VIEJO, SARAPIQUI FRENTE BOMBA PUERTO VIEJO</t>
  </si>
  <si>
    <t>PULPERIA TICARY</t>
  </si>
  <si>
    <t>HEREDIA SARAPIQUI LAS HORQUETAS 700 E ESCUELA TICARI HORQUETAS</t>
  </si>
  <si>
    <t>SODA PELON</t>
  </si>
  <si>
    <t>LA VIRGEN, SARAPIQUI LA VIRGEN</t>
  </si>
  <si>
    <t>PULPERIA LAS PALMITAS</t>
  </si>
  <si>
    <t>HEREDIA SARAPIQUI LA VIRGEN 800 N ENTR LAS PALMITAS VIRGEN</t>
  </si>
  <si>
    <t>MINI SUPER DANIEL#2</t>
  </si>
  <si>
    <t>LAS HORQUETAS, SARAPIQUI 400M SUR DE RIO SAN JOSE</t>
  </si>
  <si>
    <t>BETO Y MAS</t>
  </si>
  <si>
    <t>LAS HORQUETAS, SARAPIQUI RIO FRIO CENTRO</t>
  </si>
  <si>
    <t>SUPERMERCADO A Y J</t>
  </si>
  <si>
    <t>LAS HORQUETAS, SARAPIQUI LA VICTORIA DE RIO FRIO</t>
  </si>
  <si>
    <t>SUPER MASIS</t>
  </si>
  <si>
    <t>LAS HORQUETAS, SARAPIQUI LA VICTORIA DE HORQUETAS</t>
  </si>
  <si>
    <t>ABASTECEDOR EL TELEFONO</t>
  </si>
  <si>
    <t>HEREDIA SARAPIQUI LAS HORQUETAS FINCA AGUA DE RIO FRENTE PLAZA</t>
  </si>
  <si>
    <t>ALMACEN HERNANDEZ ALFARO</t>
  </si>
  <si>
    <t>GUACIMO, GUACIMO CRUCE DE CARTAGENA GUACIMO</t>
  </si>
  <si>
    <t>ABASTECEDOR M Y G</t>
  </si>
  <si>
    <t>SIQUIRRES, SIQUIRRES FINCA 5 DE RIO FRIO</t>
  </si>
  <si>
    <t>PULPERIA LA LEONA NO. 2</t>
  </si>
  <si>
    <t>LIMÓN POCOCI GUAPILES BELLA VISTA</t>
  </si>
  <si>
    <t>SUPER LA CONQUISTA</t>
  </si>
  <si>
    <t>HEREDIA SARAPIQUI PUERTO VIEJO HORQUETAS DE SARAPIQUI</t>
  </si>
  <si>
    <t>COMERCIAL BALDI</t>
  </si>
  <si>
    <t>HEREDIA SARAPIQUI PUERTO VIEJO 200M OESTE DEL EBAIS EL ROBLE</t>
  </si>
  <si>
    <t>CARNICERIA ABARROTE LA PARADA</t>
  </si>
  <si>
    <t>LIMÓN POCOCI ROXANA ROXANA CENTRO</t>
  </si>
  <si>
    <t>MINI SUPER LA EMILIA</t>
  </si>
  <si>
    <t>GUAPILES, POCOCI GUAPILES BO LA EMILIA</t>
  </si>
  <si>
    <t>ABASTECEDOR GKM</t>
  </si>
  <si>
    <t>RITA, POCOCI FRENTE PLAZA TICABAN</t>
  </si>
  <si>
    <t>GERMANIA, SIQUIRRES 100 N HEREDIANA SIQUIRRES</t>
  </si>
  <si>
    <t>SÚPER CARPATO</t>
  </si>
  <si>
    <t>GUACIMO, GUACIMO 300 E DE LA CLINICA  GUACIMO</t>
  </si>
  <si>
    <t>SUPER EL QUINCE</t>
  </si>
  <si>
    <t>LIMÓN POCOCI RITA 300 MTS OESTE DEL PARQUE  DE LA RITA</t>
  </si>
  <si>
    <t>RITA, POCOCI 300 E ESCUELA LA RITA</t>
  </si>
  <si>
    <t>PULPERIA KARLA</t>
  </si>
  <si>
    <t>BATAN, MATINA 25 O 400 N REPUESTOS GERARDO</t>
  </si>
  <si>
    <t>ABASTECEDOR CANGREJOS</t>
  </si>
  <si>
    <t>LIMON, LIMON BARRIO CANGREJOS</t>
  </si>
  <si>
    <t>ABASTECEDOR FELIZ FELIZ</t>
  </si>
  <si>
    <t>PULPERIA PUERTO</t>
  </si>
  <si>
    <t>LIMON, LIMON DIAG IGLESIA SN MARCOS</t>
  </si>
  <si>
    <t>MINI SUPER LA COLONIA</t>
  </si>
  <si>
    <t>VALLE LA ESTRELLA, LIMON LA COLONIA  VALLE ESTRELLA</t>
  </si>
  <si>
    <t>PULPERIA CHICO</t>
  </si>
  <si>
    <t>LIMON, LIMON FTE. IGLESIA CATOLICA</t>
  </si>
  <si>
    <t>PULPERIA ENID</t>
  </si>
  <si>
    <t>LIMON, LIMON CONTIGUO ESCUELA LA COLINA</t>
  </si>
  <si>
    <t>PULPERIA LEO</t>
  </si>
  <si>
    <t>CARRANDI, MATINA 300 S PULPERIA MARY</t>
  </si>
  <si>
    <t>SUPER CHABRACORE</t>
  </si>
  <si>
    <t>BATAN, MATINA FTE PLAZA DE BATAAN</t>
  </si>
  <si>
    <t>PULPERÍA FANISA</t>
  </si>
  <si>
    <t>LIMON, LIMON Bº LOS COCOS</t>
  </si>
  <si>
    <t>ABASTECEDOR KIANG KONG</t>
  </si>
  <si>
    <t>LIMON, LIMON DIAG A LA GAR</t>
  </si>
  <si>
    <t>PULPERIA ACON</t>
  </si>
  <si>
    <t>LIMON, LIMON SANTA EDUVIGES</t>
  </si>
  <si>
    <t>MINI SUPER EL DIAMANTE</t>
  </si>
  <si>
    <t>LIMON, LIMON BARRIO LIMONCITO</t>
  </si>
  <si>
    <t>MINI SUPER LENCO</t>
  </si>
  <si>
    <t>LIMON, LIMON SIGLO XXI</t>
  </si>
  <si>
    <t>ABASTECEDOR DONA ANA</t>
  </si>
  <si>
    <t>LIMON, LIMON FTE. ENTRADA LIVERPOOL</t>
  </si>
  <si>
    <t>ABASTECEDOR ADRIANA</t>
  </si>
  <si>
    <t>MATAMA, LIMON LA BOMBA</t>
  </si>
  <si>
    <t>ABASTECEDOR KAROL</t>
  </si>
  <si>
    <t>RIO BLANCO, LIMON LA BOMBA</t>
  </si>
  <si>
    <t>NAJERA CORDERO GRETTEL</t>
  </si>
  <si>
    <t>RIO BLANCO, LIMON BLANCO CENTRO LIVERPOOL</t>
  </si>
  <si>
    <t>MINI SUPER OFERTON</t>
  </si>
  <si>
    <t>VALLE LA ESTRELLA, LIMON LA GUARIA VALLE LA ESTRELLA</t>
  </si>
  <si>
    <t>LIMON, LIMON 150 S OFC INVU PACUARE</t>
  </si>
  <si>
    <t>PULPERIA EL GAVILAN</t>
  </si>
  <si>
    <t>BATAN, MATINA 300 S SUPER CORINA</t>
  </si>
  <si>
    <t>ABASTECEDOR. EL TUCAN</t>
  </si>
  <si>
    <t>SIERPE, OSA Bº ALEMNIA PALMAR NORTE OSA</t>
  </si>
  <si>
    <t>MINI SUPER JB</t>
  </si>
  <si>
    <t>SIERPE, OSA SIERPE, OSA</t>
  </si>
  <si>
    <t>SUPER JUCOLOA</t>
  </si>
  <si>
    <t>CRP673</t>
  </si>
  <si>
    <t>PUERTO CORTES, OSA OJOCHAL DE OSA</t>
  </si>
  <si>
    <t>ABAST EL SESTEO</t>
  </si>
  <si>
    <t>DANIEL FLORES, PEREZ ZELEDON FTE PLAZA BARRIO LOURDES</t>
  </si>
  <si>
    <t>MINI SUPER BARU</t>
  </si>
  <si>
    <t>BARU, PEREZ ZELEDON BARU DE P.Z.</t>
  </si>
  <si>
    <t>MINISUPER ZÚÑIGA BROTHERS</t>
  </si>
  <si>
    <t>BARU, PEREZ ZELEDON S.CRISTOBAL EN CARRETERA</t>
  </si>
  <si>
    <t>MINI MARKET ROAD BEACH</t>
  </si>
  <si>
    <t>SAN ISIDRO, LEON CORTES CASTRO ALTO DE SAN JUAN</t>
  </si>
  <si>
    <t>ABASTECEDOR ARIEL</t>
  </si>
  <si>
    <t>CARMEN, SAN JOSE MERCADO MUNICIPAL SAN ISIDRO</t>
  </si>
  <si>
    <t>ABASTECEDOR NORMA</t>
  </si>
  <si>
    <t>SAN ISIDRO, LEON CORTES CASTRO CIUDADELA BLANCO PEREZ ZELEDON</t>
  </si>
  <si>
    <t>SUPER HNS JIMENEZ</t>
  </si>
  <si>
    <t>BUENOS AIRES, BUENOS AIRES 10M NORTE D LA CLINICA</t>
  </si>
  <si>
    <t>SERVICENTRO BAHIA BALLENA S.A.</t>
  </si>
  <si>
    <t>BARU, PEREZ ZELEDON CONT A FLOR SABANA</t>
  </si>
  <si>
    <t>MINI SUPER LA CRIOLLITA</t>
  </si>
  <si>
    <t>GRECIA, GRECIA 600 N ESQUINA NO MERCADO</t>
  </si>
  <si>
    <t>SUPER EL LIMITE</t>
  </si>
  <si>
    <t>ALAJUELA ALAJUELA SAN ISIDRO COSTADO N ESCUELA LABORATORIO</t>
  </si>
  <si>
    <t>COOPE SAN LUIS</t>
  </si>
  <si>
    <t>BOLIVAR, GRECIA 25 E IGLESIA SAN LUIS</t>
  </si>
  <si>
    <t>SUPER SAN PEDRO</t>
  </si>
  <si>
    <t>SAN PEDRO, SARCHI COSTADO ESTE IGLESIA SAN PEDRO</t>
  </si>
  <si>
    <t>SAN ROQUE, GRECIA COSTADO S PLAZA SAN MIGUEL</t>
  </si>
  <si>
    <t>MINI SUPER PINO</t>
  </si>
  <si>
    <t>SAN ROQUE, GRECIA COSTADO N IGLESIA</t>
  </si>
  <si>
    <t>PULPERIA EL CRUCE</t>
  </si>
  <si>
    <t>CIRRI SUR, NARANJO 300 NORTE INA CRUCE CIRRI</t>
  </si>
  <si>
    <t>ABASTECEDOR SAN MIGUEL</t>
  </si>
  <si>
    <t>SARCHI SUR, SARCHI 50 N CASA PASTORAL SN MIGUEL</t>
  </si>
  <si>
    <t>HERMES JOSE BRENES GONZALEZ</t>
  </si>
  <si>
    <t>BOLIVAR, GRECIA COSTADO S IGLESIA  LOS ANGELES</t>
  </si>
  <si>
    <t>ABASTECEDOR LA VIRGENCITA</t>
  </si>
  <si>
    <t>BOLIVAR, GRECIA INTERSECCION A LOS ANGELES GRE</t>
  </si>
  <si>
    <t>SAN JERONIMO, NARANJO PUEBLO NUEVO SAN JERONIMO</t>
  </si>
  <si>
    <t>ABASTECEDOR LA PARADA</t>
  </si>
  <si>
    <t>PUENTE DE PIEDRA, GRECIA 500 O PLAZA ALTO PERALTA</t>
  </si>
  <si>
    <t>ABASTECEDOR BARCELONA</t>
  </si>
  <si>
    <t>ALAJUELA GRECIA PUENTE DE PIEDRA 300 S PUENTE PIEDRA</t>
  </si>
  <si>
    <t>SUPER  COYOL</t>
  </si>
  <si>
    <t>TACARES, GRECIA COYOL DE LA ESCUELA 50 E</t>
  </si>
  <si>
    <t>SUPER  LA TRINIDAD</t>
  </si>
  <si>
    <t>CARRILLOS, POAS COSTADO SUR IGLESIA CARRILLOS</t>
  </si>
  <si>
    <t>MINI SUPER  DON JOSE</t>
  </si>
  <si>
    <t>CARRILLOS, POAS 500 O IGLESIA CARRILLOS</t>
  </si>
  <si>
    <t>ABASTECEDOR SONORA</t>
  </si>
  <si>
    <t>CARRILLOS, POAS 2 KM N IGL.CARRILL.ALTO</t>
  </si>
  <si>
    <t>MINI LA VICENTINA</t>
  </si>
  <si>
    <t>ALAJUELA GRECIA GRECIA 300 O PLAZA BO.SAN VICENTE</t>
  </si>
  <si>
    <t>ABASTECEDOR ARCO IRIS</t>
  </si>
  <si>
    <t>GRECIA, GRECIA COSTADO OESTE BAR SAN VICENTE</t>
  </si>
  <si>
    <t>COMERCIAL ALFARO 2000</t>
  </si>
  <si>
    <t>ALAJUELA, ALAJUELA DIAGONAL IGLESIA RAFAEL  POAS</t>
  </si>
  <si>
    <t>SAN RAFAEL, GUATUSO CONT CTRO EDUC LUIS RODRIGUEZ</t>
  </si>
  <si>
    <t>JUAN CARLOS ALFARO SOLIS</t>
  </si>
  <si>
    <t>SAN JOSE, ALAJUELA COSTADO E IGLESIA STA GERTRUDI</t>
  </si>
  <si>
    <t>MULTI SERVICIOS COLON</t>
  </si>
  <si>
    <t>GRECIA, GRECIA 50 N ESCUELA EULOGIA RUIZ</t>
  </si>
  <si>
    <t>GRECIA, GRECIA COSTADO SUR PLAZA SAN ISIDRO</t>
  </si>
  <si>
    <t>ABASTECEDOR LAS BRISAS</t>
  </si>
  <si>
    <t>SAN ISIDRO, ATENAS FTE PLAZA LAS BRISAS</t>
  </si>
  <si>
    <t>ABASTECEDOR MONTE REY</t>
  </si>
  <si>
    <t>SAN RAFAEL, GUATUSO 1 KM O CRUCE B.GUADALUPE</t>
  </si>
  <si>
    <t>SUPER EL BAJO DE ZARCERO S.A.</t>
  </si>
  <si>
    <t>ALAJUELA ZARCERO ZARCERO 100 E PLAZA ZARCERO</t>
  </si>
  <si>
    <t>SODA HERMANOS ROJAS</t>
  </si>
  <si>
    <t>ALAJUELA ZARCERO LAGUNA COSTADO N G.A.R. TAPEZCO</t>
  </si>
  <si>
    <t>SUPER COOPEBRISAS</t>
  </si>
  <si>
    <t>ALAJUELA ZARCERO TAPEZCO COSTADO E HERMITA SANTA ROSA</t>
  </si>
  <si>
    <t>ALAJUELA ZARCERO ZAPOTE 100 O DE LA HERMITA ZAPOTE</t>
  </si>
  <si>
    <t>CADENA COMERCIAL DE NARANJO SA</t>
  </si>
  <si>
    <t>NARANJO, NARANJO COSTADO O MERCADO MUNICIPAL</t>
  </si>
  <si>
    <t>ALMACEN OSMAN GONZ E HNOS LTDA</t>
  </si>
  <si>
    <t>ZARCERO, ZARCERO COSTADO O PARQUE ALFARO RUIZ</t>
  </si>
  <si>
    <t>ABASTECEDOR TRES JOTAS</t>
  </si>
  <si>
    <t>ALAJUELA NARANJO SAN JERONIMO 500 O PLAZA SAN ANTONIO</t>
  </si>
  <si>
    <t>ABAST HERMANOS MURILLO</t>
  </si>
  <si>
    <t>ALAJUELA SAN RAMON VOLIO 300 O ESCUELA DE ALTO VILLEGAS</t>
  </si>
  <si>
    <t>ABASTECEDOR PALMIRA</t>
  </si>
  <si>
    <t>ALAJUELA ZARCERO PALMIRA COSTADO S ERMITA DE PALMIRA</t>
  </si>
  <si>
    <t>ALAJUELA, ALAJUELA 100 S ESCUELA SAN JOSE</t>
  </si>
  <si>
    <t>JM</t>
  </si>
  <si>
    <t>BUENOS AIRES, PALMARES 100 N PLAZA BUENOS AIRES</t>
  </si>
  <si>
    <t>MINI SUPER CENTRAL #3</t>
  </si>
  <si>
    <t>SAN RAFAEL, ALAJUELA 800 S INSTITUTO JULIO ACOSTA</t>
  </si>
  <si>
    <t>SANTIAGO, PALMARES 2 KM O SANTIAGO SAN RAMON</t>
  </si>
  <si>
    <t>COMISARIATO LA PAZ</t>
  </si>
  <si>
    <t>ALAJUELA SAN RAMON PIEDADES NORTE 100 S ESC FCO JOSE ORLICH</t>
  </si>
  <si>
    <t>PULP. BAJO ZUÑIGA</t>
  </si>
  <si>
    <t>ANGELES, SAN RAMON 50 N ESCUELA BAJO ZUNIGA</t>
  </si>
  <si>
    <t>CACESA SUPERMERCADOS</t>
  </si>
  <si>
    <t>ALAJUELA SAN RAMON ALFARO 25 O ESCUELA SAN PEDRO SN RAMO</t>
  </si>
  <si>
    <t>PULPERIA SAN MIGUEL</t>
  </si>
  <si>
    <t>ALAJUELA SAN RAMON PIEDADES SUR 200 E IGLESIA DESN MIGUEL</t>
  </si>
  <si>
    <t>ARIAS INVERSIONES A Y F S.A.</t>
  </si>
  <si>
    <t>PIEDADES SUR, SAN RAMON FTE SALON MULTIUSOS PIEDADES S</t>
  </si>
  <si>
    <t>GUILLEN MEDINA JACKSON</t>
  </si>
  <si>
    <t>ALFARO, SAN RAMON COSTADO OESTE PLAZA SN PEDRO</t>
  </si>
  <si>
    <t>SUPER LOS GATOS</t>
  </si>
  <si>
    <t>ALAJUELA POAS SAN JUAN 150 S POLIDEPORTIVO  C.ANGELES</t>
  </si>
  <si>
    <t>MINI SUPER CHAVEZ</t>
  </si>
  <si>
    <t>SAN ISIDRO, ALAJUELA FTE IGLESIA SAN ISIDRO SN RAMO</t>
  </si>
  <si>
    <t>ABASTECEDOR EL ESTADIO</t>
  </si>
  <si>
    <t>NARANJO, NARANJO COST NORTE ESTADIO DE NARANJO</t>
  </si>
  <si>
    <t>NARANJO, NARANJO 100 N 25 O ESCUELA  SAN RAFAEL</t>
  </si>
  <si>
    <t>SUPER LAS AMERICAS</t>
  </si>
  <si>
    <t>NARANJO, NARANJO 100 M SUR ESCUELA CANDELARIA</t>
  </si>
  <si>
    <t>PULPERIA NAZARETH</t>
  </si>
  <si>
    <t>ALAJUELA SAN RAMON SAN RAFAEL 50 E ESCUELA RINCON OROZCO</t>
  </si>
  <si>
    <t>SUPER CAMARY</t>
  </si>
  <si>
    <t>SAN RAMON, SAN RAMON 200 S IGLESIA</t>
  </si>
  <si>
    <t>SÚPER MARIO SAN RAMÓN S.A</t>
  </si>
  <si>
    <t>ALAJUELA SAN RAMON SAN RAMON 200 NORTE MERCADO CENTRAL</t>
  </si>
  <si>
    <t>LA UNION</t>
  </si>
  <si>
    <t>ALAJUELA ALAJUELA SAN RAFAEL 50 O ESCUELA LA UNION SN RAMON</t>
  </si>
  <si>
    <t>PULPERIA SAN CARLOS</t>
  </si>
  <si>
    <t>ALAJUELA SAN RAMON SAN RAMON COSEVI PLANTEL DE PRUEBAS 50M NORTE</t>
  </si>
  <si>
    <t>SUPER DOS</t>
  </si>
  <si>
    <t>ZARAGOZA, PALMARES 300 SUR ESCUELA CALLE VARGAS</t>
  </si>
  <si>
    <t>SUPER EL RINCON</t>
  </si>
  <si>
    <t>ZARAGOZA, PALMARES 100 E ESCUELA PABLO ALVARADO</t>
  </si>
  <si>
    <t>SUPER AYMA</t>
  </si>
  <si>
    <t>ALAJUELA PALMARES PALMARES 200 NORTE CAPILLA SANTIAGO</t>
  </si>
  <si>
    <t>MINI SUPER BRAYKA ZARAGOZA</t>
  </si>
  <si>
    <t>ZARAGOZA, PALMARES COSTADO OESTE DEL PARQUE ZARAG</t>
  </si>
  <si>
    <t>PULPERIA LA CHATA</t>
  </si>
  <si>
    <t>ZARAGOZA, PALMARES 250 SUR DE LA PLAZA ZARAGOZA</t>
  </si>
  <si>
    <t>ABASTECEDOR YEBRANO</t>
  </si>
  <si>
    <t>CARTAGO JIMENEZ TUCURRIQUE 200 E PUENTE SABANILLAS</t>
  </si>
  <si>
    <t>MINI SUPER PALMERITAS</t>
  </si>
  <si>
    <t>CARTAGO TURRIALBA TAYUTIC FTE SALON COMUNAL PLATANILLO</t>
  </si>
  <si>
    <t>ABASTECEDOR LA CLARITA</t>
  </si>
  <si>
    <t>CARTAGO TURRIALBA LA SUIZA 500 E BNCR LA SUIZA</t>
  </si>
  <si>
    <t>LA SUIZA, TURRIALBA FRENTE ESC PLATANILLO LA SUIZA</t>
  </si>
  <si>
    <t>PAVONES, TURRIALBA 125 O ESCUELA JAVILLOS</t>
  </si>
  <si>
    <t>SANTA ROSA, OREAMUNO 25S SUPERCHITARIA</t>
  </si>
  <si>
    <t>ABASTECEDOR LA GLORIA</t>
  </si>
  <si>
    <t>TURRIALBA, TURRIALBA BO PUEBLO NUEVO TURRIALBA</t>
  </si>
  <si>
    <t>ABASTECEDOR DON PEPE</t>
  </si>
  <si>
    <t>TURRIALBA, TURRIALBA BARRIO ALTO CRUZ</t>
  </si>
  <si>
    <t>ABASTECEDOR LA VIOLETA</t>
  </si>
  <si>
    <t>TURRIALBA, TURRIALBA BARRIO EL REPASTO</t>
  </si>
  <si>
    <t>ABAST. Y BAR LA NAVIDENA</t>
  </si>
  <si>
    <t>CARTAGO PARAISO PARAISO 400 E CEMENTERIO  SANTIAGO</t>
  </si>
  <si>
    <t>ABASTECEDOR RIVERA</t>
  </si>
  <si>
    <t>SANTA ROSA, OREAMUNO SANTA ROSA</t>
  </si>
  <si>
    <t>ABASTECEDOR ROJAS</t>
  </si>
  <si>
    <t>CARTAGO JIMENEZ JUAN VIÑAS BARRIO EL INVU DE JUAN VIÑAS</t>
  </si>
  <si>
    <t>MINI SUPER SANTA MARTA</t>
  </si>
  <si>
    <t>CARTAGO JIMENEZ JUAN VIÑAS MARAVILLA JUAN VIÑAS</t>
  </si>
  <si>
    <t>ABASTECEDOR LA GAVIOTA</t>
  </si>
  <si>
    <t>SAN RAFAEL, SAN RAMON 100 O. ENTRADA AL HIPODROMO</t>
  </si>
  <si>
    <t>TITANIC</t>
  </si>
  <si>
    <t>ALAJUELA SAN RAMON SAN RAFAEL 25S DEL CRISTO DE PIEDRA SAN RAFAEL DE</t>
  </si>
  <si>
    <t>ABAST. LA CENTRAL</t>
  </si>
  <si>
    <t>ALAJUELA SAN RAMON SAN RAFAEL 300 O ESCUELA SN PAUL RAFAEL</t>
  </si>
  <si>
    <t>ABAST. COCORO</t>
  </si>
  <si>
    <t>SAN RAFAEL, SAN RAMON 200 O CRUCE RADIAL SN RAFAEL</t>
  </si>
  <si>
    <t>ABASTECEDOR LA PALMA</t>
  </si>
  <si>
    <t>LA ASUNCION, BELEN COSTADO E CANCHA LA ASUNCION</t>
  </si>
  <si>
    <t>ABAST. LA FLOR</t>
  </si>
  <si>
    <t>SAN JOSÉ SANTA ANA POZOS POZOS LA CHISPA</t>
  </si>
  <si>
    <t>ABASTECEDOR ZA ZEG</t>
  </si>
  <si>
    <t>ALAJUELA SAN RAMON SAN RAFAEL CALLE LOURDES</t>
  </si>
  <si>
    <t>ALAJUELA SAN RAMON SAN RAFAEL ENTRADA URB. LA PAZ</t>
  </si>
  <si>
    <t>ABASTECEDOR RAMIREZ</t>
  </si>
  <si>
    <t>SAN RAFAEL, SAN RAMON URB. MARIA AUXILIADORA REFORMA</t>
  </si>
  <si>
    <t>SUPER MILI</t>
  </si>
  <si>
    <t>SAN ANTONIO, BELEN ESCOBAL DE SN. ANTONIO BELEN</t>
  </si>
  <si>
    <t>ABASTECEDOR COQUENA</t>
  </si>
  <si>
    <t>GUACIMA, ALAJUELA SANTIAGO OESTE COCO</t>
  </si>
  <si>
    <t>ZAVALA ROJAS Y ASOCIADOS SOCIE</t>
  </si>
  <si>
    <t>ALAJUELA, ALAJUELA FTE IGLESIA STA EDUVIGUES</t>
  </si>
  <si>
    <t>SUPER SAGUE</t>
  </si>
  <si>
    <t>RIO SEGUNDO, ALAJUELA 125 E. DE LA IGLESIA</t>
  </si>
  <si>
    <t>SUPER BERMARK</t>
  </si>
  <si>
    <t>DESAMPARADOS, ALAJUELA 100 N. SEMAFORO</t>
  </si>
  <si>
    <t>SUPER TIA ISA</t>
  </si>
  <si>
    <t>DESAMPARADOS, ALAJUELA FRENTE AL TELEFONO PUBLICO</t>
  </si>
  <si>
    <t>ABASTECEDOR TRES HERMANOS</t>
  </si>
  <si>
    <t>DESAMPARADOS, ALAJUELA BO. LA CLAUDIA 50E DE LA CASITA DEL PAN</t>
  </si>
  <si>
    <t>MINI SUPER CESPEDES Y ROJAS</t>
  </si>
  <si>
    <t>HEREDIA BARVA SAN PEDRO SAN PEDRO</t>
  </si>
  <si>
    <t>SUPER DON CARLOS</t>
  </si>
  <si>
    <t>SAN PEDRO, BARVA 50 SUR PLAZA SAN PEDRO</t>
  </si>
  <si>
    <t>MINI SUPER LA VISION</t>
  </si>
  <si>
    <t>HEREDIA HEREDIA HEREDIA 25 O 150 S SALON COMUNAL BARRE</t>
  </si>
  <si>
    <t>MINI SUPER. GUADALUPE</t>
  </si>
  <si>
    <t>ALAJUELA, ALAJUELA 300 PO DE ESCUELA GUADALUPE</t>
  </si>
  <si>
    <t>SUPER ANNIA</t>
  </si>
  <si>
    <t>RIO SEGUNDO, ALAJUELA 200 O DE LA ESCUELA</t>
  </si>
  <si>
    <t>ABASTECEDOR KENDALL</t>
  </si>
  <si>
    <t>DESAMPARADOS, ALAJUELA PRECARIO INVU  N. 2</t>
  </si>
  <si>
    <t>SUPER CHISCO</t>
  </si>
  <si>
    <t>HEREDIA, HEREDIA 150 N INDUST CIBELES</t>
  </si>
  <si>
    <t>HEREDIA, HEREDIA 100 E. 100 S. DE LA ESC. SUIZA</t>
  </si>
  <si>
    <t>ANGELES, SAN RAFAEL DEL REST PONTE VEDRA 100 NO</t>
  </si>
  <si>
    <t>20 DE JULIO</t>
  </si>
  <si>
    <t>ANGELES, SAN RAFAEL 400 E IGLESIA LOS ANGELES</t>
  </si>
  <si>
    <t>SUPER S.K</t>
  </si>
  <si>
    <t>SAN RAFAEL, SAN RAFAEL 100 E IGLESIA SAN RAFAEL</t>
  </si>
  <si>
    <t>LA FAVORITA</t>
  </si>
  <si>
    <t>SAN PEDRO, BARVA 800SO LA LUNA DE VALENCI</t>
  </si>
  <si>
    <t>SUPER EL PARQUECITO</t>
  </si>
  <si>
    <t>BARVA, BARVA COSTADO O. DEL PARQUE</t>
  </si>
  <si>
    <t>GUAYANCY</t>
  </si>
  <si>
    <t>BARVA, BARVA 50 ESTE PARQUE DE SAN PEDRO</t>
  </si>
  <si>
    <t>LA CENTRAL</t>
  </si>
  <si>
    <t>SAN FRANCISCO, HEREDIA 100 O DEL SALON COMUNAL</t>
  </si>
  <si>
    <t>SUPER SILMA</t>
  </si>
  <si>
    <t>BRASIL, SANTA ANA 350 NE ENT.LOS ANGELES</t>
  </si>
  <si>
    <t>MINI SUPER JIMENEZ</t>
  </si>
  <si>
    <t>SAN JOSÉ MORA COLON 500 O.BOMBA DE GASOLINA</t>
  </si>
  <si>
    <t>ABASTECEDOR EL AMIGO</t>
  </si>
  <si>
    <t>COLON, MORA 400 O. 50 N. CADENA DETALLISTA</t>
  </si>
  <si>
    <t>LA DESPENSA</t>
  </si>
  <si>
    <t>COLON, MORA 25 E. MUNICIPALIDAD</t>
  </si>
  <si>
    <t>AUTOMERCADO EL BUEN PRECIO</t>
  </si>
  <si>
    <t>COLON, MORA 100 N. 25 O  PALACIO MUNICIPAL</t>
  </si>
  <si>
    <t>SUPER MASSOL</t>
  </si>
  <si>
    <t>COLON, MORA COSTADO O ESC ROGELIO FERNANDE</t>
  </si>
  <si>
    <t>ABASTECEDOR SANTA CECILIA</t>
  </si>
  <si>
    <t>COLON, MORA CARRETERA A PURISCAL</t>
  </si>
  <si>
    <t>SUPER SAN JUAN</t>
  </si>
  <si>
    <t>SANTA ANA, SANTA ANA FRENTE AL COLEGIO SANTA ANA</t>
  </si>
  <si>
    <t>PULPERIA LA MINA</t>
  </si>
  <si>
    <t>CARMEN, SAN JOSE 25 N ESCUELA LA MINA BO ESPANA</t>
  </si>
  <si>
    <t>SUPER PIEDADES</t>
  </si>
  <si>
    <t>PIEDADES, SANTA ANA ULTIMA PARADA BUSES PIEDADES</t>
  </si>
  <si>
    <t>ABASTECEDOR EL VIEJO RINCON</t>
  </si>
  <si>
    <t>SALITRAL, SANTA ANA 1KM S 300 O BOMBA HNOS MONGE</t>
  </si>
  <si>
    <t>SALITRAL, SANTA ANA 1300 S BOMBA HNOS MONGE</t>
  </si>
  <si>
    <t>MINI SUPER BELEMITA</t>
  </si>
  <si>
    <t>SANTA ANA, SANTA ANA DE POLLOS PIGO 50 MTS NORTE</t>
  </si>
  <si>
    <t>PULP. LA ALAMEDA</t>
  </si>
  <si>
    <t>PIEDADES, SANTA ANA 300 S 50 E DE ENRAMADA</t>
  </si>
  <si>
    <t>SUPER SUNTUOSO</t>
  </si>
  <si>
    <t>SAN ANTONIO, ALAJUELA 150 O.DE LA PLAZA</t>
  </si>
  <si>
    <t>SUPER MAR Y SOL</t>
  </si>
  <si>
    <t>SAN ANTONIO, ALAJUELA 500 O 50 S PLAZA EL ROBLE</t>
  </si>
  <si>
    <t>INVERSIONES MORERA Y MORERA</t>
  </si>
  <si>
    <t>SAN ANTONIO, ALAJUELA 300 E DE LA PLAZA EL ROBLE</t>
  </si>
  <si>
    <t>BETO SODAS</t>
  </si>
  <si>
    <t>SAN RAFAEL, SAN RAMON COST SUR PANASONIC SAN RAFAEL</t>
  </si>
  <si>
    <t>SAN ANTONIO, ALAJUELA 25 E FABRICA SOL Y SOL</t>
  </si>
  <si>
    <t>SUPER MERCADO ALEX</t>
  </si>
  <si>
    <t>SAN ANTONIO, ALAJUELA 25 S  ESCUELA DE MONTECILLOS</t>
  </si>
  <si>
    <t>ABAST. LA PALMA</t>
  </si>
  <si>
    <t>HEREDIA HEREDIA HEREDIA 200 E ESC. CLETO GONZALEZ V.</t>
  </si>
  <si>
    <t>ABASTECEDOR BUENOS AIRES</t>
  </si>
  <si>
    <t>SAN RAFAEL, SAN RAFAEL 50 ESTE SUPER CENTRAL PERALTA</t>
  </si>
  <si>
    <t>SUPER VILCHEZ</t>
  </si>
  <si>
    <t>HEREDIA, HEREDIA 225 OE ESQUINA N IGLESIA</t>
  </si>
  <si>
    <t>SUPER EL MARINO</t>
  </si>
  <si>
    <t>SAN PABLO, SAN PABLO 250 E 100 N INST METEREOLOGICO</t>
  </si>
  <si>
    <t>ABAST. EL PALMAR</t>
  </si>
  <si>
    <t>SAN RAFAEL, SAN RAFAEL FRENTE IGLESIA PALMAR</t>
  </si>
  <si>
    <t>SUPER SANCHEZ</t>
  </si>
  <si>
    <t>SAN RAFAEL, SAN RAFAEL 200N DEL BAR TATOS</t>
  </si>
  <si>
    <t>SUPER EL TUCAN</t>
  </si>
  <si>
    <t>SAN JUAN, NARANJO FTE ESCUELA SAN JUAN DE POAS</t>
  </si>
  <si>
    <t>ABASTECEDOR GATO VERDE</t>
  </si>
  <si>
    <t>SAN JOSE, ATENAS 850 E IGLESIA CALLE CARRANZA</t>
  </si>
  <si>
    <t>SAN JOSE, ATENAS COSTAOD O. PARQUE LA TRINIDAD</t>
  </si>
  <si>
    <t>COMERCIAL MEDIA LUNA</t>
  </si>
  <si>
    <t>GARITA, ALAJUELA 50 O ESTACION SERVICIO GARITA</t>
  </si>
  <si>
    <t>SUPER MADRIGAL</t>
  </si>
  <si>
    <t>GARITA, ALAJUELA 1 KM E FIESTA DEL MAIZ GARITA</t>
  </si>
  <si>
    <t>SUPER CEBADILLA</t>
  </si>
  <si>
    <t>ALAJUELA ALAJUELA TURRUCARES CEBADILLA DE TURRUCARES</t>
  </si>
  <si>
    <t>SUPER LA MANDARINA</t>
  </si>
  <si>
    <t>SAN JOSE, ATENAS 1 KM.O FAB.LA BLOQUERA SN JOSE</t>
  </si>
  <si>
    <t xml:space="preserve">     JIANLIANG HE</t>
  </si>
  <si>
    <t>GARITA, ALAJUELA 50MTS OESTE DE LA IGLESIA CATÓLICA</t>
  </si>
  <si>
    <t>SUPER EL ALMENDRO</t>
  </si>
  <si>
    <t>GARITA, ALAJUELA 1KM O DE LA IGLESIA COYOL</t>
  </si>
  <si>
    <t>SUPER K</t>
  </si>
  <si>
    <t>ALAJUELA ATENAS SAN JOSE 200 O 300 N DE IGLESIA</t>
  </si>
  <si>
    <t>SUPER EL SOL</t>
  </si>
  <si>
    <t>SAN JOSE, ATENAS 200 S 100 E ARROCERA CR PACTO</t>
  </si>
  <si>
    <t>SUPER VIDAL</t>
  </si>
  <si>
    <t>TURRUCARES, ALAJUELA 250 O CLUB TIERRA NUEVA</t>
  </si>
  <si>
    <t>ABASTECEDOR CARLOS LUIS</t>
  </si>
  <si>
    <t>SAN JOSE, ATENAS 125 S JABONERIA SAN VICENTE</t>
  </si>
  <si>
    <t>SUPER MARVELLA</t>
  </si>
  <si>
    <t>SAN JOSE, ATENAS CONT.A LA PLAZA PUEBLO NUEVO</t>
  </si>
  <si>
    <t>ABASTECEDOR SONRISAS</t>
  </si>
  <si>
    <t>ALAJUELA ALAJUELA TAMBOR 300 E 25 S SN MIGUEL TUETAL N</t>
  </si>
  <si>
    <t>MINI SUPER LA REINA DEL SUR</t>
  </si>
  <si>
    <t>SAN JOSE, ATENAS 200 SE DE ESCUELA TUETAL SUR</t>
  </si>
  <si>
    <t>ABASTECEDOR EL DURAZNO</t>
  </si>
  <si>
    <t>SAN ISIDRO, SAN RAMON 200 O DE LA GRANJA CAMAREOCA</t>
  </si>
  <si>
    <t>ABASTECEDOR YIRET</t>
  </si>
  <si>
    <t>SAN ISIDRO, SAN RAMON DIVISION TACACORI Y TAMBOR</t>
  </si>
  <si>
    <t>SUPER MERCADO K-MART S.A.</t>
  </si>
  <si>
    <t>ALAJUELA, ALAJUELA FRENTE A G.A.R. SAN ISIDRO</t>
  </si>
  <si>
    <t>ABASTECEDOR MERCADITO</t>
  </si>
  <si>
    <t>SAN ISIDRO, SAN RAMON 100 O IGLESIA SAN ISIDRO</t>
  </si>
  <si>
    <t>MINI SUPER 15 DE SETIEMBRE</t>
  </si>
  <si>
    <t>TAMBOR, ALAJUELA 100 E. ESCUELA RINCON</t>
  </si>
  <si>
    <t>MINI SUPER SAN RAFAEL</t>
  </si>
  <si>
    <t>TAMBOR, ALAJUELA 1KM NORTE CHANCHA DE TAMBOR</t>
  </si>
  <si>
    <t>AUTO SERVICIO EL FARO</t>
  </si>
  <si>
    <t>SAN PEDRO, POAS 200 SE DE PARQUE SN PEDRO POAS</t>
  </si>
  <si>
    <t>MARKET MAD</t>
  </si>
  <si>
    <t>SAN ISIDRO, SAN RAMON 100 E FAB.PUNTO ROJO SN MARTIN</t>
  </si>
  <si>
    <t>ABASTECEDOR EL MANGO</t>
  </si>
  <si>
    <t>TAMBOR, ALAJUELA 1.5 KM S ESCVUELA CACAO</t>
  </si>
  <si>
    <t>SAN JOSE, ATENAS URB. LA ALAJUELA PUEBLO NUEVO</t>
  </si>
  <si>
    <t>MINI SUPER ISMAEL</t>
  </si>
  <si>
    <t>SAN ISIDRO, SAN RAMON 800 S ESCUELA TACACORI</t>
  </si>
  <si>
    <t>MINI SUPER HAYDA</t>
  </si>
  <si>
    <t>ALAJUELA ALAJUELA SAN ISIDRO 100 E 1ERA ENTRADA ITIQUIS</t>
  </si>
  <si>
    <t>SUPER TAURO</t>
  </si>
  <si>
    <t>SABANA REDONDA, POAS COSTADO O ESCUELA SABANA REDON</t>
  </si>
  <si>
    <t>ABAST. FRESAS</t>
  </si>
  <si>
    <t>SABANA REDONDA, POAS 25 O DE JAULARES FRAIJANES</t>
  </si>
  <si>
    <t>LOJIMA REAL S.A</t>
  </si>
  <si>
    <t>BARBACOAS, PURISCAL FTE A LA IGLESIA</t>
  </si>
  <si>
    <t>SUPER LLERRY</t>
  </si>
  <si>
    <t>CARMEN, SAN JOSE 2KM NOROESTE CUERPO D BOMBEROS</t>
  </si>
  <si>
    <t>PULP. LAURA</t>
  </si>
  <si>
    <t>SAN JOSÉ PURISCAL MERCEDES SUR 25 N ENT B.LA PALMA</t>
  </si>
  <si>
    <t>SÚPER BELSY</t>
  </si>
  <si>
    <t>TABARCIA, MORA 100 E IGLESIA TABARCIA</t>
  </si>
  <si>
    <t>MINI SUPER CUBILLO</t>
  </si>
  <si>
    <t>GUAYABO, MORA FRENTE ESCUELA GUAYAVO MORA</t>
  </si>
  <si>
    <t>PULP. EL VALLE</t>
  </si>
  <si>
    <t>CARMEN, SAN JOSE FTE OFIC.DEL MAG</t>
  </si>
  <si>
    <t>MINI SUPER LOS BOMBEROS</t>
  </si>
  <si>
    <t>CARMEN, SAN JOSE COSTADO S DE LOS BOMBEROS</t>
  </si>
  <si>
    <t>SUPER LOS JAULARES</t>
  </si>
  <si>
    <t>CARMEN, SAN JOSE FTE ESCUELA SAN RAMON</t>
  </si>
  <si>
    <t>ABAST. LINDA VISTA</t>
  </si>
  <si>
    <t>CARMEN, SAN JOSE SAN ANTONIO ABAJO</t>
  </si>
  <si>
    <t>PULPERIA EL NARANJITO</t>
  </si>
  <si>
    <t>CARMEN, SAN JOSE DIAGONAL TEMPLO TABARCIA</t>
  </si>
  <si>
    <t>SUPER TRIGUEROS</t>
  </si>
  <si>
    <t>ATENAS, ATENAS RIO GRANDE ATENAS FTE PARQUE</t>
  </si>
  <si>
    <t>ABASTECEDOR GUAPINOL</t>
  </si>
  <si>
    <t>SANTA EULALIA, ATENAS 500 N DE LA ESCUELA</t>
  </si>
  <si>
    <t>ABASTECEDOR SAN ANTONIO</t>
  </si>
  <si>
    <t>JESUS, ATENAS 100 E ESCUELA BO CORAZON JESUS</t>
  </si>
  <si>
    <t>ALAJUELA ATENAS MERCEDES B. FATIMA  ATENAS</t>
  </si>
  <si>
    <t>SUPER RODYCA</t>
  </si>
  <si>
    <t>ALAJUELA ALAJUELA ALAJUELA 300 N LICEO POAS, SAN PEDRO PO</t>
  </si>
  <si>
    <t>SUPER JELOGAM</t>
  </si>
  <si>
    <t>ATENAS, ATENAS ATENAS</t>
  </si>
  <si>
    <t>PULPERIA ARGUEDAS</t>
  </si>
  <si>
    <t>ATENAS, ATENAS LOS ANGELES ATENAS LA PRESA</t>
  </si>
  <si>
    <t>AUTO SERVICIO LIZANO</t>
  </si>
  <si>
    <t>ATENAS, ATENAS FTE A LA IGLESIA LOS ANGELES</t>
  </si>
  <si>
    <t>MINI SÚPER DON LICHO</t>
  </si>
  <si>
    <t>SAN ISIDRO, GRECIA 200 O DE LA ESCUELA</t>
  </si>
  <si>
    <t>ABASTECEDOR NOSARA</t>
  </si>
  <si>
    <t>ATENAS, ATENAS ATENAS CENTRO URB LOS OLIVOS</t>
  </si>
  <si>
    <t>ABAST PORRAS Y CAMPOS</t>
  </si>
  <si>
    <t>ALAJUELA, ALAJUELA 300 O DEL PUESTO SALUD</t>
  </si>
  <si>
    <t>AUTO SERVICIO SANTA MONICA</t>
  </si>
  <si>
    <t>SAN JOSE DE LA MONTA, BARVA 100 E 100 N IGLESIA SN JOSE M</t>
  </si>
  <si>
    <t>SODA 2</t>
  </si>
  <si>
    <t>ULLOA, HEREDIA CENADA BARREAL DE HEREDIA</t>
  </si>
  <si>
    <t>ABAST. ST. CECILIA</t>
  </si>
  <si>
    <t>HEREDIA HEREDIA HEREDIA 1 KM O IGL. SAN FRANCISCO</t>
  </si>
  <si>
    <t>PULP. LA VIOLETA</t>
  </si>
  <si>
    <t>HEREDIA, HEREDIA ESQUINQ NE.PAL.DEPORTES</t>
  </si>
  <si>
    <t>ABASTECEDOR EL ARROYO</t>
  </si>
  <si>
    <t>ALAJUELA, ALAJUELA 200 N. BOMBA TROPICANA</t>
  </si>
  <si>
    <t>SÚPER OFERTAS</t>
  </si>
  <si>
    <t>HEREDIA SAN RAFAEL SAN RAFAEL 100 E. 100 S. DE LA ESC. SUIZA</t>
  </si>
  <si>
    <t>MINI SUPER ZAL</t>
  </si>
  <si>
    <t>ALAJUELA, ALAJUELA 200 O DE LOS TRIBUNALES DE JUSTICIA</t>
  </si>
  <si>
    <t>SUPER DEL BOSQUE</t>
  </si>
  <si>
    <t>ALAJUELA SAN RAMON SAN RAFAEL 150 O 25 S COBESA</t>
  </si>
  <si>
    <t>MINISUPER EVENEZER</t>
  </si>
  <si>
    <t>SAN RAFAEL, SAN RAMON URBANIZACION LA PAZ</t>
  </si>
  <si>
    <t>SAN RAFAEL, SAN RAMON FRENTE EBAIS SAN RAFAEL</t>
  </si>
  <si>
    <t>MINI SUPER Y LICORES LA FIESTA</t>
  </si>
  <si>
    <t>HEREDIA, HEREDIA 75 S DEL MERCADO HEREDIA</t>
  </si>
  <si>
    <t>ABAST. B. CHINO</t>
  </si>
  <si>
    <t>HEREDIA, HEREDIA 100S. DE PIZZA HUT</t>
  </si>
  <si>
    <t>SAN JOSE DE LA MONTA, BARVA 50 S ESCUELA SN JOSE MONTANA</t>
  </si>
  <si>
    <t>ABAST. Y PANADERÍA EL ALMENDRO</t>
  </si>
  <si>
    <t>SAN RAFAEL, SAN RAMON 100 O 200 N DE P. DEL MONTE</t>
  </si>
  <si>
    <t>JESUS, ATENAS 100 O 100 S SALON COMUNAL</t>
  </si>
  <si>
    <t>BARATON DE ORO S.A</t>
  </si>
  <si>
    <t>HEREDIA, HEREDIA DETRAS DEL CEMENTERIO</t>
  </si>
  <si>
    <t>SUPER EL GUINERO</t>
  </si>
  <si>
    <t>ALAJUELA, ALAJUELA 75  O PUENTE EL ERIZO</t>
  </si>
  <si>
    <t>DISTRIBUIDORA DOS PINOS</t>
  </si>
  <si>
    <t>EL TEJAR, EL GUARCO 100 S PARQUE TEJAR</t>
  </si>
  <si>
    <t>PULPERIA AMIGO PIO</t>
  </si>
  <si>
    <t>SAN ISIDRO, EL GUARCO 100 O 25 N BAR TROPICAL</t>
  </si>
  <si>
    <t>MINI SUPER GABY</t>
  </si>
  <si>
    <t>EL TEJAR, EL GUARCO 500 SO PUENTE TEJAR</t>
  </si>
  <si>
    <t>GUADALUPE O ARENILLA, CARTAGO URBA. VILLAS LAS AMERICAS</t>
  </si>
  <si>
    <t>SUPER DIVI</t>
  </si>
  <si>
    <t>GUADALUPE O ARENILLA, CARTAGO 100 N 100 O CEMENTERIO TEJAR</t>
  </si>
  <si>
    <t>PULPERIA ZUCHA</t>
  </si>
  <si>
    <t>CARTAGO CARTAGO SAN NICOLAS 200 O 100 S 75 O DE LA IGLESIA</t>
  </si>
  <si>
    <t>SUPER TARAS</t>
  </si>
  <si>
    <t>SAN NICOLAS, CARTAGO 100 O PLAZA SAN NICOLAS</t>
  </si>
  <si>
    <t>CREY DEL ALTO SOCIEDAD ANONIMA</t>
  </si>
  <si>
    <t>CARTAGO CARTAGO SAN NICOLAS DIAGONAL G.A.R OCHOMOGO</t>
  </si>
  <si>
    <t>PULPERIA ISRAEL</t>
  </si>
  <si>
    <t>CARTAGO CARTAGO OCCIDENTAL 125 N 25 O  PLAZA</t>
  </si>
  <si>
    <t>ABAST.MARTINEZ</t>
  </si>
  <si>
    <t>CARTAGO CARTAGO EL CARMEN 100 S DE HOGARES CREA SAN BLAS</t>
  </si>
  <si>
    <t>MINI SUPER SAN CARLOS</t>
  </si>
  <si>
    <t>CARTAGO CARTAGO ORIENTAL 300 N BASILICA</t>
  </si>
  <si>
    <t>NUEVO AMANECER</t>
  </si>
  <si>
    <t>AGUACALIENTE O SAN F, CARTAGO PROYECTO ML JIMENEZ CASA #O57</t>
  </si>
  <si>
    <t>ABASTECEDOR EL CHURUCO</t>
  </si>
  <si>
    <t>SAN RAFAEL, OREAMUNO BARRIO EL ALTO EL CRUCE</t>
  </si>
  <si>
    <t>SUPER PEÑAS BLANCAS</t>
  </si>
  <si>
    <t>CARTAGO PARAISO CACHI 50S  ESCUELA WILLIAN BRENES PEÑAS BLANCA</t>
  </si>
  <si>
    <t>SUPER E.P</t>
  </si>
  <si>
    <t>SAN RAFAEL, OREAMUNO 800 S 200 E IGLESIA SAN RAFAEL</t>
  </si>
  <si>
    <t>SUPER OSO</t>
  </si>
  <si>
    <t>AGUACALIENTE O SAN F, CARTAGO CONTIGUO DELEGACION RURAL</t>
  </si>
  <si>
    <t>ABASTECEDOR EL BARCO</t>
  </si>
  <si>
    <t>AGUACALIENTE O SAN F, CARTAGO 300 E PUENTE ENT. LOURDES</t>
  </si>
  <si>
    <t>MINI SUPER EL RIO</t>
  </si>
  <si>
    <t>CARTAGO PARAISO SANTIAGO 100 N IGLESIA RIO REGADO</t>
  </si>
  <si>
    <t>ABASTECEDOR CHAVEZ</t>
  </si>
  <si>
    <t>CARTAGO PARAISO SANTIAGO COST.N PLAZA AJENJAL  CACHI</t>
  </si>
  <si>
    <t>SÚPER EL SEÑOR 2</t>
  </si>
  <si>
    <t>CACHI, PARAISO FRENTE CLINICA C.C.S.S.</t>
  </si>
  <si>
    <t>ABAST SAN BOSCO</t>
  </si>
  <si>
    <t>PARAISO, PARAISO 125 ESTE ESCUELA EUGENIO CORR</t>
  </si>
  <si>
    <t>MINI LA LAGUNA</t>
  </si>
  <si>
    <t>PARAISO, PARAISO FTE IGLESIA LAGUNA DOÑA ANA</t>
  </si>
  <si>
    <t>ABAST SAN ANTONIO</t>
  </si>
  <si>
    <t>CARTAGO CARTAGO CORRALILLO FRENTE CENTRO SALUD SN ANTONIO</t>
  </si>
  <si>
    <t>PULPERIA PIÑAS</t>
  </si>
  <si>
    <t>CARTAGO CARTAGO CORRALILLO 500 N PLAZA LLANO LOS ANGELES</t>
  </si>
  <si>
    <t>CARTAGO CARTAGO CORRALILLO 600 N PLAZA LLANO LOS ANGELES</t>
  </si>
  <si>
    <t>SUPER EL PUEBLO</t>
  </si>
  <si>
    <t>CAPELLADES, ALVARADO 100 SUR BAR STA ANITA</t>
  </si>
  <si>
    <t>MINI SUPER SAN</t>
  </si>
  <si>
    <t>CARTAGO OREAMUNO COT DE PALI DE COT 300 AL ESTE Y SUR Y 25 E.</t>
  </si>
  <si>
    <t>SURCO SUPERMERCADO</t>
  </si>
  <si>
    <t>CARTAGO OREAMUNO POTRERO CERRADO 150 O ESTACION SERVICIO</t>
  </si>
  <si>
    <t>MINI SUPER DON VICTOR</t>
  </si>
  <si>
    <t>CARTAGO CARTAGO TIERRA BLANCA 50 N IGLESIA TIERRA BLANCA</t>
  </si>
  <si>
    <t>PULPERIA ROSA MARIA</t>
  </si>
  <si>
    <t>CARTAGO OREAMUNO POTRERO CERRADO 100 NOR ESC POTRERO CERRADO</t>
  </si>
  <si>
    <t>SUPER AMERICA NO.1</t>
  </si>
  <si>
    <t>TOBOSI, EL GUARCO 100 OESTE GUARDIA RURAL TOBOSI</t>
  </si>
  <si>
    <t>ABASTECEDOR LA SABANA</t>
  </si>
  <si>
    <t>EL TEJAR, EL GUARCO 700 O REST QUIJONGO</t>
  </si>
  <si>
    <t>ABAST LA PARADA</t>
  </si>
  <si>
    <t>LLANO GRANDE, CARTAGO FRENTE PLAZA BO. LOS ANGELES</t>
  </si>
  <si>
    <t>SUPER LA RANCHERITA</t>
  </si>
  <si>
    <t>CARTAGO CARTAGO LLANO GRANDE 600 ESTE PLAZA BO.LOSANGELES</t>
  </si>
  <si>
    <t>COMERCIAL B Y M S.A</t>
  </si>
  <si>
    <t>SAN JOSÉ TARRAZU SAN MARCOS 100 N DE SUPER TACHOS</t>
  </si>
  <si>
    <t>ABASTECEDOR FLASH</t>
  </si>
  <si>
    <t>SAN JOSÉ DESAMPARADOS SAN CRISTOBAL 25 S IGLESIA SAN CRISTOBAL</t>
  </si>
  <si>
    <t>SUPERMERCADO SAN LORENZO</t>
  </si>
  <si>
    <t>SAN LORENZO, TARRAZU 50 N DE LA PLAZA</t>
  </si>
  <si>
    <t>INVERSIONES LOS PEDROS S.A.</t>
  </si>
  <si>
    <t>CARTAGO CARTAGO ORIENTAL 300 MTS NORTE DE LA BASILICA</t>
  </si>
  <si>
    <t>APACOOP R.L.</t>
  </si>
  <si>
    <t>SAN JOSÉ LEON CORTES CASTRO SANTA CRUZ 500 E ESCUELA STA CRUZ LEON C</t>
  </si>
  <si>
    <t>SUPER CINDY</t>
  </si>
  <si>
    <t>ALAJUELA, ALAJUELA 500 N ESC SN PEDRO DE LIGRA</t>
  </si>
  <si>
    <t>ALAJUELA ALAJUELA ALAJUELA SAN JOSE DE LA TIGRA</t>
  </si>
  <si>
    <t>ABASTECEDOR EL RECREO</t>
  </si>
  <si>
    <t>ALAJUELA, ALAJUELA DIAGONAL ESC. SN FCO FLORENCIA</t>
  </si>
  <si>
    <t>MINISUPER ORTIZ SAN ISIDRO</t>
  </si>
  <si>
    <t>ALAJUELA ALAJUELA ALAJUELA SAN ISIDRO DE LA FORTUNA</t>
  </si>
  <si>
    <t>SUPER LA ESPERANZA</t>
  </si>
  <si>
    <t>QUESADA, SAN CARLOS 200 S BAR ESTADIO BO SN MARTIN</t>
  </si>
  <si>
    <t>ABASTECEDOR EL CRUCE</t>
  </si>
  <si>
    <t>ALAJUELA, ALAJUELA 50 DEL PUESTO G.A.R. BAJO RODR</t>
  </si>
  <si>
    <t>ABASTECEDOR SANTA RITA</t>
  </si>
  <si>
    <t>ALAJUELA, ALAJUELA SANTA RITA DE FLORENCIA</t>
  </si>
  <si>
    <t>ALAJUELA ALAJUELA ALAJUELA 50 E IGLESIA CEDRAL</t>
  </si>
  <si>
    <t>SUPER CORAZON</t>
  </si>
  <si>
    <t>ALAJUELA SAN CARLOS VENECIA 800 N DE IMAGEN CORAZON JESUS</t>
  </si>
  <si>
    <t>ALAJUELA, ALAJUELA CONTIGUO PUENTE LOS NEGRITOS</t>
  </si>
  <si>
    <t>SUPER MARSELLA</t>
  </si>
  <si>
    <t>ALAJUELA, ALAJUELA 100 O DE ESC DE MARCELLA VENEC</t>
  </si>
  <si>
    <t>SUPER FRANK</t>
  </si>
  <si>
    <t>QUESADA, SAN CARLOS 5O S BOMBA TEXACO CIUDAD QUES.</t>
  </si>
  <si>
    <t>ABASTECEDOR SAN LUIS</t>
  </si>
  <si>
    <t>ALAJUELA ALAJUELA ALAJUELA URB SAN LUIS CIUDAD QUESADA</t>
  </si>
  <si>
    <t>QUESADA, SAN CARLOS COST.NE IGLESIA CIUDAD QUESADA</t>
  </si>
  <si>
    <t>COMISARIATO TANQUE</t>
  </si>
  <si>
    <t>ALAJUELA SAN CARLOS LA FORTUNA EL TANQUE DE LA FORTUNA</t>
  </si>
  <si>
    <t>SUPER SONAFLUCA</t>
  </si>
  <si>
    <t>ALAJUELA ALAJUELA ALAJUELA ZONA FLUCA FRENTE IGLESIA</t>
  </si>
  <si>
    <t>LA PULPE DON BOLIVAR</t>
  </si>
  <si>
    <t>ALAJUELA SAN CARLOS PITAL 75M SUR SALON COMUNAL PITAL</t>
  </si>
  <si>
    <t>PITAL, SAN CARLOS 150 O SALON COMUNAL</t>
  </si>
  <si>
    <t>QUESADA, SAN CARLOS 500 SUR ESC SAN JUAN CIUDAD QUESADA</t>
  </si>
  <si>
    <t>ABASTECEDOR LOPEZ</t>
  </si>
  <si>
    <t>AGUAS ZARCAS, SAN CARLOS 100 N ESC SAN JOSE AGUA ZARCAS</t>
  </si>
  <si>
    <t>SUPER LUZ</t>
  </si>
  <si>
    <t>AGUAS ZARCAS, SAN CARLOS 100 N URB LA CAPORAL</t>
  </si>
  <si>
    <t>SUPER SANTA  MONICA</t>
  </si>
  <si>
    <t>AGUAS ZARCAS, SAN CARLOS FRENTE IGLESIA RIO CUARTO</t>
  </si>
  <si>
    <t>MINI SUPER CHAPARRAL</t>
  </si>
  <si>
    <t>ALAJUELA, ALAJUELA I KM AL NORTE DEL SALON COMUNAL DE</t>
  </si>
  <si>
    <t>SURTIDOR VERACRUZ</t>
  </si>
  <si>
    <t>PUNTARENAS PUNTARENAS PUNTARENAS 100 MTS SUR LICEO JOSE MARTI</t>
  </si>
  <si>
    <t>PULPERIA CINTHYA</t>
  </si>
  <si>
    <t>PUNTARENAS PUNTARENAS BARRANCA 150 S DE LA ESCUELA</t>
  </si>
  <si>
    <t>ABASTECEDOR LOS RODRIGUEZ</t>
  </si>
  <si>
    <t>BARRANCA, PUNTARENAS CASA 449 6TA ALAMEDA ALMENDROS</t>
  </si>
  <si>
    <t>SUPER Y CARNES JOHAYA</t>
  </si>
  <si>
    <t>PUNTARENAS PUNTARENAS BARRANCA 100 O IMPORTADORA MONGE</t>
  </si>
  <si>
    <t>ABASTECEDOR WACHY</t>
  </si>
  <si>
    <t>PUNTARENAS PUNTARENAS BARRANCA 500 S ENTRADA DE STA ROSA</t>
  </si>
  <si>
    <t>SUPER EL CHUNCHE</t>
  </si>
  <si>
    <t>PUNTARENAS ESPARZA ESPIRITU SANTO 300 E ESCUELA MOJON DE ESPARZA</t>
  </si>
  <si>
    <t>SURTIDOR KILOMETRO</t>
  </si>
  <si>
    <t>ALAJUELA OROTINA OROTINA BARRIO KILOMETRO OROTINA</t>
  </si>
  <si>
    <t>SURTIDOR JIMENEZ</t>
  </si>
  <si>
    <t>ALAJUELA OROTINA OROTINA BARRIO KILOMETRO # 1 OROTINA</t>
  </si>
  <si>
    <t>GRUPO CI W SOCIEDAD ANONIMA</t>
  </si>
  <si>
    <t>ALAJUELA OROTINA EL MASTATE 200 OESTE DE LA ESCUELA RAMONA SOSA</t>
  </si>
  <si>
    <t>PULPERIA FIORELLA</t>
  </si>
  <si>
    <t>PUNTARENAS PUNTARENAS PUNTARENAS 100 O 200 S SUPER FRUTASTICA</t>
  </si>
  <si>
    <t>ABASTECEDOR LIMONAL</t>
  </si>
  <si>
    <t>GUANACASTE ABANGARES LAS JUNTAS DIAGONAL BOMBA TOTAL</t>
  </si>
  <si>
    <t>SUPER MERCADO LAS JUNTAS</t>
  </si>
  <si>
    <t>LAS JUNTAS, ABANGARES COSTADO SUR DEL MERCADO</t>
  </si>
  <si>
    <t>PUNTARENAS PUNTARENAS MANZANILLO CONTIGUO A LA DELAGACION POLIC</t>
  </si>
  <si>
    <t>SUPER SARDINAL</t>
  </si>
  <si>
    <t>PUNTARENAS PUNTARENAS GUACIMAL 75 METROS NORTE DELA PLAZA</t>
  </si>
  <si>
    <t>SODA EL KIOSCO DE MACHA</t>
  </si>
  <si>
    <t>ALAJUELA OROTINA OROTINA FRENTE REST EL GEMELO</t>
  </si>
  <si>
    <t>ABASTECEDOR CENTER CITY</t>
  </si>
  <si>
    <t>PUNTARENAS PUNTARENAS PUNTARENAS 75E SENCINAI EN EL 20NOV</t>
  </si>
  <si>
    <t>PULPERIA SAN FRANCISCO</t>
  </si>
  <si>
    <t>CAÑAS, CAÑAS 350 N 100 O DEL MERCADO PALMAS</t>
  </si>
  <si>
    <t>ABASTECEDOR EL ESTANQUITO</t>
  </si>
  <si>
    <t>GUANACASTE CARRILLO FILADELFIA 500 SO DEL ARCO FILADELFIA</t>
  </si>
  <si>
    <t>ABASTECEDOR DAKAPI</t>
  </si>
  <si>
    <t>FILADELFIA, CARRILLO 150 N G.A.R.FILADELFIA</t>
  </si>
  <si>
    <t>MINI SUPER GUACALITO</t>
  </si>
  <si>
    <t>LIBERIA, LIBERIA 300 N 25 E CORTEL</t>
  </si>
  <si>
    <t>ABASTECEDOR MARIAELENA</t>
  </si>
  <si>
    <t>SANTA CRUZ, SANTA CRUZ 100 S SALON ROSITA LA GARITA</t>
  </si>
  <si>
    <t>MINISUPER AMERICA</t>
  </si>
  <si>
    <t>GUANACASTE SANTA CRUZ TEMPATE 100 N DE ESC TEMPATE CARTAGENA</t>
  </si>
  <si>
    <t>COMERCIAL MONTENEGRO</t>
  </si>
  <si>
    <t>BAGACES, BAGACES 50 OE EBAIS MONTENEGRO</t>
  </si>
  <si>
    <t>PULPERIA LA DEPORTIVA.</t>
  </si>
  <si>
    <t>LIBERIA, LIBERIA 200 E HOSPITAL LIBERIA</t>
  </si>
  <si>
    <t>PULPERIA GUADALUPE</t>
  </si>
  <si>
    <t>LIBERIA, LIBERIA 200 ESTE COLEGIO NOCTURNO</t>
  </si>
  <si>
    <t>PULPERIA CASA GRANDE.</t>
  </si>
  <si>
    <t>LIBERIA, LIBERIA 200 ESTE PANADERIA SANCHEZ</t>
  </si>
  <si>
    <t>ABASTECEDOR SUSI</t>
  </si>
  <si>
    <t>LIBERIA, LIBERIA 100 O. IGLESIA EVANG. COR. JES</t>
  </si>
  <si>
    <t>SANTA ROSA, TILARAN 75 N DE IGLESIA CATOLICA</t>
  </si>
  <si>
    <t>TRONADORA, TILARAN COSTADO O PLAZA FUTBOL TRONADE</t>
  </si>
  <si>
    <t>GUANACASTE TILARAN LIBANO LIBANO DE TILARAN</t>
  </si>
  <si>
    <t>MINIMARKET KAPI KAPI</t>
  </si>
  <si>
    <t>SANTA ROSA, TILARAN LOS ANGELS DE TILARAN</t>
  </si>
  <si>
    <t>MINI SUPER EL ALMENDRO</t>
  </si>
  <si>
    <t>SANTA CRUZ, SANTA CRUZ FTE PLAZA STA ROSA STA CRUZ</t>
  </si>
  <si>
    <t>PULPERIA LA FAVORITA</t>
  </si>
  <si>
    <t>SANTA CRUZ, SANTA CRUZ 50 OESTE, PLAZA BERNABELLA</t>
  </si>
  <si>
    <t>SODA Y CAFETERÍA COSTA CAFÉ</t>
  </si>
  <si>
    <t>GUANACASTE SANTA CRUZ SANTA CRUZ MERCADO MUNICIPAL STA CRUZ</t>
  </si>
  <si>
    <t>LIBERIA, LIBERIA 75 S SALON COMUNAL BO TULITA</t>
  </si>
  <si>
    <t>ABASTECEDOR STA CECILIA</t>
  </si>
  <si>
    <t>GUANACASTE SANTA CRUZ SANTA CRUZ 300 E ALM GMO SANCHEZ STA CRUZ</t>
  </si>
  <si>
    <t>NICOYA, NICOYA 200 N.200 E.ESC. SAN MARTIN</t>
  </si>
  <si>
    <t>THE REAL WU ABASTECEDOR EL NANCY</t>
  </si>
  <si>
    <t>NICOYA, NICOYA 100 N SALON COMUNAL  SN MARTIN</t>
  </si>
  <si>
    <t>SUPER Y LICORERA SUS AMIGOS</t>
  </si>
  <si>
    <t>HOJANCHA, HOJANCHA 125 OESTE DEL BNCR, HOJANCHA</t>
  </si>
  <si>
    <t>SUPER LA PALOMA</t>
  </si>
  <si>
    <t>SAMARA, NICOYA ENTRADA A NOSARA</t>
  </si>
  <si>
    <t>CARMONA, NANDAYURE DIAGONAL A LA ENTR.A JICARAL</t>
  </si>
  <si>
    <t>SÚPER Y LICORES LA GUARIA</t>
  </si>
  <si>
    <t>HOJANCHA, HOJANCHA 175 E IGLESIA PUERTO CARRILLO</t>
  </si>
  <si>
    <t>MINISUPER OLAS</t>
  </si>
  <si>
    <t>GUANACASTE NICOYA SAMARA ENTRADA A SAMARA</t>
  </si>
  <si>
    <t>PULPERIA LA CAÑADA</t>
  </si>
  <si>
    <t>NICOYA, NICOYA 100 ANTSE DEL PUENTE</t>
  </si>
  <si>
    <t>PULPERIA FELIX</t>
  </si>
  <si>
    <t>QUEBRADA HONDA, NICOYA 500 N BAR MANGO CEDROS JICARAL</t>
  </si>
  <si>
    <t>MINI SUPER MACONDO</t>
  </si>
  <si>
    <t>LEPANTO, PUNTARENAS CABO BLANCO</t>
  </si>
  <si>
    <t>SUPER LA BOMBA</t>
  </si>
  <si>
    <t>NICOYA, NICOYA 2 KM.O.CRUCE STA RITA-JICARAL</t>
  </si>
  <si>
    <t>PULP LOS ALMENDROS</t>
  </si>
  <si>
    <t>NICOYA, NICOYA DULCE NOMBRE DE NICOYA</t>
  </si>
  <si>
    <t>LA CARTAGINOSA (PULPERIA)</t>
  </si>
  <si>
    <t>SAN JOSÉ SAN JOSE MERCED CALLE 12 AVE 7 Y 9</t>
  </si>
  <si>
    <t>SURTIDOR EL BARRIO</t>
  </si>
  <si>
    <t>MERCED, SAN JOSE CALLE 10 AV 15 BO MEXICO</t>
  </si>
  <si>
    <t>ABASTECEDOR LA CONCHITA</t>
  </si>
  <si>
    <t>MERCED, SAN JOSE 300 N DE POLLOS KENTUKY</t>
  </si>
  <si>
    <t>SUPER IZALCO</t>
  </si>
  <si>
    <t>MERCED, SAN JOSE 100 N 200 O FARMACIA CALZADA</t>
  </si>
  <si>
    <t>ABASTECEDOR RAFA</t>
  </si>
  <si>
    <t>MERCED, SAN JOSE 350 N Y 25 O DE FARMATODO</t>
  </si>
  <si>
    <t>SUPER BIEN BIEN</t>
  </si>
  <si>
    <t>MERCED, SAN JOSE AVENIDA 5 Y 7 CALLE 4</t>
  </si>
  <si>
    <t>ABAST. CAMPEON</t>
  </si>
  <si>
    <t>CATEDRAL, SAN JOSE CALLE 11 AVE 8 LA CORTE</t>
  </si>
  <si>
    <t>HOSPITAL, SAN JOSE FTE BOMBEROS DE SAN JOSE</t>
  </si>
  <si>
    <t>SUPER SANTA ELENA</t>
  </si>
  <si>
    <t>HOSPITAL, SAN JOSE COSTADO S IGLESIA LA DOLOROSA</t>
  </si>
  <si>
    <t>SUPER GUANACASTECO</t>
  </si>
  <si>
    <t>MERCED, SAN JOSE 500 N DE BOTICA SOLERA</t>
  </si>
  <si>
    <t>SUPER LA MUNI</t>
  </si>
  <si>
    <t>HOSPITAL, SAN JOSE MUNI SJ 75 N</t>
  </si>
  <si>
    <t>MINISUPER HYGEA</t>
  </si>
  <si>
    <t>HOSPITAL, SAN JOSE 75 S CTRO COLON</t>
  </si>
  <si>
    <t>ABAST.ESTRELLLA DEL NIÑO</t>
  </si>
  <si>
    <t>HOSPITAL, SAN JOSE AVE 16 CALLE 8 Y 10</t>
  </si>
  <si>
    <t>ABASTECEDOR GRANERO</t>
  </si>
  <si>
    <t>CATEDRAL, SAN JOSE COSTADO S CLINICA BIBLICA</t>
  </si>
  <si>
    <t>SUPER DEL SUR</t>
  </si>
  <si>
    <t>AGUACALIENTE O SAN F, CARTAGO DE PLAZA COCORI 200 S 200 O</t>
  </si>
  <si>
    <t>PULPERIA LA AUXILIADORA</t>
  </si>
  <si>
    <t>EL TEJAR, EL GUARCO 100 S CEMENTERIO TEJAR</t>
  </si>
  <si>
    <t>ABASTECEDOR EL CHINO</t>
  </si>
  <si>
    <t>ALAJUELA, ALAJUELA SAN FRANCISCO DE LA PALMERA</t>
  </si>
  <si>
    <t>COMERCIAL LA ESMERALDA</t>
  </si>
  <si>
    <t>ALAJUELA, ALAJUELA EL ABANICO DE CHACHAGUA</t>
  </si>
  <si>
    <t>SODA LA ABUELA</t>
  </si>
  <si>
    <t>ALAJUELA ALAJUELA ALAJUELA FRENTE A COMPAÑIA FRUTERA LA PAZ</t>
  </si>
  <si>
    <t>SUPER SOFIA</t>
  </si>
  <si>
    <t>CARTAGO CARTAGO OCCIDENTAL 200 SUR DEL REST SUNSET CARTAGO</t>
  </si>
  <si>
    <t>SUPER DON PACO</t>
  </si>
  <si>
    <t>CARTAGO PARAISO PARAISO COS.E. LICEO PARAISO</t>
  </si>
  <si>
    <t>CARTAGO PARAISO PARAISO CONTIGUO GUARDIA RURAL</t>
  </si>
  <si>
    <t>MERCEDES, ATENAS 1 KM O DE LA IGLESIA</t>
  </si>
  <si>
    <t>ABASTECEDOR EL RINCONSITO</t>
  </si>
  <si>
    <t>ATENAS, ATENAS 100 OESTE 100 SUR DEL LICEO ATENAS</t>
  </si>
  <si>
    <t>SUPER SOCI</t>
  </si>
  <si>
    <t>POZOS, SANTA ANA 800 N DE LA IGLESIA DE POZOS</t>
  </si>
  <si>
    <t>ABASTECEDOR CACHI</t>
  </si>
  <si>
    <t>TILARAN, TILARAN DIAGONAL IGL. CAT.</t>
  </si>
  <si>
    <t>SUPER CORAZÓN</t>
  </si>
  <si>
    <t>TEMPATE, SANTA CRUZ COSTADO S PLAZA PLAYA POTRERO</t>
  </si>
  <si>
    <t>CARTAGO CARTAGO LLANO GRANDE FT PLAZA BO. LOS ANGELES</t>
  </si>
  <si>
    <t>ABASTECEDOR NACAOME</t>
  </si>
  <si>
    <t>MANSION, NICOYA PUEBLO VIEJO DE NICOYA</t>
  </si>
  <si>
    <t>PULPERIA EL RESEDO</t>
  </si>
  <si>
    <t>LIBERIA, LIBERIA 800 N SALON MULTIUSO</t>
  </si>
  <si>
    <t>MINI SUPER EL TIGRE</t>
  </si>
  <si>
    <t>CARTAGO PARAISO SANTIAGO CONTIGUO IGLESIA LA FLOR</t>
  </si>
  <si>
    <t>GUANACASTE CARRILLO SARDINAL 100S 25 E PUENTE SARDINAL</t>
  </si>
  <si>
    <t>GUADA MARKET #3</t>
  </si>
  <si>
    <t>ALAJUELA ALAJUELA GUACIMA 150 S ENTRADA AL AUTODROMO</t>
  </si>
  <si>
    <t>MINI SUPER VARGUIL</t>
  </si>
  <si>
    <t>SAN PEDRO, PEREZ ZELEDON COSTADO N PLAZA DEPORTES</t>
  </si>
  <si>
    <t>MINI SUP GYS</t>
  </si>
  <si>
    <t>SAN ANTONIO, BELEN URBANIZACION CARO QUINTERO</t>
  </si>
  <si>
    <t>SUPER CARIARI</t>
  </si>
  <si>
    <t>ALAJUELA, ALAJUELA 50 E DE LA ESCUELA CANOAS</t>
  </si>
  <si>
    <t>MINI SUPER SAN LUIS</t>
  </si>
  <si>
    <t>SAN LUIS, TURRUBARES SAN LUIS TURRUBARES</t>
  </si>
  <si>
    <t>MINI FRUTERIA LA PARADA</t>
  </si>
  <si>
    <t>ALAJUELA ATENAS SAN JOSE COSTADO S CEMENTERIO B SN JOSE</t>
  </si>
  <si>
    <t>MINI SUPER SHUN FA</t>
  </si>
  <si>
    <t>CARTAGO CARTAGO AGUACALIENTE O SAN FRANCISCO COSTADO ESC PROYECTO MA JESUS</t>
  </si>
  <si>
    <t>SANTA CRUZ, TURRIALBA SANRA CRUZ</t>
  </si>
  <si>
    <t>SUPER Y LICORERA LA HERRADURA</t>
  </si>
  <si>
    <t>LIBERIA, LIBERIA 200 E BOMBEROS LIBERIA</t>
  </si>
  <si>
    <t>SUPER SAN MARTIN</t>
  </si>
  <si>
    <t>JESUS, ATENAS CONTIGUO BAR SN MARTIN ATENAS</t>
  </si>
  <si>
    <t>SÚPERMERCADO  LA PISTA</t>
  </si>
  <si>
    <t>LA PALMERA, SAN CARLOS FRENTE AL RANCHO HUETAR</t>
  </si>
  <si>
    <t>ABASTECEDOR PROGRESO</t>
  </si>
  <si>
    <t>CARTAGO OREAMUNO CIPRESES 200 E 300 S PLAZA DEPORTES</t>
  </si>
  <si>
    <t>CONFITERIA LOPEZ</t>
  </si>
  <si>
    <t>GUAPILES, POCOCI COSTADO O CORREO C.R.</t>
  </si>
  <si>
    <t>ABASTECEDOR GUACAMAYA</t>
  </si>
  <si>
    <t>NICOYA, NICOYA 150 S PLAZA OSTIONAL</t>
  </si>
  <si>
    <t>MINI SUPER STEPHANIE</t>
  </si>
  <si>
    <t>SAMARA, NICOYA 50 E. BAR EL VELERO</t>
  </si>
  <si>
    <t>ALAJUELITA, ALAJUELITA 300 E DE LA IGLESIA SALUD</t>
  </si>
  <si>
    <t>ABASTECEDOR TREMINIO</t>
  </si>
  <si>
    <t>HOSPITAL, SAN JOSE DIAGONAL BAR LA ORQUIDEA</t>
  </si>
  <si>
    <t>PULPERIA GABY</t>
  </si>
  <si>
    <t>SAN JUAN DE DIOS, DESAMPARADOS 400 S 200 NE IND. KALI</t>
  </si>
  <si>
    <t>GOLOSINAS LA PLAZA</t>
  </si>
  <si>
    <t>ALAJUELA SAN CARLOS AGUAS ZARCAS COSTADO N PLAZA DEPORTES</t>
  </si>
  <si>
    <t>PULPERIA EL PROGRESO</t>
  </si>
  <si>
    <t>SAN MIGUEL, DESAMPARADOS 400 E IGLESIA SAN MIGUEL</t>
  </si>
  <si>
    <t>ABASTECEDOR NACIONES UNIDAS</t>
  </si>
  <si>
    <t>CATEDRAL, SAN JOSE 75 S 200 E CRUZ BO LA CRUZ</t>
  </si>
  <si>
    <t>MINI SUPER LA LUZ</t>
  </si>
  <si>
    <t>SAN JOSÉ SAN JOSE CARMEN 250 NORESTE DE AVON</t>
  </si>
  <si>
    <t>SUPER VICTORIA  N3</t>
  </si>
  <si>
    <t>SAN FELIPE, ALAJUELITA FT UNIDAD PEDAGOGICA</t>
  </si>
  <si>
    <t>PULPERIA HOLLWOOD</t>
  </si>
  <si>
    <t>CARMEN, SAN JOSE 100 S PLAZA SANTA TERESITA</t>
  </si>
  <si>
    <t>PULPERIA LA NENA</t>
  </si>
  <si>
    <t>MATA REDONDA, SAN JOSE 400 N JOHAN CENT</t>
  </si>
  <si>
    <t>ABASTECEDOR LA TRANCA</t>
  </si>
  <si>
    <t>SAN FELIPE, ALAJUELITA 300 N IGLESIA SN FELIPE</t>
  </si>
  <si>
    <t>ABAST.LOS SAUCES</t>
  </si>
  <si>
    <t>ASERRI, ASERRI 500 S IGL.5 ESQUINAS</t>
  </si>
  <si>
    <t>PULPERIA MARIA</t>
  </si>
  <si>
    <t>SAN FELIPE, ALAJUELITA 400 N 25 E.DE LA ESCUELA</t>
  </si>
  <si>
    <t>SUPER VILLA BONANZA</t>
  </si>
  <si>
    <t>HATILLO, SAN JOSE CALLE COSTA RICA CASA 88</t>
  </si>
  <si>
    <t>ALAJUELA OROTINA COYOLAR 200 S Y 400 O CRUCE DE JACO</t>
  </si>
  <si>
    <t>PULPERIA SASHARY</t>
  </si>
  <si>
    <t>PUNTARENAS PUNTARENAS CHOMES 500 ESTE DE LA IGLESIA CATOLIC</t>
  </si>
  <si>
    <t>SUPER WILBERTH</t>
  </si>
  <si>
    <t>PUNTARENAS ESPARZA SAN JUAN GRANDE 150 S RESTAURANTE TEQUILAS</t>
  </si>
  <si>
    <t>GRECIA, GRECIA 50 N PERIFERICOS GRECIA</t>
  </si>
  <si>
    <t>ABASTECEDOR LAS NUBES</t>
  </si>
  <si>
    <t>CASCAJAL, VAZQUEZ DE CORONADO 175 S DE LA ESCUELA NUBES</t>
  </si>
  <si>
    <t>PULPERIA LA ESPERANZA</t>
  </si>
  <si>
    <t>ALAJUELA GRECIA PUENTE DE PIEDRA CALLE VALERIO ALTO PERALTA</t>
  </si>
  <si>
    <t>MINI SUPER CANDELARIA</t>
  </si>
  <si>
    <t>CANDELARIA, PALMARES FRENTE LA PLAZA CANDELARIA</t>
  </si>
  <si>
    <t>GOLOSINAS PICA HIELO</t>
  </si>
  <si>
    <t>NARANJO, NARANJO 150 N BANCO NACIONAL C.R.</t>
  </si>
  <si>
    <t>SUPER LA ARENA</t>
  </si>
  <si>
    <t>SAN JOSE, ALAJUELA 25 S PLAZA LA ARENA</t>
  </si>
  <si>
    <t>SUPER JIMENEZ</t>
  </si>
  <si>
    <t>BOLIVAR, GRECIA 300 O IGLESIA LOS ANGELES</t>
  </si>
  <si>
    <t>ABASTECEDOR CIRRI</t>
  </si>
  <si>
    <t>CIRRI SUR, NARANJO 50 N IGLESIA DE CIRRI</t>
  </si>
  <si>
    <t>SUPER KEILYN</t>
  </si>
  <si>
    <t>SAN RAMON, SAN RAMON FTE PARAD BUSES PIEDADES SUR</t>
  </si>
  <si>
    <t>ALAJUELA SAN CARLOS QUESADA CRUCE A LA ABUNDANCIA</t>
  </si>
  <si>
    <t>ABASTECEDOR ANA</t>
  </si>
  <si>
    <t>ALAJUELA, ALAJUELA 350 O BANCO NACIONAL</t>
  </si>
  <si>
    <t>LICORERA RUMA</t>
  </si>
  <si>
    <t>QUESADA, SAN CARLOS LICORERA RUMA CONTIGUO BOMBA</t>
  </si>
  <si>
    <t>QUESADA, SAN CARLOS CHACHAGUA CENTRO</t>
  </si>
  <si>
    <t>ABASTECEDOR SILVIA</t>
  </si>
  <si>
    <t>ALAJUELA, ALAJUELA 500 E SUPER EL BUEN PRECIO</t>
  </si>
  <si>
    <t>ABASTECEDOR EL BOSQUECITO</t>
  </si>
  <si>
    <t>CARMEN, SAN JOSE FTE PLAZA PEJE VIEJO</t>
  </si>
  <si>
    <t>ABASTECEDOR LA MINIATURA</t>
  </si>
  <si>
    <t>ALAJUELA ALAJUELA ALAJUELA FTE CENTRAL TELEFONICA</t>
  </si>
  <si>
    <t>HORMIPUNTOS N2</t>
  </si>
  <si>
    <t>ALAJUELA, ALAJUELA LOS ANGELES DE LA TIGRA</t>
  </si>
  <si>
    <t>MINI SUPER LA CONFIANZA</t>
  </si>
  <si>
    <t>ALAJUELA, ALAJUELA LA TIGRA</t>
  </si>
  <si>
    <t>GRUPO SUPERMERCADO ECONOMICO</t>
  </si>
  <si>
    <t>ALAJUELA ALAJUELA ALAJUELA EL TANQUE DE LA FORTUNA</t>
  </si>
  <si>
    <t>SUPERMERCADOCOMERCIAL EL PUEBLO</t>
  </si>
  <si>
    <t>ALAJUELA, ALAJUELA 1 KM S ESCUELA PITALITO</t>
  </si>
  <si>
    <t>ABASTECEDOR AEROPUERTO</t>
  </si>
  <si>
    <t>ALAJUELA, ALAJUELA 500 S PLAZA DEPORTES PLATANAR</t>
  </si>
  <si>
    <t>ABASTECEDOR LA PAZ</t>
  </si>
  <si>
    <t>ALAJUELA ALAJUELA ALAJUELA FTE CEMENTERIO MUNICIPAL</t>
  </si>
  <si>
    <t>SUPER TWINS</t>
  </si>
  <si>
    <t>ALAJUELA, ALAJUELA FTE IGLESIA RIO CUARTO</t>
  </si>
  <si>
    <t>SUPERMERCADO  PORVENIR</t>
  </si>
  <si>
    <t>ALAJUELA ALAJUELA ALAJUELA 500 S REST MIRNA Y PACHI</t>
  </si>
  <si>
    <t>SUPER LA PERLA</t>
  </si>
  <si>
    <t>ALAJUELA, ALAJUELA LA PERLA LA FORTUNA</t>
  </si>
  <si>
    <t>PULPERIA NELLY</t>
  </si>
  <si>
    <t>ALAJUELA, ALAJUELA 75 E CLINICA SANTA RITA</t>
  </si>
  <si>
    <t>SUPER ROJI</t>
  </si>
  <si>
    <t>ALAJUELA, ALAJUELA CRUCE DE CARRIZAL</t>
  </si>
  <si>
    <t>ALAJUELA, ALAJUELA CONT PLAZA SAN VICENTE</t>
  </si>
  <si>
    <t>SUPER ALEX</t>
  </si>
  <si>
    <t>ALAJUELA ALAJUELA ALAJUELA 150 E ESC EL BOSQUE</t>
  </si>
  <si>
    <t>LUNA NUEVA N2</t>
  </si>
  <si>
    <t>ALAJUELA OROTINA OROTINA 300 S ENTRADA OROTINA</t>
  </si>
  <si>
    <t>SUPER MERCADO KLEY S.A.</t>
  </si>
  <si>
    <t>PUNTARENAS PUNTARENAS PUNTARENAS 25 N ABASTECEDOR ISABEL</t>
  </si>
  <si>
    <t>MINISUPER DEMER</t>
  </si>
  <si>
    <t>ALAJUELA OROTINA OROTINA FTE AL MAG OROTINA CENTRO</t>
  </si>
  <si>
    <t>SUPER CONEJO 5</t>
  </si>
  <si>
    <t>PUNTARENAS PUNTARENAS BARRANCA COSTADO S ESCUELA JUANITO MORA</t>
  </si>
  <si>
    <t>MINI SUPER DELICIAS DEL MUNDO</t>
  </si>
  <si>
    <t>LIBERIA, LIBERIA DEL REST BLUE DOY EN PROY 100N</t>
  </si>
  <si>
    <t>SEMAKEMA</t>
  </si>
  <si>
    <t>GUANACASTE NICOYA NICOYA 150 ESTE DEL BCR DE NICOYA</t>
  </si>
  <si>
    <t>PULPERIA LA VERANERA</t>
  </si>
  <si>
    <t>LIBERIA, LIBERIA PUEBLO NUEVO PLAYA NARANJO</t>
  </si>
  <si>
    <t>PULPERIA ANA</t>
  </si>
  <si>
    <t>SANTA CRUZ, SANTA CRUZ 100 S 100 E EJERCITO SALVACION</t>
  </si>
  <si>
    <t>ABASTECEDOR LAS VEGAS</t>
  </si>
  <si>
    <t>NICOYA, NICOYA SAN JOAQUIN DE NICOYA</t>
  </si>
  <si>
    <t>MINI SUPER EL CAMPEON</t>
  </si>
  <si>
    <t>GUANACASTE NICOYA NICOYA FRENTE PLAZA PARAISO</t>
  </si>
  <si>
    <t>PULPERIA EL CARACOL</t>
  </si>
  <si>
    <t>GUANACASTE SANTA CRUZ VEINTISIETE DE ABRIL COSTADO S PLAZA PASO HONDO</t>
  </si>
  <si>
    <t>MINI SUPER EL MILAGRO</t>
  </si>
  <si>
    <t>NICOYA, NICOYA BO LA TULITA 2 STA CRUZ</t>
  </si>
  <si>
    <t>MINI SUPER LILLIAM</t>
  </si>
  <si>
    <t>LIBERIA, LIBERIA 100 N 375 E SALON COMUNAL</t>
  </si>
  <si>
    <t>SUPER LA JOYA</t>
  </si>
  <si>
    <t>CARTAGO CARTAGO GUADALUPE O ARENILLA URB LA JOYA GUADALUPE</t>
  </si>
  <si>
    <t>SUPER AMERICA TABLON</t>
  </si>
  <si>
    <t>CARTAGO EL GUARCO TOBOSI CENTRO DE TABLON</t>
  </si>
  <si>
    <t>SUPER FELIX</t>
  </si>
  <si>
    <t>EL TEJAR, EL GUARCO FRENTE A CONDOMINIO LA ANTIGUO</t>
  </si>
  <si>
    <t>MINI SUPER LA CATALINAS</t>
  </si>
  <si>
    <t>CARTAGO EL GUARCO EL TEJAR 25 N ENTRADA DE LAS CATALINAS</t>
  </si>
  <si>
    <t>ABASTECEDOR EL ANGEL</t>
  </si>
  <si>
    <t>CARTAGO EL GUARCO EL TEJAR URB LA FUNDACION</t>
  </si>
  <si>
    <t>QUEBRADILLA, CARTAGO CONTIGUO RURAL DE BERMEJO</t>
  </si>
  <si>
    <t>MINI SUPER JOLIE</t>
  </si>
  <si>
    <t>SAN RAFAEL, OREAMUNO 100 O PARQUE SAN RAFAEL</t>
  </si>
  <si>
    <t>SUPER NESA</t>
  </si>
  <si>
    <t>SAN NICOLAS, CARTAGO FTE ESCUELA QUICOT</t>
  </si>
  <si>
    <t>SUPER NUEVO AMANECER</t>
  </si>
  <si>
    <t>CARTAGO CARTAGO SAN NICOLAS 500 N DE PLAZA QUIRCOT</t>
  </si>
  <si>
    <t>SUPER VALERIA 2</t>
  </si>
  <si>
    <t>CARTAGO JIMENEZ TUCURRIQUE FRENTE PLAZA DE TUCURRIQUE</t>
  </si>
  <si>
    <t>ALMACEN SUPERMAS</t>
  </si>
  <si>
    <t>ORIENTAL, CARTAGO 200 O MOTEL CASA BLANCA</t>
  </si>
  <si>
    <t>SUPER EL ECONOMICO</t>
  </si>
  <si>
    <t>PARAISO, PARAISO 1 KM S REST CONTINENTAL</t>
  </si>
  <si>
    <t>MINI ABASTECEDOR CORIS</t>
  </si>
  <si>
    <t>QUEBRADILLA, CARTAGO 200 O IGLESIA CORIS</t>
  </si>
  <si>
    <t>CORPORACION CALARI R CE</t>
  </si>
  <si>
    <t>TURRIALBA, TURRIALBA 25 O ESCUELA LAS AMERICAS</t>
  </si>
  <si>
    <t>SUPERMERCADO SAN JOSE</t>
  </si>
  <si>
    <t>CARTAGO CARTAGO CORRALILLO 150 O PLAZA CORRALILLO</t>
  </si>
  <si>
    <t>MINI SUPER KATHERINE</t>
  </si>
  <si>
    <t>ORIENTAL, CARTAGO 200 NO PLAZA HACIENDA VIEJA</t>
  </si>
  <si>
    <t>SUPER SANTA LUCIA</t>
  </si>
  <si>
    <t>CARTAGO CARTAGO ORIENTAL 100 OE IGLESIA CARMEN  LIRA</t>
  </si>
  <si>
    <t>SUPER JARDINES</t>
  </si>
  <si>
    <t>HEREDIA, HEREDIA 100 N 325 E DE LA URUCA</t>
  </si>
  <si>
    <t>SUPER LA CANASTICA</t>
  </si>
  <si>
    <t>GUACIMA, ALAJUELA LA GUACIMA CENTRO</t>
  </si>
  <si>
    <t>SAN JOSÉ SAN JOSE CARMEN DETRAS IGLESIA TABARCIA</t>
  </si>
  <si>
    <t>TAMBOR, ALAJUELA 600 NO IGLESIA CACAO ALAJUELA</t>
  </si>
  <si>
    <t>ABASTECEDOR EMMA</t>
  </si>
  <si>
    <t>COLON, MORA 600 NO IGLESIA JARIS</t>
  </si>
  <si>
    <t>MINI SÚPER VFC</t>
  </si>
  <si>
    <t>SAN JOSECITO, SAN RAFAEL 200 O IGLESIA SAN JOSECITO</t>
  </si>
  <si>
    <t>MINI SUPER LA SURTIDORA</t>
  </si>
  <si>
    <t>MERCEDES SUR, PURISCAL FTE AL CEMENTERIO</t>
  </si>
  <si>
    <t>MINI SUPER EL PRIMO</t>
  </si>
  <si>
    <t>LIMON, LIMON 200E DE LA DELEGACION POLICIAL</t>
  </si>
  <si>
    <t>SUPERMERCADO 98</t>
  </si>
  <si>
    <t>RIO SEGUNDO, ALAJUELA CONT G.A.R. RIO SEGUNDO ALAJUE</t>
  </si>
  <si>
    <t>ALAJUELA ATENAS SAN JOSE 200 N DEL COLEGIO</t>
  </si>
  <si>
    <t>ABASTECEDOR MADEIRA</t>
  </si>
  <si>
    <t>SAN JOAQUIN, FLORES 100 N 150 O EMB.PARIS</t>
  </si>
  <si>
    <t>SUPER SAN JOSECITO</t>
  </si>
  <si>
    <t>SAN JOSECITO, SAN RAFAEL 300 E IGLESIA BAJO LOS MOLINOS</t>
  </si>
  <si>
    <t>ABASTECEDOR SAN PEDRO</t>
  </si>
  <si>
    <t>SAN JOSÉ MORA COLON FTE SALON COMUNAL DE BRASIL</t>
  </si>
  <si>
    <t>LA CASONA DEL CAFE</t>
  </si>
  <si>
    <t>SAN ISIDRO, SAN RAMON FTE LAGUNA DE FRAIJANES</t>
  </si>
  <si>
    <t>SUPER LA PLAZA</t>
  </si>
  <si>
    <t>ALAJUELA POAS SAN PEDRO SAN JUAN DE POAS COSTADO DE LA PLAZA</t>
  </si>
  <si>
    <t>RIO SEGUNDO, ALAJUELA 50O DEL SEMAFORO DEL INVU</t>
  </si>
  <si>
    <t>MINI SUPER FEN</t>
  </si>
  <si>
    <t>POZOS, SANTA ANA FRENTE TRANSPORTES RAPIDOS</t>
  </si>
  <si>
    <t>MINI SUPER REY</t>
  </si>
  <si>
    <t>ALAJUELA, ALAJUELA 1ERA ENTRADA URB EL REY</t>
  </si>
  <si>
    <t xml:space="preserve"> LOS GEMELOS</t>
  </si>
  <si>
    <t>POZOS, SANTA ANA 750 CONDOMINIO LAS BRISAS</t>
  </si>
  <si>
    <t>SÚPER DON GERARDO</t>
  </si>
  <si>
    <t>SABANILLA_, ALAJUELA 50 NORTE DE CRUZ ROJA DE SABANILLA ALAJU</t>
  </si>
  <si>
    <t>MINI SUPER ENMANUEL</t>
  </si>
  <si>
    <t>LIMON, LIMON FTE LICEO DE CARIARI</t>
  </si>
  <si>
    <t>ABASTECEDOR EMILIA</t>
  </si>
  <si>
    <t>LIMÓN LIMON LIMON 50 N ESCUELA LOS DIAMANTES</t>
  </si>
  <si>
    <t>PULPERIA SUSANA</t>
  </si>
  <si>
    <t>LIMON, LIMON CARIARI CENTRO</t>
  </si>
  <si>
    <t>MINI SUPER LA FORTUNA</t>
  </si>
  <si>
    <t>GUACIMO, GUACIMO 50 O DEL COLONO POCORA</t>
  </si>
  <si>
    <t>SUPER CALIFORNIA</t>
  </si>
  <si>
    <t>JIMENEZ, POCOCI FRENTE ENTRADA LOS MOLINOS</t>
  </si>
  <si>
    <t>MINISUPER Y PANADERIA ESPERANZA</t>
  </si>
  <si>
    <t>SAN JOSE, ATENAS 200 O 300 N IGLESIA DEL COYOL</t>
  </si>
  <si>
    <t>SUPER CORNER</t>
  </si>
  <si>
    <t>BARVA, BARVA 100 N IGLESIA PUENTE SALAS</t>
  </si>
  <si>
    <t>SUPER ESTRADA</t>
  </si>
  <si>
    <t>MATINA, MATINA 50 S PARQUE DE ESTRADA</t>
  </si>
  <si>
    <t>ABAST ANDRES</t>
  </si>
  <si>
    <t>LIMÓN LIMON LIMON CONT PULP LA LUCHA LOS LIRIOS</t>
  </si>
  <si>
    <t>CENTRO TURISTICO BUFALO</t>
  </si>
  <si>
    <t>LIMON, LIMON 1 KN ANTES ENTRADA A BUFALO</t>
  </si>
  <si>
    <t>SÚPER CUBA</t>
  </si>
  <si>
    <t>LIMON, LIMON 200 N ESCUELA CUBA CREEK</t>
  </si>
  <si>
    <t>ABASTECEDOR LA FORTUNA</t>
  </si>
  <si>
    <t>LIMON, LIMON CONTIGUO TERMINAL BUSES</t>
  </si>
  <si>
    <t>LIBERIA, LIBERIA CONTIGUO DELEGACION DISTRITAL</t>
  </si>
  <si>
    <t>SUPER SIGLO XXI</t>
  </si>
  <si>
    <t>COLORADO, ABANGARES 75 METROS ESTE DE LA CRUZROJA</t>
  </si>
  <si>
    <t>PULPERIA LOS COCOS</t>
  </si>
  <si>
    <t>SIERRA, ABANGARES 4 KM CAMINO A LA SIERRA</t>
  </si>
  <si>
    <t>PULPERIA JOSETH</t>
  </si>
  <si>
    <t>COLORADO, ABANGARES CONTIGUO A LA ESCUELA</t>
  </si>
  <si>
    <t>PULPERIA SAN ANDRES</t>
  </si>
  <si>
    <t>CAÑAS, CAÑAS 100 O ABASTECEDOR MAGALY</t>
  </si>
  <si>
    <t>PULPERIA LA LUCHA</t>
  </si>
  <si>
    <t>CAÑAS, CAÑAS 150 S 1ERA ENT BO LAS CAÑAS</t>
  </si>
  <si>
    <t>SUPER LICORERA GENESIS</t>
  </si>
  <si>
    <t>PARRITA, PARRITA PUEBLO NUEVO PARRITA</t>
  </si>
  <si>
    <t>QUEPOS, QUEPOS FTE PARADA DE BUSES PAQUITA</t>
  </si>
  <si>
    <t>ABASTECEDOR EL GEMELO</t>
  </si>
  <si>
    <t>QUEPOS, QUEPOS DAMAS DE QUEPOS</t>
  </si>
  <si>
    <t>SUPER LA UNICA</t>
  </si>
  <si>
    <t>QUEPOS, QUEPOS 50 N CEN NARANJITO</t>
  </si>
  <si>
    <t>MINI SUPER J Y M</t>
  </si>
  <si>
    <t>CARMEN, SAN JOSE 1ERA ALAMEDA INVU EL CLAVEL</t>
  </si>
  <si>
    <t>SUPER SAN RAMON</t>
  </si>
  <si>
    <t>GOLFITO, GOLFITO 100 O ESCUELA</t>
  </si>
  <si>
    <t>MINI SÚPER ESTRELLA</t>
  </si>
  <si>
    <t>PUNTARENAS, PUNTARENAS 400 ANTES ENTRADA A SERPE</t>
  </si>
  <si>
    <t>PULPERÍA SANTA FÈ</t>
  </si>
  <si>
    <t>PUNTARENAS PUNTARENAS PUNTARENAS 150 S 25 E ABAST EL BOSQUE</t>
  </si>
  <si>
    <t>AUTO SERVICIO LA PARADA</t>
  </si>
  <si>
    <t>DESAMPARADOS, DESAMPARADOS 100 O 100 N ESCUELA LOMA LINDA</t>
  </si>
  <si>
    <t>ABASTECEDOR MIMA</t>
  </si>
  <si>
    <t>SAN JUAN DE DIOS, DESAMPARADOS 200 SO ENT URB ITAIPU</t>
  </si>
  <si>
    <t>ABASTECEDOR EUROPA</t>
  </si>
  <si>
    <t>GRANADILLA, CURRIDABAT URB EUROPA FTE SALON COMUNAL</t>
  </si>
  <si>
    <t>INMOBILIARIA DEL ESTE CEMAR S.A</t>
  </si>
  <si>
    <t>CURRIDABAT, CURRIDABAT COSTADO S IGLESIA CURRIDABAT</t>
  </si>
  <si>
    <t>ABASTECEDOR BRENDA</t>
  </si>
  <si>
    <t>SAN JOSÉ CURRIDABAT TIRRASES FTE COST E ANT CEMENT LEPROSOS</t>
  </si>
  <si>
    <t>ALMACEN CRECEN 2</t>
  </si>
  <si>
    <t>SAN DIEGO, LA UNION 400 S ENTRADA A SANTIAGO MONTE</t>
  </si>
  <si>
    <t>SUPER LA GUANTANAMERA</t>
  </si>
  <si>
    <t>SAN PEDRO, MONTES DE OCA 125 SUR BANCO NACIONAL</t>
  </si>
  <si>
    <t>INVERSIONES B.C.</t>
  </si>
  <si>
    <t>ASERRI, ASERRI SAN JOSÉ</t>
  </si>
  <si>
    <t>SUPER LIZA</t>
  </si>
  <si>
    <t>LA TRINIDAD, MORAVIA 100 N 200 E PLAZA LA TRINIDAD</t>
  </si>
  <si>
    <t>ABASTECEDOR ALEXANDER</t>
  </si>
  <si>
    <t>SAN MIGUEL, DESAMPARADOS HIGUITO DETRAS DE LA ESCUELA</t>
  </si>
  <si>
    <t>SUPER SANTA ROSA</t>
  </si>
  <si>
    <t>GUAPILES, POCOCI COSTADO N PLAZA DE STA ROSA</t>
  </si>
  <si>
    <t>SUPER KALIMA</t>
  </si>
  <si>
    <t>GUANACASTE SANTA CRUZ VEINTISIETE DE ABRIL CONTIGUO PUENTE VILLARREAL</t>
  </si>
  <si>
    <t>SUPER MASSAI</t>
  </si>
  <si>
    <t>CABO VELAS, SANTA CRUZ 25 ANTES RANCHO GUANACASTE</t>
  </si>
  <si>
    <t>ABASTECEDOR WENDY</t>
  </si>
  <si>
    <t>GUANACASTE SANTA CRUZ CARTAGENA 200 NORTE DE LA ESCUELA</t>
  </si>
  <si>
    <t>PULPERIA LA CADENITA</t>
  </si>
  <si>
    <t>SAN JOSE, ATENAS 300 S 50 E CARNES SAN PABLO</t>
  </si>
  <si>
    <t>SUPER MERCADO EL FUTURO</t>
  </si>
  <si>
    <t>DESAMPARADOS, ALAJUELA FTE URB TARGUASES 100 O GAR</t>
  </si>
  <si>
    <t>MINI SUPER LAS POSADAS</t>
  </si>
  <si>
    <t>SAN RAFAEL, SAN RAMON 500 S PLAZA SAN RAFAEL</t>
  </si>
  <si>
    <t>ABASTECEDOR M A</t>
  </si>
  <si>
    <t>LIMON, LIMON COSTADO O ESCUELA SN MARTIN</t>
  </si>
  <si>
    <t>ALMACEN ROXANA</t>
  </si>
  <si>
    <t>LIMON, LIMON FTE CLINICA CCSS</t>
  </si>
  <si>
    <t>SUPER RIO FRIO</t>
  </si>
  <si>
    <t>GUACIMO, GUACIMO FRENTE AL BANCO NACIONAL</t>
  </si>
  <si>
    <t>MINI SUPER SIGLO XXI</t>
  </si>
  <si>
    <t>LIMON, LIMON FRENTE SERVICENTRO ASTUA PIRIE</t>
  </si>
  <si>
    <t>SUPER ROYKA</t>
  </si>
  <si>
    <t>LIMON, LIMON 200 N DE ESCUELA</t>
  </si>
  <si>
    <t>MINI SUPER EL ESTUDIANTE</t>
  </si>
  <si>
    <t>SIQUIRRES, SIQUIRRES FRENTE AL COLEGIO MARYLAND</t>
  </si>
  <si>
    <t>SUPER FERIA H P CONEJO</t>
  </si>
  <si>
    <t>PUNTARENAS PUNTARENAS PUNTARENAS CONTIGUO BAR EL RANCHO</t>
  </si>
  <si>
    <t>PUNTARENAS PUNTARENAS BARRANCA 100M N Y 50E SUPER EL HOGAR</t>
  </si>
  <si>
    <t>SUPER SAMI</t>
  </si>
  <si>
    <t>PUNTARENAS ESPARZA SAN RAFAEL 100 O SALON ANIKSE</t>
  </si>
  <si>
    <t>SUPER BASICOS MONTES DE ORO</t>
  </si>
  <si>
    <t>PUNTARENAS MONTES DE ORO MIRAMAR 150S MUNICIPALIDAD</t>
  </si>
  <si>
    <t>A Y L EL SUENO DE DOS</t>
  </si>
  <si>
    <t>PUNTARENAS PUNTARENAS PUNTARENAS 50 N CLINICA CHACARITA</t>
  </si>
  <si>
    <t>PANADERIA LA FAMILIA</t>
  </si>
  <si>
    <t>PUNTARENAS ESPARZA ESPIRITU SANTO SANTA MARTA</t>
  </si>
  <si>
    <t>SUPER LA SABROCITA</t>
  </si>
  <si>
    <t>PUNTARENAS, PUNTARENAS CONTIGUO PLANET FOOD</t>
  </si>
  <si>
    <t>SUPER SOL DE COSTA RICA</t>
  </si>
  <si>
    <t>PUNTARENAS PARRITA PARRITA ESTERILLOS O CENTRO</t>
  </si>
  <si>
    <t>SUPER Y LICORERA QUEBRADA AMARRILLA</t>
  </si>
  <si>
    <t>PUNTARENAS, PUNTARENAS 200 N PARADA LA FLOR</t>
  </si>
  <si>
    <t>ABASTECEDOR LA ESTRELLA</t>
  </si>
  <si>
    <t>PARRITA, PARRITA 125 N ABASTECEDOR LA UNION</t>
  </si>
  <si>
    <t>ABASTECEDOR YURY</t>
  </si>
  <si>
    <t>PARRITA, PARRITA CONTIGUO ABASTECEDOR LA UNION</t>
  </si>
  <si>
    <t>MINI SUPER SOFIA</t>
  </si>
  <si>
    <t>LLORENTE, FLORES RESID ROSARIOCASA 18 B</t>
  </si>
  <si>
    <t>SUPER FAVORITO</t>
  </si>
  <si>
    <t>ALAJUELA ALAJUELA GUACIMA URB LAS PRADERAS LA GUACIMA</t>
  </si>
  <si>
    <t>ABAST. GUSS</t>
  </si>
  <si>
    <t>GUACIMA, ALAJUELA 800 E KINDER DE LA GUACIMA</t>
  </si>
  <si>
    <t>PULP.EL POINT</t>
  </si>
  <si>
    <t>RIO SEGUNDO, ALAJUELA 100 N HOSTAL MILENIUM</t>
  </si>
  <si>
    <t>SUPER LA BELLOTA</t>
  </si>
  <si>
    <t>SAN FELIPE, ALAJUELITA 150 E ENTRADA URB LAS BELLOTAS</t>
  </si>
  <si>
    <t>SUPERMERCADO EL BUEN PRECIO</t>
  </si>
  <si>
    <t>PIEDADES, SANTA ANA 400 E 100 N IGLESIA DE PIEDADES</t>
  </si>
  <si>
    <t>SANTA LUCIA, BARVA 500 E 100 N CLINICA NARANJO</t>
  </si>
  <si>
    <t>SUPER EL MANA</t>
  </si>
  <si>
    <t>QUESADA, SAN CARLOS 150N DL ANTG. REST. LAS FRESAS</t>
  </si>
  <si>
    <t>ABAST. JIMENEZ</t>
  </si>
  <si>
    <t>SAN JOSE, ATENAS URB EL TRAPICHE TUETAL SUR</t>
  </si>
  <si>
    <t>SUPER EL ESTANCO</t>
  </si>
  <si>
    <t>TURRUCARES, ALAJUELA 100 S DE LA CRUZ ROJA</t>
  </si>
  <si>
    <t>MINI SUPER DONA MARIA</t>
  </si>
  <si>
    <t>SAN PABLO, BARVA COSTADO E ESCUELA SAN PABLO</t>
  </si>
  <si>
    <t>MOGUI SUPERMERCADOS</t>
  </si>
  <si>
    <t>CONCEPCION, ALAJUELITA CONT IGLESIA CONCEPCION</t>
  </si>
  <si>
    <t>SUPER MINIATURA</t>
  </si>
  <si>
    <t>HATILLO, SAN JOSE 150 O 100 S 150 O MAS X MENOS</t>
  </si>
  <si>
    <t>SUPER 4E</t>
  </si>
  <si>
    <t>SAN JOSE, ATENAS 400 O IGLESIA COYOL</t>
  </si>
  <si>
    <t>SUPER MEI YI</t>
  </si>
  <si>
    <t>CARMEN, SAN JOSE 100 O PULPERIA EL TESORO</t>
  </si>
  <si>
    <t>ABASTECEDOR SANTA CLARA</t>
  </si>
  <si>
    <t>SAN JOAQUIN, FLORES FRENTE A SUPER SNAK S</t>
  </si>
  <si>
    <t>MINI SUPER SAN JOSE</t>
  </si>
  <si>
    <t>SAN PEDRO, POAS 200 N ABASTECEDOR EDWVIGES</t>
  </si>
  <si>
    <t>HEREDIA HEREDIA HEREDIA 100 N ABAST LA NUEVA JERUSALEM</t>
  </si>
  <si>
    <t>CARMEN, SAN JOSE FTE 3ERA PARADA BUSES CARPIO</t>
  </si>
  <si>
    <t>PAVAS, SAN JOSE 400 E AEROPUERTO TOBIAS BOLA#O</t>
  </si>
  <si>
    <t>SAN JUAN, TIBAS 100 N 800 OE MUNICIPALIDAD</t>
  </si>
  <si>
    <t>SUPER JUNIOR</t>
  </si>
  <si>
    <t>SAN JUAN, TIBAS TIBAS 200 S BURGER KING</t>
  </si>
  <si>
    <t>TIRRASES, CURRIDABAT ENTRADA A LA PONDEROSA</t>
  </si>
  <si>
    <t>ABASTECEDOR LAS AMERICAS</t>
  </si>
  <si>
    <t>SAN VICENTE, MORAVIA CONTIGUO ALA PLAZA DE DEPORTES</t>
  </si>
  <si>
    <t>HON YY</t>
  </si>
  <si>
    <t>CATEDRAL, SAN JOSE 200 S EDIFICIO DE LA CAJA</t>
  </si>
  <si>
    <t>BAR VILLA ORIENTAL</t>
  </si>
  <si>
    <t>TIRRASES, CURRIDABAT 25 E SEMAFOROS LA COLINA</t>
  </si>
  <si>
    <t>RESTAURANTE TAN</t>
  </si>
  <si>
    <t>SAN FRANCISCO DE DOS, SAN JOSE 600 E DE PALI EL BOSQUE</t>
  </si>
  <si>
    <t>SÚPER Y LICORERA J M</t>
  </si>
  <si>
    <t>SAN JOSÉ ASERRI SAN GABRIEL FTE BALNEARIO DEL SOL</t>
  </si>
  <si>
    <t>COMISARIATO LA ESPERANZA</t>
  </si>
  <si>
    <t>PATALILLO, VAZQUEZ DE CORONADO 500 E 300 S IGLESIA CATOLICA SAN ANTONIO</t>
  </si>
  <si>
    <t>SUPER MERCADO SAN GABRIEL</t>
  </si>
  <si>
    <t>SAN GABRIEL, ASERRI DETRAS IGLESIA SAN GABRIEL</t>
  </si>
  <si>
    <t>ESPECIAL CARNICAS LA UNION SA</t>
  </si>
  <si>
    <t>TRES RIOS, LA UNION COSTADO S DE LA CCSS</t>
  </si>
  <si>
    <t>SUPER SI</t>
  </si>
  <si>
    <t>ASERRI, ASERRI 250 S CLINICA BO CORAZ JESUS</t>
  </si>
  <si>
    <t>JULIO SANCHEZ CHARPANTIER</t>
  </si>
  <si>
    <t>CALLE BLANCOS, GOICOECHEA 150 O RAMONENSE LOTES VOLIO</t>
  </si>
  <si>
    <t>SUPER EL FUTURO</t>
  </si>
  <si>
    <t>LA TRINIDAD, MORAVIA FRENTE LICEO HERNAN ZAMORA</t>
  </si>
  <si>
    <t>PULPERIA VILLAS DEL REY</t>
  </si>
  <si>
    <t>SAN SEBASTIAN, SAN JOSE URB LOS MOJADOS LOPEZ MATEOS</t>
  </si>
  <si>
    <t>CURRIDABAT, CURRIDABAT 800 N 300 E DEP CERV COSTA RIC</t>
  </si>
  <si>
    <t>MINI SUPER SUPING</t>
  </si>
  <si>
    <t>SAN ISIDRO, VAZQUEZ DE CORONADO 200 O 200 S IGLESIA SAN ANTONIO</t>
  </si>
  <si>
    <t>SUPER OFERTA</t>
  </si>
  <si>
    <t>SAN RAFAEL ABAJO, DESAMPARADOS 300 O ROTULOS ARMA´R</t>
  </si>
  <si>
    <t>CARMEN, SAN JOSE B CORAZON DE JESUS ASERRI</t>
  </si>
  <si>
    <t>URUCA_, SANTA ANA 100 O  250 N LADRILLERA</t>
  </si>
  <si>
    <t>CURRIDABAT, CURRIDABAT 50 N PLAZA JOSE MARIA ZELEDON</t>
  </si>
  <si>
    <t>MINI SUPER EL NUEVO AMANECER</t>
  </si>
  <si>
    <t>SAN JOSÉ DESAMPARADOS SAN MIGUEL COSTADO S ESCUELA VERACRUZ</t>
  </si>
  <si>
    <t>EVA DE TRES RIOS S.A.</t>
  </si>
  <si>
    <t>TRES RIOS, LA UNION 150 S FARMACIA CENTRAL</t>
  </si>
  <si>
    <t>SAN JOSÉ GOICOECHEA PURRAL PURRAL ARRIBA URB EL PUEBLO</t>
  </si>
  <si>
    <t>LIMON, LIMON 300 S SUPER EL SITIO JARDIN</t>
  </si>
  <si>
    <t>PULPERIA VERDULERIA OCEANIC</t>
  </si>
  <si>
    <t>SIQUIRRES, SIQUIRRES 150 OESTE IGLESIA MORMON</t>
  </si>
  <si>
    <t>SUPER LORENA</t>
  </si>
  <si>
    <t>LIMÓN LIMON LIMON 200 O PULPERIA EL REY</t>
  </si>
  <si>
    <t>PULPERIA LOS ANGELES</t>
  </si>
  <si>
    <t>LIMON, LIMON 75 S SALON COMUNALLOS ANGLES</t>
  </si>
  <si>
    <t>PULPERIA LA ECONOMICA</t>
  </si>
  <si>
    <t>LIMON, LIMON BO EL CARMEN POCORA</t>
  </si>
  <si>
    <t>MINI SUPER LA PERLA</t>
  </si>
  <si>
    <t>LIMON, LIMON FTE MUNICIPALIDAD PTO VIEJO</t>
  </si>
  <si>
    <t>MINI SUPER JAZMIN</t>
  </si>
  <si>
    <t>HEREDIA SARAPIQUI PUERTO VIEJO HEREDIA SARAPIQUI LA VIRGEN SARDINAL</t>
  </si>
  <si>
    <t>SUPERMERCADO MERCAMAX</t>
  </si>
  <si>
    <t>LIMON, LIMON FTE BANCO NACIONAL LA VIRGEN</t>
  </si>
  <si>
    <t>MINI SUPER YONG</t>
  </si>
  <si>
    <t>LIMÓN POCOCI GUAPILES 50M NORTE DEL ALMACEN DON JULIO</t>
  </si>
  <si>
    <t>POLLO DELICIAS</t>
  </si>
  <si>
    <t>LIMÓN LIMON LIMON CONTIGUO A LA PANADERIA MARY ROOS</t>
  </si>
  <si>
    <t>ABASTECEDOR JERUSALEN</t>
  </si>
  <si>
    <t>LIMON, LIMON 800 NE IGLESIA EVANGELICA</t>
  </si>
  <si>
    <t>ABASTECEDOR LA PLAZA</t>
  </si>
  <si>
    <t>LIMON, LIMON 200 N ESC IRLANDA</t>
  </si>
  <si>
    <t>SUPER DIFERENTE</t>
  </si>
  <si>
    <t>LIMON, LIMON 100 E 50 S MUNICIPALIDAD</t>
  </si>
  <si>
    <t>ABASTECEDOR EL HIGUERON</t>
  </si>
  <si>
    <t>LIMÓN LIMON LIMON 200 N SUPER ARIAS</t>
  </si>
  <si>
    <t>ABASTECEDOR LA MOSQUITA</t>
  </si>
  <si>
    <t>HEREDIA SARAPIQUI PUERTO VIEJO URBANIZACIÓN YACARÉ 300 SUR DE KA ENTRAD</t>
  </si>
  <si>
    <t>SUPER MARY</t>
  </si>
  <si>
    <t>LAS HORQUETAS, SARAPIQUI FTE IGLESIA FINCA 10</t>
  </si>
  <si>
    <t>SUPER ARIANA</t>
  </si>
  <si>
    <t>LIMÓN LIMON LIMON 1KM ESTE EN B LA COLONIA</t>
  </si>
  <si>
    <t>MINISUPER QUERUBINES</t>
  </si>
  <si>
    <t>LIMON, LIMON 300 O ESCUELA SUERRE</t>
  </si>
  <si>
    <t>SUPER  SAN JUANILLO</t>
  </si>
  <si>
    <t>NICOYA, NICOYA SAN JUANILLO CENTRO</t>
  </si>
  <si>
    <t>SÚPER EL TEMPISQUE</t>
  </si>
  <si>
    <t>QUEBRADA HONDA, NICOYA 500 SE ESCUELA LOMA LINDA</t>
  </si>
  <si>
    <t>ABASTECEDOR ALLAN</t>
  </si>
  <si>
    <t>LIBERIA, LIBERIA 50 N ESC. SAN PEDRO  STA.CRUZ</t>
  </si>
  <si>
    <t>SÚPER ECONÓMICO MANSION</t>
  </si>
  <si>
    <t>LIBERIA, LIBERIA 100 E ESCUELA SAN ANTONIO</t>
  </si>
  <si>
    <t>ABAST LA FAMILIA GONZALEZ</t>
  </si>
  <si>
    <t>LIBERIA, LIBERIA 200 E PULPERIA COQUITO</t>
  </si>
  <si>
    <t>ABASTECEDOR 16</t>
  </si>
  <si>
    <t>LIBERIA, LIBERIA BEBEDERO CAÑAS FTE  LOS BACHES</t>
  </si>
  <si>
    <t>MINISUPER Y LICORERA JOSSEPH</t>
  </si>
  <si>
    <t>LIBERIA, LIBERIA 25S DE PUENTE LA VICTORIA</t>
  </si>
  <si>
    <t>PULPERIA YAMILETH</t>
  </si>
  <si>
    <t>LIBERIA, LIBERIA 400 N 400 O PUENTE BEBEDERO</t>
  </si>
  <si>
    <t>ABAST D Y S</t>
  </si>
  <si>
    <t>LIBERIA, LIBERIA 150 E 50 S CRUCE HUACAS</t>
  </si>
  <si>
    <t>PULPERIA YARIS</t>
  </si>
  <si>
    <t>GUANACASTE LIBERIA LIBERIA 100 O PLAZA AEROBICOS</t>
  </si>
  <si>
    <t>MINIMARKET</t>
  </si>
  <si>
    <t>ALAJUELA ALAJUELA ALAJUELA URBANIZACION SILVIA EUGENIA  6TA ENTRADA</t>
  </si>
  <si>
    <t>PULPERIA SAN LUIS</t>
  </si>
  <si>
    <t>ALAJUELA, ALAJUELA 300 SDE LA SHELL</t>
  </si>
  <si>
    <t>PULPERIA LA CRUZADA</t>
  </si>
  <si>
    <t>CARMEN, SAN JOSE SALITRAL SANTA ANA</t>
  </si>
  <si>
    <t>ABASTECEDOR DAMARIS</t>
  </si>
  <si>
    <t>CARMEN, SAN JOSE JUNQUILLO ARRIBA PURISCAL</t>
  </si>
  <si>
    <t>ABASTECEDOR HEIDY</t>
  </si>
  <si>
    <t>ALAJUELA ALAJUELA ALAJUELA URB. TROPICO 2 CALLE LA TORRE</t>
  </si>
  <si>
    <t>ASOC SOLID EMPLEAD TERRAMIX SA</t>
  </si>
  <si>
    <t>ALAJUELA, ALAJUELA DETRAS DE KANG LUNG</t>
  </si>
  <si>
    <t>LA VIRGEN DE GUADALUPE</t>
  </si>
  <si>
    <t>SAN JOSÉ ALAJUELITA ALAJUELITA 75 S G.A.R. CONCEPCION</t>
  </si>
  <si>
    <t>SUPER POWER</t>
  </si>
  <si>
    <t>MERCEDES, HEREDIA 600 OE Y 25 N DEL COLEGIO CLARETIANO</t>
  </si>
  <si>
    <t>MINI SUPER SAN MIGUEL</t>
  </si>
  <si>
    <t>SAN JOSÉ ESCAZU ESCAZU 125 SUR A Y A</t>
  </si>
  <si>
    <t>SUPER ROBERTH SOCIEDAD DE RESPONSAB</t>
  </si>
  <si>
    <t>URUCA_, SANTA ANA FRENTE A LA CUARTA PARADA DE LA CARPIO</t>
  </si>
  <si>
    <t>MINI SUPER SHADAI</t>
  </si>
  <si>
    <t>URUCA_, SANTA ANA LA CARPIO DE LA COMISARIA 150 ESTE</t>
  </si>
  <si>
    <t>ALAJUELA, ALAJUELA 100 N ESCUELA BAJO HONDURAS</t>
  </si>
  <si>
    <t>LICORERA LOPEZ</t>
  </si>
  <si>
    <t>ALAJUELA ALAJUELA ALAJUELA 300 SO DELEGACION LA LEGUA</t>
  </si>
  <si>
    <t>SUPER MERCADO EL DESCANZO</t>
  </si>
  <si>
    <t>ALAJUELA, ALAJUELA 400 O PLAZA RINCON SALAS</t>
  </si>
  <si>
    <t>ABAST. M Y M</t>
  </si>
  <si>
    <t>ALAJUELA, ALAJUELA 200 N ESCUELA TEJARCILLOS</t>
  </si>
  <si>
    <t>ABASTECEDOR LOLITA</t>
  </si>
  <si>
    <t>ALAJUELA ALAJUELA ALAJUELA B LOURDES FT ARROCERA EL PATIO</t>
  </si>
  <si>
    <t>MINI SUPER MIRASOL</t>
  </si>
  <si>
    <t>ALAJUELA SAN RAMON SAN RAFAEL DEL CEMENTERIO 300 OESTE 300 NORTE 100 E</t>
  </si>
  <si>
    <t>ABASTECEDOR VISTA CLARA</t>
  </si>
  <si>
    <t>ALAJUELITA, ALAJUELITA 500 N 100 E IGLESIA SN FELIPE</t>
  </si>
  <si>
    <t>COMERCIAL SAN GABRIEL</t>
  </si>
  <si>
    <t>ALAJUELA, ALAJUELA 400 O ENT IMAS 2 ITIQUIS</t>
  </si>
  <si>
    <t>MINI SUPER TENORIO</t>
  </si>
  <si>
    <t>PATARRA, DESAMPARADOS 500 E BAR ESCONDITE SALITRILLO</t>
  </si>
  <si>
    <t>MINI SUPER VERA CRUZ</t>
  </si>
  <si>
    <t>SAN JOSÉ DESAMPARADOS SAN MIGUEL 200 O 125 S DE LA ESCUELA</t>
  </si>
  <si>
    <t>MINI SUPER NUNI</t>
  </si>
  <si>
    <t>SAN MIGUEL, DESAMPARADOS FTE FERRETERIA EL LINCE</t>
  </si>
  <si>
    <t>SUPER PANCITO 24H</t>
  </si>
  <si>
    <t>SAN FRANCISCO DE DOS, SAN JOSE COSTADO S PARQUE SN FCO DOS</t>
  </si>
  <si>
    <t>SUPER  PURRAL 2</t>
  </si>
  <si>
    <t>PURRAL, GOICOECHEA 100 OE TERMINAL BUSES PURRAL</t>
  </si>
  <si>
    <t>SUPER 15 SETIEMBRE</t>
  </si>
  <si>
    <t>CARMEN, SAN JOSE COSTADO E PLAZA 15 SETIEMBRE</t>
  </si>
  <si>
    <t>SUPER BUEN PRECIO</t>
  </si>
  <si>
    <t>DESAMPARADOS, DESAMPARADOS 300 SE CTRO COMERCIAL</t>
  </si>
  <si>
    <t>PULPERIA EL PUEBLO</t>
  </si>
  <si>
    <t>CARMEN, SAN JOSE UNION SAN DIEGO</t>
  </si>
  <si>
    <t>MINI SUPER EL MANA</t>
  </si>
  <si>
    <t>CARMEN, SAN JOSE DIAGONAL ENTRADA A LINDA VISTA</t>
  </si>
  <si>
    <t>SUPER FA</t>
  </si>
  <si>
    <t>CARMEN, SAN JOSE 200 E PLAZA LA FACIO</t>
  </si>
  <si>
    <t>ANA CRISTINA VALVERDE ROJAS</t>
  </si>
  <si>
    <t>CARTAGO CARTAGO ORIENTAL FTE PARQUE INDUSTRIAL</t>
  </si>
  <si>
    <t>SUPERMERCADO FAVORITO</t>
  </si>
  <si>
    <t>SAN MIGUEL, DESAMPARADOS 75 N ABASTECEDOR LA CABAÑA</t>
  </si>
  <si>
    <t>ASERRI, ASERRI 200 S ESCUELA CORAZON JESUS</t>
  </si>
  <si>
    <t>SUPER MENTOS</t>
  </si>
  <si>
    <t>ORIENTAL, CARTAGO TEJAR 100 E ENTRADA CATALINAS</t>
  </si>
  <si>
    <t>MINISUPER DMA</t>
  </si>
  <si>
    <t>SAN RAFAEL, OREAMUNO 200E 400N 200E BAR CABALLO BLA</t>
  </si>
  <si>
    <t>SUPER VICTORIA 2</t>
  </si>
  <si>
    <t>SAN JOSÉ DESAMPARADOS SAN MIGUEL 100 N TERMINAL BUSES LA CAPRI</t>
  </si>
  <si>
    <t>MINI SUPER DAN</t>
  </si>
  <si>
    <t>ORIENTAL, CARTAGO 100 S 50 O BAR ATLANTICO</t>
  </si>
  <si>
    <t>ASERAWLINGS</t>
  </si>
  <si>
    <t>ORIENTAL, CARTAGO CONTIGUO PLANTEL DEL ICE</t>
  </si>
  <si>
    <t>ABASTECEDOR EVELIN</t>
  </si>
  <si>
    <t>CARTAGO CARTAGO ORIENTAL 500 O PULP SN JOSE</t>
  </si>
  <si>
    <t>CARTAGO CARTAGO ORIENTAL 125 E SALON COM NUEVO HORIZON</t>
  </si>
  <si>
    <t>SUPER LUNA</t>
  </si>
  <si>
    <t>CARTAGO PARAISO CACHI COSTADO SUR DE LA CLÍNICA DE CACHI</t>
  </si>
  <si>
    <t>CARTAGO CARTAGO ORIENTAL COSTADO S ESCUELA CANADA</t>
  </si>
  <si>
    <t>SUPER CARMEN LYRA</t>
  </si>
  <si>
    <t>CARTAGO TURRIALBA TURRIALBA BARRIO CARMEN LYRA</t>
  </si>
  <si>
    <t>MINI SUP CHOROTEGA</t>
  </si>
  <si>
    <t>LIBERIA, LIBERIA 400 O 50 S ESTADIO</t>
  </si>
  <si>
    <t>ABASTECEDOR MAFE</t>
  </si>
  <si>
    <t>SANTA CRUZ, SANTA CRUZ 125 E ESC DE ARADO</t>
  </si>
  <si>
    <t>MINI SUPER COSTA AZUL</t>
  </si>
  <si>
    <t>PUNTARENAS PUNTARENAS PUNTARENAS 600 OEST DE AUTO MERCADO</t>
  </si>
  <si>
    <t>SUPER JUNQUILLAL</t>
  </si>
  <si>
    <t>GUANACASTE SANTA CRUZ VEINTISIETE DE ABRIL CENTRO COMERCIAL PLAZA TIERRA P</t>
  </si>
  <si>
    <t>ABASTECEDOR LA ESPERANZA</t>
  </si>
  <si>
    <t>ALAJUELA ALAJUELA ALAJUELA 100 S CUATRO ESQUINAS</t>
  </si>
  <si>
    <t>ABASTECEDOR EL EXITO</t>
  </si>
  <si>
    <t>LIMON, LIMON 75 S PULPERIA MONTOYA</t>
  </si>
  <si>
    <t>SÚPER LIMÓN SAFARI S.A</t>
  </si>
  <si>
    <t>LIMON, LIMON LIMÓN BANANITO SUR</t>
  </si>
  <si>
    <t>ABASTECEDOR GENESIS</t>
  </si>
  <si>
    <t>LIMON, LIMON CONT VALLE LAS ROSAS</t>
  </si>
  <si>
    <t>MINI SUPER LA COLINA</t>
  </si>
  <si>
    <t>LIMON, LIMON FTE TELISA</t>
  </si>
  <si>
    <t>PULPERIA LAS BRISAS</t>
  </si>
  <si>
    <t>BATAN, MATINA 2 ENT POOLES LUNZON</t>
  </si>
  <si>
    <t>ABASTECEDOR LA BOMBA</t>
  </si>
  <si>
    <t>LIMON, LIMON LA BOMBA</t>
  </si>
  <si>
    <t>SODA DINDI'</t>
  </si>
  <si>
    <t>LIMÓN LIMON LIMON FTE CCSS LIMON.</t>
  </si>
  <si>
    <t>COMOSARIATO ASEBAPAZ</t>
  </si>
  <si>
    <t>LIMON, LIMON DETRAS DE OFICINAS ESTANDAR</t>
  </si>
  <si>
    <t>MINI SUPER GINA</t>
  </si>
  <si>
    <t>BATAN, MATINA 100 S ENTRADA PRINCIPAL BATAAN</t>
  </si>
  <si>
    <t>ABAST BO NUEVO</t>
  </si>
  <si>
    <t>LIMON, LIMON 300 O PLAZA</t>
  </si>
  <si>
    <t>PULPERIA LA CHINITA</t>
  </si>
  <si>
    <t>LIMON, LIMON BRISTOL CORINA</t>
  </si>
  <si>
    <t>ABASTEDCEDOR DE HNOS ELIZONDO</t>
  </si>
  <si>
    <t>SIXAOLA, TALAMANCA FRRENTE CAJERO F20</t>
  </si>
  <si>
    <t>SUPER ZAMORA</t>
  </si>
  <si>
    <t>ALAJUELA, ALAJUELA CRUCE SAN JUAN NORTE,</t>
  </si>
  <si>
    <t>SUPER LOS GALLOS</t>
  </si>
  <si>
    <t>ALAJUELA, ALAJUELA 1 KM E DEL CRUZE CALBONAL</t>
  </si>
  <si>
    <t>ABASTECEDOR LAS JUNTAS</t>
  </si>
  <si>
    <t>ALAJUELA, ALAJUELA FTE COMPLEJO TURISTICO DEL ICE</t>
  </si>
  <si>
    <t>ALAJUELA, ALAJUELA 1 KM N ESCUELA SANTA EULALIA</t>
  </si>
  <si>
    <t>SUPER BAJO HONDURAS</t>
  </si>
  <si>
    <t>ALAJUELA, ALAJUELA 300 N ESC BAJO DE HONDURAS</t>
  </si>
  <si>
    <t>SUPER TATI #2</t>
  </si>
  <si>
    <t>ALAJUELITA, ALAJUELITA 400 S IGLESIA SAN JOSECITO</t>
  </si>
  <si>
    <t>SUPER LA COOPE</t>
  </si>
  <si>
    <t>HEREDIA SAN RAFAEL SAN RAFAEL COST N ESCUELA</t>
  </si>
  <si>
    <t>MINI SUPER SAN ROQUE</t>
  </si>
  <si>
    <t>ALAJUELA ALAJUELA ALAJUELA COST N PLAZA FUTBOL</t>
  </si>
  <si>
    <t>SUPER TURRUBARES</t>
  </si>
  <si>
    <t>SAN JOSÉ SAN JOSE CARMEN 75 S DE LA IGLESIA</t>
  </si>
  <si>
    <t>SUPER EL VECINO</t>
  </si>
  <si>
    <t>HEREDIA, HEREDIA 300 O COL MANUEL BENAVIDEZ</t>
  </si>
  <si>
    <t>SUPER MONTE DORADO</t>
  </si>
  <si>
    <t>CARMEN, SAN JOSE 500 S ESC CONCEPCION</t>
  </si>
  <si>
    <t>MINI SUPER LA PALMERA</t>
  </si>
  <si>
    <t>ALAJUELA, ALAJUELA FTE ESCUELA</t>
  </si>
  <si>
    <t>CHLOE ISLANDS</t>
  </si>
  <si>
    <t>HATILLO, SAN JOSE 200 OE 100 S 100 OE DE LOS SEMAFOROS</t>
  </si>
  <si>
    <t>MINI SUPER LA GUARIA</t>
  </si>
  <si>
    <t>ALAJUELA SAN RAMON SAN RAMON DIAG PLAZA DEPORTES DE LA GUARIA</t>
  </si>
  <si>
    <t>SUPER EL PORVENIR</t>
  </si>
  <si>
    <t>ALAJUELA, ALAJUELA 125 N SEMAFOROS</t>
  </si>
  <si>
    <t>SUPER Y GRIEGA</t>
  </si>
  <si>
    <t>ALAJUELA, ALAJUELA 100 O SEMAFOROS</t>
  </si>
  <si>
    <t>ZUMARKET</t>
  </si>
  <si>
    <t>ALAJUELA, ALAJUELA 200 O PUENTE</t>
  </si>
  <si>
    <t>SAN JOSÉ SANTA ANA SANTA ANA SANTA ANA, SALITRAL 800 S DE LAS CABAÑAS</t>
  </si>
  <si>
    <t>ALAJUELA SAN RAMON SAN RAMON 600 N POLIDEPORTIVO</t>
  </si>
  <si>
    <t>MINI SUPER A Y V</t>
  </si>
  <si>
    <t>ALAJUELA, ALAJUELA 125 S APTS RAQUEL</t>
  </si>
  <si>
    <t>SÚPER Y LICORERA EL JARQUIN#2</t>
  </si>
  <si>
    <t>ESCAZU, ESCAZU FRENTE COLEGIO SAN MARI</t>
  </si>
  <si>
    <t>MINI SUPER MORAZÁN</t>
  </si>
  <si>
    <t>SAN ISIDRO, GRECIA 200 E BAR CHAVEZ</t>
  </si>
  <si>
    <t>SUPERMERCADO VILLA BONITA</t>
  </si>
  <si>
    <t>ALAJUELA, ALAJUELA 300 S SEMAF VILLA BONITA</t>
  </si>
  <si>
    <t>MINI SUPER GALY</t>
  </si>
  <si>
    <t>ALAJUELA ALAJUELA ALAJUELA 250 N PULP SAN RAFAEL QUEBRADAS</t>
  </si>
  <si>
    <t>VENTANA  LA AMISTAD  IRMA</t>
  </si>
  <si>
    <t>ALAJUELA ALAJUELA ALAJUELA 150 S 25 O SUP CIRUELAS</t>
  </si>
  <si>
    <t>PULPERIA LA TROPICAL</t>
  </si>
  <si>
    <t>SAN JOSÉ ESCAZU ESCAZU DIAG CAP B CORAZON DE JESUS</t>
  </si>
  <si>
    <t>R Y M SUPERMERCADO</t>
  </si>
  <si>
    <t>ALAJUELA POAS SAN PEDRO FTE ESC CEDRO</t>
  </si>
  <si>
    <t>EL BUEN PRECIO</t>
  </si>
  <si>
    <t>ZARCERO, ZARCERO 75 E HOGAR DE ANCIANOS</t>
  </si>
  <si>
    <t>MINI SUPER ANDY</t>
  </si>
  <si>
    <t>SANTA ANA, SANTA ANA 1 KM SE SUBASTA GANADERA</t>
  </si>
  <si>
    <t>MINI SUPER CHATO</t>
  </si>
  <si>
    <t>LA FORTUNA, SAN CARLOS 50 S 50 O ESTADIO</t>
  </si>
  <si>
    <t>SUPERMERCADO NANNY</t>
  </si>
  <si>
    <t>DESAMPARADOS, DESAMPARADOS 75 O PARADA</t>
  </si>
  <si>
    <t>MINI KAMASY</t>
  </si>
  <si>
    <t>SAN ROQUE, BARVA 200 O 200 S 100 O IGLESIA</t>
  </si>
  <si>
    <t>SUPER M.T.</t>
  </si>
  <si>
    <t>MERCEDES, HEREDIA FTE TERMINAL DE BUSES</t>
  </si>
  <si>
    <t>SUPER RAFA #2</t>
  </si>
  <si>
    <t>SAN JOSÉ SAN JOSE HATILLO 75 S TAQUERIA CR</t>
  </si>
  <si>
    <t>LA RIBERA, BELEN 50 E IGLESIA</t>
  </si>
  <si>
    <t>LA OLLA</t>
  </si>
  <si>
    <t>CARMEN, SAN JOSE 50 O IGLESIA LOS ANGELES</t>
  </si>
  <si>
    <t>SUPER MELITA</t>
  </si>
  <si>
    <t>SAN ANTONIO, ALAJUELITA 400 E COLEGIO CONTADORES</t>
  </si>
  <si>
    <t>GUADALUPE, GOICOECHEA 150 O DE LA CRUZ ROJA</t>
  </si>
  <si>
    <t>COMERCIAL VALESKA</t>
  </si>
  <si>
    <t>SAN ISIDRO, SAN ISIDRO 400 E VIVERO EL ZAMORANO</t>
  </si>
  <si>
    <t>SUPER VILLALOBOS N2</t>
  </si>
  <si>
    <t>LA TRINIDAD, MORAVIA 200 S 200 E MURALLA CHINA</t>
  </si>
  <si>
    <t>CASCAJAL, VAZQUEZ DE CORONADO 400 S IGLESIA SAN PEDRO</t>
  </si>
  <si>
    <t>SUPER MEXICO</t>
  </si>
  <si>
    <t>SAN JOSÉ SAN JOSE CARMEN DIAGONAL ANT BOTICA SOLERA</t>
  </si>
  <si>
    <t>SUPER LA TERMINAL</t>
  </si>
  <si>
    <t>SAN MIGUEL, DESAMPARADOS TERMINAL BUSES LOS GUIDOS</t>
  </si>
  <si>
    <t>MINI SUPER SAN CAYETANO</t>
  </si>
  <si>
    <t>CARTAGO CARTAGO ORIENTAL 200 N E ESC CARLOS J</t>
  </si>
  <si>
    <t>ABASTECEDOR SAN JUDAS TADEO</t>
  </si>
  <si>
    <t>CARTAGO OREAMUNO COT 200 ESTE Y 300 NORTE DEL EBAIS DE COT</t>
  </si>
  <si>
    <t>PULPERIA HERRERA</t>
  </si>
  <si>
    <t>CARMEN, SAN JOSE 600 S E ESC SOTERO GONZALEZ</t>
  </si>
  <si>
    <t>SUPERMERCADO SW MASTERPLUS</t>
  </si>
  <si>
    <t>DESAMPARADOS, DESAMPARADOS DOS CERCAS DESAMPARADOS</t>
  </si>
  <si>
    <t>ALMACEN SUPER 99</t>
  </si>
  <si>
    <t>ORIENTAL, CARTAGO 100 SCOL FRANCISCO CARRAZCO</t>
  </si>
  <si>
    <t>MINI SUPER MDI</t>
  </si>
  <si>
    <t>SAN MIGUEL, DESAMPARADOS CONT COMIDAS TONG XING</t>
  </si>
  <si>
    <t>PULPERIA PANALERA ARYGO</t>
  </si>
  <si>
    <t>CARMEN, SAN JOSE 200 S COOPECORONADO</t>
  </si>
  <si>
    <t>ABASTECEDOR DIBER</t>
  </si>
  <si>
    <t>LIBERIA, LIBERIA 100 O ESCUELA</t>
  </si>
  <si>
    <t>PULPERIA GALLETA</t>
  </si>
  <si>
    <t>LIBERIA, LIBERIA 75 O CANTINA AGUILA DE ORO</t>
  </si>
  <si>
    <t>PULPERIA PRISCILA</t>
  </si>
  <si>
    <t>SANTA CRUZ, SANTA CRUZ 500 E COLEGIO</t>
  </si>
  <si>
    <t>PULPERIA EL ALTO</t>
  </si>
  <si>
    <t>LIBERIA, LIBERIA 300 N 2DA ENT 25 DE JULIO</t>
  </si>
  <si>
    <t>ABASTECEDOR GERSAN</t>
  </si>
  <si>
    <t>GUANACASTE TILARAN TILARAN 100 N CATEDRAL</t>
  </si>
  <si>
    <t>MINI SUP JOSE PABLO</t>
  </si>
  <si>
    <t>SANTA CRUZ, SANTA CRUZ 100 S PLAZA FUTBOL</t>
  </si>
  <si>
    <t>PULPERIA WENDY</t>
  </si>
  <si>
    <t>LIBERIA, LIBERIA DETRAS PLAZA LINDEROS</t>
  </si>
  <si>
    <t>SÚPER MAXI CORVIN</t>
  </si>
  <si>
    <t>GUANACASTE LIBERIA LIBERIA CONTIGUO TALLER RIVAS</t>
  </si>
  <si>
    <t>MINI SUPER STAR</t>
  </si>
  <si>
    <t>GUANACASTE LIBERIA LIBERIA 50 S BAR LA GALLERA</t>
  </si>
  <si>
    <t>OMAEL STORE #2</t>
  </si>
  <si>
    <t>GUANACASTE NICOYA NOSARA COST O IGLESIA</t>
  </si>
  <si>
    <t>SUPER VIDA</t>
  </si>
  <si>
    <t>NOSARA, NICOYA 40 E BAR ROYAL</t>
  </si>
  <si>
    <t>PUNTARENAS PUNTARENAS PUNTARENAS 400 S RANCHO CAHUIN</t>
  </si>
  <si>
    <t>SURTIDOR FC</t>
  </si>
  <si>
    <t>PUNTARENAS PUNTARENAS PUNTARENAS 200 N 200 E CLINICA</t>
  </si>
  <si>
    <t>M Y R MARKET</t>
  </si>
  <si>
    <t>TARCOLES, GARABITO COSTADO SUR DEL PARQUE DE TARCOLES</t>
  </si>
  <si>
    <t>SUPER COMBATE</t>
  </si>
  <si>
    <t>PUNTARENAS ESPARZA ESPIRITU SANTO 200 O DEL MERCADO</t>
  </si>
  <si>
    <t>EL BARATICO</t>
  </si>
  <si>
    <t>PUNTARENAS PUNTARENAS PUNTARENAS 100 N DE LA ESCUELA MATA LIMON</t>
  </si>
  <si>
    <t>PULPERIA LAS PALMERAS</t>
  </si>
  <si>
    <t>NICOYA, NICOYA BARRIO GRAMANOTAL</t>
  </si>
  <si>
    <t xml:space="preserve"> SUPER COROZAL</t>
  </si>
  <si>
    <t>NICOYA, NICOYA 400 S ESCUELA COROZ</t>
  </si>
  <si>
    <t>MINI SUPER COSTA</t>
  </si>
  <si>
    <t>ALAJUELA OROTINA OROTINA 150 O CABLETICA</t>
  </si>
  <si>
    <t>ABAST.FREDORLY</t>
  </si>
  <si>
    <t>NICOYA, NICOYA SAN MARTIN</t>
  </si>
  <si>
    <t>MINI SUPER MELANIE</t>
  </si>
  <si>
    <t>HOJANCHA, HOJANCHA 200 S BCO NAL</t>
  </si>
  <si>
    <t>PULP PLAYA LAGARTO</t>
  </si>
  <si>
    <t>SANTA CRUZ, SANTA CRUZ OSTIONAL</t>
  </si>
  <si>
    <t>PULPERIA YANCY</t>
  </si>
  <si>
    <t>SANTA CRUZ, SANTA CRUZ FTE COLEGIO ARGOPECUARIO</t>
  </si>
  <si>
    <t>MINI SUPER DIANA</t>
  </si>
  <si>
    <t>PUNTARENAS PUNTARENAS PUNTARENAS ENTRADA PRINCIPAL A ARANJUEZ</t>
  </si>
  <si>
    <t>SUPER YAMI</t>
  </si>
  <si>
    <t>LAS JUNTAS, ABANGARES 100 SUR DE LA BOMBA DELTA</t>
  </si>
  <si>
    <t>NICOYA, NICOYA DE SUPER BOULEVAR 200N Y 25EST</t>
  </si>
  <si>
    <t>MINI SUPER MYG</t>
  </si>
  <si>
    <t>LIMON, LIMON 200N PLAZA FUTBOL TORO AMARILL</t>
  </si>
  <si>
    <t>ABASTECEDOR EL UNO</t>
  </si>
  <si>
    <t>GUAPILES, POCOCI 150 E 50 S AG CERVECERIA</t>
  </si>
  <si>
    <t>ABASTECEDOR DENISSE</t>
  </si>
  <si>
    <t>SIQUIRRES, SIQUIRRES COSTADO NORTE PLAZA NUEVA ESPE</t>
  </si>
  <si>
    <t>PULPERIA LAS VEGAS</t>
  </si>
  <si>
    <t>GUAPILES, POCOCI 50 E ABAST ESCORPION</t>
  </si>
  <si>
    <t>MINI SUPER SAN BERNARDINO</t>
  </si>
  <si>
    <t>GUAPILES, POCOCI 250S PULPERIA CRISTAL</t>
  </si>
  <si>
    <t>SUPER ANITA GRANDE</t>
  </si>
  <si>
    <t>LIMON, LIMON FRENTE ESCUELA ANITA GRANDE</t>
  </si>
  <si>
    <t>MINISUPER HERNÁNDEZ LORIA</t>
  </si>
  <si>
    <t>GUAPILES, POCOCI DE ESC 200E 50NE DE FLAMINIA</t>
  </si>
  <si>
    <t>ABASTECEDOR LA ESMERALDA</t>
  </si>
  <si>
    <t>ROXANA, POCOCI 150 N BAR LA GLORIA</t>
  </si>
  <si>
    <t>ABASTECEDOR CHAVARRIA</t>
  </si>
  <si>
    <t>SIQUIRRES, SIQUIRRES FRENTE IGLESIA DE DIOS</t>
  </si>
  <si>
    <t>MINI SUPER GONZALEZ</t>
  </si>
  <si>
    <t>GUAPILES, POCOCI 100S PLAZA LA UNION</t>
  </si>
  <si>
    <t>GUAPILES, POCOCI CONT SERVICENTRO GUAPILES</t>
  </si>
  <si>
    <t>PULPERIA Y BAZAR LUCY</t>
  </si>
  <si>
    <t>HEREDIA SARAPIQUI LAS HORQUETAS LAS VEGAS DE FINCA 10 RIO FRIO</t>
  </si>
  <si>
    <t>ABASTECEDOR LA PUERTA DEL SOL</t>
  </si>
  <si>
    <t>LIMÓN POCOCI ROXANA 100 M O BAR LOBOS</t>
  </si>
  <si>
    <t>PULP LA AMISTAD</t>
  </si>
  <si>
    <t>PUERTO VIEJO, SARAPIQUI URB BETTY LA VICTORIA</t>
  </si>
  <si>
    <t>SUPERMERCADO EL ORO</t>
  </si>
  <si>
    <t>GUAPILES, POCOCI 300 ESTE DE AGENCIA COCACOLA</t>
  </si>
  <si>
    <t>ABASTECEDOR ROMY</t>
  </si>
  <si>
    <t>LIMÓN POCOCI GUAPILES 100 M OESTE DEL CEMENTERIO</t>
  </si>
  <si>
    <t>LA EXCLUSIVA</t>
  </si>
  <si>
    <t>GUACIMO, GUACIMO 300 E DE ASERRADERO LA CABAÑA</t>
  </si>
  <si>
    <t>SUPER AUTENTICO</t>
  </si>
  <si>
    <t>ROXANA, POCOCI 500 M SUR DE LA ESCUELA ROXANA</t>
  </si>
  <si>
    <t>MINI SUPER GALLO</t>
  </si>
  <si>
    <t>CARIARI, POCOCI 200 O CRUCE FORMOZA (FINCA)</t>
  </si>
  <si>
    <t>PUERTO VIEJO, SARAPIQUI FRENTE A LA PLAZA DE FLAMINGO</t>
  </si>
  <si>
    <t>SUPERMERCADO EL TORO</t>
  </si>
  <si>
    <t>HEREDIA SARAPIQUI PUERTO VIEJO FTE IGLS CAT BARRIO CRISTO REY SARAPIQUI</t>
  </si>
  <si>
    <t>ABASTECEDOR LA CASITA</t>
  </si>
  <si>
    <t>CARMEN, SAN JOSE 200 S IGLESIA CALLE FALLAS</t>
  </si>
  <si>
    <t>SUPER AGULA DE ORO  8</t>
  </si>
  <si>
    <t>SIQUIRRES, SIQUIRRES FRENTE A LA PLAZA LA PERLA 1</t>
  </si>
  <si>
    <t>ABASTECEDOR MONTE CARLO</t>
  </si>
  <si>
    <t>SAN JOSÉ SAN JOSE SAN SEBASTIAN 400 O ESC VIRGEN DE GUADALUPE</t>
  </si>
  <si>
    <t>ROXANA, POCOCI FRENTE CENTRO DE NUTRICION</t>
  </si>
  <si>
    <t>MINI SUPER 027</t>
  </si>
  <si>
    <t>SAN ANTONIO, ALAJUELITA 50 E  G.A.R RIO AZUL</t>
  </si>
  <si>
    <t>SÚPER LA CONFIANZA</t>
  </si>
  <si>
    <t>SAN CRISTOBAL, DESAMPARADOS 400 N PLAZA CRISTO REY</t>
  </si>
  <si>
    <t>MINI SUPER TU BENDICION</t>
  </si>
  <si>
    <t>LIMÓN POCOCI JIMENEZ 700S DE LA BOMBA DE RIO JIMENE</t>
  </si>
  <si>
    <t>PULPERIA CAROLINA</t>
  </si>
  <si>
    <t>CARIARI, POCOCI AMBURGO CRUCE A FINCA CAROLINA</t>
  </si>
  <si>
    <t>SAN RAFAEL ABAJO, DESAMPARADOS 250 N IGLESIA</t>
  </si>
  <si>
    <t>AGUACALIENTE O SAN F, CARTAGO 100 N IGLESIA LOURDES</t>
  </si>
  <si>
    <t>LA VIRGEN, SARAPIQUI 100E ESC KORICA</t>
  </si>
  <si>
    <t>ASERRI, ASERRI 700 S PLAZA</t>
  </si>
  <si>
    <t>LA COMPETENCIA N.2</t>
  </si>
  <si>
    <t>DESAMPARADOS, DESAMPARADOS 200 S 300 E IGLESIA CATOLICA PORVENIR</t>
  </si>
  <si>
    <t>SUPER LAS CRUCES</t>
  </si>
  <si>
    <t>SAN ISIDRO, SAN ISIDRO 100 O IGLESIA LAS CRUCITAS</t>
  </si>
  <si>
    <t>COMISARIATO CALINDA DE PUEBLO NUEVO</t>
  </si>
  <si>
    <t>MATAMA, LIMON PUEBLO NUEVO CARIARI</t>
  </si>
  <si>
    <t>MINI SUPER 85</t>
  </si>
  <si>
    <t>PURRAL, GOICOECHEA 200 S TANQUES A Y A</t>
  </si>
  <si>
    <t>SUPER BARRIO LUJAN</t>
  </si>
  <si>
    <t>HOSPITAL, SAN JOSE 250 N PISCINAS</t>
  </si>
  <si>
    <t>GUADALUPE O ARENILLA, CARTAGO 200 S CAPILLA MARIA AUXILIADORA</t>
  </si>
  <si>
    <t>CARTAGO PARAISO PARAISO 250 O BOMBEROS</t>
  </si>
  <si>
    <t>ABASTECEDOR CORDERO</t>
  </si>
  <si>
    <t>URUCA_, SANTA ANA 50 E TERMINAL DE BUSES</t>
  </si>
  <si>
    <t>SUPER TODO</t>
  </si>
  <si>
    <t>ORIENTAL, CARTAGO 200 E EMERGENCIAS MAX PERALTA</t>
  </si>
  <si>
    <t>SUPER CHITARIA</t>
  </si>
  <si>
    <t>CARTAGO TURRIALBA TURRIALBA CHITARIA FRENTE A LA FERRETERÍA SYS</t>
  </si>
  <si>
    <t>ABASTECEDOR LA FAMILIAR</t>
  </si>
  <si>
    <t>SAN MIGUEL, DESAMPARADOS URB PRADERA CALLE SABANILLA</t>
  </si>
  <si>
    <t>SAN SEBASTIAN, SAN JOSE 150 N 50 E IGLESIA</t>
  </si>
  <si>
    <t>SUPER OFERTAS  3</t>
  </si>
  <si>
    <t>ORIENTAL, CARTAGO 200 E 50 S PALI</t>
  </si>
  <si>
    <t>ABASTECEDOR EL TUCAN</t>
  </si>
  <si>
    <t>LA TRINIDAD, MORAVIA IGLESIA TRINIDAD MORAVIA  2 KM ÚLTIMA</t>
  </si>
  <si>
    <t>CAPELLADES, ALVARADO 150 O EBAIS</t>
  </si>
  <si>
    <t>PULPERIA EL TUCAN</t>
  </si>
  <si>
    <t>LA VIRGEN, SARAPIQUI DE POZO AZUL 300 ESTE PROYECTO</t>
  </si>
  <si>
    <t>SUPER FLORIDA</t>
  </si>
  <si>
    <t>HOSPITAL, SAN JOSE BO. MEXICO BO. LA FLORIDA</t>
  </si>
  <si>
    <t>SUPER PARACITO</t>
  </si>
  <si>
    <t>SAN VICENTE, MORAVIA FTE IGLESIA CATOLICA PARACITO</t>
  </si>
  <si>
    <t>ABASTECEDOR EL CORRAL</t>
  </si>
  <si>
    <t>ALAJUELA, ALAJUELA FTE LUBRICENTRO MEDINA</t>
  </si>
  <si>
    <t>PULPERIA EMIFER</t>
  </si>
  <si>
    <t>ESCAZU, ESCAZU COST SUR IGLESIA BEBEDERO</t>
  </si>
  <si>
    <t>MINI SUPER SAN BOSCO</t>
  </si>
  <si>
    <t>ALAJUELA ALAJUELA ALAJUELA 50 SO ESC GARABITO</t>
  </si>
  <si>
    <t>SUPER LETY</t>
  </si>
  <si>
    <t>GRECIA, GRECIA FTE EBAIS SANTA RITA RÍO CUARTO</t>
  </si>
  <si>
    <t>PULPERIA EL DESCANSO</t>
  </si>
  <si>
    <t>SAN MIGUEL, DESAMPARADOS BALCON VERDE</t>
  </si>
  <si>
    <t>SÚPER KELLY</t>
  </si>
  <si>
    <t>ALAJUELITA, ALAJUELITA 100 S SUPER LA UVITA</t>
  </si>
  <si>
    <t>SUPER SAN BLAS</t>
  </si>
  <si>
    <t>ORIENTAL, CARTAGO 300 O 200 S ESC SAN BLAS</t>
  </si>
  <si>
    <t>ABASTECEDOR EL PINO</t>
  </si>
  <si>
    <t>LLORENTE, FLORES COST N IGLESIA</t>
  </si>
  <si>
    <t>SUPER LOMA LINDA S.R.L</t>
  </si>
  <si>
    <t>DESAMPARADOS, DESAMPARADOS ULTIMA PARADA LOMA LINDA</t>
  </si>
  <si>
    <t>ABASTECEDOR SANTA FE</t>
  </si>
  <si>
    <t>ALAJUELA, ALAJUELA 200 N ENT URB STA FE CASA 8C</t>
  </si>
  <si>
    <t>LICORERA CORRALES</t>
  </si>
  <si>
    <t>GRECIA, GRECIA 250 E TEL PUBLICO</t>
  </si>
  <si>
    <t>SUPER K Y L</t>
  </si>
  <si>
    <t>SANTO DOMINGO, SANTA BARBARA 200 N CRUZ ROJA</t>
  </si>
  <si>
    <t>SUPER Y LICORERA BRAYKA</t>
  </si>
  <si>
    <t>ESQUIPULAS, PALMARES 400 E DE LA ESCUELA ESQUIPULAS</t>
  </si>
  <si>
    <t>ALAJUELA ALAJUELA TURRUCARES 400M S BNCR</t>
  </si>
  <si>
    <t>MINI SUPER EL PORVENIR</t>
  </si>
  <si>
    <t>DESAMPARADOS, DESAMPARADOS 150 S 50 E ESC</t>
  </si>
  <si>
    <t>PULPERIA ANITA</t>
  </si>
  <si>
    <t>HOSPITAL, SAN JOSE 150 N ABONOS AGRO</t>
  </si>
  <si>
    <t>ABASTECEDOR LA ESQUINA</t>
  </si>
  <si>
    <t>SAN JUAN DE DIOS, DESAMPARADOS 400 O FERRETERIA PIPO</t>
  </si>
  <si>
    <t>MEGA MAS Y MAS</t>
  </si>
  <si>
    <t>SANTO DOMINGO, SANTA BARBARA 200 N COL SAMAGRA</t>
  </si>
  <si>
    <t>SUPER EXCELENTE 2</t>
  </si>
  <si>
    <t>CARTAGO EL GUARCO SAN ISIDRO 100 N IGLESIA</t>
  </si>
  <si>
    <t>ASERRI, ASERRI 100 O 200 S LICEO ASERRI</t>
  </si>
  <si>
    <t>ALAJUELITA, ALAJUELITA 200 O ENTRADA BO LOS ANGELES</t>
  </si>
  <si>
    <t>SUPER MERCADO LOS PINOS</t>
  </si>
  <si>
    <t>MATA DE PLATANO, GOICOECHEA 2KM E ESCUELA JOSE CUBERO</t>
  </si>
  <si>
    <t>SUPER Y LICORERA LAS PALMERA</t>
  </si>
  <si>
    <t>SAN JOSÉ DESAMPARADOS SAN ANTONIO 25 N TERMINAL BUS TAPACHULA</t>
  </si>
  <si>
    <t>ABAST PIEDRA BLANCA</t>
  </si>
  <si>
    <t>CARMEN, SAN JOSE FTE PIEDRAS BLANCAS</t>
  </si>
  <si>
    <t>PULP PIEDADES</t>
  </si>
  <si>
    <t>SANTIAGO, PURISCAL COSTADO O DE LA ESC</t>
  </si>
  <si>
    <t>PULPERIA EL ALMENDRO</t>
  </si>
  <si>
    <t>CARMEN, SAN JOSE 300 S ESC PASO AGRES</t>
  </si>
  <si>
    <t>SUPERMERCADO CANOAS</t>
  </si>
  <si>
    <t>CARRIZAL, ALAJUELA CONT SALON COMUNAL</t>
  </si>
  <si>
    <t>NARANJO, NARANJO NARANJO DE ALAJUELA</t>
  </si>
  <si>
    <t>MINISUPER EL PORTILLO</t>
  </si>
  <si>
    <t>GRECIA, GRECIA TURRUCARES</t>
  </si>
  <si>
    <t>PULP. LA RECTA</t>
  </si>
  <si>
    <t>ALAJUELA SAN RAMON PIEDADES SUR 500 OESTE ENTRADA A BOLIVAR</t>
  </si>
  <si>
    <t>SUPER MERCADO S.G.</t>
  </si>
  <si>
    <t>ALAJUELA GRECIA GRECIA TACARES GRECIA</t>
  </si>
  <si>
    <t>PULPERIA LA BERRAQUERA</t>
  </si>
  <si>
    <t>ALAJUELA SAN RAMON SAN RAMON SAN RAMON CENTRO</t>
  </si>
  <si>
    <t>ABASTECEDOR JEREMY</t>
  </si>
  <si>
    <t>ALAJUELA ALAJUELA ALAJUELA 150 S AUTODROMO</t>
  </si>
  <si>
    <t>SUPER CIRUELAS</t>
  </si>
  <si>
    <t>ALAJUELA, ALAJUELA 300 OESTE D LA PLAZA D CIRUELA</t>
  </si>
  <si>
    <t>SUPER LICO MARKET MYL</t>
  </si>
  <si>
    <t>ALAJUELA, ALAJUELA GUACIMA ARRIBA DE OTTOS BAR 800 OE</t>
  </si>
  <si>
    <t>MINI SUPER LA URBA</t>
  </si>
  <si>
    <t>GUAPILES, POCOCI BARRIO SAGRADA FAMILIA</t>
  </si>
  <si>
    <t>SUPER AGUAS ZARCAS</t>
  </si>
  <si>
    <t>ALAJUELA, ALAJUELA COSTADO PANADERIA DURAN</t>
  </si>
  <si>
    <t>ABASTECEDOR EL AMANECER</t>
  </si>
  <si>
    <t>ALAJUELA ALAJUELA ALAJUELA 100 S IGLESIA CATOLICA</t>
  </si>
  <si>
    <t>ALAJUELA, ALAJUELA URB RANCHO GRANDE</t>
  </si>
  <si>
    <t>ALAJUELA, ALAJUELA 100 E PLAZA DEP LA MARGARITA</t>
  </si>
  <si>
    <t>PULPERIA EL RIO</t>
  </si>
  <si>
    <t>PIEDADES, SANTA ANA 800 N ESC LA MINA</t>
  </si>
  <si>
    <t>SUPER NORTE</t>
  </si>
  <si>
    <t>CARTAGO PARAISO OROSI 200 N PLAZA DDE OROSI</t>
  </si>
  <si>
    <t>SUPER MARKET H2O</t>
  </si>
  <si>
    <t>QUEPOS, QUEPOS FRENTE SUPER TONY</t>
  </si>
  <si>
    <t>MINI SUPER 3D</t>
  </si>
  <si>
    <t>QUEPOS, QUEPOS 150E TALLER CHANGO</t>
  </si>
  <si>
    <t>SUPER JOANCY INMACULADA</t>
  </si>
  <si>
    <t>QUEPOS, QUEPOS BARRIO INMACULADA</t>
  </si>
  <si>
    <t>LICORERA IGUANA VERDE</t>
  </si>
  <si>
    <t>SAMARA, NICOYA 50 S CRUCE CAGREJAL</t>
  </si>
  <si>
    <t>MONTEMAR DE PUNTARENAS #5</t>
  </si>
  <si>
    <t>SANTA CRUZ, SANTA CRUZ SAN PABLO DE NANDAYURE</t>
  </si>
  <si>
    <t>SUPER SAN PABLO</t>
  </si>
  <si>
    <t>SAN PABLO, NANDAYURE 100 O 100 N ABAST LOS COCOS</t>
  </si>
  <si>
    <t>SANTA CRUZ, SANTA CRUZ 50 ANTES CANCHA DE JUAN DIAZ</t>
  </si>
  <si>
    <t>MINI SUPER Y CONC.NICOYA</t>
  </si>
  <si>
    <t>NICOYA, NICOYA MERCADO</t>
  </si>
  <si>
    <t>OMAEL STORE #3</t>
  </si>
  <si>
    <t>SAMARA, NICOYA SAMARA</t>
  </si>
  <si>
    <t>MINI SUPER M Y S</t>
  </si>
  <si>
    <t>PUNTARENAS, PUNTARENAS 100 N ESCUELA EL ROBLE</t>
  </si>
  <si>
    <t>MINI SUPER RONOY</t>
  </si>
  <si>
    <t>PUNTARENAS, PUNTARENAS PRIMERA ENTRADA PALMAS DEL RIO</t>
  </si>
  <si>
    <t>SURTIDOR ZAMORA</t>
  </si>
  <si>
    <t>PUNTARENAS ESPARZA ESPIRITU SANTO 600 S ENTRADA MOJON</t>
  </si>
  <si>
    <t>PULPERIA 5 MENOS</t>
  </si>
  <si>
    <t>PUNTARENAS, PUNTARENAS 150 METROS NORTE DEL REST EL C</t>
  </si>
  <si>
    <t>MINI SUPER GUACIMAL</t>
  </si>
  <si>
    <t>PUNTARENAS, PUNTARENAS 200 SUR DE LA ESCUELA</t>
  </si>
  <si>
    <t>ABASTECEDOR GABY</t>
  </si>
  <si>
    <t>PUNTARENAS PUNTARENAS PUNTARENAS 25 O DE LA ESCUELA</t>
  </si>
  <si>
    <t>SUPER LA TRANCA</t>
  </si>
  <si>
    <t>ALAJUELA OROTINA OROTINA 75 O SALON COMUNAL</t>
  </si>
  <si>
    <t>DONDE PELUQUIN</t>
  </si>
  <si>
    <t>PUNTARENAS PUNTARENAS PUNTARENAS UN COSTADO DEL SUPER GASLY</t>
  </si>
  <si>
    <t>ABAST. MANDARINA</t>
  </si>
  <si>
    <t>PUNTARENAS PUNTARENAS PUNTARENAS DETRAS DEL SALON COMUNAL</t>
  </si>
  <si>
    <t>PULPERIA LA RESEDA</t>
  </si>
  <si>
    <t>PUNTARENAS PUNTARENAS PUNTARENAS 100 OEST Y 25N ANTIG PANAD ELI</t>
  </si>
  <si>
    <t>SUPER SAN JOAQUIN</t>
  </si>
  <si>
    <t>LAS JUNTAS, ABANGARES 2 KM SUR DE LA PALMA</t>
  </si>
  <si>
    <t>PULPERIA EL HOGAR</t>
  </si>
  <si>
    <t>PUNTARENAS MONTES DE ORO MIRAMAR BARRIO QUEROGA ARANJUEZ</t>
  </si>
  <si>
    <t>PULPERIA EL MIRADOR</t>
  </si>
  <si>
    <t>SAN MATEO, SAN MATEO 50 S ESC STA MARTA</t>
  </si>
  <si>
    <t>SUPER LINDORA</t>
  </si>
  <si>
    <t>POZOS, SANTA ANA 600 OESTE DEL HOTEL ALOF</t>
  </si>
  <si>
    <t>Q' TACOS</t>
  </si>
  <si>
    <t>SAN JOSÉ ESCAZU ESCAZU 50 S MUNICIPALIDAD ESCAZU</t>
  </si>
  <si>
    <t>SUPER SARADAYA</t>
  </si>
  <si>
    <t>GUACIMA, ALAJUELA DIAGONAL A SUPER VENUS</t>
  </si>
  <si>
    <t>SUPERMERCADO LA AMISTAD FAM S.</t>
  </si>
  <si>
    <t>SAN FRANCISCO, HEREDIA 350 S BAR DEPORTIVA</t>
  </si>
  <si>
    <t>MINISUPER MIRAMAR</t>
  </si>
  <si>
    <t>HEREDIA FLORES LLORENTE 400 S 100 O SUPER 2000</t>
  </si>
  <si>
    <t>SUPERMERCADO Y RESTAURANTE XIE S.A</t>
  </si>
  <si>
    <t>SAN RAFAEL, SAN RAMON SAN RAFAEL DE ALAJUELA COSTADO SURESTE</t>
  </si>
  <si>
    <t>ABASTECEDOR TINO</t>
  </si>
  <si>
    <t>SAN JOSE, ATENAS 300 E DE IGLESIA TAMBOR</t>
  </si>
  <si>
    <t>MINI SUPER Y LIC GAMBOA</t>
  </si>
  <si>
    <t>ALAJUELA SAN RAMON SAN JUAN FRTE BAR REST LOS PILONES</t>
  </si>
  <si>
    <t>ABASTECEDOR LA VERANERA</t>
  </si>
  <si>
    <t>SANTA EULALIA, ATENAS 200 E REDONDEL SABANA LARGA</t>
  </si>
  <si>
    <t>SAN MIGUEL, DESAMPARADOS FRENTE TERMINAL DE BUSES</t>
  </si>
  <si>
    <t>SUPER EL AMBIENTE</t>
  </si>
  <si>
    <t>ASERRI, ASERRI FT TERMINAL BUSES POAS ASERRI</t>
  </si>
  <si>
    <t>ABSTECEDOR LUIS</t>
  </si>
  <si>
    <t>HATILLO, SAN JOSE 100 S 100 E AUTOS LEO</t>
  </si>
  <si>
    <t>SUPER REY</t>
  </si>
  <si>
    <t>PARAISO, PARAISO 500S PUENTE RIO PUCARES LAG</t>
  </si>
  <si>
    <t>SUPER DIVINO NIÑO</t>
  </si>
  <si>
    <t>ALAJUELA SAN CARLOS PITAL 400 N BOMBA PITAL</t>
  </si>
  <si>
    <t>MINISUPER CERRO CORTEZ</t>
  </si>
  <si>
    <t>AGUAS ZARCAS, SAN CARLOS FTE PLAZA DEPORTES CERRO CORTE</t>
  </si>
  <si>
    <t>ALAJUELA, ALAJUELA 1KM BCR AGUAS ZARCAS</t>
  </si>
  <si>
    <t>V Y M SUPERMERCADO</t>
  </si>
  <si>
    <t>ALAJUELA, ALAJUELA 250 S LA ESPERANZA SN MARTIN</t>
  </si>
  <si>
    <t>SUPER VISTA AZUL</t>
  </si>
  <si>
    <t>LA TRINIDAD, MORAVIA URB VISTA SOL ENTRADA PRINCIPA</t>
  </si>
  <si>
    <t>PULPERIA SAN JOSE</t>
  </si>
  <si>
    <t>CARTAGO JIMENEZ TUCURRIQUE LAS VUELTAS TUCURRIQUE</t>
  </si>
  <si>
    <t>SUPER EL AGUILA DORADA</t>
  </si>
  <si>
    <t>CORRALILLO, CARTAGO 50 N LICEO SAN JUAN SUR</t>
  </si>
  <si>
    <t>TIRRASES, CURRIDABAT 400 E 100N PORTON ANT RELLENO</t>
  </si>
  <si>
    <t>ABASTECEDOR EL TESORO</t>
  </si>
  <si>
    <t>SAN JOSÉ SAN JOSE SAN SEBASTIAN 100 O DE AUTOS LEO</t>
  </si>
  <si>
    <t>SAN MIGUEL, DESAMPARADOS 100 E ANTIGUO DEPOSITO CHALET</t>
  </si>
  <si>
    <t>PULPERIA ROSI</t>
  </si>
  <si>
    <t>SAN MIGUEL, DESAMPARADOS 100N J.J. URB EL HUASO CASA K7</t>
  </si>
  <si>
    <t>CARMEN, SAN JOSE 150 N ESC PDERNAL</t>
  </si>
  <si>
    <t>SUPER REAL SANTAMARIA</t>
  </si>
  <si>
    <t>ULLOA, HEREDIA FTE A LA PLAZA DE LAGUNILLA HE</t>
  </si>
  <si>
    <t>SODA Y TAQUERIA MARIA</t>
  </si>
  <si>
    <t>CARRIZAL, ALAJUELA 125E DE IGLESIA CARRIZAL</t>
  </si>
  <si>
    <t>MINI SUPER Y LICORERA AVANZAR</t>
  </si>
  <si>
    <t>ALAJUELA, ALAJUELA 100 O 400 N PUENTE ERIZO INDEP</t>
  </si>
  <si>
    <t>MINISUPER Y LICORERA MI PUEBLO</t>
  </si>
  <si>
    <t>SUPER Y MAS</t>
  </si>
  <si>
    <t>SAN RAMON, SAN RAMON 100 E ESCUELA LABORATORIO</t>
  </si>
  <si>
    <t>SUPER DULCE NOMBRE</t>
  </si>
  <si>
    <t>SAN PEDRO, POAS 50 S IGLESIA DULCE NOBRE</t>
  </si>
  <si>
    <t>SUPER LA COLINA</t>
  </si>
  <si>
    <t>LIBERIA, LIBERIA CONTIGUO IGLESIA DE PALMIRA</t>
  </si>
  <si>
    <t>EL TUNGAR</t>
  </si>
  <si>
    <t>TILARAN, TILARAN 100 E DEL ESTADIO DE TILARAN</t>
  </si>
  <si>
    <t>SUPER ORTEGA</t>
  </si>
  <si>
    <t>FILADELFIA, CARRILLO 100 S 100 O ESCUELA</t>
  </si>
  <si>
    <t>PULPERIA DOÑA MARIA</t>
  </si>
  <si>
    <t>CAÑAS, CAÑAS 25 S ESCUELA SAN LUIS</t>
  </si>
  <si>
    <t>J Y D MINI SUPER</t>
  </si>
  <si>
    <t>LIBERIA, LIBERIA 200S 100E BARRIO VALLE DORADO</t>
  </si>
  <si>
    <t>PULPERIA YAHUE YIRE</t>
  </si>
  <si>
    <t>LIBERIA, LIBERIA 100 ESCUELA DE NAZARETH</t>
  </si>
  <si>
    <t>MINI SUPER EL ALMENDROS</t>
  </si>
  <si>
    <t>GUANACASTE LIBERIA LIBERIA 300 E TEL PUBLIC B. ARBOLITO</t>
  </si>
  <si>
    <t>ABASTECEDOR CHOROTEGA</t>
  </si>
  <si>
    <t>CAÑAS, CAÑAS 175 N DE SODA KATUHAI</t>
  </si>
  <si>
    <t>PULPERIA EL TREBOL</t>
  </si>
  <si>
    <t>LIBERIA, LIBERIA 150 E CEN DE GUARDIA</t>
  </si>
  <si>
    <t>ABASTECEDOR QUINTA ETAPA</t>
  </si>
  <si>
    <t>CINCO ESQUINAS, TIBAS FTE PLANCHETE DETRAS D METALCO</t>
  </si>
  <si>
    <t>SAN JOSÉ SAN JOSE SAN SEBASTIAN FRENTE PARQUE CARMEN LYRA</t>
  </si>
  <si>
    <t>PULPERIA MARIA MILAGRO</t>
  </si>
  <si>
    <t>CAÑAS, CAÑAS 100E DEL COSTADO NE DE PLAZA</t>
  </si>
  <si>
    <t>SUPER EL HURACAN</t>
  </si>
  <si>
    <t>LIBERIA, LIBERIA 200 NORTE 150 ESTE DE LA DELEGACIÓN POLI</t>
  </si>
  <si>
    <t>ABASTECEDOR 911</t>
  </si>
  <si>
    <t>CARTAGO ALVARADO PACAYAS 1KM E BCO NACIONAL</t>
  </si>
  <si>
    <t>TRES J</t>
  </si>
  <si>
    <t>LA TRINIDAD, MORAVIA URBANIZACION EDEN 2DA ENTRADA</t>
  </si>
  <si>
    <t>AUTOSERVICIO GETSEMANI</t>
  </si>
  <si>
    <t>DULCE NOMBRE, CARTAGO 100E 300S 100E REST RIO BRAVO</t>
  </si>
  <si>
    <t>SUPER IMPERIAL</t>
  </si>
  <si>
    <t>SAN RAFAEL, OREAMUNO 1KM E IGLESIA DEL BOSQUE</t>
  </si>
  <si>
    <t>SÚPER I GRIEGA</t>
  </si>
  <si>
    <t>SAN MIGUEL, DESAMPARADOS ENTRADA CASA CUBA 600 E</t>
  </si>
  <si>
    <t>SUPER CORDOBA</t>
  </si>
  <si>
    <t>AGUACALIENTE O SAN F, CARTAGO COSTADO NORTE ESCUELA COCORI</t>
  </si>
  <si>
    <t>CARTAGO CARTAGO ORIENTAL 200 OE 600 N BASILICA DE LOS ANGELES</t>
  </si>
  <si>
    <t>SUPER EL NORTE</t>
  </si>
  <si>
    <t>CARTAGO CARTAGO SAN NICOLAS COST N PLAZA LA LIMA</t>
  </si>
  <si>
    <t>SUPER PELON</t>
  </si>
  <si>
    <t>TURRIALBA, TURRIALBA FTE A PARQUE LA DOMINICANA</t>
  </si>
  <si>
    <t>SUPER LA SUIZA</t>
  </si>
  <si>
    <t>LA SUIZA, TURRIALBA 200 E PLAZA SUIZA</t>
  </si>
  <si>
    <t>MINI SUPER PEPE</t>
  </si>
  <si>
    <t>PARAISO, PARAISO 25 N DE LA IGLESIA</t>
  </si>
  <si>
    <t>MATINA, MATINA CONTIGUO SALON EL REINO</t>
  </si>
  <si>
    <t>SUPERMERCADO ASEVE</t>
  </si>
  <si>
    <t>SAN FRANCISCO DE DOS, SAN JOSE 150 BSUR PLAZA VALLE</t>
  </si>
  <si>
    <t>SUPER LA FORTUNA</t>
  </si>
  <si>
    <t>LIMON, LIMON GOLY</t>
  </si>
  <si>
    <t>PUPERIA STEFANIA</t>
  </si>
  <si>
    <t>LIMON, LIMON BARRIO MARIA AGUERO</t>
  </si>
  <si>
    <t>MINI SÚPER .YAILIN.</t>
  </si>
  <si>
    <t>VALLE LA ESTRELLA, LIMON VALLE LA ESTRELLA LLANO GRANDE</t>
  </si>
  <si>
    <t>FAMILIAR MELISA</t>
  </si>
  <si>
    <t>LIMON, LIMON COMUNIDAD DE TOULON</t>
  </si>
  <si>
    <t>SUPER TICOS..</t>
  </si>
  <si>
    <t>BATAN, MATINA FTE A FINANCA CHIRRIPO VENECIA</t>
  </si>
  <si>
    <t>PULPERIA ROBLETO</t>
  </si>
  <si>
    <t>LIMON, LIMON BO.SAN JUA ANTIGUO POLLO RICO</t>
  </si>
  <si>
    <t>ABAST. DANIELA</t>
  </si>
  <si>
    <t>ALAJUELA SAN RAMON SAN RAFAEL 300 O 50 S COLEGIO SAN PAUL</t>
  </si>
  <si>
    <t>ESQUIPULAS, PALMARES 150 ESTE ESCUELA ESQUIPULAS</t>
  </si>
  <si>
    <t>3102873585</t>
  </si>
  <si>
    <t>PALMARES, PALMARES 1KM OESTE DE LA IGLESIA RINCON</t>
  </si>
  <si>
    <t>TACARES, GRECIA CALLE LOMAS PUENTE DE PIEDRA</t>
  </si>
  <si>
    <t>MINI SUPER Y LICORERA SANTA FE</t>
  </si>
  <si>
    <t>ALAJUELA GRECIA TACARES PILAS CENTRO TACARES</t>
  </si>
  <si>
    <t>MINISUPER LA PERLA</t>
  </si>
  <si>
    <t>ALAJUELA, ALAJUELA 300 S ESCUELA PACTO DEL JOCOTE</t>
  </si>
  <si>
    <t>FEATHER STAR FISH B FOUR</t>
  </si>
  <si>
    <t>URUCA_, SANTA ANA DE LA ADOC 50E 50 S LA URUCA</t>
  </si>
  <si>
    <t>ABAST SOSA MAZIER</t>
  </si>
  <si>
    <t>BRASIL, SANTA ANA 350N ENTRADA LOS ANGELES</t>
  </si>
  <si>
    <t>SAN JOSÉ PURISCAL SANTIAGO 100 O SODA SANTA MRTA DE PURISCAL</t>
  </si>
  <si>
    <t>PULPERIA PENIEL</t>
  </si>
  <si>
    <t>SABANILLA_, ALAJUELA LOS ANGELES CALLE LAJAS</t>
  </si>
  <si>
    <t>PATTY</t>
  </si>
  <si>
    <t>ALAJUELA, ALAJUELA 150 N IGLE CATOLICA COYOL</t>
  </si>
  <si>
    <t>MINI SUPER MEMO MARKET</t>
  </si>
  <si>
    <t>COLON, MORA 200 S ESCUELA EL RODEO</t>
  </si>
  <si>
    <t>ABAST GONZALES</t>
  </si>
  <si>
    <t>ESQUIPULAS, PALMARES 1K N DE LA PLAZA DE ESQUIPULAS</t>
  </si>
  <si>
    <t>ABASTECEDOR LA FLORY</t>
  </si>
  <si>
    <t>ALAJUELA, ALAJUELA CALLE LA FLORY</t>
  </si>
  <si>
    <t>ALAJUELA, ALAJUELA 300 SE DE FERRETERIA GUZMAN</t>
  </si>
  <si>
    <t>SUPER LA GARITA</t>
  </si>
  <si>
    <t>TURRUCARES, ALAJUELA COSTADO NORTE PLAZA DEPORTES</t>
  </si>
  <si>
    <t>EL SARCHISEÑO</t>
  </si>
  <si>
    <t>SARCHI NORTE, SARCHI SARCHI NORTE ALAJUELA</t>
  </si>
  <si>
    <t>SUPER ALICIA</t>
  </si>
  <si>
    <t>SAN FRANCISCO DE DOS, SAN JOSE 50 NO ANTIGUO EAP</t>
  </si>
  <si>
    <t>SUPER MERCADO EL AMIGO</t>
  </si>
  <si>
    <t>SAN RAFAEL ARRIBA, DESAMPARADOS 300 S REST EL BOYERO</t>
  </si>
  <si>
    <t>ABASTECEDOR LA PACHITA</t>
  </si>
  <si>
    <t>HATILLO, SAN JOSE 120 SUR DE LA LEONISA</t>
  </si>
  <si>
    <t>DISTRIBUIDORA FABY</t>
  </si>
  <si>
    <t>HATILLO, SAN JOSE FRENTE BIBILIOTECA PUBLICA</t>
  </si>
  <si>
    <t>SUPER JIRARA Y SODA</t>
  </si>
  <si>
    <t>CARTAGO CARTAGO AGUACALIENTE O SAN FRANCISCO 150S CEMENTERIO DE AGUA CALIEN</t>
  </si>
  <si>
    <t>ABASTECEDOR EL DIVINO NIÑO</t>
  </si>
  <si>
    <t>OCCIDENTAL, CARTAGO 400 SUR DE IGLESIA LOURDES</t>
  </si>
  <si>
    <t>SUPER 2000</t>
  </si>
  <si>
    <t>TURRIALBA, TURRIALBA COSTADO OE DE PLAZA AZUL</t>
  </si>
  <si>
    <t>MINI SUPER TULIPAN</t>
  </si>
  <si>
    <t>PIEDRAS NEGRAS, MORA PIEDRAS NEGRAS DE MORA</t>
  </si>
  <si>
    <t>SODA MASIS</t>
  </si>
  <si>
    <t>HEREDIA, HEREDIA DENTRO DE CENADA</t>
  </si>
  <si>
    <t>DONDE PIPO MINI MARKET</t>
  </si>
  <si>
    <t>HEREDIA BARVA SAN JOSE DE LA MONTAÑA FRENTE ESCUELA SJ DE LA MONTA#</t>
  </si>
  <si>
    <t>MINISUPER SAN MIGUEL</t>
  </si>
  <si>
    <t>TURRUCARES, ALAJUELA 200 E DE LA PLAZA DE SAN MIGUEL</t>
  </si>
  <si>
    <t>SUPER CRIQUES</t>
  </si>
  <si>
    <t>ALAJUELA, ALAJUELA 50 O ENTRADA LOS CRIQUES</t>
  </si>
  <si>
    <t>SUPER QUEBRADA AZUL</t>
  </si>
  <si>
    <t>ALAJUELA, ALAJUELA FTE INGENIO QUEBRADA AZUL</t>
  </si>
  <si>
    <t>MINI SUPER M.S</t>
  </si>
  <si>
    <t>ALAJUELA ALAJUELA ALAJUELA 200 N DEL CRUCE DE CEDRAL</t>
  </si>
  <si>
    <t>SUPER LA CRUZ</t>
  </si>
  <si>
    <t>LA FORTUNA, SAN CARLOS CONTIGU PLAZA DEPORTES LA CRUZ</t>
  </si>
  <si>
    <t>SUPER CRUCE LA TIGRA</t>
  </si>
  <si>
    <t>SUPER TODO Y MAS</t>
  </si>
  <si>
    <t>QUESADA, SAN CARLOS DIAGONAL A LA ESCUELA</t>
  </si>
  <si>
    <t>MINI SUPER ALEX</t>
  </si>
  <si>
    <t>ALAJUELA ALAJUELA ALAJUELA FRENTE PLAZA EL PROGRESO</t>
  </si>
  <si>
    <t>SUPERMRCADO MÁS AHORRO</t>
  </si>
  <si>
    <t>ALAJUELA, ALAJUELA COSTAD OEST IGLESIA CAT LA PAI</t>
  </si>
  <si>
    <t>SUPER SANTA RITA</t>
  </si>
  <si>
    <t>ALAJUELA, ALAJUELA SANTA RITA DE RIO CUARTO</t>
  </si>
  <si>
    <t>SUPER RAMA</t>
  </si>
  <si>
    <t>ALAJUELA ALAJUELA ALAJUELA 600 N DE IGLESIA SAN JOSECITO</t>
  </si>
  <si>
    <t>ALAJUELA SAN CARLOS PITAL 800 N 300 O CEMENT PTO ESCONDI</t>
  </si>
  <si>
    <t>PULPERÍA EL UNO</t>
  </si>
  <si>
    <t>GOLFITO, GOLFITO DETRAS ESCUELA GOLFITO 1 KM</t>
  </si>
  <si>
    <t>SUPERMERCADO EL PARQUE</t>
  </si>
  <si>
    <t>TURRIALBA, TURRIALBA FRENTE AL PARQUE</t>
  </si>
  <si>
    <t>SUPER BETANIA</t>
  </si>
  <si>
    <t>SAN JOSÉ DESAMPARADOS DESAMPARADOS 100E 50N IGLESIA CALLE FALLAS</t>
  </si>
  <si>
    <t>PULPERIAL EL RANCHITO</t>
  </si>
  <si>
    <t>SAN FRANCISCO DE DOS, SAN JOSE BAREL AMBIENTO 1KM S</t>
  </si>
  <si>
    <t>SUPER LA CUMBRE #3</t>
  </si>
  <si>
    <t>TURRIALBA, TURRIALBA COSTADO IGLESIA CATOLICA</t>
  </si>
  <si>
    <t>SUPER EL VEROLIZ</t>
  </si>
  <si>
    <t>TURRIALBA, TURRIALBA FRENTE A LA PLAZA AZUL</t>
  </si>
  <si>
    <t>SUPER MERCADO NUEVO AMANECER</t>
  </si>
  <si>
    <t>SAN JOSÉ ASERRI ASERRI 250 NORTE DE LA PLAZA  BRUJAS</t>
  </si>
  <si>
    <t>SUPERMERCADO AQUIARES</t>
  </si>
  <si>
    <t>TURRIALBA, TURRIALBA 300 ESTE ESCUELA AQUIARES</t>
  </si>
  <si>
    <t>SUPER LA PAULINA</t>
  </si>
  <si>
    <t>AGUACALIENTE O SAN F, CARTAGO 300 ESTE DE PLAZA COCORI</t>
  </si>
  <si>
    <t>DISTR.SUPERMERCADO SAN RAFAEL</t>
  </si>
  <si>
    <t>CARTAGO OREAMUNO SAN RAFAEL 400 NO PLAZA DE DEPORTE</t>
  </si>
  <si>
    <t>AB JUNIOR</t>
  </si>
  <si>
    <t>SAN DIEGO, LA UNION URB.LOS MARGARITOS CASA 102</t>
  </si>
  <si>
    <t>SAN JOSÉ DESAMPARADOS SAN MIGUEL 200M OESTE ESCUELA</t>
  </si>
  <si>
    <t>SUPER VICTORIA #4</t>
  </si>
  <si>
    <t>SAN MIGUEL, DESAMPARADOS FRENTE A LA ESCUELA</t>
  </si>
  <si>
    <t>SUPER PROYECTO 19</t>
  </si>
  <si>
    <t>AGUACALIENTE O SAN F, CARTAGO 200S MOTEL CASA BLANCA</t>
  </si>
  <si>
    <t>SUPER POPULAR</t>
  </si>
  <si>
    <t>DESAMPARADOS, DESAMPARADOS 250E DE LA ESCUEL GRAVILIAS</t>
  </si>
  <si>
    <t>SUPER SOFI</t>
  </si>
  <si>
    <t>CARMEN, SAN JOSE 250S 100E 150S</t>
  </si>
  <si>
    <t>PULPERIA LOS GEMELOS   2</t>
  </si>
  <si>
    <t>CARMEN, SAN JOSE DE LOS TANQUES 300S LOS FILTRO</t>
  </si>
  <si>
    <t>MINI SUPER LA AURORA 24/7</t>
  </si>
  <si>
    <t>SAN FELIPE, ALAJUELITA FRENTE A FERRETERIA LA TERMINA</t>
  </si>
  <si>
    <t>DESAMPARADOS, DESAMPARADOS POLIDEPORTIVO ASERRI 75 S</t>
  </si>
  <si>
    <t>ALMACEN LIANG</t>
  </si>
  <si>
    <t>SAN JUAN DE DIOS, DESAMPARADOS CONTIGUO MEGAR SAN JUAN DESAMP</t>
  </si>
  <si>
    <t>SUPER 81</t>
  </si>
  <si>
    <t>PARAISO, PARAISO 200 ESTE DEL MALL PARAISO</t>
  </si>
  <si>
    <t>ABAST STA MARTA</t>
  </si>
  <si>
    <t>PATALILLO, VAZQUEZ DE CORONADO LICEO EXPERIMENTAL SAN ANTONIO</t>
  </si>
  <si>
    <t>PULPERIA EL CARMEN</t>
  </si>
  <si>
    <t>PIEDRAS NEGRAS, MORA TORNILLAL BARRIO EL CARMEN</t>
  </si>
  <si>
    <t>MINI SUPER 2000</t>
  </si>
  <si>
    <t>HOSPITAL, SAN JOSE 200M SO SUPER MONICA</t>
  </si>
  <si>
    <t>ABASTECEDOR LOS PRIMOS</t>
  </si>
  <si>
    <t>PUNTARENAS, PUNTARENAS 150M ESTE IGLE LUZ DL MUNDO</t>
  </si>
  <si>
    <t>ABASTECEDOR LA DEPORTIVA</t>
  </si>
  <si>
    <t>CARMEN, SAN JOSE 200 E ESCUEA BO SINAI</t>
  </si>
  <si>
    <t>MINI SUPER LIC.LA MARGARITA</t>
  </si>
  <si>
    <t>DANIEL FLORES, PEREZ ZELEDON ENTRADA STA MARGARITA</t>
  </si>
  <si>
    <t>ABASTECEDOR MK</t>
  </si>
  <si>
    <t>CARMEN, SAN JOSE LOS CHILES 50 MTS PLAZA DEPORTES P.Z.</t>
  </si>
  <si>
    <t>MINISUPER PLATANILLO</t>
  </si>
  <si>
    <t>PLATANARES, PEREZ ZELEDON 200 NO ESCUELA PLATANILLO</t>
  </si>
  <si>
    <t>ABASTECEDOR LA CALIFORNIA</t>
  </si>
  <si>
    <t>PUNTARENAS, PUNTARENAS FRENTE CANCHA SINTETICA QUIROS</t>
  </si>
  <si>
    <t>MINI SUPER LA PALMA</t>
  </si>
  <si>
    <t>SAN ISIDRO, LEON CORTES CASTRO LA PALMA</t>
  </si>
  <si>
    <t>BAJCKA S.A.</t>
  </si>
  <si>
    <t>BAHIA BALLENA, OSA DOMINICAL CENTRO</t>
  </si>
  <si>
    <t>CARMEN, SAN JOSE SAN ANDRES FRENTE A LA ESCUELA</t>
  </si>
  <si>
    <t>POLLO FRITO EL BUEN SABOR</t>
  </si>
  <si>
    <t>BAHIA BALLENA, OSA FRENTE A PANADE.RIO CLARO</t>
  </si>
  <si>
    <t>SHUN KANG</t>
  </si>
  <si>
    <t>AGUACALIENTE O SAN F, CARTAGO AGUA CALIENTE</t>
  </si>
  <si>
    <t>MINI SUPER OROSI</t>
  </si>
  <si>
    <t>CARTAGO PARAISO OROSI 250N DE LA BOMBA</t>
  </si>
  <si>
    <t>DULCE NOMBRE, CARTAGO 100 S DE LA IGLESIA EDIFICIO A</t>
  </si>
  <si>
    <t>MINI SUPER JUCALOA #3</t>
  </si>
  <si>
    <t>PUNTARENAS OSA BAHIA BALLENA FRENTE SALON COMUNAL</t>
  </si>
  <si>
    <t>MINI SUPER Y LICORERA DUBAI</t>
  </si>
  <si>
    <t>CARMEN, SAN JOSE 300 OE BARRIO LOURDES</t>
  </si>
  <si>
    <t>MINISUPER EL REY</t>
  </si>
  <si>
    <t>SAN JOSÉ SAN JOSE CARMEN FTE ENTRAD COLEGIO TECNICO PZ</t>
  </si>
  <si>
    <t>SÚPER MARACAY N2</t>
  </si>
  <si>
    <t>CARMEN, SAN JOSE Bº CRISTO REY 25M EST SUP ESTR</t>
  </si>
  <si>
    <t>EL TEJAR, EL GUARCO TEJAR 100 ESTE EBAIS</t>
  </si>
  <si>
    <t>PULPERIA EL MANGO</t>
  </si>
  <si>
    <t>LIBERIA, LIBERIA CARRETERA A HERNANDEZ</t>
  </si>
  <si>
    <t>MINI SUPER EL PUENTE</t>
  </si>
  <si>
    <t>GUANACASTE NICOYA NICOYA CONTIGUO AL PUENTE CABO BLANCO</t>
  </si>
  <si>
    <t>MINI SUPER LAS OLAS</t>
  </si>
  <si>
    <t>SANTA CRUZ, SANTA CRUZ FRENTE AQUA DISCOTEQUE</t>
  </si>
  <si>
    <t>NICOYA, NICOYA 300E COLEGIO SANTA TEREZA</t>
  </si>
  <si>
    <t>AUTO.SERV.LICORERA COROBIC</t>
  </si>
  <si>
    <t>SANTA CRUZ, SANTA CRUZ 200E DE LIC DIRIA</t>
  </si>
  <si>
    <t>PULPERIA LOS POOLES</t>
  </si>
  <si>
    <t>ALAJUELA, ALAJUELA TEMPL CATOL 125 E Y 50 N TUETA</t>
  </si>
  <si>
    <t>SUPER LA GRANJA</t>
  </si>
  <si>
    <t>JIMENEZ, POCOCI 125 M O  CANCHA FUTBOL MOLINO</t>
  </si>
  <si>
    <t>SUPER ROMA DEL MAR</t>
  </si>
  <si>
    <t>SAN PABLO, NANDAYURE VILLA ROMA DEL MAR,PLAYA NARAN</t>
  </si>
  <si>
    <t>PULPERIA CAÑAFISTULA</t>
  </si>
  <si>
    <t>SANTA CRUZ, SANTA CRUZ CAÑAFISTULA,CRUCE TAMAR. 200SU</t>
  </si>
  <si>
    <t>SUPER Y LICORERA LAS PALMERAS</t>
  </si>
  <si>
    <t>SANTA CRUZ, SANTA CRUZ TAMARINDO FTE MINI SUPER OLAS</t>
  </si>
  <si>
    <t>PULPERIA BERACA</t>
  </si>
  <si>
    <t>LIBERIA, LIBERIA 100N DE LA ENTR CASA 15B</t>
  </si>
  <si>
    <t>ABASTECEDOR EFRAIN</t>
  </si>
  <si>
    <t>LIBERIA, LIBERIA 100M DE L ENTRD DE COLEGIO TIL</t>
  </si>
  <si>
    <t>MINI SÚPER PAOLA</t>
  </si>
  <si>
    <t>LIBERIA, LIBERIA SAN FERNANDO</t>
  </si>
  <si>
    <t>PULPERIA EL MERCADO</t>
  </si>
  <si>
    <t>CARMONA, NANDAYURE 175 E.ESCUELA DE VIGIA NANDAYU</t>
  </si>
  <si>
    <t>ZIYAN CEN</t>
  </si>
  <si>
    <t>HEREDIA, HEREDIA LA AURORA DE HEREDIA</t>
  </si>
  <si>
    <t>SUPER FERNANDO #2</t>
  </si>
  <si>
    <t>TRES RIOS, LA UNION URBANIZACION ESTEBE</t>
  </si>
  <si>
    <t>ABASTECEDOR FLORCAS</t>
  </si>
  <si>
    <t>CURRIDABAT, CURRIDABAT CURRIDABAT COSTAD SUR</t>
  </si>
  <si>
    <t>ABAST EL NUEVO AMANECER</t>
  </si>
  <si>
    <t>HEREDIA, HEREDIA DE LA FERRETER 200S 250 OEST</t>
  </si>
  <si>
    <t>SUPER VARGAS NFN S.A.</t>
  </si>
  <si>
    <t>PUNTARENAS MONTE VERDE MONTE VERDE SANTA ELENA MONTEVERDE FRENTE A IGLESIA</t>
  </si>
  <si>
    <t>CASA VARIEDADES  LAS ORQUIDEAS</t>
  </si>
  <si>
    <t>PUNTARENAS MONTE VERDE MONTE VERDE FRENTE DEPOSITO MADERA STA ELE</t>
  </si>
  <si>
    <t>MINISUPER Y LICORES TOKYO</t>
  </si>
  <si>
    <t>SAN JUAN, SANTA BARBARA SAN JUAN HEREDIA</t>
  </si>
  <si>
    <t>MINI SUPER NELSSON</t>
  </si>
  <si>
    <t>ALAJUELA, ALAJUELA FRENTE ESCUELA LA GREGORIA</t>
  </si>
  <si>
    <t>SAN ANTONIO, ALAJUELA 175 O. DEL PINTURAS TIKAL</t>
  </si>
  <si>
    <t>SAN ANTONIO, ALAJUELA 250 SUR PINTURAS TIKAL</t>
  </si>
  <si>
    <t>SUPER LA MEJOR</t>
  </si>
  <si>
    <t>ALAJUELA ALAJUELA ALAJUELA DEL COLEGIO GREGORIO RAMIREZ 100 NORTE</t>
  </si>
  <si>
    <t>PULPERIA LOS PINOS</t>
  </si>
  <si>
    <t>ALAJUELA ALAJUELA GUACIMA 700 AUTOMERCADO DE LA GUACIMA</t>
  </si>
  <si>
    <t>SAN ANTONIO, ALAJUELA 100 E. PLAZA CIRUELAS</t>
  </si>
  <si>
    <t>ABASTECEDOR LOMA LINDA</t>
  </si>
  <si>
    <t>GUACIMA, ALAJUELA URB LOMA LINDA 100 ESTE DE LA ENTRADA</t>
  </si>
  <si>
    <t>SUPER LAS BRISAS</t>
  </si>
  <si>
    <t>GUACIMA, ALAJUELA 800 E. AUTODROMO</t>
  </si>
  <si>
    <t>ABASTECEDOR JUAN PABLO</t>
  </si>
  <si>
    <t>CARTAGO TURRIALBA SANTA ROSA 130 N PARQUE STA ROSA</t>
  </si>
  <si>
    <t>SUPER ALAJUELITA MI CANTON</t>
  </si>
  <si>
    <t>ALAJUELITA, ALAJUELITA TEJARCILLOS 1 ENTRADA SAN FELI</t>
  </si>
  <si>
    <t>SUPER AGUILA</t>
  </si>
  <si>
    <t>CARTAGO CARTAGO GUADALUPE O ARENILLA FRENTE PLAZA DE DEPORTES GUADA</t>
  </si>
  <si>
    <t>MARISQUERIA MAR AZUL</t>
  </si>
  <si>
    <t>SAN RAFAEL, SAN RAMON ALAJUELA</t>
  </si>
  <si>
    <t>ABASTECEDOR ANGULO</t>
  </si>
  <si>
    <t>VALLE LA ESTRELLA, LIMON PANDORA OESTE VALLE ESTRELLA</t>
  </si>
  <si>
    <t>ABASTECEDOR EL ESTE</t>
  </si>
  <si>
    <t>ALAJUELA SAN RAMON PIEDADES NORTE DIAGONAL IGLESIA PIEDADES NORT</t>
  </si>
  <si>
    <t>PULPERIA MARY</t>
  </si>
  <si>
    <t>SAN MIGUEL, DESAMPARADOS URB LOS GIRASOLES 150 S 300 E</t>
  </si>
  <si>
    <t>SUPER PATO</t>
  </si>
  <si>
    <t>CARTAGO JIMENEZ TUCURRIQUE 400 E DE LA CASA ADULTO MAYOR</t>
  </si>
  <si>
    <t>LIMÓN SIQUIRRES SIQUIRRES GUAYACAN  CONTIGUO AL TRAPICHE</t>
  </si>
  <si>
    <t>SUPER SAMY</t>
  </si>
  <si>
    <t>ALAJUELA SAN CARLOS LA TIGRA CRUCE LA TIGRA</t>
  </si>
  <si>
    <t>SUPERMERCADO ALCALA</t>
  </si>
  <si>
    <t>ALAJUELA, ALAJUELA 300 DE LA CEIBA</t>
  </si>
  <si>
    <t>MULTICENTRO GUAPINOL</t>
  </si>
  <si>
    <t>ALAJUELA POAS SAN PEDRO ALAJUELA</t>
  </si>
  <si>
    <t>COMERCIAL EL SOL</t>
  </si>
  <si>
    <t>LIBERIA, LIBERIA 50S DELEGACION DISTRITAL</t>
  </si>
  <si>
    <t>ABASTECEDOR HERRERA</t>
  </si>
  <si>
    <t>LIMON, LIMON SARAPIQUI 800 N ESC OTOYA</t>
  </si>
  <si>
    <t>POLLOS LA FAMILIA</t>
  </si>
  <si>
    <t>ALAJUELA SAN CARLOS LA FORTUNA FRENTE A MUSMANNI FORTUNA</t>
  </si>
  <si>
    <t>MINI SUPER UNO MAS UNO</t>
  </si>
  <si>
    <t>HEREDIA, HEREDIA 50 N PARKE LA AURORA</t>
  </si>
  <si>
    <t>LIMON, LIMON GUACIMO, LAS ARALIAS</t>
  </si>
  <si>
    <t>ABASTECEDOR IGFER</t>
  </si>
  <si>
    <t>PUNTARENAS ESPARZA ESPIRITU SANTO 100M S CALLE MOLEJONES JUANILA</t>
  </si>
  <si>
    <t>SUPER EL DORADO</t>
  </si>
  <si>
    <t>PUNTARENAS PUNTARENAS PUNTARENAS ANTIGUO SNOOPY BAR</t>
  </si>
  <si>
    <t>SUPER MIRAFLORES</t>
  </si>
  <si>
    <t>HEREDIA, HEREDIA CONTIGUO U HISPANOAMERICANA</t>
  </si>
  <si>
    <t>ABASTECEDOR YIRE</t>
  </si>
  <si>
    <t>LIMÓN POCOCI GUAPILES HORQUETAS 300 N SUPER CISNERO</t>
  </si>
  <si>
    <t>SANTA CRUZ, SANTA CRUZ DE CLARO 100 MTS. ESTE STA CRU</t>
  </si>
  <si>
    <t>MINI SUPER JEZCALY</t>
  </si>
  <si>
    <t>LIMÓN LIMON LIMON VILLA DEL MAR</t>
  </si>
  <si>
    <t>MINI SUPER EL BARRIO</t>
  </si>
  <si>
    <t>SAN RAFAEL, LA UNION 50 O IGLESIA HIERBABUENA</t>
  </si>
  <si>
    <t>SUPER ECONOMICOS TX</t>
  </si>
  <si>
    <t>TRES RIOS, LA UNION 300S 25E EBAIS SAN VICENTE</t>
  </si>
  <si>
    <t>REST. LOS CHINITOS</t>
  </si>
  <si>
    <t>LIMON, LIMON FTE. AMIGO MARAVILLOSO LIMON C</t>
  </si>
  <si>
    <t>ABASTECEDOR MORA</t>
  </si>
  <si>
    <t>LIMÓN POCOCI RITA BARRIO MORA, 4 ESQUINAS</t>
  </si>
  <si>
    <t>MINI SUPER EL TROPICO</t>
  </si>
  <si>
    <t>ALAJUELA ATENAS SAN JOSE TROPICO 2 100 IZQUI TANKE AGUA</t>
  </si>
  <si>
    <t>ABASTECEDOR EL NARANJAL</t>
  </si>
  <si>
    <t>PEÑAS BLANCAS, SAN RAMON 1KM  ESTE DE LA CRUZ ROJA</t>
  </si>
  <si>
    <t>SUPER SABANILLA</t>
  </si>
  <si>
    <t>ALAJUELA ALAJUELA SABANILLA_ FRNT SALON COMUNAL SABANILLA</t>
  </si>
  <si>
    <t>ALMENDRO JOSUE</t>
  </si>
  <si>
    <t>LA GRANJA, PALMARES 250 O BANCO POPULAR PALMARES</t>
  </si>
  <si>
    <t>ALAJUELA SAN CARLOS VENECIA SAN MIGUEL SARAPIQUI FTE MONGE</t>
  </si>
  <si>
    <t>MINI SUPER COCORI</t>
  </si>
  <si>
    <t>SAN ISIDRO, LEON CORTES CASTRO 200M NORTE GUARDIA RURAL COCOR</t>
  </si>
  <si>
    <t>SUPER SU PUNTO DE COMPRAS</t>
  </si>
  <si>
    <t>GUAPILES, POCOCI LA VIRGEN FRENTE IMPORT. MONGE</t>
  </si>
  <si>
    <t>MINI SUPER EL AGUILA</t>
  </si>
  <si>
    <t>PEJIBAYE, PEREZ ZELEDON FTE A LA PLAZA DEL AGUILA</t>
  </si>
  <si>
    <t>ABASTECEDOR HAWAI</t>
  </si>
  <si>
    <t>CAJON, PEREZ ZELEDON FTE A SALON COM CONCEPCION</t>
  </si>
  <si>
    <t>MINI SÚPER ORTIZ LA UNIÓN</t>
  </si>
  <si>
    <t>ALAJUELA SAN CARLOS LA PALMERA ENTRADA A LA UNION</t>
  </si>
  <si>
    <t>GUACIMA, ALAJUELA 500 E COLEGIO LAS VUELTAS GUAC</t>
  </si>
  <si>
    <t>SODA EL BUEN CAFE</t>
  </si>
  <si>
    <t>ASERRI, ASERRI A LA PAR PARADA 5 ESQUINAS ASE</t>
  </si>
  <si>
    <t>SUPER LI</t>
  </si>
  <si>
    <t>TURRIALBA, TURRIALBA 100N DE SUPER EL MERCADITO</t>
  </si>
  <si>
    <t>SUPERMERCADO NUEVO AMANECER #2</t>
  </si>
  <si>
    <t>SAN JOSÉ DESAMPARADOS DESAMPARADOS BARRIO LAS MERCEDES ASERRI</t>
  </si>
  <si>
    <t>PULPERIA JORGY</t>
  </si>
  <si>
    <t>NICOYA, NICOYA 1 K NORESTE ESCUELA DE COPAL</t>
  </si>
  <si>
    <t>SAN JOSÉ PEREZ ZELEDON EL GENERAL LA LINDA, FTE PLAZA</t>
  </si>
  <si>
    <t>SUPER PORVENIR 2</t>
  </si>
  <si>
    <t>ALAJUELA, ALAJUELA ALAJUELA</t>
  </si>
  <si>
    <t>ABASTECEDOR ALEX</t>
  </si>
  <si>
    <t>HOSPITAL, SAN JOSE BARRIO CUBA 175 SUR DE LA IGLE</t>
  </si>
  <si>
    <t>SUPERMERCADO DELIAHORRO</t>
  </si>
  <si>
    <t>AGUAS ZARCAS, SAN CARLOS FRENT PLAZA LAS DELICIAS</t>
  </si>
  <si>
    <t>SUPER SUPREMA</t>
  </si>
  <si>
    <t>CARMEN, SAN JOSE 1 KM DE ENTRADA CASA CUBA</t>
  </si>
  <si>
    <t>MINI SUPER VEGA</t>
  </si>
  <si>
    <t>SANTA CRUZ, SANTA CRUZ BO. LA TULITA, 100 S.DE UNED</t>
  </si>
  <si>
    <t>SUPER MAXMAS M M S.A.</t>
  </si>
  <si>
    <t>ESCAZU, ESCAZU COSTADO DEL COLEGIO DE ESCAZU</t>
  </si>
  <si>
    <t>LICORERA LOS CARTAGOS</t>
  </si>
  <si>
    <t>SANTA CRUZ, SANTA CRUZ DEL REST. MILENIO 80 S. STA. C</t>
  </si>
  <si>
    <t>SAN RAFAEL, OREAMUNO 250 E DE LA ENTRADA BLANQUILLO</t>
  </si>
  <si>
    <t>ABASTECEDOR LA AMISTAD #2</t>
  </si>
  <si>
    <t>BOLSON, SANTA CRUZ 100E 25S EBAIS, ORTEGA</t>
  </si>
  <si>
    <t>MINI SUPER YESI</t>
  </si>
  <si>
    <t>SANTA EULALIA, ATENAS ALAJUELA</t>
  </si>
  <si>
    <t>GUANACASTE LIBERIA LIBERIA 100S DE PULP EMANUEL Bª BRISAS</t>
  </si>
  <si>
    <t>MINI SUPER NIDIA</t>
  </si>
  <si>
    <t>SAN JOSÉ DESAMPARADOS SAN JUAN DE DIOS SAN JUAN FTE AUTOS SAN JUAN</t>
  </si>
  <si>
    <t>FLORENCIA, SAN CARLOS FRENTE A PLAZAS DE DEPORTES SAN RAFAEL</t>
  </si>
  <si>
    <t>SUPER DK 1</t>
  </si>
  <si>
    <t>ALAJUELA SAN MATEO JESUS MARIA 300E COLEGIO LABRADOR ESPARZA</t>
  </si>
  <si>
    <t>PULP EL ALMENDRO</t>
  </si>
  <si>
    <t>CHIRES, PURISCAL 300MTS SUR DE IGLESIA CATOLICA ZAPATON</t>
  </si>
  <si>
    <t>PULPERIA EL JARDIN</t>
  </si>
  <si>
    <t>PARRITA, PARRITA PROYECTO VILLA HODALI CASA A39</t>
  </si>
  <si>
    <t>MINI SUPER QUEBRADAS</t>
  </si>
  <si>
    <t>SAN ISIDRO, LEON CORTES CASTRO QUEBRADAS, FTE A LA ESCUELA</t>
  </si>
  <si>
    <t>MINI SUPER S Y M</t>
  </si>
  <si>
    <t>SAN JOSÉ PEREZ ZELEDON RIVAS PEDREGOSO, 75M OEST PLAZA DEPO</t>
  </si>
  <si>
    <t>ABASTECEDOR LA LUZ</t>
  </si>
  <si>
    <t>COLINAS, BUENOS AIRES 500M NORTE ESCUELA GUAGARAL</t>
  </si>
  <si>
    <t>SUPER Y LICORERA SOL NACIENTE</t>
  </si>
  <si>
    <t>PUNTARENAS GARABITO TARCOLES CONTG ENTRADA A LAGUNILLAS</t>
  </si>
  <si>
    <t>KOKY'S</t>
  </si>
  <si>
    <t>PUNTARENAS QUEPOS NARANJITO 200 ANTES CRUCE VILLA NUEVA</t>
  </si>
  <si>
    <t>MINI SUPER LA REINA</t>
  </si>
  <si>
    <t>QUEPOS, QUEPOS 300ANTES ESCUELA CERROS</t>
  </si>
  <si>
    <t>PULPERIA SALAS</t>
  </si>
  <si>
    <t>PUNTARENAS PUNTARENAS LEPANTO ISLA VENADO</t>
  </si>
  <si>
    <t>MINI SUPER EL MERCADITO</t>
  </si>
  <si>
    <t>HEREDIA SARAPIQUI LA VIRGEN RANCHO CHILAMATE</t>
  </si>
  <si>
    <t>PULPERIA EL ENCANTO</t>
  </si>
  <si>
    <t>LIMON, LIMON DE PALMITAS 100N ABAST SEIDY</t>
  </si>
  <si>
    <t>GUARIA MORADA</t>
  </si>
  <si>
    <t>ALAJUELA OROTINA OROTINA 150M N PUENTE RIO MACHUCA</t>
  </si>
  <si>
    <t>PULPERIA EL BUEN PRECIO</t>
  </si>
  <si>
    <t>LIMON, LIMON LIRIO AZUL 150 N PULP. LIRIO</t>
  </si>
  <si>
    <t>PULPERIA NATI</t>
  </si>
  <si>
    <t>LIMON, LIMON JUAN PABLO 2DA FTE ANTI SALON</t>
  </si>
  <si>
    <t>SUPER LA ESTACION</t>
  </si>
  <si>
    <t>SAN JOSÉ SAN JOSE HOSPITAL MERCADO COCA COLA</t>
  </si>
  <si>
    <t>MINI SUPER CHITO</t>
  </si>
  <si>
    <t>GRECIA, GRECIA 200 S BOMBA ALVARADO MOLINA</t>
  </si>
  <si>
    <t>RESTAURANTE FU DU</t>
  </si>
  <si>
    <t>ALAJUELA, ALAJUELA 150 OE DIASA - ALAJUELA</t>
  </si>
  <si>
    <t>EMPING MARKET</t>
  </si>
  <si>
    <t>SAN MIGUEL, DESAMPARADOS DIAGONAL ESC DEL 7</t>
  </si>
  <si>
    <t>RESTAURANTE PEPE PIO</t>
  </si>
  <si>
    <t>HEREDIA HEREDIA HEREDIA DIAGONAL A LA CLÍNICA DE PUERTO VIEJO</t>
  </si>
  <si>
    <t>MINI SUPER EL CARMEN</t>
  </si>
  <si>
    <t>ESCAZU, ESCAZU COSTADO DE LA ESC. SN ANTONIO</t>
  </si>
  <si>
    <t>SUPER MEIYI #2</t>
  </si>
  <si>
    <t>SAN JUAN DE DIOS, DESAMPARADOS 300S AGENCIA PIPASA SAN JUAN</t>
  </si>
  <si>
    <t>MINI SUPER PEREZ MERCADO</t>
  </si>
  <si>
    <t>PUNTARENAS GARABITO TARCOLES B CRISTO REY 50S Y 75O TABACON</t>
  </si>
  <si>
    <t>SUPER QUEBRADA HONDA</t>
  </si>
  <si>
    <t>PATARRA, DESAMPARADOS 75 OEST ESCUELA QUEBRADA HONDA</t>
  </si>
  <si>
    <t>MINI SUPER Y LICORERA EL EXITO</t>
  </si>
  <si>
    <t>SAN JOSÉ SANTA ANA URUCA_ 400S CENTRAL DE MANGUERAS</t>
  </si>
  <si>
    <t>FONDA PROBANA</t>
  </si>
  <si>
    <t>BATAN, MATINA FTE. ENTRADA MATINA</t>
  </si>
  <si>
    <t>ABASTECEDOR EL MANA</t>
  </si>
  <si>
    <t>CARMEN, SAN JOSE 100 NORT Y 50 EST IGLE CAT LOU</t>
  </si>
  <si>
    <t>SUPER YAPLUS</t>
  </si>
  <si>
    <t>HEREDIA BELEN LA RIBERA LA RIVERA DE BELEN</t>
  </si>
  <si>
    <t>MINI SUPER RIVERA</t>
  </si>
  <si>
    <t>LIBERIA, LIBERIA COSTADO ESTE PLAZA, BªEL GALLO</t>
  </si>
  <si>
    <t>MINI SUPER  D Y L</t>
  </si>
  <si>
    <t>VALLE LA ESTRELLA, LIMON 150 SUR SERV. PENSHURT</t>
  </si>
  <si>
    <t>SUPER CARIBE</t>
  </si>
  <si>
    <t>LIMON, LIMON FTE OFCINA AYA LIMON CENTRO</t>
  </si>
  <si>
    <t>HEREDIA, HEREDIA ENTRADA A LAS PALMITAS</t>
  </si>
  <si>
    <t>ABAST. PITUFA</t>
  </si>
  <si>
    <t>SAN MIGUEL, DESAMPARADOS 500S DEL PATCCERO DE GOAZA</t>
  </si>
  <si>
    <t>MINI SUPER PEPE Y MAS S.R.L</t>
  </si>
  <si>
    <t>HOSPITAL, SAN JOSE COSTADO S EDIFICIO COLON</t>
  </si>
  <si>
    <t>SUPER LUCKY</t>
  </si>
  <si>
    <t>CARIARI, POCOCI CARIARI CENTRO</t>
  </si>
  <si>
    <t>COMERCIAL SMITH</t>
  </si>
  <si>
    <t>SIQUIRRES, SIQUIRRES LA ALEGRIA CRUCE DE PORTON</t>
  </si>
  <si>
    <t>CURRIDABAT, CURRIDABAT 25O Y 25S</t>
  </si>
  <si>
    <t>MERCEDES, HEREDIA FT CENTRO EDUCATIVO MONTEBELLO</t>
  </si>
  <si>
    <t>ABASTECEDOR DIVINO NIÑO</t>
  </si>
  <si>
    <t>CARTAGO EL GUARCO SAN ISIDRO 75 O DE ESCUELA SAN ISIDRO</t>
  </si>
  <si>
    <t>SUPERMERCADO CRECE</t>
  </si>
  <si>
    <t>EL TEJAR, EL GUARCO ENTRADA BARRIO GUAYABAL</t>
  </si>
  <si>
    <t>SUPER HNOS ARIAS</t>
  </si>
  <si>
    <t>LIMON, LIMON 500N BCO POPULAR COOP VIGUA 2</t>
  </si>
  <si>
    <t>ABASTECEDOR CRISTEL</t>
  </si>
  <si>
    <t>CARTAGO PARAISO PARAISO UJARRAS URB FLORENCIO DEL CAST</t>
  </si>
  <si>
    <t>SUPER LA FAMILIA KOOPER</t>
  </si>
  <si>
    <t>ALAJUELA SAN CARLOS CUTRIS 100ESTE ENTRAD COOPER 2CASA IZ</t>
  </si>
  <si>
    <t>SUPERMERCADO ESQUIVEL Y MORA</t>
  </si>
  <si>
    <t>MATINA, MATINA ZENT NUEVO MATINA CONT. SALON</t>
  </si>
  <si>
    <t>MINI SUPER LAS 3 OLAS</t>
  </si>
  <si>
    <t>BAHIA BALLENA, OSA PROYECTO POZO AZUL, FRNT ABAST</t>
  </si>
  <si>
    <t>SUPER VILLA TAOBAO</t>
  </si>
  <si>
    <t>HATILLO, SAN JOSE 250 N TAQUERIA CR HATILLO 4</t>
  </si>
  <si>
    <t>MINI SUPER J Y G</t>
  </si>
  <si>
    <t>LIMON, LIMON TORRO AMARILLO</t>
  </si>
  <si>
    <t>SUPER MIRASOL</t>
  </si>
  <si>
    <t>LIBERIA, LIBERIA 100E SECRETOS 2000 B CURIME</t>
  </si>
  <si>
    <t>ABAST. SANTISIMA TRINIDAD</t>
  </si>
  <si>
    <t>ALAJUELA POAS SAN PEDRO 50 N FERRETERIA DON MANUEL</t>
  </si>
  <si>
    <t>CARMEN, SAN JOSE 600S ESC JOSE CUBERO</t>
  </si>
  <si>
    <t>SODA EL PALMAR</t>
  </si>
  <si>
    <t>PUNTARENAS MONTES DE ORO MIRAMAR INGENIO EL PALMAR</t>
  </si>
  <si>
    <t>SUPER AMISTAD CH.</t>
  </si>
  <si>
    <t>ALAJUELA SAN RAMON PEÑAS BLANCAS CHACHAG SUPER LA PARADA 400SUR</t>
  </si>
  <si>
    <t>SUPER LA ESQUINA FELIZ</t>
  </si>
  <si>
    <t>ALAJUELA, ALAJUELA DIAGONAL AL CONVENTO DE MONJAS</t>
  </si>
  <si>
    <t>ORIENTAL, CARTAGO PAVONES COSTADO RURAL PAVONES</t>
  </si>
  <si>
    <t>MINI SUPER ISA</t>
  </si>
  <si>
    <t>HEREDIA HEREDIA HEREDIA URBA MIRA FLORES CASA 60</t>
  </si>
  <si>
    <t>MINI SUPER LUPITA</t>
  </si>
  <si>
    <t>NARANJO, NARANJO PEAJE DE NAR 300 S</t>
  </si>
  <si>
    <t>ABAST EL LITORAL #1</t>
  </si>
  <si>
    <t>PUNTARENAS PUNTARENAS PUNTARENAS 500M N PARADA 5 FRAYCASIANO</t>
  </si>
  <si>
    <t>SUPER LA GLORIA</t>
  </si>
  <si>
    <t>SAN RAFAEL, ESCAZU 500O ESC SN RAFAEL DE CORONADO</t>
  </si>
  <si>
    <t>SUPER JUAN VIÑAS</t>
  </si>
  <si>
    <t>CARTAGO CARTAGO ORIENTAL FRENTE A LA IGLESIA JUAN VIÑAS</t>
  </si>
  <si>
    <t>SUPERMERCADO CARMAT</t>
  </si>
  <si>
    <t>ORIENTAL, CARTAGO 500 E 300 S DEL BCR SAN RAFAEL EL BOSQUE</t>
  </si>
  <si>
    <t>SUPERMERCADO TILARAN</t>
  </si>
  <si>
    <t>LIBERIA, LIBERIA COSTADO NORTE PQUE CENTRAL TIL</t>
  </si>
  <si>
    <t>MINI SUPER RIVAS</t>
  </si>
  <si>
    <t>RIVAS, PEREZ ZELEDON FTE A LA IGLESITA DE RIVAS</t>
  </si>
  <si>
    <t>CARMONA, NANDAYURE CACAO DE NAND.FTE. PLAZA DEPOR</t>
  </si>
  <si>
    <t>ABASTECEDOR LA FAMILIA FELIZ</t>
  </si>
  <si>
    <t>LIMON, LIMON 400S CEMENTERIO GUAPILES</t>
  </si>
  <si>
    <t>SAN MIGUEL, DESAMPARADOS 25 S DEPOSITO DE GRAVILIAS</t>
  </si>
  <si>
    <t>MINI SUPER MACHO</t>
  </si>
  <si>
    <t>CARMEN, SAN JOSE COLEGIO TECSAN SEBASTIAN 100 O</t>
  </si>
  <si>
    <t>QUESADA, SAN CARLOS CONTIGUO AL EBAIS SAN JUAN</t>
  </si>
  <si>
    <t>LIMON, LIMON 800M OE AGENCIA COCA COLA</t>
  </si>
  <si>
    <t>SUPER TUETAL</t>
  </si>
  <si>
    <t>ALAJUELA, ALAJUELA TUETAL NORTE FRENTE LA ESCUELA</t>
  </si>
  <si>
    <t>MINI-SUPER EL PARQUE</t>
  </si>
  <si>
    <t>ALAJUELA OROTINA OROTINA ORIGINA CENTRO, 25 ESTE DE COCIQUE</t>
  </si>
  <si>
    <t>PULPERIA JAKE</t>
  </si>
  <si>
    <t>LIMON, LIMON COSTADO SUROESTE PLAZA CIENEGU</t>
  </si>
  <si>
    <t>SUPER JAUURI</t>
  </si>
  <si>
    <t>ALAJUELA SAN CARLOS LA FORTUNA BARRIO JAURY 25 OEST ACUEDU</t>
  </si>
  <si>
    <t>ABASTEC. LA PALMERA</t>
  </si>
  <si>
    <t>POZOS, SANTA ANA CONTIG. A LA PLAZA DEL INVU</t>
  </si>
  <si>
    <t>SUPERMER. Y VARIEDA. ORIENTALE</t>
  </si>
  <si>
    <t>SAN RAFAEL, SAN RAMON DE LA IGLESIA 175 O</t>
  </si>
  <si>
    <t>MINI SUPER CHALIA</t>
  </si>
  <si>
    <t>SAN RAFAEL, OREAMUNO FRENTE A LA PLAZA DEPORTES DEL ALTO</t>
  </si>
  <si>
    <t>MINI SUPER CHILAMATE</t>
  </si>
  <si>
    <t>ALAJUELA NARANJO SAN JUAN FTE CHICHARRONERA LINDA VISTA</t>
  </si>
  <si>
    <t>SUPER SAN</t>
  </si>
  <si>
    <t>LIMÓN LIMON LIMON COSTADO N SALON CUMUNAL</t>
  </si>
  <si>
    <t>HEREDIA, HEREDIA 400M NORTE EBAIS LA VIRGEN</t>
  </si>
  <si>
    <t>MINI SUPER 88</t>
  </si>
  <si>
    <t>HEREDIA, HEREDIA 350 N ESCUELA DE QUEBRADAS</t>
  </si>
  <si>
    <t>PULPERIA EL PUEBLITO</t>
  </si>
  <si>
    <t>LIMON, LIMON P.NUEVO FTE LAVACAR ROALNO</t>
  </si>
  <si>
    <t>SUPER MILENIO</t>
  </si>
  <si>
    <t>MERCEDES, HEREDIA FT PALI MERCEDES SUR</t>
  </si>
  <si>
    <t>SUPER MERCADO MAXI MAYA</t>
  </si>
  <si>
    <t>ALAJUELA ZARCERO ZARCERO FRENTE AL PARQUE DE ZARCERO</t>
  </si>
  <si>
    <t>SUPER TOBOSI NO 2</t>
  </si>
  <si>
    <t>ORIENTAL, CARTAGO 25 S PUENTE DE TOBOSI</t>
  </si>
  <si>
    <t>BETTEL #2</t>
  </si>
  <si>
    <t>HEREDIA, HEREDIA 200S DEL SALON COMUNAL LA VIRG</t>
  </si>
  <si>
    <t>MINI SUPER CONEJOS</t>
  </si>
  <si>
    <t>SAN RAMON, SAN RAMON 50 M ANTES IGLESIA RIO JESUS</t>
  </si>
  <si>
    <t>MINISUPER SANTA MARTA</t>
  </si>
  <si>
    <t>PUNTARENAS ESPARZA ESPIRITU SANTO 200M E MINISUPER BENDICION</t>
  </si>
  <si>
    <t>SUPER ECONO AHORRO</t>
  </si>
  <si>
    <t>ALAJUELA SAN CARLOS QUESADA LINDA VISTA NATESALIA</t>
  </si>
  <si>
    <t>SUPER LOS ANGELES 2</t>
  </si>
  <si>
    <t>HEREDIA, HEREDIA 50 ESTE DE LA LICORERA TOTI</t>
  </si>
  <si>
    <t>PULP J Y J</t>
  </si>
  <si>
    <t>PUNTARENAS, PUNTARENAS COSTADO ESTE DE LA PLAZA DEL INVU</t>
  </si>
  <si>
    <t>CARMEN, SAN JOSE 100 O, 150S SUPER LA TROPICAL</t>
  </si>
  <si>
    <t>ABASTECEDOR LA COOPE</t>
  </si>
  <si>
    <t>LIMON, LIMON NUEVA VIRGINIA COSTADO PLAZA</t>
  </si>
  <si>
    <t>SUPER CORDERO</t>
  </si>
  <si>
    <t>LIMÓN LIMON LIMON 500E DEL CRUCE 4 ESQUINAS</t>
  </si>
  <si>
    <t>SUPER BLESSING</t>
  </si>
  <si>
    <t>PUNTARENAS GARABITO TARCOLES 250M N DE AUTO MERCADO</t>
  </si>
  <si>
    <t>PULPERIA LA GLORIA</t>
  </si>
  <si>
    <t>LAS JUNTAS, ABANGARES 300E COMANDANCIA DE LAS JUNTAS</t>
  </si>
  <si>
    <t>MINI SUPER LOS LAURELES</t>
  </si>
  <si>
    <t>LIMÓN LIMON LIMON DE PULP LETY 100 N 100 O 50 S</t>
  </si>
  <si>
    <t>CARTAGO CARTAGO CORRALILLO FRENTE RECIVIDORES LA GUARIA</t>
  </si>
  <si>
    <t>MINI SUPER RINCON HERRERA</t>
  </si>
  <si>
    <t>SAN ANTONIO, ALAJUELA 800E AUTODROMO LA GUACIMA</t>
  </si>
  <si>
    <t>MINI SUPER I Y I</t>
  </si>
  <si>
    <t>SAN RAMON, SAN RAMON 150 DE LA IGLESIA</t>
  </si>
  <si>
    <t>MINI MARKET ARANTZA</t>
  </si>
  <si>
    <t>ALAJUELA SAN CARLOS LA FORTUNA 100 MTRS SUR DE LA ESCUELA ZONA FLUCA</t>
  </si>
  <si>
    <t>PULPERIA AEROPUERTO</t>
  </si>
  <si>
    <t>ALAJUELA, ALAJUELA DETRAS DEL AEROPUERTO  FRENTE A PLAZA DE</t>
  </si>
  <si>
    <t>COMISARIATO SAN ALBERTO</t>
  </si>
  <si>
    <t>LIMÓN LIMON LIMON FINCA SAN ALBERTO CARIARI</t>
  </si>
  <si>
    <t>SUPER AMANDA</t>
  </si>
  <si>
    <t>OCCIDENTAL, CARTAGO 75 SE DEL ESTADIO FELLO MEZA</t>
  </si>
  <si>
    <t>ABASTECEDOR EL CASTILLO</t>
  </si>
  <si>
    <t>ALAJUELA SAN CARLOS LA FORTUNA CASTILLO, 100 SUR ESCUELA</t>
  </si>
  <si>
    <t>MINI SUPER ROJAS</t>
  </si>
  <si>
    <t>ALAJUELA ALAJUELA ALAJUELA 200 O PLAZA SAN ROQUE</t>
  </si>
  <si>
    <t>SODA MARIA JOSE</t>
  </si>
  <si>
    <t>ALAJUELA, ALAJUELA 100 N CEMENTERIO DE ALAJUELA</t>
  </si>
  <si>
    <t>ABASTECEDOR SAN RAFAEL</t>
  </si>
  <si>
    <t>SABANILLA_, ALAJUELA 50 E IGLESIA EL CERRO</t>
  </si>
  <si>
    <t>SUPER LIAN</t>
  </si>
  <si>
    <t>QUEBRADILLA, CARTAGO 75 O RURAL DE QUEBRADILLA</t>
  </si>
  <si>
    <t>LOS ROSALES COMERCIAL LTDA</t>
  </si>
  <si>
    <t>PUENTE DE PIEDRA, GRECIA COSTADO ESTE D FABRICA NAC LIC</t>
  </si>
  <si>
    <t>MINI SUPER QUESADA</t>
  </si>
  <si>
    <t>PUNTARENAS GARABITO TARCOLES 75E CEMENTERIO QUEBRADA GANADO</t>
  </si>
  <si>
    <t>RODRIGUEZ MARCHENA MELVIN</t>
  </si>
  <si>
    <t>LIBERIA, LIBERIA 100 M S. PLAZA DEPORTES</t>
  </si>
  <si>
    <t>MINI SUPER Y LICORERA DIFRAN</t>
  </si>
  <si>
    <t>SAN ISIDRO, VAZQUEZ DE CORONADO COST E DEL PARQUE DE CORONADO</t>
  </si>
  <si>
    <t>XIESHENGHE</t>
  </si>
  <si>
    <t>SAN RAFAEL, OREAMUNO 20 E DEL EBAIS SAN RAFAEL</t>
  </si>
  <si>
    <t>MINI SUPER MONTE SOL</t>
  </si>
  <si>
    <t>NICOYA, NICOYA 450 OE. VPUENTE LEPANTO</t>
  </si>
  <si>
    <t>MINI SÚPER KATTY</t>
  </si>
  <si>
    <t>SAN MIGUEL, DESAMPARADOS 300 O TERMINAL LLANO</t>
  </si>
  <si>
    <t>SUPERMERCADO EFEJOTA</t>
  </si>
  <si>
    <t>ALAJUELA ALAJUELA ALAJUELA 300 SUR PEAJE DE SUCRE</t>
  </si>
  <si>
    <t>ABASTECEDOR MINI SUPER 98</t>
  </si>
  <si>
    <t>ALAJUELA ALAJUELA ALAJUELA COSTADO DE SUPER TICO ALAJUELA</t>
  </si>
  <si>
    <t>SUPER GLOBAL</t>
  </si>
  <si>
    <t>SAN ANTONIO, ALAJUELITA 100N DEL LICEO SAN ANTONIO DES</t>
  </si>
  <si>
    <t>CENTRAL DE COMPRAS</t>
  </si>
  <si>
    <t>SANTA ANA, SANTA ANA 160 MTS E. DE BOMBA HNOS MONTES</t>
  </si>
  <si>
    <t>MINI SUPER LAGUNA</t>
  </si>
  <si>
    <t>ALAJUELA, ALAJUELA COSTADO S PLAZA DE LAGUNA</t>
  </si>
  <si>
    <t>PULP. ALIN</t>
  </si>
  <si>
    <t>TURRIALBA, TURRIALBA ESTADIO DE TURRIALBA 100 ESTE</t>
  </si>
  <si>
    <t>ABASTCEDOR LOS ANGELES</t>
  </si>
  <si>
    <t>SABANILLA_, ALAJUELA 100N, ESC. NICOLAS CHACON VARG</t>
  </si>
  <si>
    <t>MINI SUPER ORCA</t>
  </si>
  <si>
    <t>BAHIA BALLENA, OSA UVITA, CONTIGUO A RESTAURANTE LAS DELIC</t>
  </si>
  <si>
    <t>CARTAGO TURRIALBA LA SUIZA 800 N 25 O CRUZ ROJA LA SUIZA</t>
  </si>
  <si>
    <t>SUPER  FASAMAR</t>
  </si>
  <si>
    <t>CARTAGO TURRIALBA SANTA CRUZ FT ESCUELA SANTA CRUZ</t>
  </si>
  <si>
    <t>ABST. LA PROSPERIDAD</t>
  </si>
  <si>
    <t>ALAJUELA ATENAS SAN JOSE 150 N D LA ESC. SANTA RITA</t>
  </si>
  <si>
    <t>SUPERMERCADO PLATANAR</t>
  </si>
  <si>
    <t>ALAJUELA ALAJUELA ALAJUELA 100 NORT HOTEL LA MIRADA</t>
  </si>
  <si>
    <t>ABASTECEDOR BANNER</t>
  </si>
  <si>
    <t>BARRANCA, PUNTARENAS 200M O Y 25 S ROTONDA DE JIRET</t>
  </si>
  <si>
    <t>SAN FELIPE, ALAJUELITA PRECARIO LOS PINOS</t>
  </si>
  <si>
    <t>3101594429 SOCIEDAD ANONIMA</t>
  </si>
  <si>
    <t>SAN DIEGO, LA UNION 200O 100N COLEG MARIO QUIROS S</t>
  </si>
  <si>
    <t>ABASTECEDOR FRAN</t>
  </si>
  <si>
    <t>NICOYA, NICOYA 25 OE.SALON COM.BO. LOS ANGELE</t>
  </si>
  <si>
    <t>LA BODEGUITA DE SOFI</t>
  </si>
  <si>
    <t>ALAJUELA, ALAJUELA FRET AL EBAIS ANTIGUO SEGURO</t>
  </si>
  <si>
    <t>SUPER LA GIRALDA</t>
  </si>
  <si>
    <t>ALAJUELA, ALAJUELA URB LA GIRALDA Y LA ROTONDA</t>
  </si>
  <si>
    <t>SUPER EL CEDRO 2</t>
  </si>
  <si>
    <t>GRECIA, GRECIA  STA GERTRUDIS FRTE CANCHA FUT</t>
  </si>
  <si>
    <t>SUPER XIEXIE</t>
  </si>
  <si>
    <t>NARANJO, NARANJO FTE IMP. MONGE NARANJO</t>
  </si>
  <si>
    <t>MINI SUPER LA VICTORIA</t>
  </si>
  <si>
    <t>SAN VICENTE, MORAVIA 100 NORTE DE BCR MORAVIA CENTR</t>
  </si>
  <si>
    <t>SUPER ZARAGOZA</t>
  </si>
  <si>
    <t>ZARAGOZA, PALMARES FTE PARQUE D ZARAGOZA PALMARES</t>
  </si>
  <si>
    <t>ABASTECEDOR EL ÁNGEL</t>
  </si>
  <si>
    <t>LLORENTE, FLORES FERRET. DANI 225S A MANO DEREC</t>
  </si>
  <si>
    <t>ALAJUELA, ALAJUELA PUEBLO NUEVO DE ALAJUELA</t>
  </si>
  <si>
    <t>ALMACÉN  ZHONGPO # 3</t>
  </si>
  <si>
    <t>MATINA, MATINA MATINA FTE A LÍNEA DEL TREN</t>
  </si>
  <si>
    <t>MINGJIAN HOU</t>
  </si>
  <si>
    <t>SARCHI NORTE, SARCHI FRTE BAZAR CRISTAL</t>
  </si>
  <si>
    <t>SUPER ELEFANTE</t>
  </si>
  <si>
    <t>CARTAGO PARAISO OROSI FRENTE PLAZA DEPTES OROSI</t>
  </si>
  <si>
    <t>ABASTECEDOR EMANUEL</t>
  </si>
  <si>
    <t>ALAJUELA PALMARES ZARAGOZA 300N TALLER ESCONDITE URB ANGE</t>
  </si>
  <si>
    <t>TRES RIOS, LA UNION 100 E 25 S PLAZA DEPORTES</t>
  </si>
  <si>
    <t>SUPER CHOMPI</t>
  </si>
  <si>
    <t>LIMON, LIMON 50 OE 200N 15 OE DE AEROPUERTO</t>
  </si>
  <si>
    <t>MINISUPER EL MERCADITO</t>
  </si>
  <si>
    <t>BARBACOAS, PURISCAL 25N DEL MERCADO DE BARBACOAS</t>
  </si>
  <si>
    <t>MINI SUPER BRISA MARINA</t>
  </si>
  <si>
    <t>PUNTARENAS GARABITO TARCOLES 25M S SUPER JOMA TARCOLES CENT</t>
  </si>
  <si>
    <t>DAYANA NUÑEZ VILLALOBOS  LA TERRAZA</t>
  </si>
  <si>
    <t>SAN JOSÉ SAN JOSE PAVAS 300 SUR DE ALIMENTOS JACKS</t>
  </si>
  <si>
    <t>MINI SUPER HNOS CHINCHILLA</t>
  </si>
  <si>
    <t>DANIEL FLORES, PEREZ ZELEDON CONT CANCHA CHINCHILLA BROTHES</t>
  </si>
  <si>
    <t>SUPER EL NUEVO 88</t>
  </si>
  <si>
    <t>PARAISO, PARAISO STA LUCIA 150 O SUPER NATY</t>
  </si>
  <si>
    <t>SUPER SAN FRANCISCO</t>
  </si>
  <si>
    <t>ALAJUELA ALAJUELA ALAJUELA CONTIG SUPER ALVARADO CERRO CO</t>
  </si>
  <si>
    <t>SUPER LA PRIMAVERA</t>
  </si>
  <si>
    <t>CARTAGO OREAMUNO COT COT 150 ESTE MEGASUPER</t>
  </si>
  <si>
    <t>HEREDIA, HEREDIA RIO FRIO 100 E 75N ESC FCA 2</t>
  </si>
  <si>
    <t>JUAN PABLO II</t>
  </si>
  <si>
    <t>ALAJUELA OROTINA OROTINA 75M S 600M O COLEGIO SANTA FE</t>
  </si>
  <si>
    <t>SUPER PRETTY NO.2</t>
  </si>
  <si>
    <t>LIMON, LIMON VILLA MAR 100 DE PULP EL SOL</t>
  </si>
  <si>
    <t>GOLOSINAS KIRA</t>
  </si>
  <si>
    <t>SAN MIGUEL, DESAMPARADOS CAPRI CONTIGUO A 1RA ROTONDA</t>
  </si>
  <si>
    <t>MINI SUPER DOÑA EMILY</t>
  </si>
  <si>
    <t>LIBERIA, LIBERIA LOS CEDROS DE JICARAL C29</t>
  </si>
  <si>
    <t>ASERRI, ASERRI 400 SUR DE LA DELEGACIÓN SALITRILLOS</t>
  </si>
  <si>
    <t>ABASTECEDOR CHAKA</t>
  </si>
  <si>
    <t>LIBERIA, LIBERIA 50 OESTE ESC.PAVONES SAN PABLO</t>
  </si>
  <si>
    <t>MINI  SUPER  LA  BENDICION</t>
  </si>
  <si>
    <t>NARANJO, NARANJO NARANJO ALAJUELA</t>
  </si>
  <si>
    <t>SUPER CAZU</t>
  </si>
  <si>
    <t>SAN JOSÉ SAN JOSE CARMEN 100 SUR DEL LICEO DE ESCAZU</t>
  </si>
  <si>
    <t>MINISUPER Y LIC LOS CORRALES</t>
  </si>
  <si>
    <t>SANTA ELENA, LA CRUZ 600S DE DELEGACION CUAJINIQUIL</t>
  </si>
  <si>
    <t>RESTAURANTE GRAND MURALLA</t>
  </si>
  <si>
    <t>CATEDRAL, SAN JOSE 25 S PARQUE GARANTIAS SOCIALES</t>
  </si>
  <si>
    <t>ROBERTO NARANJO RNJ S.A</t>
  </si>
  <si>
    <t>DANIEL FLORES, PEREZ ZELEDON 150M SUR DEL SUPER CAÑAVERAL</t>
  </si>
  <si>
    <t>PULPERIA NANY</t>
  </si>
  <si>
    <t>ALAJUELA ALAJUELA ALAJUELA FRENT IGLESIA METODISTA</t>
  </si>
  <si>
    <t>ASERRI, ASERRI 5 ESQUIN ASERRI 400 OESTE</t>
  </si>
  <si>
    <t>PULPERIA ANNETH</t>
  </si>
  <si>
    <t>GUANACASTE LIBERIA LIBERIA FTE.SALON COMUNAL ACOYAPA MANS</t>
  </si>
  <si>
    <t>SUPER J Y M</t>
  </si>
  <si>
    <t>ALAJUELA, ALAJUELA COSTADO ESC  DEL INVU</t>
  </si>
  <si>
    <t>MINI SUPER LA TERMINAL</t>
  </si>
  <si>
    <t>SAN JOSÉ MORAVIA SAN VICENTE ISLA FTE TERMINAL BUSES</t>
  </si>
  <si>
    <t>PULPERÍA EL PORVENIR</t>
  </si>
  <si>
    <t>SARDINAL, CARRILLO 100N 75E DE IGLESIA PIEDRA ANG</t>
  </si>
  <si>
    <t>MINISUPER EL GOLFO</t>
  </si>
  <si>
    <t>LIBERIA, LIBERIA 125S ULTIMA PARADA B LA CRUZ</t>
  </si>
  <si>
    <t>MINI SUPER DULCE NOMBRE</t>
  </si>
  <si>
    <t>GRECIA, GRECIA DEL TEL. DEL MESON 150N</t>
  </si>
  <si>
    <t>PUNTARENAS PUNTARENAS CHOMES CONTG ENTRD COLEG JUDAS CHOMES</t>
  </si>
  <si>
    <t>SUPER EXEL</t>
  </si>
  <si>
    <t>SAN RAFAEL, ESCAZU SAN PEDRO URBANIZACION SINAI</t>
  </si>
  <si>
    <t>SUPER Y LICORERA A B C</t>
  </si>
  <si>
    <t>SAN MIGUEL, DESAMPARADOS SN MIGUEL FTE BOMBA SAN MIGUEL</t>
  </si>
  <si>
    <t>VENTANA JOSUE</t>
  </si>
  <si>
    <t>SAN RAFAEL, OREAMUNO VISTA HERM PUENTE 400 N 100E</t>
  </si>
  <si>
    <t>SUP. LA PAZ</t>
  </si>
  <si>
    <t>ALAJUELA, ALAJUELA 200O DL HOTEL PURA VIDA TUETAL</t>
  </si>
  <si>
    <t>SUPER LA RITA</t>
  </si>
  <si>
    <t>LIMON, LIMON COSTADO N BOMBA LA RITA</t>
  </si>
  <si>
    <t>MINI SUPER RENE</t>
  </si>
  <si>
    <t>LIMÓN LIMON LIMON 200M OE ESC LA RITA</t>
  </si>
  <si>
    <t>PULPERIA DAD</t>
  </si>
  <si>
    <t>LIBERIA, LIBERIA MERC.STA.CRUZ,200 E.100N.BO.CH</t>
  </si>
  <si>
    <t>MINI SUPER PELON</t>
  </si>
  <si>
    <t>LIMÓN LIMON LIMON CRUCE SAN MIGUEL 2KM A LA RITA</t>
  </si>
  <si>
    <t>SUPER LA CENTRAL 5</t>
  </si>
  <si>
    <t>SAN JUAN, POAS 25N D PRIMERA ENTRAD AL JARDIN</t>
  </si>
  <si>
    <t>FONDA DUACARI</t>
  </si>
  <si>
    <t>LIMÓN POCOCI CARIARI FRENT A EMPACADORA DE BANANO</t>
  </si>
  <si>
    <t>RESTAURANTE MING JAO</t>
  </si>
  <si>
    <t>SAN JUAN, TIBAS COLIMA DE PALI 100 NORTE TIBAS</t>
  </si>
  <si>
    <t>MINI SUPER CERVANTES</t>
  </si>
  <si>
    <t>CARTAGO ALVARADO CERVANTES FRENTE POSADA LUNA CERVANTES</t>
  </si>
  <si>
    <t>SUPER BANANITO</t>
  </si>
  <si>
    <t>VALLE LA ESTRELLA, LIMON 150 N. ESTACION POLICIA B.NORT</t>
  </si>
  <si>
    <t>SUPERMERCADO LA ARMONIA</t>
  </si>
  <si>
    <t>SAN PABLO, BARVA 250 O D LA ESC. D SAN PABLO</t>
  </si>
  <si>
    <t>ABASTECEDOR BUENOS DIAS</t>
  </si>
  <si>
    <t>TURRIALBA, TURRIALBA EL MORA CALLE 1 FTE IGLESIA</t>
  </si>
  <si>
    <t>SUPER SAN JOSE RC</t>
  </si>
  <si>
    <t>CORRALILLO, CARTAGO RIO CONEJO COSTADO E DE BOMBA</t>
  </si>
  <si>
    <t>SUPER LA ISLA</t>
  </si>
  <si>
    <t>CARTAGO CARTAGO EL CARMEN EL CARMEN BAR FORTUNA 75 NTE</t>
  </si>
  <si>
    <t>SAN JOSÉ GOICOECHEA IPIS VISTA MAR LA ISLA 700 S E IGLE</t>
  </si>
  <si>
    <t>MINI SUPER JUANCHIS</t>
  </si>
  <si>
    <t>ZARAGOZA, PALMARES 300E D LA CAPILLA CALLE VARGAS</t>
  </si>
  <si>
    <t>SUPER PIRAGUA</t>
  </si>
  <si>
    <t>PUNTARENAS PUNTARENAS CHOMES 100 O Y 75 S PLAZA DE FUTBOL.</t>
  </si>
  <si>
    <t>SUPER PINO</t>
  </si>
  <si>
    <t>CARTAGO PARAISO PARAISO BIRRISITO FTE URBAN LA HUERTA</t>
  </si>
  <si>
    <t>L Y L SANTA MARTA</t>
  </si>
  <si>
    <t>PUNTARENAS, PUNTARENAS ENTRADA COLE STA MARTA</t>
  </si>
  <si>
    <t>MINI SUP LOS MANGOS</t>
  </si>
  <si>
    <t>GUACIMA, ALAJUELA 300 O DEL AUTOMERCADO GUACIMA</t>
  </si>
  <si>
    <t>SUPER LOMA LINDA NO2</t>
  </si>
  <si>
    <t>PARAISO, PARAISO 100 N MERCADO DE PARAISO CARTA</t>
  </si>
  <si>
    <t>SUPER FAMILIA SANCHEZ</t>
  </si>
  <si>
    <t>QUESADA, SAN CARLOS FRENTE ESC LA PALMERA</t>
  </si>
  <si>
    <t>MINI SUPER EL JARDIN</t>
  </si>
  <si>
    <t>SAMARA, NICOYA DIAGONAL PUENTE SANTA MARTA</t>
  </si>
  <si>
    <t>SUPER SOL NACIENTE 1</t>
  </si>
  <si>
    <t>CARRANDI, MATINA LIVERPOOL 300 M ANTE PULP.ANA</t>
  </si>
  <si>
    <t>MINI SUPER ARMONIA</t>
  </si>
  <si>
    <t>CARTAGO CARTAGO OCCIDENTAL LA LIMA ANTIG CEMENT 100 OESTE</t>
  </si>
  <si>
    <t>CARTAGO OREAMUNO SAN RAFAEL SN RAFAEL DEL PARQUE 300 OESTE</t>
  </si>
  <si>
    <t>SÚPER DEL NORTE</t>
  </si>
  <si>
    <t>SAN RAFAEL, OREAMUNO SN RAFAEL DE PALI 150 E CARTAG</t>
  </si>
  <si>
    <t>MINI SUPER ARCO IRIS</t>
  </si>
  <si>
    <t>SAN RAFAEL, OREAMUNO SUPER BLANQUILLO 50 E 200 S</t>
  </si>
  <si>
    <t>SUPER WING WAH</t>
  </si>
  <si>
    <t>CATEDRAL, SAN JOSE CALLE 5 AVEN 2 Y 4 COST O CCSS</t>
  </si>
  <si>
    <t>SUPER MADEROS</t>
  </si>
  <si>
    <t>LIMÓN LIMON LIMON 150N ANTIGUA ESC ARDILLITA</t>
  </si>
  <si>
    <t>SUPER 28 MILLAS</t>
  </si>
  <si>
    <t>BATAN, MATINA 28 MILLAS 200 SUR DE LA ESCUEL</t>
  </si>
  <si>
    <t>XIKI SUMI S.A.</t>
  </si>
  <si>
    <t>HOSPITAL, SAN JOSE 100 S BCAC SAN JOSE CENTRO</t>
  </si>
  <si>
    <t>LIMON, LIMON COSTADO SALON COMUNAL PALMITAS</t>
  </si>
  <si>
    <t>MINI SUPER SUSY</t>
  </si>
  <si>
    <t>SANTA CRUZ, SANTA CRUZ CARR.ARADO,CONT.BAR MI RANCHIT</t>
  </si>
  <si>
    <t>PUNTARENAS PUNTARENAS BARRANCA 100S DE LA BOMBA BARRANCA</t>
  </si>
  <si>
    <t>MINI SUPER LA SABANA</t>
  </si>
  <si>
    <t>MATA REDONDA, SAN JOSE DE CONTRALORIA 300 S SABANA</t>
  </si>
  <si>
    <t>PULPERIA TIA LELA</t>
  </si>
  <si>
    <t>HEREDIA HEREDIA HEREDIA 600S DE LA BOMBA DE HORQUETAS</t>
  </si>
  <si>
    <t>ABAST SIN FRONTERAS</t>
  </si>
  <si>
    <t>LAS JUNTAS, ABANGARES 400 OEST ESCUELA SAN FRASCISCO</t>
  </si>
  <si>
    <t>FERNANDEZ NUÑEZ GERARDO</t>
  </si>
  <si>
    <t>LIMON, LIMON DETRAS DE AEROPUERTO GUAPILES</t>
  </si>
  <si>
    <t>SUPER AGUILA DE ORO 9</t>
  </si>
  <si>
    <t>PARAISO, PARAISO PARAISO COSTADO OESTE  LICEO</t>
  </si>
  <si>
    <t>ADRIEL</t>
  </si>
  <si>
    <t>SAN PABLO, SAN PABLO SAN PABLO DE HEREDIA</t>
  </si>
  <si>
    <t>SUPER AKEN</t>
  </si>
  <si>
    <t>DULCE NOMBRE DE JESU, VAZQUEZ DE CORONADO BAR AMISTAD 150 N 25 E CORONAD</t>
  </si>
  <si>
    <t>SUPER CHIRON</t>
  </si>
  <si>
    <t>SAN ANTONIO, BELEN 150E IGLES CATOLIC STA CECILIA</t>
  </si>
  <si>
    <t>PULPERIA BREINER</t>
  </si>
  <si>
    <t>PUNTARENAS PUNTARENAS PUNTARENAS 50N DEL BAR LA CENTRAL 20 NOV.</t>
  </si>
  <si>
    <t>PULPERIA LA TRINIDAD</t>
  </si>
  <si>
    <t>HOSPITAL, SAN JOSE B CUBA 200 S 100 O IGLES MEDAL</t>
  </si>
  <si>
    <t>MINI SUPER 99</t>
  </si>
  <si>
    <t>SANTA ANA, SANTA ANA 150 OESTE DE LA MUSMANNI</t>
  </si>
  <si>
    <t>MINI SUPER LA ORQUIDEA</t>
  </si>
  <si>
    <t>PUNTARENAS GARABITO JACO 150 OEST DE MUNICIPALIDAD JACO</t>
  </si>
  <si>
    <t>SUPER ECONOMICO CAÑAS DULCE</t>
  </si>
  <si>
    <t>LIBERIA, LIBERIA FTE CENTRO EDUC CAÑAS DULCES</t>
  </si>
  <si>
    <t>PULPERIA REYES</t>
  </si>
  <si>
    <t>SAN SEBASTIAN, SAN JOSE LOPEZ MATEO URB VILLA REY</t>
  </si>
  <si>
    <t>SHOP MARKET</t>
  </si>
  <si>
    <t>CARMEN, SAN JOSE DE MUNI SAN PEDRO 200 ESTE</t>
  </si>
  <si>
    <t>PULPERIA LA CAIPA</t>
  </si>
  <si>
    <t>LIBERIA, LIBERIA 50S DE ESCUELA LORENA</t>
  </si>
  <si>
    <t>HEREDIA BELEN SAN ANTONIO COSTADO OESTE DE LA ESCUELA ESPAÑA</t>
  </si>
  <si>
    <t>MINI SUPER MARLENE</t>
  </si>
  <si>
    <t>HEREDIA HEREDIA HEREDIA 250E DE COLEGIO 350 OE CANCHA</t>
  </si>
  <si>
    <t>SUPER PURA VIDA</t>
  </si>
  <si>
    <t>ALAJUELA SAN CARLOS QUESADA B.SAN MARTIN 125 S BAR ESTADIO</t>
  </si>
  <si>
    <t>ABASTECEDOR EVELIN NO.2</t>
  </si>
  <si>
    <t>CARTAGO JIMENEZ PEJIBAYE IGLESIA PEJIBAYE 2 KM OESTE</t>
  </si>
  <si>
    <t>PULPERIA LOS MANGOS</t>
  </si>
  <si>
    <t>SANTA CRUZ, SANTA CRUZ BO.CACAO 500 S., PULP.SILVIA</t>
  </si>
  <si>
    <t>MINI SUPER LA FAMILIA</t>
  </si>
  <si>
    <t>ALAJUELA, ALAJUELA 1KM ESTE IGLESIA B. SAN JOSE</t>
  </si>
  <si>
    <t>MINI SUPER PALILLO</t>
  </si>
  <si>
    <t>HEREDIA, HEREDIA FTE SALON COMUNAL CUBUJUQUI</t>
  </si>
  <si>
    <t>MINISUPER LICORERA LAS INDIAS</t>
  </si>
  <si>
    <t>ALAJUELA SAN RAMON SAN RAMON 150E ESC LA SABANA SN RAMON</t>
  </si>
  <si>
    <t>VENTANA EL DIVINO</t>
  </si>
  <si>
    <t>CARTAGO CARTAGO SAN NICOLAS 300N 50 E DEL COLEGIO TARAS</t>
  </si>
  <si>
    <t>PIZZERIA SODA LA BOMBA</t>
  </si>
  <si>
    <t>HEREDIA HEREDIA HEREDIA DIAGONAL BOMBA DE HORQUETAS</t>
  </si>
  <si>
    <t>MINI SUPER GUAYACAN</t>
  </si>
  <si>
    <t>LIMON, LIMON 200M OE MINISTERIO SALUD</t>
  </si>
  <si>
    <t>SAN JUAN PABLO</t>
  </si>
  <si>
    <t>ALAJUELA SAN RAMON SAN RAMON DETRAS DEL MALL DE SAN RAMON</t>
  </si>
  <si>
    <t>PUNTO PRINCIPE NO 2</t>
  </si>
  <si>
    <t>CATEDRAL, SAN JOSE SN JOSE TERMINAL LUMACA 25 S</t>
  </si>
  <si>
    <t>MINI SUPER LA CARRETA</t>
  </si>
  <si>
    <t>ALAJUELA PALMARES SANTIAGO 200E 200N D ESC LA CONSTANCIA</t>
  </si>
  <si>
    <t>SUPER SOL</t>
  </si>
  <si>
    <t>ORIENTAL, CARTAGO RIO AZUL PULP GENESIS 500 O</t>
  </si>
  <si>
    <t>PULPERIA SAMY</t>
  </si>
  <si>
    <t>ALAJUELA SAN CARLOS PITAL PUERTO ESCONDIDO 200 SUR ESCUE</t>
  </si>
  <si>
    <t>CENTRO DE COMPRAS BELEN</t>
  </si>
  <si>
    <t>LA RIBERA, BELEN FRENTE LA CASA CULTURAL BELEN</t>
  </si>
  <si>
    <t>MINI SUPER UNO X UNO 3</t>
  </si>
  <si>
    <t>SAN JOSÉ SAN JOSE ZAPOTE COSTADO SUR PZA DE TOROS ZAPOT</t>
  </si>
  <si>
    <t>ALAJUELA SAN CARLOS LA FORTUNA 200 ESTE CEMENTERIO ZONA FLUCA</t>
  </si>
  <si>
    <t>MINI SUPER TICO MARKET</t>
  </si>
  <si>
    <t>HOSPITAL, SAN JOSE DIAGONAL HOSPITAL BLANCO CERVANTES</t>
  </si>
  <si>
    <t>CRIS</t>
  </si>
  <si>
    <t>SAN FELIPE, ALAJUELITA TEJARC URB GARC MONGE CASA K14</t>
  </si>
  <si>
    <t>MERKDO</t>
  </si>
  <si>
    <t>SANTA CRUZ, SANTA CRUZ FTE ANTIGU CHOLA PLAYA POTRERO</t>
  </si>
  <si>
    <t>SUPER EVER</t>
  </si>
  <si>
    <t>LIMON, LIMON COSTADO COLEGIO TORTUGUERO</t>
  </si>
  <si>
    <t>SUPER AURORA</t>
  </si>
  <si>
    <t>SAN FELIPE, ALAJUELITA AURORA COSTADO SUR DE MUSMANNI</t>
  </si>
  <si>
    <t>MINISUPER Y LICORES 9 DE ABRIL</t>
  </si>
  <si>
    <t>SAN RAMON, SAN RAMON COST N ESCUELA SABANA SN RAMON</t>
  </si>
  <si>
    <t>PULPERIA DIOS ES FIEL</t>
  </si>
  <si>
    <t>LIBERIA, LIBERIA 50N PARADA BUS B LAS PALMAS TR</t>
  </si>
  <si>
    <t>SUPERMERCADO DRAGON</t>
  </si>
  <si>
    <t>CARTAGO CARTAGO EL CARMEN CARMEN ASILO ANCIAN 200N 200 O</t>
  </si>
  <si>
    <t>EL BRUJO 2</t>
  </si>
  <si>
    <t>HEREDIA SAN RAFAEL SAN RAFAEL RESIDENCIAL BELLO VERDE LOC 2</t>
  </si>
  <si>
    <t>SUPERMERCADOS MAS Y MAS</t>
  </si>
  <si>
    <t>ASERRI, ASERRI ASERRI INSTALAC ANTIGUA JOCKEY</t>
  </si>
  <si>
    <t>ALAJUELA, ALAJUELA FRENT DEPARTAMENTOS AGUA CLARA</t>
  </si>
  <si>
    <t>ABASTECEDOR CASTILLO</t>
  </si>
  <si>
    <t>TURRIALBA, TURRIALBA TURRI CEDROS PZA DEPTES 50 S</t>
  </si>
  <si>
    <t>SÚPER VICTORIA</t>
  </si>
  <si>
    <t>SAN CRISTOBAL, DESAMPARADOS 400 MTS OESTE SUB ESTACION COOPESANTOS</t>
  </si>
  <si>
    <t>COMERCIAL BOLAÑOS</t>
  </si>
  <si>
    <t>PUNTARENAS, PUNTARENAS 50M SUR ESC. SANTA CRUZ EL ALT</t>
  </si>
  <si>
    <t>MINI SUPER SAN CHABEL</t>
  </si>
  <si>
    <t>ALAJUELA ALAJUELA ALAJUELA 800O DEL AUTODROMO LA GUACIMA</t>
  </si>
  <si>
    <t>PULPERIA IVONE</t>
  </si>
  <si>
    <t>TABARCIA, MORA 300S DE LA ESCUELA DE MORADO</t>
  </si>
  <si>
    <t>PANADERIA SAN BOSCO</t>
  </si>
  <si>
    <t>SAN JOSÉ DESAMPARADOS SAN RAFAEL ABAJO SN RAF CRUCE ALAJUELITA 25 O</t>
  </si>
  <si>
    <t>ALIMERCADO S.A.</t>
  </si>
  <si>
    <t>CINCO ESQUINAS, TIBAS 5 ESQ CLINICA CLORITO 200 OEST</t>
  </si>
  <si>
    <t>SUPER Y LIORERA ROXANA</t>
  </si>
  <si>
    <t>GUANACASTE SANTA CRUZ SANTA CRUZ PLAYA GRANDE 100 ESTE RESTAURANT PADOKA</t>
  </si>
  <si>
    <t>ROOTS BAKERY E CAFE</t>
  </si>
  <si>
    <t>MANSION, NICOYA PATIO COLONIAL, LOCAL 1 SAMARA</t>
  </si>
  <si>
    <t>EL PUNTO MINI SUPER Y LICORERA</t>
  </si>
  <si>
    <t>ALAJUELA SAN CARLOS LA FORTUNA 300 N SUPER SAN ISIDRO</t>
  </si>
  <si>
    <t>GASOLINERA LOS ANGELES</t>
  </si>
  <si>
    <t>ALAJUELA SAN CARLOS LA FORTUNA ANGELES  500 OESTE EBAIS</t>
  </si>
  <si>
    <t>BOMBA MONTEZUMA</t>
  </si>
  <si>
    <t>PEJIBAYE, PEREZ ZELEDON FRENTE A ESCUELA, PEJIBAYE</t>
  </si>
  <si>
    <t>SUPER ABARCA</t>
  </si>
  <si>
    <t>SAN JOSÉ PEREZ ZELEDON PLATANARES 100 OESTE ESC MOLLEJONES PLATA</t>
  </si>
  <si>
    <t>SUPER LICORERA LOS PINOS</t>
  </si>
  <si>
    <t>PLATANARES, PEREZ ZELEDON FRT ENTRADA LOS ANGELES MOLLEJ</t>
  </si>
  <si>
    <t>MINI SUPER LAS MESAS</t>
  </si>
  <si>
    <t>PEJIBAYE, PEREZ ZELEDON 400 SUR DE IGLESIA  LAS MESAS</t>
  </si>
  <si>
    <t>COOPEASA R.L.</t>
  </si>
  <si>
    <t>PEJIBAYE, PEREZ ZELEDON SAN ANTONIO FRENTE PLAZA DEPOR</t>
  </si>
  <si>
    <t>MINI SUPER EL CENTRO</t>
  </si>
  <si>
    <t>ZARCERO, ZARCERO 50SUR DE IGLESIA DE PALMIRA</t>
  </si>
  <si>
    <t>MINI SUPER  LA FAMILIA</t>
  </si>
  <si>
    <t>SAN PEDRO, POAS CALLE EL TIGRE 75 NORTE DE LA ENTRADA</t>
  </si>
  <si>
    <t>SUPER EL PILON</t>
  </si>
  <si>
    <t>SAN JOSE, ATENAS 150SUR DEL ZOOAVE LA GARITA</t>
  </si>
  <si>
    <t>MINISUPER RC BUNKER S.A.</t>
  </si>
  <si>
    <t>PEJIBAYE, PEREZ ZELEDON 200M SUR DE IGLESIA, LAS MESAS</t>
  </si>
  <si>
    <t>MINISUPER HNOS ANGULO</t>
  </si>
  <si>
    <t>SAN JOSÉ PEREZ ZELEDON RIVAS 50M NORTE DE COLE BUENA VISTA</t>
  </si>
  <si>
    <t>SUPER GUAPO</t>
  </si>
  <si>
    <t>SARCHI SUR, SARCHI CONT PLAZA DEL MUEBLE ALTO C.</t>
  </si>
  <si>
    <t>MINISUPER SAN MARTIN</t>
  </si>
  <si>
    <t>SAN JOSÉ PEREZ ZELEDON PEJIBAYE 150M OESTE DE ESC. SAN MARTIN</t>
  </si>
  <si>
    <t>CARMEN, SAN JOSE FRT LA PLAZA, SAN GERARDO</t>
  </si>
  <si>
    <t>PULPERIA LA GUADALUPEÑA</t>
  </si>
  <si>
    <t>EL GENERAL, PEREZ ZELEDON 50M NORTE ESC. ROSARIO PACUAR</t>
  </si>
  <si>
    <t>MINISUPER MZ</t>
  </si>
  <si>
    <t>CARMEN, SAN JOSE 800M SUROESTE DE ESC. LAS LAGUNAS</t>
  </si>
  <si>
    <t>RIVAS, PEREZ ZELEDON COSTADO DE LA PLAZA, LA BONITA</t>
  </si>
  <si>
    <t>MINISUPER Y LICORERA MIRAVALLES</t>
  </si>
  <si>
    <t>CARMEN, SAN JOSE 100M SUR DE LA IGLESIA MIRAVALLES</t>
  </si>
  <si>
    <t>SAN JOSÉ PEREZ ZELEDON PEJIBAYE 100M SUR DE OFICINAS AYA SAN ANTONIO</t>
  </si>
  <si>
    <t>ABASTECEDOR EL PURA VIDA</t>
  </si>
  <si>
    <t>CARMEN, SAN JOSE SAN JUAN DE DIOS FRT PLAZA DEP</t>
  </si>
  <si>
    <t>MINISUPER ABUES</t>
  </si>
  <si>
    <t>BARU, PEREZ ZELEDON SAN SALVADOR CONT. SALON COMUN</t>
  </si>
  <si>
    <t>CARMEN, SAN JOSE SAN JUAN DE DIOS, CONT. PLAZA</t>
  </si>
  <si>
    <t>MINISUPER COLINAS</t>
  </si>
  <si>
    <t>COLINAS, BUENOS AIRES COLINAS FRENTE LA ESCUELA</t>
  </si>
  <si>
    <t>SAN ISIDRO, LEON CORTES CASTRO 50M NORTE DE BAR EL CORRAL, SV</t>
  </si>
  <si>
    <t>MINI SUPER LAS DELICIAS</t>
  </si>
  <si>
    <t>PEJIBAYE, PEREZ ZELEDON 200M ESTE DE LA PLAZA LAS DELI</t>
  </si>
  <si>
    <t>MINISUPER M Y M</t>
  </si>
  <si>
    <t>CARMEN, SAN JOSE 450M SUR DE COLE AMBIENTALISTA</t>
  </si>
  <si>
    <t>LICORERA J Y C</t>
  </si>
  <si>
    <t>CARMEN, SAN JOSE 800M N DE MOTEL MI CHOZA QUEBR</t>
  </si>
  <si>
    <t>MINISUPER LAS PALMAS</t>
  </si>
  <si>
    <t>PLATANARES, PEREZ ZELEDON 400M SUR FAROCOBA, SAN RAFAEL</t>
  </si>
  <si>
    <t>ABASTECEDOR JERUSALEM</t>
  </si>
  <si>
    <t>CARMEN, SAN JOSE 200 S Y 100 E DE ESC COCORI</t>
  </si>
  <si>
    <t>SUPER SAN MIGUEL 2</t>
  </si>
  <si>
    <t>RIO CUARTO, RIO CUARTO FRENTE B.NACIONAL RIO CUARTO</t>
  </si>
  <si>
    <t>SÚPER TACACORI</t>
  </si>
  <si>
    <t>ALAJUELA ALAJUELA ALAJUELA 250 OESTE DE ESC. TACACORI</t>
  </si>
  <si>
    <t>SUP. BARRIO LOURDES</t>
  </si>
  <si>
    <t>SAN RAFAEL, SAN RAMON 300O DEL ABAST. MARIANITA</t>
  </si>
  <si>
    <t>SÚPER LA CURVA</t>
  </si>
  <si>
    <t>PLATANARES, PEREZ ZELEDON FRT FERRETERIA SAN RAFAEL</t>
  </si>
  <si>
    <t>ABASTECEDOR EL DESCUENTO</t>
  </si>
  <si>
    <t>SAN ISIDRO, LEON CORTES CASTRO 450M SUR DE HOGAR AMA</t>
  </si>
  <si>
    <t>SUPER LAS PALMAS</t>
  </si>
  <si>
    <t>LA TIGRA, SAN CARLOS 1KM ESTE IGLES CAT B.LAS PALMA</t>
  </si>
  <si>
    <t>SUPER LYUAN #3</t>
  </si>
  <si>
    <t>CATEDRAL, SAN JOSE COSTADO CCSS AVENIDA 2DA CONTIGUO BCR</t>
  </si>
  <si>
    <t>PULPERIA MEGAN</t>
  </si>
  <si>
    <t>GUANACASTE LIBERIA LIBERIA ISLA VENADO</t>
  </si>
  <si>
    <t>ABASTECEDOR CARTAGUITO</t>
  </si>
  <si>
    <t>SAN SEBASTIAN, SAN JOSE SN SEBAST LOPEZ MATEO ESC 400O</t>
  </si>
  <si>
    <t>MINI SUPER LA HACIENDA</t>
  </si>
  <si>
    <t>CARTAGO OREAMUNO SAN RAFAEL DEL BAR LA HACIENDA 25 SUR</t>
  </si>
  <si>
    <t>ABASTECEDOR LAS PALMERAS</t>
  </si>
  <si>
    <t>LIBERIA, LIBERIA 150E DE PLAZA MARTINA BUSTOS</t>
  </si>
  <si>
    <t>SAN JOSÉ TIBAS SAN JUAN 150 OE TERMINAL EN LA FLORIDA</t>
  </si>
  <si>
    <t>SUPER 5 ESTRELLAS</t>
  </si>
  <si>
    <t>GRECIA, GRECIA  LIC.DEP DEGRECIA 150N Y 100 E</t>
  </si>
  <si>
    <t>ATENAS, ATENAS 25 E DEL SUPER ALMENDRO</t>
  </si>
  <si>
    <t>LICORERA SANTA FE</t>
  </si>
  <si>
    <t>HEREDIA SANTO DOMINGO SANTA ROSA STO DOMIN CEMENTE 400N 200 O</t>
  </si>
  <si>
    <t>SUPER WILLY</t>
  </si>
  <si>
    <t>EL CARMEN, CARTAGO 500 OESTE DE LA IGLESIA DE SAN BLAS</t>
  </si>
  <si>
    <t>SUPER GUACIMA</t>
  </si>
  <si>
    <t>PALMARES, PALMARES 75 O IGLESIA RINCON DE PALMARE</t>
  </si>
  <si>
    <t>MINI SUPER VICTOR</t>
  </si>
  <si>
    <t>LIMON, LIMON CRUZE DE JORDAN</t>
  </si>
  <si>
    <t>SUPERMAX</t>
  </si>
  <si>
    <t>SANTIAGO, PALMARES COSTADO S DE LA ESC SANTIAGO</t>
  </si>
  <si>
    <t>MINI SUPER CHICO</t>
  </si>
  <si>
    <t>LIMON, LIMON 300 SUR DE ESCUELA LA RITA</t>
  </si>
  <si>
    <t>MINI SUPER EL MENOR</t>
  </si>
  <si>
    <t>ALAJUELA OROTINA OROTINA 300 E TERMINAL BUSES OROTINA</t>
  </si>
  <si>
    <t>MINI SUPER Y LICORES M Y M</t>
  </si>
  <si>
    <t>NARANJO, NARANJO 25 E D ESTACION D SERVICIO BAR</t>
  </si>
  <si>
    <t>MINI KIOSKO 2</t>
  </si>
  <si>
    <t>LIBERIA, LIBERIA FRENTE EMERGENCIA HOSPITAL EBB</t>
  </si>
  <si>
    <t>SUPER DESCUENTO COYOLAR</t>
  </si>
  <si>
    <t>ALAJUELA OROTINA COYOLAR FRENTE A CLINICA</t>
  </si>
  <si>
    <t>SODA EL DORADO</t>
  </si>
  <si>
    <t>SIQUIRRES, SIQUIRRES FINCA DORADO ELTRADA LS PERLAS</t>
  </si>
  <si>
    <t>MINUSUPER MONKEY</t>
  </si>
  <si>
    <t>AGUAS ZARCAS, SAN CARLOS B.AIRES 600 SUR CALLE NAZARETH</t>
  </si>
  <si>
    <t>MINI SUPER ANGIE</t>
  </si>
  <si>
    <t>BATAN, MATINA B. SARA 50M DESP. ABAST KARLA</t>
  </si>
  <si>
    <t>PULPERIA DAVID</t>
  </si>
  <si>
    <t>LIMÓN SIQUIRRES SIQUIRRES BARRIO LOS LAURELES</t>
  </si>
  <si>
    <t>NEX SUPERMECADO</t>
  </si>
  <si>
    <t>ALAJUELA NARANJO NARANJO 20 E  ESC. LOS ANGELES ZARCERO</t>
  </si>
  <si>
    <t>SUPER TICO</t>
  </si>
  <si>
    <t>ALAJUELA, ALAJUELA 100 S IGLE SAN PEDRO DE SARCHI</t>
  </si>
  <si>
    <t>CARMEN, SAN JOSE 200 O DE LA RURAL DE CONCEPCIO</t>
  </si>
  <si>
    <t>MINI SUPER SAN ANTONIO</t>
  </si>
  <si>
    <t>NICOYA, NICOYA FTE. PLAZA DE DEPORTE SN ANTON</t>
  </si>
  <si>
    <t>MINI M Y C</t>
  </si>
  <si>
    <t>SANTA CRUZ, TURRIALBA COSTADO OE PLAZA DEL CARMEN</t>
  </si>
  <si>
    <t>PULPERIA LA SOLEDAD</t>
  </si>
  <si>
    <t>ZAPOTAL_, NANDAYURE FRENTE AL SALON COMUNAL</t>
  </si>
  <si>
    <t>PULPERIA LA TORRE</t>
  </si>
  <si>
    <t>BEJUCO, NANDAYURE BEJUCO DE NANDAYURE</t>
  </si>
  <si>
    <t>MINI SUPER RIO ORA</t>
  </si>
  <si>
    <t>HOJANCHA, HOJANCHA ESTRADA DE CARRILLO HOJANCHA</t>
  </si>
  <si>
    <t>MINI SUPER RUTA DEKL SOL</t>
  </si>
  <si>
    <t>BEJUCO, NANDAYURE CORAZOLITO DE BEJUCO</t>
  </si>
  <si>
    <t>MINI SUPER  LICORES SANTA MART</t>
  </si>
  <si>
    <t>GUANACASTE HOJANCHA HOJANCHA SAN MARTA DE HOJANCHA</t>
  </si>
  <si>
    <t>PULPERIA FLOR DEL CAMPO</t>
  </si>
  <si>
    <t>HOJANCHA, HOJANCHA MONTE ROMO DE PILANGOSTA HOJAN</t>
  </si>
  <si>
    <t>PULPERIA KENIA</t>
  </si>
  <si>
    <t>BEJUCO, NANDAYURE JUAN DE LEON CENT PUNTARENAS</t>
  </si>
  <si>
    <t>PULPERIA SAN BLAS</t>
  </si>
  <si>
    <t>BEJUCO, NANDAYURE SAN BLAS DE JICARAL</t>
  </si>
  <si>
    <t>PULPERIA B LINDO</t>
  </si>
  <si>
    <t>BEJUCO, NANDAYURE B LINDO DE JICARAL LEPANTO</t>
  </si>
  <si>
    <t>PULPERIA LA CONCENTIDA</t>
  </si>
  <si>
    <t>BEJUCO, NANDAYURE DOMINICAS DE JICARAL DE LEPANT</t>
  </si>
  <si>
    <t>MINI SUPER EL REY</t>
  </si>
  <si>
    <t>BEJUCO, NANDAYURE SAN FRANCISCO DE COYOTE</t>
  </si>
  <si>
    <t>SUPER COYOTE</t>
  </si>
  <si>
    <t>ABASTCEDOR SANTA MARTHA</t>
  </si>
  <si>
    <t>BEJUCO, NANDAYURE JAVILLA DE BEJUCO</t>
  </si>
  <si>
    <t>ABASTECEDOR SAN JORGE</t>
  </si>
  <si>
    <t>BEJUCO, NANDAYURE SAN JORGE DE BEJUCO DE NANDAYU</t>
  </si>
  <si>
    <t>MINI SUPER EL ANGEL</t>
  </si>
  <si>
    <t>GUANACASTE NANDAYURE CARMONA ZAPOTAL 100 M OE CEMENTERIO</t>
  </si>
  <si>
    <t>CARMONA, NANDAYURE LOS ANGELES DE NANDAYURE</t>
  </si>
  <si>
    <t>MINI SUPER QUEBRADA GRANDE</t>
  </si>
  <si>
    <t>CARMONA, NANDAYURE QUEBRADA GRANDE DE NANDAYURE</t>
  </si>
  <si>
    <t>MINI SUPER Y LICORERA EL ENCUE</t>
  </si>
  <si>
    <t>CARMONA, NANDAYURE ISLITA DE BEJUCO</t>
  </si>
  <si>
    <t>SUPER SAN SEBAS 24 7 S.A.</t>
  </si>
  <si>
    <t>SAN SEBASTIAN, SAN JOSE 200S DE UNIDAD DE ADM SAN SEBA</t>
  </si>
  <si>
    <t>SUPER KALIDAD</t>
  </si>
  <si>
    <t>SAN VICENTE, SANTO DOMINGO 100 N 100 E DE PASTAS VIGUI</t>
  </si>
  <si>
    <t>CARMEN, SAN JOSE 250OEST DEL ANTIG YUGO DE ORO</t>
  </si>
  <si>
    <t>SODA MOPRI</t>
  </si>
  <si>
    <t>ALAJUELA OROTINA OROTINA CONTIGUO A OFICINAS DEL MAG</t>
  </si>
  <si>
    <t>SUPER Y CARNICERÍA DON FELIX S.A</t>
  </si>
  <si>
    <t>PUNTARENAS GARABITO JACO 100N DEL CRUCE HERRADURA</t>
  </si>
  <si>
    <t>INVERSIONES SERVIOCIO LMD S.A</t>
  </si>
  <si>
    <t>HEREDIA, HEREDIA HOSP NVO HEREDIA 25 S RES ABUE</t>
  </si>
  <si>
    <t>MINI SUPER SAN JERONIMO</t>
  </si>
  <si>
    <t>ALAJUELA ALAJUELA ALAJUELA 800 N IGLE CATOLICA SN ISIDRO</t>
  </si>
  <si>
    <t>FAST MARKET SAN ISIDRO</t>
  </si>
  <si>
    <t>SAN ISIDRO, SAN ISIDRO SAN JOCESITO 400N DE LA CANCHA</t>
  </si>
  <si>
    <t>MINISUPER J Y J</t>
  </si>
  <si>
    <t>LIBERIA, LIBERIA 100E DEL PUENTE REAL</t>
  </si>
  <si>
    <t>ABSTECEDOR LA PRIMAVERA</t>
  </si>
  <si>
    <t>CARTAGO PARAISO CACHI 100N Y 50 ESTE DEL CEMENTERIO DE CACHI</t>
  </si>
  <si>
    <t>SUPER 3B</t>
  </si>
  <si>
    <t>LIMÓN POCOCI ROXANA 600N DE MARAVILLA ROXANA</t>
  </si>
  <si>
    <t>SUPER EL JARDIN</t>
  </si>
  <si>
    <t>ULLOA, HEREDIA URB LOS JARDINES DEL O CASA 79</t>
  </si>
  <si>
    <t>MINI SUPER MARIA</t>
  </si>
  <si>
    <t>HEREDIA SARAPIQUI PUERTO VIEJO 250S MANUEL TRANSPORTE</t>
  </si>
  <si>
    <t>SUPER PARISMINA</t>
  </si>
  <si>
    <t>LIMÓN GUACIMO GUACIMO PARISMINA GUACIMO</t>
  </si>
  <si>
    <t>VENTANA JUBILO</t>
  </si>
  <si>
    <t>AGUACALIENTE O SAN F, CARTAGO 400S 100E PR MANUEL JESUS PITA</t>
  </si>
  <si>
    <t>MINI SÚPER PUNTO 111</t>
  </si>
  <si>
    <t>IPIS, GOICOECHEA 200 OE TERMINAL BUSES LA MORA</t>
  </si>
  <si>
    <t>ABASTECEDOR NAYLA</t>
  </si>
  <si>
    <t>SANTA ROSA, SANTO DOMINGO 200 S PLAZA DEPORTES STA ROSA</t>
  </si>
  <si>
    <t>SUPER 1985</t>
  </si>
  <si>
    <t>PARAISO, PARAISO FT EL LICEO DE PARAISO</t>
  </si>
  <si>
    <t>CASAVARIEDADES S.A.</t>
  </si>
  <si>
    <t>MONTE VERDE, MONTE VERDE 50 NE ESC CERRO PLANO</t>
  </si>
  <si>
    <t>SUPER SANDI</t>
  </si>
  <si>
    <t>CARMEN, SAN JOSE BARRIO CUBA</t>
  </si>
  <si>
    <t>ABASTECEDOR NICHE</t>
  </si>
  <si>
    <t>LIMÓN POCOCI RITA 450M OE PARQUE LA RITA</t>
  </si>
  <si>
    <t>MINI SUPER YAU</t>
  </si>
  <si>
    <t>SAN JOSÉ PEREZ ZELEDON DANIEL FLORES 100M PUENTE JUNTAS PACUAR</t>
  </si>
  <si>
    <t>SUPERMERCADO LIANG</t>
  </si>
  <si>
    <t>SAN PABLO, TURRUBARES COSTADO S ESCUELA DE SAN PABLO</t>
  </si>
  <si>
    <t>ALMACEN ZHAO BETANIA</t>
  </si>
  <si>
    <t>LIMÓN SIQUIRRES SIQUIRRES BATANIA DE SIQUIRRES</t>
  </si>
  <si>
    <t>SUPER GIGANTE CUBUJUQUI</t>
  </si>
  <si>
    <t>SAN FRANCISCO, HEREDIA FRENTE PANADERIA LEANDRO CUBUJ</t>
  </si>
  <si>
    <t>ABASTECEDOR KARLA</t>
  </si>
  <si>
    <t>GUANACASTE NICOYA NICOYA BO.SN MART,DE LA IGL.CATOL.75N</t>
  </si>
  <si>
    <t>JINUK MARKET</t>
  </si>
  <si>
    <t>CARTAGO CARTAGO ORIENTAL FRENTE RESTAURANTE EL MODERNO</t>
  </si>
  <si>
    <t>TOTI  N2</t>
  </si>
  <si>
    <t>HEREDIA HEREDIA HEREDIA 50S IGLESIA BA SANTIAGO</t>
  </si>
  <si>
    <t>SODA COLOMBIANA PAN Y SABORES</t>
  </si>
  <si>
    <t>CATEDRAL, SAN JOSE 200 S PARQUE ESPAÑA</t>
  </si>
  <si>
    <t>ALAJUELA GRECIA GRECIA INVU 3 RINCON DE ARIAS CASA 1</t>
  </si>
  <si>
    <t>TRADE MISSION S.A.</t>
  </si>
  <si>
    <t>GUAPILES, POCOCI FTE PERIMERCADOS GUAPILES</t>
  </si>
  <si>
    <t>PULP ELENA Y ANTONIO</t>
  </si>
  <si>
    <t>SAN FELIPE, ALAJUELITA 100 OE ESC URB TIRIBY AURORA</t>
  </si>
  <si>
    <t>MEGA CONSUMO S.A</t>
  </si>
  <si>
    <t>SAN MIGUEL, DESAMPARADOS CONTIGUO ESTACION DE SERVICIO</t>
  </si>
  <si>
    <t>LICORERA SAN PABLO</t>
  </si>
  <si>
    <t>HEREDIA HEREDIA SAN FRANCISCO CC SN FCO HEREDIA LOCAL 3</t>
  </si>
  <si>
    <t>MINI SUPER Y LICORERA GUIANA</t>
  </si>
  <si>
    <t>SAN ISIDRO, LEON CORTES CASTRO B.LOS ANGELES 100M IGLESIA CAT</t>
  </si>
  <si>
    <t>SUPER ANA</t>
  </si>
  <si>
    <t>TRES RIOS, LA UNION URB 5 ESTRELLAS LA CARPINTERA</t>
  </si>
  <si>
    <t>SAN JOSECITO, ALAJUELITA 100N DE IGLESIA SAN JOSECITO</t>
  </si>
  <si>
    <t>PULPERIA ALVAREZ</t>
  </si>
  <si>
    <t>LIBERIA, LIBERIA 200 N. ESC. EL CACAO DE STA. C</t>
  </si>
  <si>
    <t>SUPER DAWIE</t>
  </si>
  <si>
    <t>ALAJUELA SAN CARLOS FLORENCIA 400 N DE LA COMANDANCIA FLOREN</t>
  </si>
  <si>
    <t>ALMACEN Y DISTRIBUIDORA RUTA 806</t>
  </si>
  <si>
    <t>LIMÓN SIQUIRRES SIQUIRRES EN EL CIVIL DE SIQUIRRES</t>
  </si>
  <si>
    <t>INVERSIONES COMERCIALES ARROYO</t>
  </si>
  <si>
    <t>LA VIRGEN, SARAPIQUI FTE PLAZA DEPORTES LA VIRGEN</t>
  </si>
  <si>
    <t>SUPER ALVARADO LAS DELICIAS</t>
  </si>
  <si>
    <t>ALAJUELA SAN CARLOS AGUAS ZARCAS 100 S IGLES LAS DELICIAS</t>
  </si>
  <si>
    <t>PULPERIA M Y M</t>
  </si>
  <si>
    <t>CARIARI, POCOCI 200NO PLAZA FUTBOL LOS ANGELES</t>
  </si>
  <si>
    <t>SODA URBELLES</t>
  </si>
  <si>
    <t>ALAJUELA, ALAJUELA A UN COSTADO DEL ESTADIO CORAZON</t>
  </si>
  <si>
    <t>SUPERMERCADO UNICASA</t>
  </si>
  <si>
    <t>SAN JOSÉ MONTES DE OCA SABANILLA DIAGONAL A POLLO GRANJERO</t>
  </si>
  <si>
    <t>SUPER LA MARINA</t>
  </si>
  <si>
    <t>QUESADA, SAN CARLOS 600 N ZOOLOGICO CAMINO A.Z</t>
  </si>
  <si>
    <t>PULPERIA GIRASOL</t>
  </si>
  <si>
    <t>CARIARI, POCOCI 250N DEL MINI SUPER TUCAN</t>
  </si>
  <si>
    <t>MINI SUPER EL PASO</t>
  </si>
  <si>
    <t>CARIARI, POCOCI 400E PLAZA SAN GERARDO</t>
  </si>
  <si>
    <t>COMERCIAL LUMORI</t>
  </si>
  <si>
    <t>SIQUIRRES, SIQUIRRES 100N PLAZA HEREDIANA</t>
  </si>
  <si>
    <t>MINI SUPER Y LICORERA LA RUTA</t>
  </si>
  <si>
    <t>ALAJUELA OROTINA COYOLAR 100 S CRUCE OROTINA-JACO</t>
  </si>
  <si>
    <t>HEREDIA BELEN SAN ANTONIO 200E DE POLLOS DEL MONTE</t>
  </si>
  <si>
    <t>SUPER FENG</t>
  </si>
  <si>
    <t>CARTAGO OREAMUNO CIPRESES 300 E IGLESIA PASO ANCHO</t>
  </si>
  <si>
    <t>SAN JOSE, NARANJO SAN JOSÉ NORTE FRENTE A LA PLAZA</t>
  </si>
  <si>
    <t>ROSI S SODA TICA  H2</t>
  </si>
  <si>
    <t>CARMONA, NANDAYURE FTE. PACIF. AZUL,PLAYA GUIONES</t>
  </si>
  <si>
    <t>SUPER MAXI</t>
  </si>
  <si>
    <t>SAN JUAN DE DIOS, DESAMPARADOS 200 N GUARDIA RURAL</t>
  </si>
  <si>
    <t>PULP. NOAGAEL</t>
  </si>
  <si>
    <t>SAN FELIPE, ALAJUELITA URB GARCIA MONGE TEJARCILLOS</t>
  </si>
  <si>
    <t>MINI SUPER BADILLA #2</t>
  </si>
  <si>
    <t>SAN JOSÉ DESAMPARADOS SAN MIGUEL 100 N 75 OE BOMBA UNO</t>
  </si>
  <si>
    <t>SUPER  IMPERIO</t>
  </si>
  <si>
    <t>GARITA, ALAJUELA 100 SUR SUPER GONZALEZ</t>
  </si>
  <si>
    <t>SODA GAVILAN</t>
  </si>
  <si>
    <t>PUERTO VIEJO, SARAPIQUI COSTADO PLANTA EMP FCA GAVILAN</t>
  </si>
  <si>
    <t>SUPER SPITI</t>
  </si>
  <si>
    <t>GUANACASTE LIBERIA LIBERIA 75S DE CABLETICA SAN MIGUEL</t>
  </si>
  <si>
    <t>SODA Y FONDA OROPEL</t>
  </si>
  <si>
    <t>PUERTO VIEJO, SARAPIQUI COSTADO EMPACADORA FCA OROPEL</t>
  </si>
  <si>
    <t>HEREDIA, HEREDIA 200N PALI LA AURORA</t>
  </si>
  <si>
    <t>SODA EL ROBLE</t>
  </si>
  <si>
    <t>PUERTO VIEJO, SARAPIQUI CONTIGUO A LA PLAZA EL ROBLE</t>
  </si>
  <si>
    <t>SODA MALINCHE</t>
  </si>
  <si>
    <t>PUERTO VIEJO, SARAPIQUI CONTIGUO PLAZA MALINCHE</t>
  </si>
  <si>
    <t>SUPER KAMY</t>
  </si>
  <si>
    <t>NOSARA, NICOYA CONT. A PLAYA GARZA</t>
  </si>
  <si>
    <t>CASA PARTICULAR RP CARMEN MOJON</t>
  </si>
  <si>
    <t>PUNTARENAS ESPARZA ESPIRITU SANTO 150 OESTE PULPERIA EL GARAJE</t>
  </si>
  <si>
    <t>RESTAURANTE HORQUETAS</t>
  </si>
  <si>
    <t>LAS HORQUETAS, SARAPIQUI ENT PRINCIPAL A HORQUETAS</t>
  </si>
  <si>
    <t>FONDA COMISARIATO DOBLE ALIANZ</t>
  </si>
  <si>
    <t>SIQUIRRES, SIQUIRRES FINCA DOBLE ALIANZA</t>
  </si>
  <si>
    <t>SAN JOSECITO, ALAJUELITA 125 E DEL COLEGIO</t>
  </si>
  <si>
    <t>MINI SUPER CELESTE</t>
  </si>
  <si>
    <t>PUERTO VIEJO, SARAPIQUI FTE ESC CRISTO REY BARRIO PROG</t>
  </si>
  <si>
    <t>MINI SUPER LA POPOCITA</t>
  </si>
  <si>
    <t>PUNTARENAS GARABITO TARCOLES FRENT SUPER LAESQUINA QDA GDO</t>
  </si>
  <si>
    <t>MINI SUPER SANTA ROSA</t>
  </si>
  <si>
    <t>SAN JOSÉ PEREZ ZELEDON RIO NUEVO 1 KM OESTE DE ESC.SANTA ROSA</t>
  </si>
  <si>
    <t>SODA OASIS</t>
  </si>
  <si>
    <t>SAN JOSÉ SAN JOSE HOSPITAL 175 O DE ENTRADA A EMERGENCIAS</t>
  </si>
  <si>
    <t>SUPER PRIMAVERA NO.2</t>
  </si>
  <si>
    <t>CARTAGO OREAMUNO COT 400 N ENTRADA COT OREAMUNO</t>
  </si>
  <si>
    <t>MINI SUPER STA. ROSA</t>
  </si>
  <si>
    <t>CARTAGO OREAMUNO SANTA ROSA 100 OE IGLESIA STA ROSA</t>
  </si>
  <si>
    <t>ABASTECEDOR EBENECER</t>
  </si>
  <si>
    <t>DANIEL FLORES, PEREZ ZELEDON LA CENIZA FRENTE PLAZA DEPORTE</t>
  </si>
  <si>
    <t>PULPERIA LA PLAZA</t>
  </si>
  <si>
    <t>GUANACASTE NICOYA NICOYA 1 K E. IGL.CATOL. HUACAS DE HO</t>
  </si>
  <si>
    <t>MINI SUPER EL CRUCE</t>
  </si>
  <si>
    <t>SAN MIGUEL, DESAMPARADOS CRUCE EL LLANO Y HUAZO</t>
  </si>
  <si>
    <t>GUS CA FRITURAS Y BEBIDAS</t>
  </si>
  <si>
    <t>LLORENTE, FLORES BCO NAC 50 O Y 800S SN JOAQUIN</t>
  </si>
  <si>
    <t>PULPERIA PATRICIA</t>
  </si>
  <si>
    <t>URUCA_, SANTA ANA DE LA IGLESIA 75 ESTE</t>
  </si>
  <si>
    <t>MINI SUPER ARENAS</t>
  </si>
  <si>
    <t>PUNTARENAS PUNTARENAS PUNTARENAS CONTG HOTEL ARENASPLAYABLANCA</t>
  </si>
  <si>
    <t>MINI SUPER TECNO 2000</t>
  </si>
  <si>
    <t>DULCE NOMBRE, CARTAGO ENTRADA RESIDENCIAL TECNO 2000</t>
  </si>
  <si>
    <t>SUPER LOS HERMANOS</t>
  </si>
  <si>
    <t>CARTAGO PARAISO PARAISO 200 N CRUZ ROJA</t>
  </si>
  <si>
    <t>MINI MARKET EL MIRADOR</t>
  </si>
  <si>
    <t>ALAJUELA ALAJUELA ALAJUELA FRENTE HOTEL MONTAÑA DE FUEGO</t>
  </si>
  <si>
    <t>PULP. SAN RAFAEL</t>
  </si>
  <si>
    <t>VALLE LA ESTRELLA, LIMON VALLE ESTRELLA SAN RAFAEL FTE</t>
  </si>
  <si>
    <t>SUPER CAMILO</t>
  </si>
  <si>
    <t>GUACIMA, ALAJUELA FTE MUSMANI LA GUACIMA</t>
  </si>
  <si>
    <t>ALAJUELA ALAJUELA ALAJUELA CONTIG SALON COMUNAL EL FUTURO</t>
  </si>
  <si>
    <t>SUPER LA PIRAMIDE</t>
  </si>
  <si>
    <t>HEREDIA SAN RAFAEL SAN RAFAEL DIAGONAL A CCSS SANTIAGO HERED</t>
  </si>
  <si>
    <t>SUPER OASIS</t>
  </si>
  <si>
    <t>HOSPITAL, SAN JOSE 50 OE HOSPITAL DE NIÑOS</t>
  </si>
  <si>
    <t>MINI SUPER BAÑON Y MAS</t>
  </si>
  <si>
    <t>PUERTO VIEJO, SARAPIQUI .ENT MORTERO (LA CHAVEZ)</t>
  </si>
  <si>
    <t>MARIO HERNANDEZ M</t>
  </si>
  <si>
    <t>ALAJUELA GRECIA GRECIA CALLE VALERIO</t>
  </si>
  <si>
    <t>PULPERIA MYRIE</t>
  </si>
  <si>
    <t>LIMÓN GUACIMO GUACIMO 100S CARTONERA LA PERLA</t>
  </si>
  <si>
    <t>PULPERIA KABE</t>
  </si>
  <si>
    <t>ORIENTAL, CARTAGO URB. LLANOS DE LOURDES LOTE 3</t>
  </si>
  <si>
    <t>SUPER M   R</t>
  </si>
  <si>
    <t>SAN ISIDRO, LEON CORTES CASTRO 200 MTS SUR PULPERIA MONTERO LOMAS COCOR</t>
  </si>
  <si>
    <t>PULPERIA CORAZON DE JESUS</t>
  </si>
  <si>
    <t>CARRILLOS, POAS 700 N IGLESIA CATOLICA</t>
  </si>
  <si>
    <t>SUPER BASICO #2</t>
  </si>
  <si>
    <t>SAN PEDRO, POAS 150 ESTE DEL TEMPLO</t>
  </si>
  <si>
    <t>MINI SUPER ALONSO</t>
  </si>
  <si>
    <t>ORIENTAL, CARTAGO 100 E 100 N BASILICA</t>
  </si>
  <si>
    <t>MINI SUPER LA PAZ</t>
  </si>
  <si>
    <t>GUANACASTE SANTA CRUZ SANTA CRUZ 200 O DE FERRET COMACO HUACAS</t>
  </si>
  <si>
    <t>VITOS MINI MARKET</t>
  </si>
  <si>
    <t>CARMEN, SAN JOSE FT AL REGISTRO DE LA PROPIEDAD</t>
  </si>
  <si>
    <t>PIÑERA CARIBE COMISARIATO</t>
  </si>
  <si>
    <t>GUACIMO, GUACIMO 500N EBAIS PIÑERA CARIBE</t>
  </si>
  <si>
    <t>MINI SUPER ECONOMICO</t>
  </si>
  <si>
    <t>LIMÓN POCOCI GUAPILES 125M ESTE DE BAR MONTECARLO</t>
  </si>
  <si>
    <t>PULP. LA FAMILIA</t>
  </si>
  <si>
    <t>SAN JUAN, TIBAS 200 E PALI COLIMA</t>
  </si>
  <si>
    <t>SUPER NIDO</t>
  </si>
  <si>
    <t>DULCE NOMBRE DE JESU, VAZQUEZ DE CORONADO CONTIGUO SUPER MOSQUIN</t>
  </si>
  <si>
    <t>SUPERMERCADO SANCARLEÑO</t>
  </si>
  <si>
    <t>QUESADA, SAN CARLOS 200 NORTE 25 OESTE CATEDRAL CQ</t>
  </si>
  <si>
    <t>GRAN MERCADO FAMILIAS DUQUING</t>
  </si>
  <si>
    <t>LAS HORQUETAS, SARAPIQUI FRENTE AUTOREPUESTOS EL COLONO</t>
  </si>
  <si>
    <t>SUPERMERCADO VICTORIA S.R.L</t>
  </si>
  <si>
    <t>NICOYA, NICOYA CONTIGUO A SUR COLOR NICOYA</t>
  </si>
  <si>
    <t>ASERRI, ASERRI LA FILA FT A GOLLO ROSARIO</t>
  </si>
  <si>
    <t>MINI SUPER FINCA 2</t>
  </si>
  <si>
    <t>LAS HORQUETAS, SARAPIQUI 100 ESTE DE IGLESIA CATOLICA</t>
  </si>
  <si>
    <t>SUPER MAXIMO</t>
  </si>
  <si>
    <t>SAN PABLO, SAN PABLO 200 O DEL MXM SN PABLO HEREDIA</t>
  </si>
  <si>
    <t>MINI SUPER EL URBANO</t>
  </si>
  <si>
    <t>ALAJUELA, ALAJUELA 100 O DE LA ENTRADA SIGMA A</t>
  </si>
  <si>
    <t>DONDE CHEPE</t>
  </si>
  <si>
    <t>CARTAGO TURRIALBA LA SUIZA LA SUIZA TURRIALBA</t>
  </si>
  <si>
    <t>MINI SUPER DRAGON</t>
  </si>
  <si>
    <t>PUNTARENAS PUNTARENAS PUNTARENAS 25 O PARADA 7 FRAY CASIANO</t>
  </si>
  <si>
    <t>DISTRIBUIDORA LA CRUZ</t>
  </si>
  <si>
    <t>CATEDRAL, SAN JOSE 100 N DE LA CRUZ BO. LA CRUZ</t>
  </si>
  <si>
    <t>SUPER LICORERA VILLAS DEL SUR</t>
  </si>
  <si>
    <t>SAN ISIDRO, LEON CORTES CASTRO VILLA LIGIA 600MTS DE FRIO CAR</t>
  </si>
  <si>
    <t>SUPERMERCADO GRUPO ECONOMICO</t>
  </si>
  <si>
    <t>SANTA CRUZ, SANTA CRUZ SANTA CRUZ</t>
  </si>
  <si>
    <t>SUPER LA NEGRITA</t>
  </si>
  <si>
    <t>PUNTARENAS ESPARZA MACACONA FRENT SALA BELLEZA LETTY,ROSAL</t>
  </si>
  <si>
    <t>SUPER LI YUAN #6</t>
  </si>
  <si>
    <t>CATEDRAL, SAN JOSE 200 S CORREO CENTRAL</t>
  </si>
  <si>
    <t>SAN JUAN, TIBAS 100 S PARQUE DE TIBAS</t>
  </si>
  <si>
    <t>BUEN GUSTO</t>
  </si>
  <si>
    <t>BATAN, MATINA BATAAN BARIIO COSTA RICA</t>
  </si>
  <si>
    <t>SUPER LA CENTRAL 6</t>
  </si>
  <si>
    <t>SAN RAFAEL, ALAJUELA FRENTE A LA IGLESIA</t>
  </si>
  <si>
    <t>MERCADO MAYORISTA AV6</t>
  </si>
  <si>
    <t>SAN JOSÉ SAN JOSE MERCED 200 N BOMBA LA CASTELLANA</t>
  </si>
  <si>
    <t>MINI SUPER AQUI ME QUEDO</t>
  </si>
  <si>
    <t>GUANACASTE LIBERIA LIBERIA PLAYA PELADA,COST.OE.PIZZ PEPE</t>
  </si>
  <si>
    <t>SUPERMERCADO RUBI</t>
  </si>
  <si>
    <t>PUERTO VIEJO, SARAPIQUI 100E SALON COMUNAL LA GUARIA</t>
  </si>
  <si>
    <t>ASEAPIBOS</t>
  </si>
  <si>
    <t>RIO JIMENEZ, GUACIMO DE LA ESC AGUACATE 1.5 KM AL N</t>
  </si>
  <si>
    <t>ABAST LA FORTUNA</t>
  </si>
  <si>
    <t>CARMEN, SAN JOSE 200 OE BAR VENUS 50 N</t>
  </si>
  <si>
    <t>SUPER LOS QUETZALES</t>
  </si>
  <si>
    <t>SANTA MARIA, DOTA FT PARQUE STA MARIA DE DOTA</t>
  </si>
  <si>
    <t>MINI SUPER PERFECTO</t>
  </si>
  <si>
    <t>SAN RAMON, SAN RAMON 50 S DE URGENCIAS DEL HOSP SN</t>
  </si>
  <si>
    <t>SUPER HERMANAS</t>
  </si>
  <si>
    <t>CATEDRAL, SAN JOSE 100 S PANADERIA LUJAN</t>
  </si>
  <si>
    <t>MINI SUPER LICORERA COSTANERA</t>
  </si>
  <si>
    <t>PARRITA, PARRITA QUEBRADA AMARILLA PARRITA</t>
  </si>
  <si>
    <t>SUPER RIO CUARTO</t>
  </si>
  <si>
    <t>ALAJUELA, ALAJUELA FRENTE REST CHAGUITE</t>
  </si>
  <si>
    <t>PULPERIA HAZEL</t>
  </si>
  <si>
    <t>LIBERIA, LIBERIA 25E 85N DE PULP VANESA CURIME</t>
  </si>
  <si>
    <t>MINI SUPER MONTAÑA</t>
  </si>
  <si>
    <t>SAN JOSÉ GOICOECHEA IPIS 200 OE PLAZA DE FUTBOL MOZOTAL</t>
  </si>
  <si>
    <t>SUPER BUENA LUZ</t>
  </si>
  <si>
    <t>DUACARI, GUACIMO CONTIGUO A DELEGACION EL LIMBO</t>
  </si>
  <si>
    <t>SAN JOSÉ DESAMPARADOS DESAMPARADOS JARDINES CASCAJAL CNT DON WI</t>
  </si>
  <si>
    <t>TURRIALBA, TURRIALBA SAN RAFAEL DEL CUIDADOS PALEAT</t>
  </si>
  <si>
    <t>SUPER GALLINA</t>
  </si>
  <si>
    <t>PUNTARENAS, PUNTARENAS FRENTE ESC RIOJALANDIA</t>
  </si>
  <si>
    <t>MINI SUPER ALMENDRO</t>
  </si>
  <si>
    <t>LIBERIA, LIBERIA BO.ESTOCOLMO SANTA CRUZ</t>
  </si>
  <si>
    <t>ABAST EME</t>
  </si>
  <si>
    <t>CARMEN, SAN JOSE BARIIO EL ESTERO 100 SUR CAIS</t>
  </si>
  <si>
    <t>DELIMART DESAMPARADOS LA PAZ</t>
  </si>
  <si>
    <t>SAN FRANCISCO DE DOS, SAN JOSE 150 S DE LA ROTONDA</t>
  </si>
  <si>
    <t>MINISUPER ARENA</t>
  </si>
  <si>
    <t>SANTA ELENA, LA CRUZ 200N  DE EBAIS EL JOBO LA CRUZ</t>
  </si>
  <si>
    <t>MINI SUPER CAMPEON</t>
  </si>
  <si>
    <t>EL TEJAR, EL GUARCO 25 N RESTAURANTE EL CONDOR</t>
  </si>
  <si>
    <t>SUPER MOGUI</t>
  </si>
  <si>
    <t>SAN FRANCISCO DE DOS, SAN JOSE FT AL PARQUE</t>
  </si>
  <si>
    <t>SUPER IRAZU N.2</t>
  </si>
  <si>
    <t>CARTAGO EL GUARCO EL TEJAR 50 N COLEGIO SAGRADO</t>
  </si>
  <si>
    <t>SUPER NEW CHINA</t>
  </si>
  <si>
    <t>LIBERIA, LIBERIA CONTIGUO BNCR DE HOJANCHA</t>
  </si>
  <si>
    <t>SABANILLA, MONTES DE OCA CEDROS DIAGONAL AL XION FA</t>
  </si>
  <si>
    <t>SUPER MAX</t>
  </si>
  <si>
    <t>SAN JOSÉ TIBAS CINCO ESQUINAS ANTIGUO PALI 5 ESQUINAS</t>
  </si>
  <si>
    <t>MINI MARKET PEYO</t>
  </si>
  <si>
    <t>ALAJUELA ALAJUELA ALAJUELA AGREGAD DON KICO 800 HACIA ZON</t>
  </si>
  <si>
    <t>MINI SUPER Y LICORERA VEROY</t>
  </si>
  <si>
    <t>SAN MIGUEL, NARANJO FTE BAR MIGUEL CHACON</t>
  </si>
  <si>
    <t>SUPERMERCADO K Y F</t>
  </si>
  <si>
    <t>LIBERIA, LIBERIA ANTIGUO ASECATSA</t>
  </si>
  <si>
    <t>MINI SUPER NELSON</t>
  </si>
  <si>
    <t>CONCEPCION, ATENAS 1KM N DE LA ESC DE CONCEPCION</t>
  </si>
  <si>
    <t>TROPICANA LA PALMA</t>
  </si>
  <si>
    <t>ALAJUELA ALAJUELA ALAJUELA CONTIGUO VOLCAN LOOK</t>
  </si>
  <si>
    <t>SUPER FLOW</t>
  </si>
  <si>
    <t>SAN JUAN DE DIOS, DESAMPARADOS 400 S PLANTA PIPASA</t>
  </si>
  <si>
    <t>SUPER TATI N.1</t>
  </si>
  <si>
    <t>CINCO ESQUINAS, TIBAS 200 OE 100 N DE LA PLAZA</t>
  </si>
  <si>
    <t>MINI MERCAGO CASTILLO MARKES</t>
  </si>
  <si>
    <t>SAN JOSÉ DESAMPARADOS SAN MIGUEL 800 E CASA CUBA</t>
  </si>
  <si>
    <t>MINI SUPER OFERTAS</t>
  </si>
  <si>
    <t>CURRIDABAT, CURRIDABAT 200 N PLAZA JOSE MARIA ZELEDON</t>
  </si>
  <si>
    <t>TROPICANA 2</t>
  </si>
  <si>
    <t>LA TIGRA, SAN CARLOS CONTIG PUENTE RIO STELLER</t>
  </si>
  <si>
    <t>SUPER LA SUERTE HORQUETAS</t>
  </si>
  <si>
    <t>LAS HORQUETAS, SARAPIQUI HORQUETAS, FRNT AL SUPER ROYKA</t>
  </si>
  <si>
    <t>SUPER TIERRA BLANCA</t>
  </si>
  <si>
    <t>CARTAGO CARTAGO TIERRA BLANCA 100 E IGLESIA TIERRA BLANCA</t>
  </si>
  <si>
    <t>MEGA MAX</t>
  </si>
  <si>
    <t>PATARRA, DESAMPARADOS 300 E DEL CEMENTERIO</t>
  </si>
  <si>
    <t>SUPER 2 RR 3</t>
  </si>
  <si>
    <t>ALAJUELA, ALAJUELA FRENTE GREGORIS PIZZA BOCA ARENAL</t>
  </si>
  <si>
    <t>HEREDIA, HEREDIA 1 1/2 KM ENTRADA A LA CHAVEZ</t>
  </si>
  <si>
    <t>ESCAZU, ESCAZU 160 SUR DE LA IGLESIA</t>
  </si>
  <si>
    <t>SUPER S Y S</t>
  </si>
  <si>
    <t>PAVAS, SAN JOSE FINAL DEL BOULEVAR 200O 100S</t>
  </si>
  <si>
    <t>SAN JOSÉ PURISCAL SANTIAGO FRENTE AL PARQUE CENTRAL DE PURISCAL</t>
  </si>
  <si>
    <t>MINI SUPER GOOD</t>
  </si>
  <si>
    <t>SAN JOSÉ SANTA ANA URUCA_ FTE HOSPITAL DEL TRAUMA</t>
  </si>
  <si>
    <t>MINI SUPER ESPERANZA</t>
  </si>
  <si>
    <t>TURRIALBA, TURRIALBA EN MORA DE PAGUE MENOS 150 E</t>
  </si>
  <si>
    <t>INVERSIONES EMPINO MING SRL</t>
  </si>
  <si>
    <t>PUNTARENAS ESPARZA ESPIRITU SANTO 100 N DEL ICE</t>
  </si>
  <si>
    <t>MINI SUPER LA NAVIDEÑA # 2</t>
  </si>
  <si>
    <t>CARTAGO PARAISO SANTIAGO COSTADO N PLAZA DEL YAS</t>
  </si>
  <si>
    <t>SAN RAMON, SAN RAMON CONTIGUO A  PLAZA DE SAN JUAN</t>
  </si>
  <si>
    <t>PULPERIA CAMPOBODAL</t>
  </si>
  <si>
    <t>TURRIALBA, TURRIALBA CAMPOBODAL 75 N DE LA IGLESIA</t>
  </si>
  <si>
    <t>PULPERIA EL MENEITO</t>
  </si>
  <si>
    <t>MATINA, MATINA SABORIO 1 KM FONDA PALO VERDE</t>
  </si>
  <si>
    <t>SUPER LA FAVORITA</t>
  </si>
  <si>
    <t>ALAJUELA ALAJUELA ALAJUELA CNTIGUO IGLE EL COYOL</t>
  </si>
  <si>
    <t>PARAISO, PARAISO COSTADO ESTADIO PARAISO</t>
  </si>
  <si>
    <t>MINI SUPER PALOMO</t>
  </si>
  <si>
    <t>CARTAGO PARAISO OROSI 100 S DE LA PLAZA</t>
  </si>
  <si>
    <t>ABASTECEDOR SAEID</t>
  </si>
  <si>
    <t>CARMEN, SAN JOSE 200 S 100 E ROMANAS BALLAR</t>
  </si>
  <si>
    <t>SUPERMERCADO GRUPO ECONOCMICO</t>
  </si>
  <si>
    <t>GUANACASTE NICOYA NICOYA CONT.COOPEGUANAC.BO.SAN MARTIN</t>
  </si>
  <si>
    <t>SUPER Y LICORERA COCODRILOS</t>
  </si>
  <si>
    <t>PUNTARENAS PUNTARENAS PUNTARENAS 100 S PUENTE TARCOLES</t>
  </si>
  <si>
    <t>MINI SUPER SIMPLE</t>
  </si>
  <si>
    <t>ALAJUELA, ALAJUELA ALAJUELA CENTRO</t>
  </si>
  <si>
    <t>SUPER MORA</t>
  </si>
  <si>
    <t>TURRIALBA, TURRIALBA DIAGONAL PLAZA EL MORA CALLE 5</t>
  </si>
  <si>
    <t>LICO SANTA ROSA#2</t>
  </si>
  <si>
    <t>HEREDIA SANTO DOMINGO SANTA ROSA FT A LA LINEA FERREA</t>
  </si>
  <si>
    <t>ABASTECEDOR CYNTHIA</t>
  </si>
  <si>
    <t>TURRIALBA, TURRIALBA 50 S DEL SALON COMUNAL</t>
  </si>
  <si>
    <t>SUPER NELO</t>
  </si>
  <si>
    <t>CARTAGO CARTAGO SAN NICOLAS 200 N ESCUELA DE LA LIMA</t>
  </si>
  <si>
    <t>PULPERIA KAREN</t>
  </si>
  <si>
    <t>LIBERIA, LIBERIA 100 OESTE 3RA ENTRADA IMAS</t>
  </si>
  <si>
    <t>SUPER SOLEY</t>
  </si>
  <si>
    <t>ALAJUELA SAN CARLOS VENECIA VENECIA, 700 NORTE ESCUELA LOS ALPES</t>
  </si>
  <si>
    <t>MINI SUPER Y LICORERA SAN FRA</t>
  </si>
  <si>
    <t>SAN FRANCISCO DE DOS, SAN JOSE SAN FRA 150 MTS E DEL PALI</t>
  </si>
  <si>
    <t>SUPERMERCADO DIAMOND</t>
  </si>
  <si>
    <t>LIMÓN TALAMANCA SIXAOLA CONT.MEXPRESS GUARIA</t>
  </si>
  <si>
    <t>MINI SUPER M</t>
  </si>
  <si>
    <t>SAN MARCOS, TARRAZU 200 E.DE REGIONAL M.E.P</t>
  </si>
  <si>
    <t>CAFÉ LUNA CR04</t>
  </si>
  <si>
    <t>SAN JOSÉ SAN JOSE PAVAS EDIFIO CONTRIX 3 PISO</t>
  </si>
  <si>
    <t>MINISUPER LA CORONA DE ORIENTE</t>
  </si>
  <si>
    <t>LIBERIA, LIBERIA DIAGONAL A PANADERIA TUTU</t>
  </si>
  <si>
    <t>AD.ACP S.R.L</t>
  </si>
  <si>
    <t>SAN JUAN, TIBAS TIBAS 75 E. DE B.K.</t>
  </si>
  <si>
    <t>MINI SUPER CASTILLO MARKET 2</t>
  </si>
  <si>
    <t>SAN MIGUEL, DESAMPARADOS 300 M.S.BOMBA UNOPETROL</t>
  </si>
  <si>
    <t>MINI SÚPER ISAMAR</t>
  </si>
  <si>
    <t>AGUAS ZARCAS, SAN CARLOS 1KM ESTE BANCO NAC VIENTO FRES</t>
  </si>
  <si>
    <t>ASEVI</t>
  </si>
  <si>
    <t>LA VIRGEN, SARAPIQUI 2.5KM NE ESCUELA LLANO GRANDE</t>
  </si>
  <si>
    <t>LA CANASTA DE UJARRAS OROSI</t>
  </si>
  <si>
    <t>PARAISO, PARAISO 100 E ESTADIO PARAISO</t>
  </si>
  <si>
    <t>IPIS, GOICOECHEA 100 N 100 E DE LA CRUZ ROJA</t>
  </si>
  <si>
    <t>MINISUPER ZAMORA 2</t>
  </si>
  <si>
    <t>LIBERIA, LIBERIA 100E CLINICA TILARAN FTE YIREH</t>
  </si>
  <si>
    <t>SUPER VARIEDADES</t>
  </si>
  <si>
    <t>ORIENTAL, CARTAGO 150 M.O. DE LA ESC.DEL BOSQUE</t>
  </si>
  <si>
    <t>SIQUIRRES, SIQUIRRES 100 SUROEST PLAZA CORTE CELINA</t>
  </si>
  <si>
    <t>ESCAZU, ESCAZU ESCAZU CENTRO</t>
  </si>
  <si>
    <t>PULPERIA YITO</t>
  </si>
  <si>
    <t>SAN FELIPE, ALAJUELITA 300 E 50 N TERMINAL</t>
  </si>
  <si>
    <t>LA CASONA DEL CAFE 2</t>
  </si>
  <si>
    <t>CARRIZAL, ALAJUELA 600 N REST CEVICHE DEL REY</t>
  </si>
  <si>
    <t>SUPER DIAMANTE</t>
  </si>
  <si>
    <t>ALAJUELA, ALAJUELA 400 MTS AL ESTE DE LA ESCUELA DE TACORI</t>
  </si>
  <si>
    <t>MINI SUPER 168</t>
  </si>
  <si>
    <t>HEREDIA, HEREDIA COSTADO DEL LICEO SAMUEL SAENZ</t>
  </si>
  <si>
    <t>PULPERIA LAS ORQUIDEAZ</t>
  </si>
  <si>
    <t>ALAJUELA, ALAJUELA 100N ANTGUO SALON DIAMANTE</t>
  </si>
  <si>
    <t>SANTA CRUZ, SANTA CRUZ CONTIGUO A SUPER 2001 TAMARINDO</t>
  </si>
  <si>
    <t>MINI SUPER SANTO TOMAS</t>
  </si>
  <si>
    <t>SANTO TOMAS, SANTO DOMINGO 600 ESTE BAR YEKAS</t>
  </si>
  <si>
    <t>CANASTA LA SUIZA</t>
  </si>
  <si>
    <t>LA SUIZA, TURRIALBA DIAGONAL AL BANCO NACIONAL</t>
  </si>
  <si>
    <t>SUPER POASITO</t>
  </si>
  <si>
    <t>ALAJUELA, ALAJUELA FRENTE GUARDIA RURAL POASITO</t>
  </si>
  <si>
    <t>GRUPO MAJAIC CR SOCIEDAD ANONIMA</t>
  </si>
  <si>
    <t>DANIEL FLORES, PEREZ ZELEDON BARRIO LOS ANGELES FRENTE TEMPLO</t>
  </si>
  <si>
    <t>GUAPILES, POCOCI 400 OESTE DEL INS</t>
  </si>
  <si>
    <t>MINI SUPER YARI</t>
  </si>
  <si>
    <t>ALAJUELA SAN CARLOS LA TIGRA 150 M ESTE COLEGIO VALLE AZUL</t>
  </si>
  <si>
    <t>SUPER DRAGÓN SAN RAFAEL</t>
  </si>
  <si>
    <t>SAN RAFAEL, SAN RAMON CONTIGUO AL PALI DE SAN RAFAEL</t>
  </si>
  <si>
    <t>PULPERIA VALERIA</t>
  </si>
  <si>
    <t>VALLE LA ESTRELLA, LIMON SAN CLEMENTE 500 N DE PULP. KIANNY</t>
  </si>
  <si>
    <t>PINILLA MARKET</t>
  </si>
  <si>
    <t>SANTA CRUZ, SANTA CRUZ HACIENDA PINILLA</t>
  </si>
  <si>
    <t>DIRIA, SANTA CRUZ 25 OESTE ALMACEN GUILLERMO SANCHEZ</t>
  </si>
  <si>
    <t>MINI SUPER PACUARITO</t>
  </si>
  <si>
    <t>PACUARITO, SIQUIRRES COSTADO OESTE SALON COMUNAL PACUARITO</t>
  </si>
  <si>
    <t>MINI SUPER Y LICORES TIQUICIA</t>
  </si>
  <si>
    <t>SAN JUAN, POAS 150 ESTE DE LA GASOLINERA SANTAMARIA</t>
  </si>
  <si>
    <t>MARCELA ROJAS SALAZAR</t>
  </si>
  <si>
    <t>SAN JOSÉ SANTA ANA BRASIL SANTA ANA  BRASIL</t>
  </si>
  <si>
    <t>SUPER TANG</t>
  </si>
  <si>
    <t>SAN JOSÉ PEREZ ZELEDON DANIEL FLORES BARRIO LAS BRISAS DANIEL FLORES</t>
  </si>
  <si>
    <t>SUPER LA FORTUNA 2</t>
  </si>
  <si>
    <t>RIO CUARTO, RIO CUARTO FRENTE A BCR RIO CUARTO</t>
  </si>
  <si>
    <t>SUPER QUEBRADA GANADO</t>
  </si>
  <si>
    <t>PUNTARENAS GARABITO TARCOLES 25 ESTE DE SIPER Y LICORERA DANIELA</t>
  </si>
  <si>
    <t>PULPERIA JEHOVA JIREH</t>
  </si>
  <si>
    <t>LIMON, LIMON BO.QUINTO ANTIGUA PULP. DIVINO NIÑO</t>
  </si>
  <si>
    <t>SUPER EMPINO OROTINA</t>
  </si>
  <si>
    <t>ALAJUELA OROTINA OROTINA 50 OESTE CARNICERIA EL CUBANO</t>
  </si>
  <si>
    <t>ABAST Y VENTAS DE COMIDAS RAPIDAS</t>
  </si>
  <si>
    <t>PARRITA, PARRITA 100 ANTES ASERRADERO SUBRES</t>
  </si>
  <si>
    <t>SAN JOSÉ ESCAZU ESCAZU FRENTE A LA IGLESIA, COSTADO NORTE</t>
  </si>
  <si>
    <t>MINI SUPER LICO Y VERDUL PURA VIDA</t>
  </si>
  <si>
    <t>GUAPILES, POCOCI COSTADO OE DE SUPER LOS CHINITOS</t>
  </si>
  <si>
    <t>LA PAZ DE LIBERIA SA</t>
  </si>
  <si>
    <t>GUANACASTE LIBERIA LIBERIA 100N DE SUPERCOMPRO SAN ROQUE</t>
  </si>
  <si>
    <t>MINISUPER BUEN PRECIO</t>
  </si>
  <si>
    <t>LIMON, LIMON BO.ROOSEVELTH 50 N BAR TURESKY</t>
  </si>
  <si>
    <t>MINI SUPER CARRILLOS BAJOS</t>
  </si>
  <si>
    <t>ALAJUELA POAS CARRILLOS TACARES CARRILLOS FRENTE LICEO</t>
  </si>
  <si>
    <t>SÚPER LOS FALLAS L.C.</t>
  </si>
  <si>
    <t>SAN PABLO, TURRUBARES COSTADO SURESTE DEL EDIFICIO MUNICIPAL</t>
  </si>
  <si>
    <t>MINI SUPER ROSA</t>
  </si>
  <si>
    <t>SAN SEBASTIAN, SAN JOSE 150N CENTRO DE DISTRIBUCION LA GUACAMAYA</t>
  </si>
  <si>
    <t>SUPER EL PARQUECITOS</t>
  </si>
  <si>
    <t>TURRIALBA, TURRIALBA 200 N DE LOS BOMBEROS</t>
  </si>
  <si>
    <t>ABASTECEDOR ELIZABETH #2</t>
  </si>
  <si>
    <t>BARU, PEREZ ZELEDON PLATANILLO BARU 100 MTS AL SURESTE DEL E</t>
  </si>
  <si>
    <t>MINI SUPER LOS OLIVOS</t>
  </si>
  <si>
    <t>ALAJUELA, ALAJUELA DIAGONAL AL PALI DE VILLA BONITA</t>
  </si>
  <si>
    <t>MINI SUPER SHUTENG</t>
  </si>
  <si>
    <t>SANTO DOMINGO, SANTA BARBARA 500 S DE LA BASILICA</t>
  </si>
  <si>
    <t>SUPER PACÍFICO</t>
  </si>
  <si>
    <t>PUNTARENAS PUNTARENAS PUNTARENAS FRENTE A LA COMISARIA, BELLA VISTA</t>
  </si>
  <si>
    <t>MINI SUPER CARLOTA</t>
  </si>
  <si>
    <t>ALAJUELA ALAJUELA SAN ISIDRO 1KM OESTE DE COLEGIO UTILIO ULATE</t>
  </si>
  <si>
    <t>OMAEL STORE</t>
  </si>
  <si>
    <t>SAMARA, NICOYA CONT. AL HOTEL FLOR DE COCO SAMARA</t>
  </si>
  <si>
    <t>MINI SUPER SAN MATEO</t>
  </si>
  <si>
    <t>ALAJUELA OROTINA OROTINA 50 E DE LA MUNICIPALIDAD</t>
  </si>
  <si>
    <t>SUPER EL RECREO</t>
  </si>
  <si>
    <t>LAS HORQUETAS, SARAPIQUI FINCA 11, FRENTE A LA ESCUELA VILLALOBOS</t>
  </si>
  <si>
    <t>BUENOS AIRES, BUENOS AIRES BUENOS AIRES DE LA ENTRADA DEL PEJE 200M</t>
  </si>
  <si>
    <t>SUPERMERCADO XTRA</t>
  </si>
  <si>
    <t>NARANJO, NARANJO 250 OESTE DEL MERCADO MUNICIPAL NARANJO</t>
  </si>
  <si>
    <t>SAN ISIDRO, VAZQUEZ DE CORONADO 200 N DE LA ESCUELA DE SAN ANTONIO</t>
  </si>
  <si>
    <t>LEO´S</t>
  </si>
  <si>
    <t>ALAJUELA SAN CARLOS LA FORTUNA CONTIGUO A CARNICAS CARRANZA</t>
  </si>
  <si>
    <t>SUPER OCHOMOGO</t>
  </si>
  <si>
    <t>CARTAGO CARTAGO SAN NICOLAS 50 OESTE DE LA PLAZA DE OCHOMOGO</t>
  </si>
  <si>
    <t>PULPERIA  LAS 5M</t>
  </si>
  <si>
    <t>PUERTO VIEJO, SARAPIQUI BARRIO EL JARDIN, 100M SUR DE LA</t>
  </si>
  <si>
    <t>MINI SUPER JOSUE</t>
  </si>
  <si>
    <t>SAN JOSÉ SAN JOSE HATILLO FT BIBLIOTECA DE SAGRADA FAMILIA</t>
  </si>
  <si>
    <t>SUPER REINA</t>
  </si>
  <si>
    <t>ATENAS, ATENAS 75 OESTE DE LA IGLESIA ATENAS</t>
  </si>
  <si>
    <t>MINI SUPER BARATO</t>
  </si>
  <si>
    <t>CARTAGO TURRIALBA SANTA TERESITA FRENTE AL EBAIS</t>
  </si>
  <si>
    <t>PITAL, SAN CARLOS PITAL, SAN CARLOS</t>
  </si>
  <si>
    <t>ABASTECEDOR EL TRIUNFO</t>
  </si>
  <si>
    <t>SIQUIRRES, SIQUIRRES 50 METROS NORTE DEL CORREO SIQUIRRES</t>
  </si>
  <si>
    <t>MINI SUPER TICO CHINO</t>
  </si>
  <si>
    <t>SAN JUAN, TIBAS 60 OE DE LA IGLESIA COLIMA</t>
  </si>
  <si>
    <t>SUPER  MALO</t>
  </si>
  <si>
    <t>CARMONA, NANDAYURE FRENTE AL PARQUE DE NANDAYURE</t>
  </si>
  <si>
    <t>SUPER PENSHURT</t>
  </si>
  <si>
    <t>VALLE LA ESTRELLA, LIMON 1 KM SUR DE SUPER ECONOMICO</t>
  </si>
  <si>
    <t>BAR Y REST QUIRICO</t>
  </si>
  <si>
    <t>LIMON, LIMON CONTIGUO ENTRADA PRINCIPAL MOIN</t>
  </si>
  <si>
    <t>RUBI</t>
  </si>
  <si>
    <t>JACO, GARABITO CONTIGUO PULPERIA DIVINA PROVIDENCIA</t>
  </si>
  <si>
    <t>EL TEJAR, EL GUARCO ENTREDA JARDINES AGUA CALIENTE</t>
  </si>
  <si>
    <t>SUPER WANG</t>
  </si>
  <si>
    <t>SAN JUAN, TIBAS COSTADO OE DE LA DISTRIBUIDORA ROJAS</t>
  </si>
  <si>
    <t>SÚPER EL REGALO DE DIOS</t>
  </si>
  <si>
    <t>GUACIMA, ALAJUELA FRENTE A URB LA PRADERA</t>
  </si>
  <si>
    <t>CARMONA, NANDAYURE DETRAS ESC. DOMINICA  JICARAL</t>
  </si>
  <si>
    <t>PALMAR, OSA FRENTE REST VICTORIA PALMAR NORTE</t>
  </si>
  <si>
    <t>MINI SUPER BALSILLA</t>
  </si>
  <si>
    <t>COLON, MORA DESPUES DE LA REPRESA DE BALSILLA</t>
  </si>
  <si>
    <t>SUPER LA VACA VAQUERA</t>
  </si>
  <si>
    <t>SAN RAFAEL, LA UNION 100 OE DE LA VERMITA SAN RAFAEL</t>
  </si>
  <si>
    <t>MINI SUPER Y LICORERA CUBI CRUZ</t>
  </si>
  <si>
    <t>ROXANA, POCOCI 150 MTS NORTE DEL RANCHO EL COCAL</t>
  </si>
  <si>
    <t>MINI SUPER WEY DAK</t>
  </si>
  <si>
    <t>CALLE BLANCOS, GOICOECHEA 150 S ROMANAS BALLAR</t>
  </si>
  <si>
    <t>ABAST LOS 7 HERMANOS</t>
  </si>
  <si>
    <t>SAN JOSECITO, ALAJUELITA 25 S 125 E DE LA ESCUELA ISMAEL COTO</t>
  </si>
  <si>
    <t>DIAMANTE N.2</t>
  </si>
  <si>
    <t>HOSPITAL, SAN JOSE AVENIDA 5 CALLE 12 SUPER ESQUINERO</t>
  </si>
  <si>
    <t>MICALONSO SOCIEDAD DE</t>
  </si>
  <si>
    <t>GUADALUPE, GOICOECHEA 300 OE PALI NOVACENTRO</t>
  </si>
  <si>
    <t>LICORERA LA PERLA NEGRA</t>
  </si>
  <si>
    <t>ALAJUELA PALMARES CANDELARIA FRENTE ANTIGUO MIRADOR LOS CERROS</t>
  </si>
  <si>
    <t>MINI SUPER MOYA N.1</t>
  </si>
  <si>
    <t>SAN JOSÉ SAN JOSE SAN SEBASTIAN LOPEZ MATEOS LOS MOJADOS SAN SEBASTIAN</t>
  </si>
  <si>
    <t>MINI MARKET LA ESTACION</t>
  </si>
  <si>
    <t>ALAJUELA, ALAJUELA DENTRO DE LA TERMINAL DE BUSES DEL NORTE</t>
  </si>
  <si>
    <t>SUPER LOS ALMENDROS</t>
  </si>
  <si>
    <t>MATINA, MATINA MATINA CENTRO</t>
  </si>
  <si>
    <t>PULPERIA PAULA</t>
  </si>
  <si>
    <t>SAN SEBASTIAN, SAN JOSE 400 S 100 E ESCUELA CENTRAL SAN SEBAS</t>
  </si>
  <si>
    <t>SUPERMERCADO SAN PABLO MARKET</t>
  </si>
  <si>
    <t>HEREDIA SAN PABLO SAN PABLO SAN PABLO 50 NORTE MAS X MENOS SAN</t>
  </si>
  <si>
    <t>PUNTO 4</t>
  </si>
  <si>
    <t>PARRITA, PARRITA 50 NORTE IGLESIA CATOLICA</t>
  </si>
  <si>
    <t>PUNTARENAS PUNTARENAS PUNTARENAS BARRIO 20 NOVIEMBRE, FRENTE A BAR SALON</t>
  </si>
  <si>
    <t>MINI SUPER SM</t>
  </si>
  <si>
    <t>HEREDIA SARAPIQUI LAS HORQUETAS 100M ESTE SUPER CISNEROS</t>
  </si>
  <si>
    <t>CARMONA, NANDAYURE 1 K AL NORTE ESCUELA SAN BLAS</t>
  </si>
  <si>
    <t>SUPER GRUPO ECONÓMICO BATAN</t>
  </si>
  <si>
    <t>BATAN, MATINA FTE AL OIJ BATAA</t>
  </si>
  <si>
    <t>SUPER NICOLAS</t>
  </si>
  <si>
    <t>ALAJUELA GRECIA GRECIA 1KM OESTE PLAZA DEPORTES DE CATALUÑA</t>
  </si>
  <si>
    <t>SÚPER LICO MAX</t>
  </si>
  <si>
    <t>GUACIMA, ALAJUELA ENTRADA A CAMPAMENTO BAUTISTA GUACIMA</t>
  </si>
  <si>
    <t>SUPERMERCADO PURA VIDA</t>
  </si>
  <si>
    <t>PUNTARENAS BUENOS AIRES BUENOS AIRES BUENOS AIRES CENTRO FRENTE ESCUELA BUENO</t>
  </si>
  <si>
    <t>LOS RAMÍREZ</t>
  </si>
  <si>
    <t>ALAJUELA NARANJO EL ROSARIO 50 OESTE DEL RECIBIDOR DEL COOPRONARANJO</t>
  </si>
  <si>
    <t>MARQT</t>
  </si>
  <si>
    <t>ALAJUELA, ALAJUELA 200 SUR ROTONDA DE RTV COYOL</t>
  </si>
  <si>
    <t>PULPERÍA LA CENARITA</t>
  </si>
  <si>
    <t>GARITA, ALAJUELA CRUCE LOS MANOLOS CONTIGUO LA CASONA</t>
  </si>
  <si>
    <t>MINI SUPER Y LICORERA LA ANGOSTURA</t>
  </si>
  <si>
    <t>SAN ISIDRO, LEON CORTES CASTRO LA ANGOSTURA 75 MTS NORTE DE LA ESCUELA</t>
  </si>
  <si>
    <t>DESAMPARADOS, DESAMPARADOS 25 N DECOSURE</t>
  </si>
  <si>
    <t>ABASTECEDOR JAKY</t>
  </si>
  <si>
    <t>GUADALUPE, GOICOECHEA 200 S 100 E 25 N MERCADO DEL MUEBLE</t>
  </si>
  <si>
    <t>MINI SUPER Y LICORERA MIRASOL 3</t>
  </si>
  <si>
    <t>GUANACASTE LIBERIA LIBERIA 25 OESTE DE  PULP LA PARADA</t>
  </si>
  <si>
    <t>SUPER SAN VICENTE</t>
  </si>
  <si>
    <t>CARTAGO JIMENEZ JUAN VIÑAS 200 O ESCUELA LA VICTORIA</t>
  </si>
  <si>
    <t>MINI SUPER DONDE MAU</t>
  </si>
  <si>
    <t>EL GENERAL, PEREZ ZELEDON SAN ISIDRO B. HOSPITAL VIEJO CONTIGUO PA</t>
  </si>
  <si>
    <t>SUPER CARACOLITO</t>
  </si>
  <si>
    <t>ASERRI, ASERRI CONTIGUO A IMPORTADORA MONGE</t>
  </si>
  <si>
    <t>ALAJUELA OROTINA OROTINA CONTIGUO A LA ESTACION DEL TREN</t>
  </si>
  <si>
    <t>MINI SUPER COMPRE BIEN #5</t>
  </si>
  <si>
    <t>GUANACASTE SANTA CRUZ SANTA CRUZ SAN PEDRO, FTE. A CARRET. EN LOS MUERTOS</t>
  </si>
  <si>
    <t>SUPER DRAGON JACO</t>
  </si>
  <si>
    <t>PUNTARENAS GARABITO JACO 175 MTS SUR DEL CTP JACO</t>
  </si>
  <si>
    <t>SUPER MEGA OFERTA S.A.</t>
  </si>
  <si>
    <t>CARMEN, SAN JOSE 100 S 25 E BAR MEXICO</t>
  </si>
  <si>
    <t>DELIKOR SINAÍ</t>
  </si>
  <si>
    <t>SAN JOSÉ PEREZ ZELEDON SAN ISIDRO DE EL GENERAL JUNTAS DE PACUAR ENTRADA PRINCIPAL A PEJ</t>
  </si>
  <si>
    <t>CHUN XIAN WU</t>
  </si>
  <si>
    <t>SAN RAFAEL, OREAMUNO COSTADO NO DEL PARQUE</t>
  </si>
  <si>
    <t>ABASTECEDOR EL SHADDAI</t>
  </si>
  <si>
    <t>ALAJUELA ATENAS SAN JOSE 25 ESTE DE LA IGLESIA CATOLICA DE SANTA</t>
  </si>
  <si>
    <t>SUPER M Y L</t>
  </si>
  <si>
    <t>FILADELFIA, CARRILLO 300S DE IGLESIA DE FILADELFIA</t>
  </si>
  <si>
    <t>SUPER RODRIGUEZ CASTILLO</t>
  </si>
  <si>
    <t>CARIARI, POCOCI URBANIZACIÓN LOS LAURELES SEGUNDA ENTRAD</t>
  </si>
  <si>
    <t>PULPERIA LOS LAURELES</t>
  </si>
  <si>
    <t>SANTIAGO, PURISCAL CENTRO EDUCATIVO FLORALIA 200 SUR</t>
  </si>
  <si>
    <t>SNACKS</t>
  </si>
  <si>
    <t>PUERTO VIEJO, SARAPIQUI TERMINAL DE BUSES GUAPILEÑOS</t>
  </si>
  <si>
    <t>VARIEDADES DE TODO PARA MI CASA SA</t>
  </si>
  <si>
    <t>TRES RIOS, LA UNION 150 N BAR Y REST LA CARRETA</t>
  </si>
  <si>
    <t>SUPER BETANIA N.2</t>
  </si>
  <si>
    <t>SABANILLA, MONTES DE OCA 25 S ROTONDA LA BETANIA</t>
  </si>
  <si>
    <t>ABASTECEDOR EL TREBOL</t>
  </si>
  <si>
    <t>IPIS, GOICOECHEA 200 N DE LOS TANQUE DEL A Y A IPIS</t>
  </si>
  <si>
    <t>SUPER LA SUERTE RIO FRIO</t>
  </si>
  <si>
    <t>LAS HORQUETAS, SARAPIQUI RIO FRIO CONTIGUO A PALI</t>
  </si>
  <si>
    <t>SUPER BEVERLY</t>
  </si>
  <si>
    <t>LIMON, LIMON FTE LA ESCUELA BEVERLY</t>
  </si>
  <si>
    <t>SUPER MASSAI 2</t>
  </si>
  <si>
    <t>SANTA CRUZ, SANTA CRUZ DIAGONAL ECONOMIC RENTA CAR</t>
  </si>
  <si>
    <t>ABASTECEDOR YIRETH</t>
  </si>
  <si>
    <t>LIBERIA, LIBERIA FELIPE PEREZ CUARTA ETAPA</t>
  </si>
  <si>
    <t>LA BUENA SIEMBRA  2</t>
  </si>
  <si>
    <t>HEREDIA HEREDIA HEREDIA JARDINES 2 DE LA PRIMERA ENTRADA 115M</t>
  </si>
  <si>
    <t>PULPERIA LA VICTORIA</t>
  </si>
  <si>
    <t>RITA, POCOCI 400M NORTE DE LA ESCUELA LA VICTORIA</t>
  </si>
  <si>
    <t>MINI SUPER BAMBUZAL</t>
  </si>
  <si>
    <t>LAS HORQUETAS, SARAPIQUI SAN BERNARDINO, FRENTE PULPERIA CRISTAL</t>
  </si>
  <si>
    <t>SUPER DRAGON DE SARAPIQUI</t>
  </si>
  <si>
    <t>HEREDIA SARAPIQUI PUERTO VIEJO CONTIGUO BANCO POPULAR DE PUERTO VIEJO</t>
  </si>
  <si>
    <t>MINI SUPER BUENOS AIRES</t>
  </si>
  <si>
    <t>GUAPILES, POCOCI 2KM SUR DE MEGA SUPER PISTA GUAPILES</t>
  </si>
  <si>
    <t>SUPER CHARLIE</t>
  </si>
  <si>
    <t>ALAJUELA SAN CARLOS LA FORTUNA COSTADO SUR SALON COMUNAL SAN JORGE</t>
  </si>
  <si>
    <t>Q TUANIS PIZZA</t>
  </si>
  <si>
    <t>ALAJUELITA, ALAJUELITA COSTADO N IGLESIAS</t>
  </si>
  <si>
    <t>COMERCIAL ORIENTAL NORTE</t>
  </si>
  <si>
    <t>LA TIGRA, SAN CARLOS DETRAS DE LA IGLESIA CATOLICA</t>
  </si>
  <si>
    <t>ABASTECEDOR JP</t>
  </si>
  <si>
    <t>SANTIAGO, PURISCAL TURRUBARES, PURISCAL FRENTE AL COLEGIO</t>
  </si>
  <si>
    <t>PULPERIA UVITA</t>
  </si>
  <si>
    <t>BAHIA BALLENA, OSA UVITA OSA CONTIGUO FLOR SABANA</t>
  </si>
  <si>
    <t>SUPER IRAZU N.3</t>
  </si>
  <si>
    <t>DULCE NOMBRE DE JESU, VAZQUEZ DE CORONADO 500 SO PLAZA DE DEPORTES</t>
  </si>
  <si>
    <t>SUPER FELIZ ZARCERO</t>
  </si>
  <si>
    <t>ZARCERO, ZARCERO DEL PARQUE DE ZARCERO 400 NORTE</t>
  </si>
  <si>
    <t>DULCE NOMBRE DE JESU, VAZQUEZ DE CORONADO CARMEN EL RODEO</t>
  </si>
  <si>
    <t>GRUPO ECONOMICO COMUNIDAD</t>
  </si>
  <si>
    <t>GUANACASTE CARRILLO SARDINAL 100N DEL CRUCE A PLAYAS DEL COCO</t>
  </si>
  <si>
    <t>SUPERMERCADO RICHARD</t>
  </si>
  <si>
    <t>MATAMA, LIMON BEVERLY CONTIGUO A SUPER MORA</t>
  </si>
  <si>
    <t>MINI SUPER ALFA</t>
  </si>
  <si>
    <t>EL GENERAL, PEREZ ZELEDON LOS CHILES FRENTE ESTACION DEL ICE</t>
  </si>
  <si>
    <t>MINI SUPER LAS ORQUIDEAS</t>
  </si>
  <si>
    <t>PUERTO VIEJO, SARAPIQUI ACENTAMIENTO LAS ORQUIDEAS</t>
  </si>
  <si>
    <t>SUPER CHICO</t>
  </si>
  <si>
    <t>RIO CUARTO, RIO CUARTO DIAGONAL AL COLONO SANTA RITA RIO CUARTO</t>
  </si>
  <si>
    <t>MINI SUPER GRAN CHINA</t>
  </si>
  <si>
    <t>BATAN, MATINA BATAAN FTE DIAGONAL SUPER KEFRA</t>
  </si>
  <si>
    <t>LICORERA JM 2</t>
  </si>
  <si>
    <t>BUENOS AIRES, PALMARES CONTIGUO A ESCUELA BUENOS AIRES</t>
  </si>
  <si>
    <t>SUPER CASCADAS</t>
  </si>
  <si>
    <t>LIMÓN POCOCI GUAPILES DEL TANQUE DE AGUA 200 METROS OESTE</t>
  </si>
  <si>
    <t>RESTAURANTE YARI #2</t>
  </si>
  <si>
    <t>PUERTO VIEJO, SARAPIQUI A UN COSTADO DE FARMACIA ELFA</t>
  </si>
  <si>
    <t>PULPERIA TIA LIZ</t>
  </si>
  <si>
    <t>ATENAS, ATENAS 200 ESTE DEL BANCO COSTA RICA</t>
  </si>
  <si>
    <t>MINI SUPER LA GUACA</t>
  </si>
  <si>
    <t>NICOYA, NICOYA 50 NORTE ESCUELA CURIME</t>
  </si>
  <si>
    <t>SUPER TAOBAO N.2</t>
  </si>
  <si>
    <t>HATILLO, SAN JOSE DIAGONAL A TAQUERIA COSTA RICA</t>
  </si>
  <si>
    <t>LICORERA J Y J</t>
  </si>
  <si>
    <t>GUACIMO, GUACIMO 200 METROS SUR DE CLINICA DE GUACIMO</t>
  </si>
  <si>
    <t>SUPERMERCADO CARRIZAL</t>
  </si>
  <si>
    <t>SAN PABLO, TURRUBARES 100 OE ESCUELA CARRIZAL</t>
  </si>
  <si>
    <t>SUPER OFERTAS ZARCERO</t>
  </si>
  <si>
    <t>ALAJUELA ALAJUELA ALAJUELA CONTIGUO AL BCR</t>
  </si>
  <si>
    <t>SUPERMERCADO PAGUE MENOS</t>
  </si>
  <si>
    <t>LIMÓN POCOCI GUAPILES COSTADO OESTE DEL DOLAR EN GUAPILES</t>
  </si>
  <si>
    <t>NEW CHINA HOJANCHA</t>
  </si>
  <si>
    <t>HOJANCHA, HOJANCHA ANTIGUO SUPER RUIZ  HOJANCHA CENTRO</t>
  </si>
  <si>
    <t>SUPER EXITO</t>
  </si>
  <si>
    <t>PUNTARENAS GARABITO JACO HERRADURA DE LA IGLESIA CATOLICA 100 EST</t>
  </si>
  <si>
    <t>BUENOS AIRES, BUENOS AIRES CONTIGUO A SUPER PAN BUENOS AIRES</t>
  </si>
  <si>
    <t>SUPER BLANQUILLO</t>
  </si>
  <si>
    <t>SAN RAFAEL, OREAMUNO FT SEGUNDA ENTRADA BLANQUILLO</t>
  </si>
  <si>
    <t>SUPER LILLY</t>
  </si>
  <si>
    <t>LAS HORQUETAS, SARAPIQUI 250 METROS NORTE ESC. NAZARETH</t>
  </si>
  <si>
    <t>GRUPO HONGFA WU S.A.</t>
  </si>
  <si>
    <t>HATILLO, SAN JOSE 100 O PUENTE PEATONAL HATILLO 7</t>
  </si>
  <si>
    <t>MINISUPER SAN PEDRO</t>
  </si>
  <si>
    <t>CARIARI, POCOCI CAROLINA 75 METROS SUR DE LA ESCUELA</t>
  </si>
  <si>
    <t>ABASTECEDOR CINCO ESQUINA</t>
  </si>
  <si>
    <t>NICOYA, NICOYA 25 S. DEL PLAY BO. EL CARMEN</t>
  </si>
  <si>
    <t>MINI SUPER MATAPALO</t>
  </si>
  <si>
    <t>LAS JUNTAS, ABANGARES DE LA PAMPA 200 MTS PESTE FRENTE</t>
  </si>
  <si>
    <t>SUPER LA FILA</t>
  </si>
  <si>
    <t>PALMICHAL, ACOSTA FRENTE ABASTECEDOR LINDA VISTA LA</t>
  </si>
  <si>
    <t>SUPER PAGUE MENOS</t>
  </si>
  <si>
    <t>TURRIALBA, TURRIALBA 200 E ESCUELA DOCTOR VALERIANO FERNANDEZ</t>
  </si>
  <si>
    <t>MINI SUPER ROSITA</t>
  </si>
  <si>
    <t>GUAPILES, POCOCI 700 METROS NORTE DEL INS  CALLE VARGAS</t>
  </si>
  <si>
    <t>SUPER MAS Y MAS IPIS</t>
  </si>
  <si>
    <t>GUADALUPE, GOICOECHEA DIAGONAL A LA ESCUELA ROBERTO CANTILLANO</t>
  </si>
  <si>
    <t>MINISUPER LA CENTRAL 2</t>
  </si>
  <si>
    <t>PUERTO CORTES, OSA BARRIO CANADA SOBRE CARRETERA</t>
  </si>
  <si>
    <t>SAN JOSÉ DESAMPARADOS SAN CRISTOBAL COSTADO OE ESCUELA SAN CRISTOBAL</t>
  </si>
  <si>
    <t>SUPER RIVAS</t>
  </si>
  <si>
    <t>RIVAS, PEREZ ZELEDON 100 MTS SUR IGLESIA CATOLICA RIVAS</t>
  </si>
  <si>
    <t>MINISUPER Y LICORERA EL OASIS</t>
  </si>
  <si>
    <t>GUANACASTE SANTA CRUZ SANTA CRUZ COSTADO S. PLAZA BARRIO LAJAS</t>
  </si>
  <si>
    <t>MINISUPER ESPINOZA</t>
  </si>
  <si>
    <t>LIBERIA, LIBERIA CONTIGUO PULPERIA LINSAY CORAZON</t>
  </si>
  <si>
    <t>SUPER MORAZAN</t>
  </si>
  <si>
    <t>SAN ISIDRO, LEON CORTES CASTRO 75 MTS NORTE ESCUELA MORAZAN</t>
  </si>
  <si>
    <t>EL MISCELANEO</t>
  </si>
  <si>
    <t>URUCA_, SANTA ANA PEREGRINA FT SODA LA COCINITA</t>
  </si>
  <si>
    <t>SUPER 20 DE ENERO</t>
  </si>
  <si>
    <t>HATILLO, SAN JOSE 100 N 25 OE TERMINAL DE BUSES HATILLO 5</t>
  </si>
  <si>
    <t>PULPERIA LA FAMILIA</t>
  </si>
  <si>
    <t>SAN PEDRO, MONTES DE OCA 200 E EBAIS</t>
  </si>
  <si>
    <t>MINA</t>
  </si>
  <si>
    <t>ALAJUELA ALAJUELA ALAJUELA OFICENTRO PLAZA AEROPUERTO</t>
  </si>
  <si>
    <t>PANADERIA BET-TEL</t>
  </si>
  <si>
    <t>BARRANCA, PUNTARENAS DIAGONAL A SUPER PURA VIDA</t>
  </si>
  <si>
    <t>SUPER MULTIAHORRO</t>
  </si>
  <si>
    <t>PUNTARENAS GARABITO JACO JACO 500ESTE BEST WESTERN FRENTE</t>
  </si>
  <si>
    <t>SUPER EL PEDREGAL</t>
  </si>
  <si>
    <t>CARTAGO CARTAGO SAN NICOLAS 100 E 100 N EBAIS</t>
  </si>
  <si>
    <t>SUPER LA CIMA</t>
  </si>
  <si>
    <t>COPEY, DOTA CONTIGUO A ESCUELA LA CIMA DE DOTA</t>
  </si>
  <si>
    <t>MINI SUPER BUEN PRECIO</t>
  </si>
  <si>
    <t>SANTO TOMAS, SANTO DOMINGO CONTIGUO A BAR BARU SANTO TOMAS</t>
  </si>
  <si>
    <t>ABAST LOS SAUCES</t>
  </si>
  <si>
    <t>DESAMPARADOS, DESAMPARADOS 75 S 250 O DEL SALON EL JORON</t>
  </si>
  <si>
    <t>SUPER ZERO</t>
  </si>
  <si>
    <t>SAN JERONIMO, MORAVIA 100 OE IGLESIA DE SAN JERONIMO</t>
  </si>
  <si>
    <t>MINI SUPER MILY</t>
  </si>
  <si>
    <t>VENECIA, SAN CARLOS 140 MTS SUR DEL CRUCE LAS TABLAS</t>
  </si>
  <si>
    <t>SUPERMERCADO BAGACES</t>
  </si>
  <si>
    <t>GUANACASTE BAGACES BAGACES COSTADO SUR DE CLINICA BAGACES</t>
  </si>
  <si>
    <t>MINI SUPER NANDAYURE  2</t>
  </si>
  <si>
    <t>SUPER LA MERCADONA</t>
  </si>
  <si>
    <t>NICOYA, NICOYA 100 NORTE BAR LOS ALMENDROS</t>
  </si>
  <si>
    <t>SUPER CARNES TAMARINDO</t>
  </si>
  <si>
    <t>SANTA CRUZ, SANTA CRUZ FRENTE A CEMACO  CRUCE VILLARREAL</t>
  </si>
  <si>
    <t>REFORMA EVENEZER</t>
  </si>
  <si>
    <t>SAN RAFAEL, SAN RAMON ENTRADA LA REFORMA SAN RAFAEL</t>
  </si>
  <si>
    <t>SUPER ACAPULCO</t>
  </si>
  <si>
    <t>SAN JOSÉ ESCAZU ESCAZU ESCAZU 500 NORTE DE ACUEDUCTO</t>
  </si>
  <si>
    <t>MINI SUPER LUCKY STAR</t>
  </si>
  <si>
    <t>SANTIAGO, PURISCAL 100 NORTE PARQUE CENTRAL</t>
  </si>
  <si>
    <t>MR PRECIOS</t>
  </si>
  <si>
    <t>SAN RAFAEL, SAN RAMON 100 SUR DE LOS PORTONES SAN RAFAEL</t>
  </si>
  <si>
    <t>SUPER DENNIS</t>
  </si>
  <si>
    <t>PUNTARENAS MONTES DE ORO MIRAMAR 25 N 25 E HOGAR DE ANCIANOS</t>
  </si>
  <si>
    <t>TOBOSI, EL GUARCO 250MTS NORTE DEL CEMENTERIO EN TABLON</t>
  </si>
  <si>
    <t>PULPERIA LA POBLANITA</t>
  </si>
  <si>
    <t>CARTAGO EL GUARCO EL TEJAR 50NORTE PLAZA DEPORTES  HACIENDA VIEJA</t>
  </si>
  <si>
    <t>SUPER TIRRASES S.A.</t>
  </si>
  <si>
    <t>TIRRASES, CURRIDABAT CRUCE CENTRO PRINCIPAL A TIRRASES</t>
  </si>
  <si>
    <t>MINI SUPER GUEVARA</t>
  </si>
  <si>
    <t>SANTIAGO, PURISCAL 75 SUR DE LA IGLESIA LLANO GRANDE</t>
  </si>
  <si>
    <t>URUCA_, SANTA ANA BARRIO CORAZON DE JESUS</t>
  </si>
  <si>
    <t>ALAJUELA GRECIA GRECIA 500 NORTE DEL SALON CAÑALITO SAN ISIDRO</t>
  </si>
  <si>
    <t>SUPER GUARIA</t>
  </si>
  <si>
    <t>SARCHI SUR, SARCHI 100 DE LA ESCUELA SARCHI SUR CONTIGUO</t>
  </si>
  <si>
    <t>MINI SUPER Y LIC CANDELARIA</t>
  </si>
  <si>
    <t>NARANJO, NARANJO NARANJO CENTRO</t>
  </si>
  <si>
    <t>SUPER Y LICORERA SAN JERONINO</t>
  </si>
  <si>
    <t>SARCHI NORTE, SARCHI 100 SUR DEL SUPER TITO SAN JERONIMO</t>
  </si>
  <si>
    <t>MINISUPER LA PLAZA</t>
  </si>
  <si>
    <t>CARTAGENA, SANTA CRUZ FRENTE CRNTRAL TELEF ICE CARTAGENA</t>
  </si>
  <si>
    <t>MINI SUPER GYG</t>
  </si>
  <si>
    <t>LA VIRGEN, SARAPIQUI SAN RAMON COSTADO NORTE PLAZA DEPORTES</t>
  </si>
  <si>
    <t>SUPERMERCADO DOS ERRES</t>
  </si>
  <si>
    <t>ZARCERO, ZARCERO 350 S CRUZ ROJA ALFARO RUIZ</t>
  </si>
  <si>
    <t>LAS JOYAS</t>
  </si>
  <si>
    <t>ALAJUELA, ALAJUELA RINCON DE CACAO ALAJUELA DE PULPERIA</t>
  </si>
  <si>
    <t>KL MARKET</t>
  </si>
  <si>
    <t>SAN JOAQUIN, FLORES 500 DE LA FIRESTONE LLORENTE SAN JOAQUIN</t>
  </si>
  <si>
    <t>ALAJUELA, ALAJUELA LA AGONIA DE ALAJUELA</t>
  </si>
  <si>
    <t>ALAJUELA ALAJUELA ALAJUELA FRENTE DE ALQUILERES UGALDE</t>
  </si>
  <si>
    <t>SUPER NIKKI</t>
  </si>
  <si>
    <t>SANTA BARBARA, SANTA BARBARA COSTADO NORTE DEL PARQUE DE SANTA</t>
  </si>
  <si>
    <t>SUPER HH</t>
  </si>
  <si>
    <t>ALAJUELA SAN RAMON SAN RAMON COSTADO SUR DE LA PLAZA DE DEPORTES</t>
  </si>
  <si>
    <t>PUENTE DE PIEDRA, GRECIA PUENTE PIEDRA 2KM NORTE DE CALLE LAS</t>
  </si>
  <si>
    <t>MINI SUPER LA LEGUA</t>
  </si>
  <si>
    <t>ALAJUELA ZARCERO ZARCERO COSTADO SUR DE ESCUELA LA LEGUA</t>
  </si>
  <si>
    <t>NEW CHINA SAMARA</t>
  </si>
  <si>
    <t>SAMARA, NICOYA DIAGONAL A PALI SAMARA</t>
  </si>
  <si>
    <t>SANTA CRUZ, SANTA CRUZ DE LAS OFICINAS DEL AYA 100 NORTE</t>
  </si>
  <si>
    <t>CARTAGO PARAISO SANTIAGO 100 S CEMENTERIO SANTIAGO</t>
  </si>
  <si>
    <t>ABASTECEDOR LA SUYAPITA</t>
  </si>
  <si>
    <t>GUADALUPE, GOICOECHEA 200 OE 100 SE DIVINO PASTOR</t>
  </si>
  <si>
    <t>ALAJUELA ZARCERO ZARCERO 25 SUROETES DE LA ASADA TAPEZCO</t>
  </si>
  <si>
    <t>MINI SÚPER EL REY</t>
  </si>
  <si>
    <t>ALAJUELA, ALAJUELA TUETAL NORTE ALAJUELA</t>
  </si>
  <si>
    <t>SUPER PACAYAS</t>
  </si>
  <si>
    <t>CARTAGO ALVARADO PACAYAS DIAGONAL AGENCIA BANCREDITO</t>
  </si>
  <si>
    <t>ABASTECEDOR EL PORO</t>
  </si>
  <si>
    <t>CONCEPCION, ALAJUELITA 50 S SUPER CONCEPCION</t>
  </si>
  <si>
    <t>SAN SEBASTIAN, SAN JOSE CASA DEL TANQUE 300 E PASO ANCHO</t>
  </si>
  <si>
    <t>MINI SUPER FAMOSO</t>
  </si>
  <si>
    <t>HATILLO, SAN JOSE 200 OE IGLESIA CATOLICA SAGRADA FAMILIA</t>
  </si>
  <si>
    <t>ASAMTEC</t>
  </si>
  <si>
    <t>ALAJUELA, ALAJUELA ZONA FRANCA Z EN JARDINES ALAJUELA</t>
  </si>
  <si>
    <t>GIRASOL SAN FRANCISCO</t>
  </si>
  <si>
    <t>SAN FRANCISCO, HEREDIA URB VELLA VISTA DEL VALLE</t>
  </si>
  <si>
    <t>SUPER EL HOGAR</t>
  </si>
  <si>
    <t>PUNTARENAS PUNTARENAS BARRANCA 200 OESTE DE LA CUEVA DEL SAPO</t>
  </si>
  <si>
    <t>MINI SUPER M   M</t>
  </si>
  <si>
    <t>DANIEL FLORES, PEREZ ZELEDON B.LOS ANGELES 150 MTS DE ABONO AGRO</t>
  </si>
  <si>
    <t>GUANACASTE ABANGARES LAS JUNTAS 100 NORTE DEL SALON COMUNAL DE LA PALMA</t>
  </si>
  <si>
    <t>SIQUIRRES, SIQUIRRES 450 N. Y 100 E. DE ANTENAS CABLE CARIBE</t>
  </si>
  <si>
    <t>SUPERMERCADO ELENA</t>
  </si>
  <si>
    <t>PUNTARENAS PUNTARENAS PUNTARENAS CONTIGUO A SUPER LA NAVIDAD</t>
  </si>
  <si>
    <t>YURUSTI MARKET</t>
  </si>
  <si>
    <t>SANTO DOMINGO, SANTA BARBARA 525 N DE LA ESTACION DE LOS BOMBEROS</t>
  </si>
  <si>
    <t>SUPER GRAN LUNA</t>
  </si>
  <si>
    <t>SAN SEBASTIAN, SAN JOSE 400 O ESCUELA CENTRAL SAN SEBASTIAN</t>
  </si>
  <si>
    <t>MINISUPER Y LIC RINCON DE LA V</t>
  </si>
  <si>
    <t>GUANACASTE LIBERIA CURUBANDE 100N CENTRAL TELEFONICA CURUBANDE</t>
  </si>
  <si>
    <t>PULPERIA EL AGRICULTOR</t>
  </si>
  <si>
    <t>ALAJUELA ALAJUELA ALAJUELA CONTIGUO A GRECIA ADUNAL KABAT</t>
  </si>
  <si>
    <t>SAN GABRIEL, ASERRI 50 S ESCUELA LA FILA</t>
  </si>
  <si>
    <t>MINI SUPER Y LICORERA K-MACHOS 2</t>
  </si>
  <si>
    <t>SAN ISIDRO, VAZQUEZ DE CORONADO 100 N Y 50 E DE LA IGLESIA DE CORONADO</t>
  </si>
  <si>
    <t>ENPINGREN LIMITADA</t>
  </si>
  <si>
    <t>GUADALUPE, GOICOECHEA 150 N PARQUE GUADALUPANO</t>
  </si>
  <si>
    <t>PULPERIA LA FLOR</t>
  </si>
  <si>
    <t>LIMON, LIMON BO.PUEBLO NUEVO ANTIGUA BODEGA ABONO</t>
  </si>
  <si>
    <t>COMISARIATO CONTINENTAL</t>
  </si>
  <si>
    <t>RIO JIMENEZ, GUACIMO CONTIGUO A EMPACADORA BANANO CONTINENTAL</t>
  </si>
  <si>
    <t>MINI SUPER ELI</t>
  </si>
  <si>
    <t>LIMÓN GUACIMO DUACARI 100 MTS OESTE ESCUELA DUACARI</t>
  </si>
  <si>
    <t>MINI MARKET UNO</t>
  </si>
  <si>
    <t>ALAJUELA GRECIA GRECIA 400 OESTE DEL HOSPITAL</t>
  </si>
  <si>
    <t>SUPER LA NUEVA JERUSALEN</t>
  </si>
  <si>
    <t>SAN FRANCISCO, HEREDIA 600 SUR ENTRADA LA CUMBRE</t>
  </si>
  <si>
    <t>SUPER LLENO S.A</t>
  </si>
  <si>
    <t>SAN ROQUE, BARVA SAN ROQUE BARVA</t>
  </si>
  <si>
    <t>SUPER P.Z.</t>
  </si>
  <si>
    <t>SAN ISIDRO, LEON CORTES CASTRO MORAZAN FRENTE UNIVERSIDAD UISIL P.Z</t>
  </si>
  <si>
    <t>MINI SUPER Y LICORES TRAVELERS</t>
  </si>
  <si>
    <t>SAN ISIDRO, LEON CORTES CASTRO EL HOYON CONTIGUO A LA IGLESIA CATOLICA</t>
  </si>
  <si>
    <t>MINI LA GUADALUPANA</t>
  </si>
  <si>
    <t>LLANO GRANDE, CARTAGO FRENTE A LA ESCUELA LLANO GRANDE</t>
  </si>
  <si>
    <t>TIOS MARKET</t>
  </si>
  <si>
    <t>ALAJUELA SAN RAMON SAN ISIDRO CANTINA CHAPARRA 75 NORTE</t>
  </si>
  <si>
    <t>SUPER GUARARI</t>
  </si>
  <si>
    <t>HEREDIA, HEREDIA 100 S ESCUELA GUARARI</t>
  </si>
  <si>
    <t>MINI SUPER MANOLO</t>
  </si>
  <si>
    <t>DUACARI, GUACIMO VILLA FRANCA 100 ESTE DE LA DELEGACION</t>
  </si>
  <si>
    <t>ABASTECEDOR SOLIS</t>
  </si>
  <si>
    <t>SAN FRANCISCO, GOICOECHEA 100 E 25 N IGLESIA DE LADRILLOS</t>
  </si>
  <si>
    <t>SUPER PORTONES</t>
  </si>
  <si>
    <t>SAN RAFAEL, SAN RAMON ENTRADA PRINCIPAL LOS PORTONES</t>
  </si>
  <si>
    <t>YEYOS</t>
  </si>
  <si>
    <t>SAN ANTONIO, BELEN FRENTE A LA PLAZA SAN ANTONIO DE BELEN</t>
  </si>
  <si>
    <t>SUPER CACAO</t>
  </si>
  <si>
    <t>ALAJUELA ALAJUELA ALAJUELA 200 E DE LA ESCUELA CACAO</t>
  </si>
  <si>
    <t>PULPERIA 99</t>
  </si>
  <si>
    <t>LIMON, LIMON BO. LIMONCITO DIAGONAL ESCUELA</t>
  </si>
  <si>
    <t>MINI MERK</t>
  </si>
  <si>
    <t>SAN JUAN, TIBAS 100 E 25 S DE LA NACION</t>
  </si>
  <si>
    <t>CENTRAL DE COMPRAS GUADALUPE</t>
  </si>
  <si>
    <t>GUADALUPE, GOICOECHEA 200 OE COLEGIO DIVINO PASTOR</t>
  </si>
  <si>
    <t>SUPER 77</t>
  </si>
  <si>
    <t>SAN FELIPE, ALAJUELITA 300 OE 250 S IGLESIA SAN FELIPE</t>
  </si>
  <si>
    <t>GUANACASTE LIBERIA LIBERIA FRENTE AL ESTADIO LIBERIA</t>
  </si>
  <si>
    <t>SUPER HNOS MORA</t>
  </si>
  <si>
    <t>PUNTARENAS BUENOS AIRES BUENOS AIRES FRENTE OFICINAS DEL MEP</t>
  </si>
  <si>
    <t>MINI SUPER KIARA</t>
  </si>
  <si>
    <t>DANIEL FLORES, PEREZ ZELEDON REPUNTA P.Z.</t>
  </si>
  <si>
    <t>SUPER LA PIEDRA</t>
  </si>
  <si>
    <t>SAN ISIDRO, LEON CORTES CASTRO ENTRADA A SAN RAFAEL NORTE</t>
  </si>
  <si>
    <t>MINISUPER MAX</t>
  </si>
  <si>
    <t>TILARAN, TILARAN DIAGONAL A ESCUELA DE TILARAN</t>
  </si>
  <si>
    <t>EBENEZER</t>
  </si>
  <si>
    <t>AGUAS ZARCAS, SAN CARLOS 600 MTS OESTE DE LA PLAZA EN SAN JOSE</t>
  </si>
  <si>
    <t>DULCE NOMBRE DE JESU, VAZQUEZ DE CORONADO 100 SE 25 E ABASTECEDOR CAMPANA</t>
  </si>
  <si>
    <t>MINI SUPER Y LICORERA LOS LEONES</t>
  </si>
  <si>
    <t>EL GENERAL, PEREZ ZELEDON LA HERMOSA COSTADO DE LA PLAZA</t>
  </si>
  <si>
    <t>BARTELS</t>
  </si>
  <si>
    <t>BUENOS AIRES, BUENOS AIRES URBANIZACION LAS VEGAS BUENOS AIRES</t>
  </si>
  <si>
    <t>SUPER ZHONGPO 2</t>
  </si>
  <si>
    <t>BATAN, MATINA MATINA CARRETERA B LINE</t>
  </si>
  <si>
    <t>LA VIRGEN, SARAPIQUI COSTADO SUR AL COLONO LA VIRGEN</t>
  </si>
  <si>
    <t>SUPER CHAVA</t>
  </si>
  <si>
    <t>PUNTARENAS PUNTARENAS BARRANCA MANUEL MORA 1K SUR ENTRADA PROGRESO</t>
  </si>
  <si>
    <t>ANDREA CASTRO GONZALEZ</t>
  </si>
  <si>
    <t>LA ASUNCION, BELEN 75 E SALON PARROQUIAL LA ASUNCION</t>
  </si>
  <si>
    <t>SUPER LA LEYENDA</t>
  </si>
  <si>
    <t>CARTAGO JIMENEZ PEJIBAYE PEJIBALLE FRENTE  A LA PLAZA COSTADO SUR</t>
  </si>
  <si>
    <t>CONFIANZA LA LUCHA</t>
  </si>
  <si>
    <t>LA TIGRA, SAN CARLOS FRENTE A LA PLAZA</t>
  </si>
  <si>
    <t>ALI ATLANTICO</t>
  </si>
  <si>
    <t>ZAPOTE, SAN JOSE FT BCR ZAPOTE</t>
  </si>
  <si>
    <t>MATA REDONDA, SAN JOSE 150 S CEMENTERIO</t>
  </si>
  <si>
    <t>SUPER LA CALIFORNIA</t>
  </si>
  <si>
    <t>GUADALUPE, GOICOECHEA 400 ESTE DE LA PLAZA</t>
  </si>
  <si>
    <t>SUPER MERCADO DULCE NOMBRE</t>
  </si>
  <si>
    <t>SAN RAMON, SAN RAMON 150 SUR DE SIBU MARKET</t>
  </si>
  <si>
    <t>SUPER SHOPPING</t>
  </si>
  <si>
    <t>SAN MARCOS, TARRAZU 150 SUR DE LA IGLESIA CATOLICA EL RODEO</t>
  </si>
  <si>
    <t>MINI SUPER CAÑON</t>
  </si>
  <si>
    <t>ALAJUELA, ALAJUELA 125 ESTE DEL CEMENTERIO ALAJUELA</t>
  </si>
  <si>
    <t>SUPER CHOMMY</t>
  </si>
  <si>
    <t>PALMARES, PALMARES DIAGONAL AL ESTADIO DE PALMARES</t>
  </si>
  <si>
    <t>PULPERIA GENARO GERARDO</t>
  </si>
  <si>
    <t>POCORA, GUACIMO POCORA NORTE 1KM DEL EBAIS DE POCORA</t>
  </si>
  <si>
    <t>PULPERIA CIERDAY</t>
  </si>
  <si>
    <t>ALAJUELA, ALAJUELA 75 SUR DE POLLOS LA FOGATA</t>
  </si>
  <si>
    <t>SUPER BUEN TRATO</t>
  </si>
  <si>
    <t>LLANO GRANDE, CARTAGO FRENTE AL CEMENTERIO DE LLANO GRANDE</t>
  </si>
  <si>
    <t>MINISUPER TERRY</t>
  </si>
  <si>
    <t>CABO VELAS, SANTA CRUZ 600N 100E 50N ESCUELA BRASILITO</t>
  </si>
  <si>
    <t>MINI SUPER PUEBLO NUEVO</t>
  </si>
  <si>
    <t>HEREDIA SAN PABLO SAN PABLO 100 N Y 100 E DE PIÑERA TRANSUNION</t>
  </si>
  <si>
    <t>NARANJO, NARANJO SAN JUANILLO NARANJO ALAJUELA 50 E</t>
  </si>
  <si>
    <t>JOSE ANTONIO ROJAS RODRIGUEZ</t>
  </si>
  <si>
    <t>HOSPITAL, SAN JOSE COSTADO OE MERCADO COCA COLA</t>
  </si>
  <si>
    <t>SUPER SJ</t>
  </si>
  <si>
    <t>CATEDRAL, SAN JOSE 25 E JARY PARQUE DE TIBAS</t>
  </si>
  <si>
    <t>MINI SUPER MOLINAS</t>
  </si>
  <si>
    <t>POCORA, GUACIMO COSTADO NORTE ESCUELA POCORA</t>
  </si>
  <si>
    <t>SUPER BASICO  3</t>
  </si>
  <si>
    <t>PALMARES, PALMARES 200 SUR DEL PARQUE DE PALMARES</t>
  </si>
  <si>
    <t>BUENOS AIRES, BUENOS AIRES BUENOS AIRES</t>
  </si>
  <si>
    <t>ESTACION DE SERVICIO EL CEIBO S.A.</t>
  </si>
  <si>
    <t>BAHIA BALLENA, OSA PLAYA GUAPIL HATILLO CENTRO</t>
  </si>
  <si>
    <t>MINI SUPER LA CHEN</t>
  </si>
  <si>
    <t>ZAPOTE, SAN JOSE 200 O CLINICA CARLOS DURAN</t>
  </si>
  <si>
    <t>SUPER ROXINIA</t>
  </si>
  <si>
    <t>SAN JOSÉ DESAMPARADOS DESAMPARADOS 100 S 25 O PLAZA DE DEPORTES</t>
  </si>
  <si>
    <t>SUPER RYNERA</t>
  </si>
  <si>
    <t>GRECIA, GRECIA BARRIO LATINO GRECIA CRUCE</t>
  </si>
  <si>
    <t>ABASTECEDOR LA PAULA</t>
  </si>
  <si>
    <t>GUANACASTE BAGACES BAGACES DEL VSALON COMUNAL 200 AL SUR Y 50 ESTE</t>
  </si>
  <si>
    <t>MINI SUPER LI</t>
  </si>
  <si>
    <t>SANTO DOMINGO, SANTA BARBARA 100 E CRUZ ROJA FT PIZZA NAPOLES</t>
  </si>
  <si>
    <t>SUPER YEYE</t>
  </si>
  <si>
    <t>TURES, SANTO DOMINGO 175 E ESCUELA LOS ANGELES</t>
  </si>
  <si>
    <t>SODA ENVACO</t>
  </si>
  <si>
    <t>LIMON, LIMON ENVACO EN LA CARTONERA</t>
  </si>
  <si>
    <t>SÚPER LA ESPERANZA</t>
  </si>
  <si>
    <t>DESAMPARADOS, DESAMPARADOS 200 OE 125 N CAPILLA DE SAN LORENZO</t>
  </si>
  <si>
    <t>SUPER 98</t>
  </si>
  <si>
    <t>ALAJUELA ALAJUELA ALAJUELA PUEBLO NUEVO ALAJUELA</t>
  </si>
  <si>
    <t>PULPERIA ANGIE</t>
  </si>
  <si>
    <t>SANTA CRUZ, SANTA CRUZ 27 DE ABRIL  CONT.PLAZA DEP.VENADO</t>
  </si>
  <si>
    <t>DANIEL FLORES, PEREZ ZELEDON SAN JUAN BOSCO</t>
  </si>
  <si>
    <t>MINI SUPER WIN</t>
  </si>
  <si>
    <t>SAN ISIDRO, VAZQUEZ DE CORONADO 350 OE GASOLINERA EL TRAPICHE</t>
  </si>
  <si>
    <t>SUPER TORO AMARILLO</t>
  </si>
  <si>
    <t>GUAPILES, POCOCI 100 OESTE ENTRADA LA VICTORIA</t>
  </si>
  <si>
    <t>CASCAJAL, VAZQUEZ DE CORONADO 100 S ULTIMA PARADA SAN PEDRO</t>
  </si>
  <si>
    <t>MINI SUPER EL COLO N.1</t>
  </si>
  <si>
    <t>DESAMPARADOS, DESAMPARADOS 100 N 125 E IGLESIA EL PORVENIR</t>
  </si>
  <si>
    <t>LA VIRGEN, SARAPIQUI FRENTE A SALON COMUNAL</t>
  </si>
  <si>
    <t>MINI SUPER SAN PEDRO</t>
  </si>
  <si>
    <t>NOSARA, NICOYA 1 K E. DE LA ESC. NOSARA BO. SAN PEDRO</t>
  </si>
  <si>
    <t>SUPER BIENVENIDO</t>
  </si>
  <si>
    <t>SAN PABLO, SAN PABLO 75 E ESQUINA NOROESTE  DE LA IGLESIA SAN</t>
  </si>
  <si>
    <t>SUPER KALY</t>
  </si>
  <si>
    <t>HEREDIA, HEREDIA DEL HOSPITAL NUEVO 200 NORTE HEREDIA</t>
  </si>
  <si>
    <t>SÚPER M J R</t>
  </si>
  <si>
    <t>DANIEL FLORES, PEREZ ZELEDON VILLA LIGIA 500 MTS SUR DE MUSMANNI</t>
  </si>
  <si>
    <t>CONCEPCION, ATENAS FRENTE A LA IGLESIA DE CONCEPCION DE</t>
  </si>
  <si>
    <t>SERVICENTRO PASO REAL SA</t>
  </si>
  <si>
    <t>SAN JOSÉ PEREZ ZELEDON DANIEL FLORES CONTIGUO A PLAZA MONTE GENERAL P.Z.</t>
  </si>
  <si>
    <t>MINI SUPER Y LICORERA LEI</t>
  </si>
  <si>
    <t>SANTA CRUZ, SANTA CRUZ 50 S. PLAZA DE DEPORT.BUENOS AIRES</t>
  </si>
  <si>
    <t>ABASTECEDOR DON BENIGNO</t>
  </si>
  <si>
    <t>NICOYA, NICOYA SAN JOAQUIN  ENTRADA PRINCIPAL</t>
  </si>
  <si>
    <t>VALUEMARTCR LTDA.</t>
  </si>
  <si>
    <t>SAN RAMON, SAN RAMON 100 NORTE DE ALAR S.A FRENTE A</t>
  </si>
  <si>
    <t>MINI SUPER MADRIGAL</t>
  </si>
  <si>
    <t>PIEDADES, SANTA ANA PURISCAL PIEDADES FRENTE A LA ESCUELA</t>
  </si>
  <si>
    <t>SUPER MARCELA</t>
  </si>
  <si>
    <t>LA RIBERA, BELEN 500 OESTE DEL HOTEL MARRIOTT</t>
  </si>
  <si>
    <t>MINISUPER SAN JUAN</t>
  </si>
  <si>
    <t>LIMON, LIMON FTE TALLE DE CARIBEÑOS BO. SAN JUAN LIMO</t>
  </si>
  <si>
    <t>SUPER EL PINAR</t>
  </si>
  <si>
    <t>SANTA ANA, SANTA ANA SAN JOSE SANTA ANA SUR 100 SUR DE</t>
  </si>
  <si>
    <t>MINI SUPER SAN PABLO</t>
  </si>
  <si>
    <t>SANTIAGO, PURISCAL SAN JOSE PURISCAL TURRUBARES DIAGONAL</t>
  </si>
  <si>
    <t>MINI SUPER Y LIC. POLLO MARBELLA</t>
  </si>
  <si>
    <t>SANTA CRUZ, SANTA CRUZ ANTIGUO MINI SUPER POLLO  MARBELLA</t>
  </si>
  <si>
    <t>SERVICENTRO SAMARA</t>
  </si>
  <si>
    <t>SAMARA, NICOYA CRUCE DE SAMARA Y NOSARA</t>
  </si>
  <si>
    <t>MINISUPER Y LIC DAVID EDUARDO</t>
  </si>
  <si>
    <t>LIBERIA, LIBERIA ANTIGUA LIC LIGIA CORAZON DE JESUS</t>
  </si>
  <si>
    <t>MINI SUPER MONTESION</t>
  </si>
  <si>
    <t>RIO BLANCO, LIMON LIVERPOOLL RIO BLANCO 150 ESTE PLAZA</t>
  </si>
  <si>
    <t>MINI SUPER KM 20</t>
  </si>
  <si>
    <t>GUAYCARA, GOLFITO ENTRADA A LA URBANIZACIÓN</t>
  </si>
  <si>
    <t>MINI SUPER Y LICORERA 32</t>
  </si>
  <si>
    <t>QUEPOS, QUEPOS QUEPOS CENTRO FRENTE A INSTACREDIT</t>
  </si>
  <si>
    <t>MINI SUPER LA COSECHA</t>
  </si>
  <si>
    <t>SABANILLA, MONTES DE OCA 300 E POLIDEPORTIVO UCR</t>
  </si>
  <si>
    <t>COMERCIO MERCADO ORIENTE</t>
  </si>
  <si>
    <t>HOSPITAL, SAN JOSE 75 NE ENTRADA PRINCIPAL MERCADO CENTRAL</t>
  </si>
  <si>
    <t>SODA GARABITO</t>
  </si>
  <si>
    <t>PUNTARENAS GARABITO JACO 300 MTRS ESTE DEL PALI JACÓ</t>
  </si>
  <si>
    <t>SAN MIGUEL, SANTO DOMINGO 25 N BAR LA GUARIA SAN MIGUEL</t>
  </si>
  <si>
    <t>LA TRINIDAD, MORAVIA 200 S ESCUELA LA TRINIDAD</t>
  </si>
  <si>
    <t>DESAMPARADOS, DESAMPARADOS COSTADO SUR DE LA PLAZA DE DEPORTES</t>
  </si>
  <si>
    <t>SUPER Y LICORERA VIKINGO</t>
  </si>
  <si>
    <t>SANTA CRUZ, SANTA CRUZ ENTRADA PRINCIPAL DIARIA DE SANTA CRUZ</t>
  </si>
  <si>
    <t>MINISUPER Y LICORERA MADRID</t>
  </si>
  <si>
    <t>GUANACASTE LIBERIA LIBERIA DIAGONAL OFICINAS DE ICE</t>
  </si>
  <si>
    <t>SUPER LICORERA BATAAN</t>
  </si>
  <si>
    <t>BATAN, MATINA BATAAN CENTRO DIAGONAL A LICORERA LUIS</t>
  </si>
  <si>
    <t>FONDA Y COMISARIATO SAN JOSE</t>
  </si>
  <si>
    <t>SIQUIRRES, SIQUIRRES SIQUIRRES SAN ALBERTO</t>
  </si>
  <si>
    <t>GUAPILES, POCOCI BARRIO LAS BRISAS FRENTE SALON COMUNAL</t>
  </si>
  <si>
    <t>ABASTECEDOR RONNY</t>
  </si>
  <si>
    <t>SIQUIRRES, SIQUIRRES SIQUIRRES EL COCAL</t>
  </si>
  <si>
    <t>SUPER JESHUA</t>
  </si>
  <si>
    <t>GUAPILES, POCOCI 800 NORTE DE R.T.V. LA MARINA</t>
  </si>
  <si>
    <t>VILA MARKET</t>
  </si>
  <si>
    <t>HEREDIA, HEREDIA 300 OESTE BAR HATRA HEREDIA</t>
  </si>
  <si>
    <t>CONCEPCION, ALAJUELITA 200 SUR SUPER LA ESPERANZA</t>
  </si>
  <si>
    <t>RESTAURANTE EL PUEBLO</t>
  </si>
  <si>
    <t>BAGACES, BAGACES DIAGONAL ESC TOMAS GUARDIA BAGACES</t>
  </si>
  <si>
    <t>MULTIMARKET ZHENG SOCIEDAD ANÓNIMA</t>
  </si>
  <si>
    <t>SAN JUAN, TIBAS 100 N MUNICIPALIDAD TIBAS</t>
  </si>
  <si>
    <t>MINI SUPER LA VERANERA</t>
  </si>
  <si>
    <t>TACARES, GRECIA 50 NORTE G.A.R TACARES</t>
  </si>
  <si>
    <t>RESTAURANTE THELMA</t>
  </si>
  <si>
    <t>LA CRUZ, LA CRUZ 200N DE BNCR LA CRUZ</t>
  </si>
  <si>
    <t>PULPERIA MARTINEZ</t>
  </si>
  <si>
    <t>TIRRASES, CURRIDABAT ANTIGUO EBAIS 50 SUR</t>
  </si>
  <si>
    <t>MINI SUPER EL SOL</t>
  </si>
  <si>
    <t>IPIS, GOICOECHEA URB LOS CAFETOS CASA 262 MOZOTAL</t>
  </si>
  <si>
    <t>ABAST.LA BODEGUITA</t>
  </si>
  <si>
    <t>ANSELMO LLORENTE, TIBAS 100 E SALON LA PISTA</t>
  </si>
  <si>
    <t>ABASTECEDOR LOS SOLES</t>
  </si>
  <si>
    <t>SAN MIGUEL, DESAMPARADOS 300MTS ESTE SUPER COLOCHOS</t>
  </si>
  <si>
    <t>SUPERMERCADO Y ALMACEN MAYORISTA</t>
  </si>
  <si>
    <t>AGUACALIENTE O SAN F, CARTAGO 300 ESTE  50 SUR  40 OESTE DEL PALI</t>
  </si>
  <si>
    <t>POLLO FRITO PALMARIN</t>
  </si>
  <si>
    <t>PALMAR, OSA CALLE COMERCIO  CONTIGUO A SUPER DRAGON</t>
  </si>
  <si>
    <t>SÚPER TANG</t>
  </si>
  <si>
    <t>ALAJUELA, ALAJUELA RINCON DE CACAO 1 5KM OESTE DE LA ESC</t>
  </si>
  <si>
    <t>MINISUPER CARIBE</t>
  </si>
  <si>
    <t>LIMON, LIMON DENTRO DE LA TERMINA CARIBEÑOS LIMON CEN</t>
  </si>
  <si>
    <t>SUPER HERRERA</t>
  </si>
  <si>
    <t>EL GENERAL, PEREZ ZELEDON PEÑAS BLANCAS</t>
  </si>
  <si>
    <t>POZOS, SANTA ANA 100 N IGLESIA CATOLICA POZOS STA ANA</t>
  </si>
  <si>
    <t>MINI SUPER LA ESPERANZA</t>
  </si>
  <si>
    <t>ROXANA, POCOCI FRENTE A ESCUELA LESVILLE ROXANA</t>
  </si>
  <si>
    <t>ASEVI #2</t>
  </si>
  <si>
    <t>LA VIRGEN, SARAPIQUI HEREDIA LA VIRGEN SAN VICENTE</t>
  </si>
  <si>
    <t>PULPERIA DOS ANGELES</t>
  </si>
  <si>
    <t>SAN FELIPE, ALAJUELITA 200 E 300 N RTV 200 N CASA 15A</t>
  </si>
  <si>
    <t>PARAGUAS MARKET</t>
  </si>
  <si>
    <t>SAN JOSÉ PEREZ ZELEDON RIVAS BUENA VISTA RIVAS 50 MTS NORTE IGLESIA.</t>
  </si>
  <si>
    <t>SUPER LEON XIII</t>
  </si>
  <si>
    <t>CATEDRAL, SAN JOSE PARADA DE LA LEON XIII SJ CENTRO</t>
  </si>
  <si>
    <t>GRUPO ECONOMICO SANTA ROSA</t>
  </si>
  <si>
    <t>POCOSOL, SAN CARLOS 200M NORTE ENTRADA PRINCIPAL SANTA ROSA</t>
  </si>
  <si>
    <t>MINI SUPER ELKA</t>
  </si>
  <si>
    <t>PLATANARES, PEREZ ZELEDON FTE A LA ESCUELA SAN PABLO</t>
  </si>
  <si>
    <t>MINI SUPER SAIYAJIN</t>
  </si>
  <si>
    <t>SAN ISIDRO, SAN ISIDRO BARRIO S.MARTIN VILLA PAN</t>
  </si>
  <si>
    <t>PARAISO, PARAISO 400 SO DE LA IGLESIA DE PARAISO</t>
  </si>
  <si>
    <t>SAN FELIPE, ALAJUELITA COSTADO OE PLAZA DE DEPORTES</t>
  </si>
  <si>
    <t>PUL ARENILLA 2000</t>
  </si>
  <si>
    <t>CARTAGO CARTAGO GUADALUPE O ARENILLA 200 S Y 300 O DEL PEZ DORADO</t>
  </si>
  <si>
    <t>SABANA REDONDA, POAS SAN ISIDRO PILAS 500 NORTE DE LA IGLESIA</t>
  </si>
  <si>
    <t>SUPERMAERCADO TUIS</t>
  </si>
  <si>
    <t>CARTAGO TURRIALBA TUIS TUIS CENTRO 100 E DELEGACION POLICIA</t>
  </si>
  <si>
    <t>MINI SUPER Y VERDULERIA LA NUEVA</t>
  </si>
  <si>
    <t>HEREDIA SANTO DOMINGO SAN MIGUEL 100 E 300 N DE LA IGL.SAN MIGUEL</t>
  </si>
  <si>
    <t>PULPERIA JOEL</t>
  </si>
  <si>
    <t>SAN JOSÉ SAN JOSE CATEDRAL COSTADO S ANTIGUA ESC PORFIRIO BRENES</t>
  </si>
  <si>
    <t>SUPER MERCADO FAMILY MARKET</t>
  </si>
  <si>
    <t>PUNTARENAS GARABITO TARCOLES 300 NORTE CRUCE LAGUNILLAS</t>
  </si>
  <si>
    <t>PULPERIA EL ANGEL</t>
  </si>
  <si>
    <t>SAN JOSECITO, ALAJUELITA CALLE ELMANGO SAN JOSECITO</t>
  </si>
  <si>
    <t>MINI SUPER CINDY CALETH</t>
  </si>
  <si>
    <t>LIMÓN POCOCI CARIARI ASTUA PIRIE COSTADO SUR SALON COMUNAL</t>
  </si>
  <si>
    <t>PULP. LA ESTRELLA</t>
  </si>
  <si>
    <t>LIMON, LIMON ENVACO ANTIGUA PULP. 2000</t>
  </si>
  <si>
    <t>PULPERÍA DEL CARMEN</t>
  </si>
  <si>
    <t>LIMON, LIMON BO.CORALES FTE. ALEX BALDOSAS</t>
  </si>
  <si>
    <t>ALAJUELA ALAJUELA CARRIZAL 200 N DE LA IGLESIA DE CARRIZAL ALAJUELA</t>
  </si>
  <si>
    <t>MINI SUPER VICTORIA 168</t>
  </si>
  <si>
    <t>CARRIZAL, ALAJUELA A AL PAR DEL CENTRO LOS AMIGOS</t>
  </si>
  <si>
    <t>SUPERMERCADO HERMANOS FALVAR</t>
  </si>
  <si>
    <t>SAN ISIDRO DE EL GEN, PEREZ ZELEDON 400 M OESTE IGLESIA CATOLICA</t>
  </si>
  <si>
    <t>LICORERA LA BASE</t>
  </si>
  <si>
    <t>GUANACASTE LIBERIA LIBERIA 125S DE OFICINAS AYA LIBERIA</t>
  </si>
  <si>
    <t>MINISUPER LICORERA GYF</t>
  </si>
  <si>
    <t>GUANACASTE SANTA CRUZ SANTA CRUZ 200N DE TRIGUEROS PORTEGOLPE</t>
  </si>
  <si>
    <t>MINI SUPER CECICOR</t>
  </si>
  <si>
    <t>PUNTARENAS ESPARZA SAN JUAN GRANDE ESCUELA VILLA NUEVA 100 METROS SL OESTE</t>
  </si>
  <si>
    <t>MINI SUPER Y LICORERA SABANILLA</t>
  </si>
  <si>
    <t>SABANILLA, MONTES DE OCA FT INSTALACIONES DEPORTIVAS UCR</t>
  </si>
  <si>
    <t>SODA JAIROS</t>
  </si>
  <si>
    <t>NARANJO, NARANJO CRUCE NARANJO</t>
  </si>
  <si>
    <t>CHAVELITA</t>
  </si>
  <si>
    <t>GUANACASTE ABANGARES LAS JUNTAS DIAGONAL A SUPER LAS JUNTAS</t>
  </si>
  <si>
    <t>SINDI</t>
  </si>
  <si>
    <t>BARRANCA, PUNTARENAS 100 ESTE DE SUPER LOS RODRIGUEZ  BARRANC</t>
  </si>
  <si>
    <t>MINISUPER WINNER</t>
  </si>
  <si>
    <t>BATAN, MATINA BATAAN SARA 25 OESTE PLAZA DEPORTES</t>
  </si>
  <si>
    <t>MINI SUPER EL CARIBE</t>
  </si>
  <si>
    <t>SAN PEDRO, POAS 150 ESTE ESCUELA PILAS</t>
  </si>
  <si>
    <t>PULPERIA SUPER PATO 2</t>
  </si>
  <si>
    <t>PUNTARENAS ESPARZA ESPIRITU SANTO 500 MTS SUR DE LA PANADERIA DELIPAN</t>
  </si>
  <si>
    <t>SÚPER FERR LA TRINIDAD</t>
  </si>
  <si>
    <t>DANIEL FLORES, PEREZ ZELEDON CONTIGUO AL BAR LOS CRIOLLOS LOS</t>
  </si>
  <si>
    <t>MERCADO ORIENTAL ZHENG LONG</t>
  </si>
  <si>
    <t>EL TEJAR, EL GUARCO 100 M N DE LA ENTRADA PRINC LAS CATALINA</t>
  </si>
  <si>
    <t>CALEB</t>
  </si>
  <si>
    <t>ALAJUELITA, ALAJUELITA AL LADO DEL CEMENTERIO MUNICIPAL DE</t>
  </si>
  <si>
    <t>JAD INVERSIONES SOCIEDAD ANONIMA</t>
  </si>
  <si>
    <t>HOSPITAL, SAN JOSE SAN JOSE  BARRIO MEXICO</t>
  </si>
  <si>
    <t>MINI SUPER EL ZARPE</t>
  </si>
  <si>
    <t>SANTA ANA, SANTA ANA BAJO HONDURAS POZOS DE SANTA ANA</t>
  </si>
  <si>
    <t>PULPERIA KING</t>
  </si>
  <si>
    <t>LIMON, LIMON LIMON 150 SUR DEL SALON COMUNAL</t>
  </si>
  <si>
    <t>PULPERIA LA ESTRELLA DEL SUR</t>
  </si>
  <si>
    <t>SAN SEBASTIAN, SAN JOSE SJ SN SEBASTIAN POPEZ MATEO B LOS</t>
  </si>
  <si>
    <t>MINI SUPER LO MAXIMO</t>
  </si>
  <si>
    <t>MATA DE PLATANO, GOICOECHEA 100 N PARADA DE BUSES MATA PLATANO</t>
  </si>
  <si>
    <t>BIG MARKET VALLE</t>
  </si>
  <si>
    <t>LA TIGRA, SAN CARLOS FRENTE A SUPER LAS CABRAS</t>
  </si>
  <si>
    <t>ORGANICO DELI-MARKET</t>
  </si>
  <si>
    <t>NOSARA, NICOYA COSTADO SUR DE COCONUT HARRYS</t>
  </si>
  <si>
    <t>DI MARKIT</t>
  </si>
  <si>
    <t>URUCA_, SANTA ANA 150 E DEL HOTEL SAN JOSE PALACIO</t>
  </si>
  <si>
    <t>SUPER EL NIÑO</t>
  </si>
  <si>
    <t>SAN JOSÉ ESCAZU ESCAZU 100 NORTE DE LA ESCUELA BEMJAMIN HERRERA</t>
  </si>
  <si>
    <t>ABASTECEDOR LA PONDEROSA</t>
  </si>
  <si>
    <t>SAN MIGUEL, DESAMPARADOS 200 SUR 100 OESTE ENTRADA LA PONDEROSA</t>
  </si>
  <si>
    <t>SUPER EL CHINO</t>
  </si>
  <si>
    <t>ALAJUELA SAN RAMON SAN RAFAEL SAN RAMON TIO ZAMORA 100 SUR ANTIGUA</t>
  </si>
  <si>
    <t>MINI SUPER BUEN PRECIO LI</t>
  </si>
  <si>
    <t>DESAMPARADOS, DESAMPARADOS FRENTE A PLAZA DE DEPORTES LAS GRAVILIAS</t>
  </si>
  <si>
    <t>MINI SUPER Y LIC. EL INVU</t>
  </si>
  <si>
    <t>LAS JUNTAS, ABANGARES COSTADO SUR DE LA PLAZA DE FUTBOL</t>
  </si>
  <si>
    <t>INVERSIONES DE PARAISO CHINAVEN SA</t>
  </si>
  <si>
    <t>PARAISO, PARAISO FRENTE AL ESTADIO DE PARAISO</t>
  </si>
  <si>
    <t>MINI SUPER EL ENCANTO</t>
  </si>
  <si>
    <t>CALLE BLANCOS, GOICOECHEA 400 OESTE DE PLAZA CALLE BLANCOS</t>
  </si>
  <si>
    <t>PULPERIA LA FLOR BLANCA</t>
  </si>
  <si>
    <t>SIQUIRRES, SIQUIRRES CARMENES DE SIQUIRRES 800 ESC. EL COCAL</t>
  </si>
  <si>
    <t>SUPER CALI</t>
  </si>
  <si>
    <t>GUACIMA, ALAJUELA RINCON HERRERA 100 OESTE SUPER RINCON</t>
  </si>
  <si>
    <t>PULPERIA 26 DE OCTUBRE  2</t>
  </si>
  <si>
    <t>NICOYA, NICOYA DIAGONAL A PUL.KARLA BO.SAN MARTIN</t>
  </si>
  <si>
    <t>ABAST. SHANEY</t>
  </si>
  <si>
    <t>LIMON, LIMON LIMON PACUARE</t>
  </si>
  <si>
    <t>COMISARIATO ASOVESTA</t>
  </si>
  <si>
    <t>VALLE LA ESTRELLA, LIMON VALLE ESTRELLA FCA VESTA CONTIGUO AB</t>
  </si>
  <si>
    <t>SUPER PIEDRA AZUL</t>
  </si>
  <si>
    <t>CARTAGO PARAISO SANTIAGO COSTADO E DE LA IGLESIAS CAT PIEDRA AZUL</t>
  </si>
  <si>
    <t>SUPER 24 7</t>
  </si>
  <si>
    <t>MERCED, SAN JOSE URUCA BOMBA GASOLINERA JSM</t>
  </si>
  <si>
    <t>DESAMPARADOS, DESAMPARADOS CASA20 URB. STA BARBARA  HIGUITO</t>
  </si>
  <si>
    <t>MINI SUPER JORGE</t>
  </si>
  <si>
    <t>ALAJUELA NARANJO CIRRI SUR CIRRI NARANJO 500 SUR IGLESIA LOUDERS</t>
  </si>
  <si>
    <t>SUPER JOSÉ</t>
  </si>
  <si>
    <t>BARRANCA, PUNTARENAS PRINCIPAL DE LOS ALMENDROS  BARRANCA</t>
  </si>
  <si>
    <t>AUTOSERVICIO J Y J</t>
  </si>
  <si>
    <t>SAN ISIDRO, LEON CORTES CASTRO 250M SUR 50 ESTE DE ESC COCORI</t>
  </si>
  <si>
    <t>SUPER CONCE</t>
  </si>
  <si>
    <t>TRES RIOS, LA UNION FT ESCUELA TERRAN</t>
  </si>
  <si>
    <t>MINI SUPER MI CHOZA</t>
  </si>
  <si>
    <t>RITA, POCOCI LA RITA</t>
  </si>
  <si>
    <t>ABASTECEDOR LARITA</t>
  </si>
  <si>
    <t>SANTA ANA, SANTA ANA URBANIZACION LAGOS DE LINDORA</t>
  </si>
  <si>
    <t>ABASTECEDOR SAN CAYETANO</t>
  </si>
  <si>
    <t>ALAJUELA SAN CARLOS VENECIA 25 OESTE DEL PUENTE DEL CAÑO</t>
  </si>
  <si>
    <t>ABASTECEDOR EL PROGRESO</t>
  </si>
  <si>
    <t>TRES RIOS, LA UNION 300 E FERRETERIA SAN RAMON</t>
  </si>
  <si>
    <t>SUPER MYM</t>
  </si>
  <si>
    <t>PARAISO, PARAISO 50M S Y 50M O DE LA IGLESIA LOS LLANOS</t>
  </si>
  <si>
    <t>SAN ISIDRO, VAZQUEZ DE CORONADO FRENTE A PRODUCTOS DE CORONADO</t>
  </si>
  <si>
    <t>PULPERIA ARASAN</t>
  </si>
  <si>
    <t>LIMON, LIMON VALLE AURORA FTE A LA ESCUELA DE</t>
  </si>
  <si>
    <t>LA PUERTA DE LA LUNA</t>
  </si>
  <si>
    <t>SAN PEDRO, MONTES DE OCA 100 E IGLESIA CATOLICA S.PEDRO</t>
  </si>
  <si>
    <t>SUPER DAI FU</t>
  </si>
  <si>
    <t>SAN NICOLAS, CARTAGO 300 M DE LA ESCUELA DE SAN BLAS</t>
  </si>
  <si>
    <t>SUPER COCALECCA</t>
  </si>
  <si>
    <t>PALMARES, PALMARES 25 ESTE PLAZA COCALICA PALMARES</t>
  </si>
  <si>
    <t>MINI SUPER Y LICORERA MELCHOR</t>
  </si>
  <si>
    <t>SANTA RITA, NANDAYURE DETRAS DE SODA MELCHOR CANGELITO</t>
  </si>
  <si>
    <t>MINI SUPER LICORERA LA BOMBA 2</t>
  </si>
  <si>
    <t>NOSARA, NICOYA CONTIGUO A SUPER PALOMA  NOSARA</t>
  </si>
  <si>
    <t>MINI SUPER TAMALIKO</t>
  </si>
  <si>
    <t>SANTA CRUZ, SANTA CRUZ ROTONDA TAMARINDO  CONT.TAMASOL</t>
  </si>
  <si>
    <t>PULPERIA MAYE</t>
  </si>
  <si>
    <t>BAGACES, BAGACES 500S ESCUELA PUENTE QUEMADO</t>
  </si>
  <si>
    <t>PULPERIA LAS POLACAS</t>
  </si>
  <si>
    <t>LIBERIA, LIBERIA 300E 100S DE PLAZA MARTINA BUSTOS</t>
  </si>
  <si>
    <t>ABASTECEDOR ZONRRY</t>
  </si>
  <si>
    <t>SAN FRANCISCO, HEREDIA 100 ESTE U FIDELITAS</t>
  </si>
  <si>
    <t>CARIARI, POCOCI LA ESPERANZA CARIARI POCOCI</t>
  </si>
  <si>
    <t>PULPERIA DONOVAN</t>
  </si>
  <si>
    <t>BATAN, MATINA BATAAN SECTOR DAVAO ATRAS IGLESIA EVANGE</t>
  </si>
  <si>
    <t>SUPERMERCADO EL CAFETAL</t>
  </si>
  <si>
    <t>ASERRI, ASERRI 200 OESTE DELEGACION SALITRILLOS</t>
  </si>
  <si>
    <t>MINI SUPER COLON</t>
  </si>
  <si>
    <t>SAN JOSÉ GOICOECHEA GUADALUPE GUADALUPE FRENTE AL NEGOCIO PAJARO AZUL</t>
  </si>
  <si>
    <t>PARAISO, PARAISO 300 S INA LLANOS STA LUCIA</t>
  </si>
  <si>
    <t>SUPERMERCADO CELESTE #3</t>
  </si>
  <si>
    <t>LIMÓN POCOCI JIMENEZ FRENTE A PLAZA DEPORTES JIMENEZ</t>
  </si>
  <si>
    <t>ALAJUELA SAN CARLOS VENECIA LA UNION CONTIGUO A LAS CABINAS</t>
  </si>
  <si>
    <t>SUPER JOHAN</t>
  </si>
  <si>
    <t>BUENOS AIRES, PALMARES 25 ESTE ESCUELA BUENOS AIRES PALMARES</t>
  </si>
  <si>
    <t>GRECIA, GRECIA GUAYABAL LA ARENA CRUCE PILAS</t>
  </si>
  <si>
    <t>DRAGÓN OCHO OCHO</t>
  </si>
  <si>
    <t>DIRIA, SANTA CRUZ PLAZA LOS MANGOS  STA.CRUZ</t>
  </si>
  <si>
    <t>SANTIAGO, SAN RAFAEL 200 SUR HOTEL ROMA JARDINES 2</t>
  </si>
  <si>
    <t>SAN ISIDRO, LEON CORTES CASTRO CONT.BAR REST.NOMPLUS EL HOYON</t>
  </si>
  <si>
    <t>MINI SUPER ARENALES</t>
  </si>
  <si>
    <t>NOSARA, NICOYA DE SUPER VIDA 50 OESTE  NOSARA</t>
  </si>
  <si>
    <t>SAN PEDRO, POAS BARRIO SANTA CECILIA  COSTADO SUR DE</t>
  </si>
  <si>
    <t>SUPER LUCY</t>
  </si>
  <si>
    <t>EL ROSARIO, NARANJO COSTADO SUR DE LA DELEGACION DEL ROSARIO</t>
  </si>
  <si>
    <t>SUPER PUENTE DE LA ECONOMIA</t>
  </si>
  <si>
    <t>ALAJUELA SAN CARLOS LA TIGRA CONTIGUO PUENTE</t>
  </si>
  <si>
    <t>ABASTECEDOR SAN GERARDO</t>
  </si>
  <si>
    <t>ZAPOTAL_, NANDAYURE ZAPOTAL DE NANDAYURE 25 ESC.RIO ORA</t>
  </si>
  <si>
    <t>TRAMO DON CHICO</t>
  </si>
  <si>
    <t>LIBERIA, LIBERIA MERCADO MUNICIPAL LIBERIA</t>
  </si>
  <si>
    <t>ABASTECEDOR LA MELISSA</t>
  </si>
  <si>
    <t>HEREDIA SAN RAFAEL SAN RAFAEL BARRIO MELISSA EN SAN RAFAEL 200 OESTE</t>
  </si>
  <si>
    <t>MINI ONDE  NEGRO</t>
  </si>
  <si>
    <t>LIMÓN POCOCI CARIARI 100 SUR Y 100 ESTE DE ESC. CAROLINA</t>
  </si>
  <si>
    <t>RULETA S.A</t>
  </si>
  <si>
    <t>PUNTARENAS PUNTARENAS PUNTARENAS EN EL SERVICENTRO FULL EL COCAL PUNTAREN</t>
  </si>
  <si>
    <t>MINI SUPER 83</t>
  </si>
  <si>
    <t>MERCED, SAN JOSE B° CHINO COSTADO O EDIF AYA</t>
  </si>
  <si>
    <t>SHELSY</t>
  </si>
  <si>
    <t>PUNTARENAS PUNTARENAS BARRANCA ULTIMA ENTRADA  SEGUNDA ETAPA BOULEVAR</t>
  </si>
  <si>
    <t>SUPER PRIZE 2</t>
  </si>
  <si>
    <t>HEREDIA, HEREDIA 200 OESTE DEL REY GUARARI</t>
  </si>
  <si>
    <t>URUCA_, SANTA ANA FRENTE A HOSPITAL DEL TRAUMA LA URUKA</t>
  </si>
  <si>
    <t>MINI SUPER POZO AZUL</t>
  </si>
  <si>
    <t>BAHIA BALLENA, OSA DOMINICALITO URBANIZACION POZO AZUL</t>
  </si>
  <si>
    <t>ALAJUELA, ALAJUELA 75 NORTE DEL CORREO ALAJUELA</t>
  </si>
  <si>
    <t>SUPER ESTANQUILLOS</t>
  </si>
  <si>
    <t>JESUS, ATENAS CONTIGUO A SALON COMUNAL DE ESTANQUILLOS</t>
  </si>
  <si>
    <t>MINI SUPER SAN MARTIN  2</t>
  </si>
  <si>
    <t>NICOYA, NICOYA FRENTE AL PARQUE DE NICOYA  CONT.COPENAE</t>
  </si>
  <si>
    <t>LA CUEVITA</t>
  </si>
  <si>
    <t>HOSPITAL, SAN JOSE 100 S 700 O DE LA LEONIZA BARRIO POCHOTE</t>
  </si>
  <si>
    <t>MINI SUPER EL BUEN PRECIO</t>
  </si>
  <si>
    <t>SAN MIGUEL, DESAMPARADOS LOS GUIDOS SECTOR 8 DESPUES DEL PUENTE</t>
  </si>
  <si>
    <t>MINI SUPER OASIS  2</t>
  </si>
  <si>
    <t>HOSPITAL, SAN JOSE FT HERBALIFE PASEO COLON</t>
  </si>
  <si>
    <t>MINI SUPER CHEN</t>
  </si>
  <si>
    <t>LIMÓN LIMON LIMON BARRIO COCOS DE LA PLAZA 500 A LA DERECH</t>
  </si>
  <si>
    <t>GUSTAVOS PIZZERÍA</t>
  </si>
  <si>
    <t>SAN ISIDRO, LEON CORTES CASTRO 100 M OESTE DEL ESTADIO</t>
  </si>
  <si>
    <t>MINIMARKET LA CASA DEL GATO</t>
  </si>
  <si>
    <t>SAN ISIDRO, LEON CORTES CASTRO 50 MTS SUR IGLESIA CATOLICA B.LOMA VERDE</t>
  </si>
  <si>
    <t>MINI SUPER LUCERITO</t>
  </si>
  <si>
    <t>HEREDIA, HEREDIA 400 OESTE Y 100 SUR DE LA DELEGACION</t>
  </si>
  <si>
    <t>ABASTECEDOR EL AGUILA 2</t>
  </si>
  <si>
    <t>LIMON, LIMON 9 MILLAS  LIMON 2000</t>
  </si>
  <si>
    <t>SUPER 2000 INMACULADA</t>
  </si>
  <si>
    <t>QUEPOS, QUEPOS CONTIGUO A IGLESIA CATOLICA  INMACULADA</t>
  </si>
  <si>
    <t>MINI SUPER SAN BLAS  1</t>
  </si>
  <si>
    <t>CARTAGO CARTAGO SAN NICOLAS 100M O Y 150M N DE ESCUELA DE SAN BLAS</t>
  </si>
  <si>
    <t>ABASTECEDOR LINDA VISTA EL JARDIN</t>
  </si>
  <si>
    <t>CARTAGO CARTAGO SAN NICOLAS 300 O Y 200 S DE GAR</t>
  </si>
  <si>
    <t>SUPERMERCADO M Y L</t>
  </si>
  <si>
    <t>SAN JOSÉ TARRAZU SAN MARCOS 1 KM AL O DE LA COOPETERRAZU</t>
  </si>
  <si>
    <t>MINI SUPER Y LICORERA COMPRE BIEN</t>
  </si>
  <si>
    <t>NICOYA, NICOYA FRENTE CARNICERIA LA TEJA</t>
  </si>
  <si>
    <t>MINI SUPER DEL CARIBE</t>
  </si>
  <si>
    <t>GUAPILES, POCOCI LA MARINA 500 NORTE DEL PUENTE PEATONAL</t>
  </si>
  <si>
    <t>SUPER JENIFER</t>
  </si>
  <si>
    <t>SAN MIGUEL, DESAMPARADOS 300N COMISARIA LOS GUIDO CASA CUBA</t>
  </si>
  <si>
    <t>PULPERIA LA MARAVILLA</t>
  </si>
  <si>
    <t>ALAJUELA GRECIA GRECIA AL FRENTE DE LA CCSS GRECIA</t>
  </si>
  <si>
    <t>LICORERA JW</t>
  </si>
  <si>
    <t>HEREDIA HEREDIA HEREDIA 400 NORTE DE LA CASINO LA AURORA DE</t>
  </si>
  <si>
    <t>EL RECREO</t>
  </si>
  <si>
    <t>PARRITA, PARRITA 200MTS OESTE ESCUELA MATA PLATANO</t>
  </si>
  <si>
    <t>AGUACALIENTE O SAN F, CARTAGO 300 S DE LA IGLESIA DE AGUACALIENTE</t>
  </si>
  <si>
    <t>PULP FRUTE LIMAR</t>
  </si>
  <si>
    <t>ALAJUELA, ALAJUELA CONTIGUO A RURAL DE BRAZIL ALAJUELA</t>
  </si>
  <si>
    <t>LA ESPERANZA</t>
  </si>
  <si>
    <t>SAN MIGUEL, DESAMPARADOS 100N MINI SUPER JOLY LA CAPRI</t>
  </si>
  <si>
    <t>SUPERMERCADO NUMERO 1</t>
  </si>
  <si>
    <t>PUERTO VIEJO, SARAPIQUI 200 OESTE DE LA ESCUELA CRISTO REY</t>
  </si>
  <si>
    <t>LAS HORQUETAS, SARAPIQUI FRENTE A PLAZA DE DEPORTES</t>
  </si>
  <si>
    <t>SUPERMERCADO LA PRIMAVERA</t>
  </si>
  <si>
    <t>SAN JOSÉ DOTA SANTA MARIA 100M O DEL PARQUE STA MARIA</t>
  </si>
  <si>
    <t>ABASTECEDOR LOS TEQUES</t>
  </si>
  <si>
    <t>ALAJUELA, ALAJUELA PARADA BUSES PUEBLO NUEVO 25 SUR</t>
  </si>
  <si>
    <t>MINI SUPER Y LICORERA RYC</t>
  </si>
  <si>
    <t>BUENOS AIRES, BUENOS AIRES 50 MTS DE LICORERA G Y A EL ALTO</t>
  </si>
  <si>
    <t>TICO MARKET #2</t>
  </si>
  <si>
    <t>SAN ISIDRO, LEON CORTES CASTRO 300 MTS NORTE DEL BAR LOS MORA</t>
  </si>
  <si>
    <t>PULPERIA LA DIETETICA</t>
  </si>
  <si>
    <t>URUCA_, SANTA ANA 200 N 100 O DE RICALIT</t>
  </si>
  <si>
    <t>TRAMO EL ZARCEREÑO</t>
  </si>
  <si>
    <t>PUNTARENAS GARABITO JACO 25 OESTE DE LA MUNICIPALIDAD DE JACO</t>
  </si>
  <si>
    <t>ALMACEN FLOR DE CHINA BATAAN</t>
  </si>
  <si>
    <t>BATAN, MATINA FRENTE A PLAZA DE DEPORTES MONTE LIBANO</t>
  </si>
  <si>
    <t>DULCERIA BETTEL</t>
  </si>
  <si>
    <t>QUESADA, SAN CARLOS LOCAL 32 PLAZA SAN CARLOS</t>
  </si>
  <si>
    <t>MINI SUPER SAM</t>
  </si>
  <si>
    <t>PARRITA, PARRITA RIO SECO   FRENTE A CEMENTERIO</t>
  </si>
  <si>
    <t>SUPER SAM ISIDRO</t>
  </si>
  <si>
    <t>CARTAGO EL GUARCO SAN ISIDRO FRENTE A LA PLAZA DEPORTES SAN ISIDRO</t>
  </si>
  <si>
    <t>DULCE NOMBRE, CARTAGO 500M S MADERAS TURRIALBA</t>
  </si>
  <si>
    <t>PULP EL DONCITO</t>
  </si>
  <si>
    <t>LA SUIZA, TURRIALBA 200 S ESC. ESLAVON  TURRIALBA</t>
  </si>
  <si>
    <t>SUPER DEREK</t>
  </si>
  <si>
    <t>HOSPITAL, SAN JOSE 75 N BOMBA LA CASTELLANO PARADAS DE POAS</t>
  </si>
  <si>
    <t>SUPER PUEBLO</t>
  </si>
  <si>
    <t>PARAMO, PEREZ ZELEDON FRT SALON MULT. SAN RAMON SUR</t>
  </si>
  <si>
    <t>SÚPER EL CRUCE LLANO BONITO</t>
  </si>
  <si>
    <t>LIMÓN POCOCI CARIARI LLANO BONITO FRENTE PULPERIA EL CRUCE</t>
  </si>
  <si>
    <t>SUPER HUETARES</t>
  </si>
  <si>
    <t>LAS HORQUETAS, SARAPIQUI ENTRADA A HUETARES</t>
  </si>
  <si>
    <t>SUPER D Y D  2</t>
  </si>
  <si>
    <t>QUESADA, SAN CARLOS LA PIÑATA CEDRAL</t>
  </si>
  <si>
    <t>BUNASTARE</t>
  </si>
  <si>
    <t>ALAJUELA SAN CARLOS LA FORTUNA 20 NORTE DEL BN FORTUNA</t>
  </si>
  <si>
    <t>MINI SUPER NANDAYURE</t>
  </si>
  <si>
    <t>CARMONA, NANDAYURE 100 ESTE DE LA ESCUELA NANDAYURE CENTRO</t>
  </si>
  <si>
    <t>ABAST YARE</t>
  </si>
  <si>
    <t>SAN FRANCISCO DE DOS, SAN JOSE 100 ESTE DE LA CAPILLA DEL BOSQUE</t>
  </si>
  <si>
    <t>PULPERIA LA QUEBRADITA</t>
  </si>
  <si>
    <t>SAN JOSÉ SANTA ANA SALITRAL SALITRAL STA ANA FRENTE REFUGIO DE</t>
  </si>
  <si>
    <t>SURTIMAX</t>
  </si>
  <si>
    <t>SAN VICENTE, MORAVIA 50 S PLAZA LOS COLEGIOS</t>
  </si>
  <si>
    <t>FILADELFIA, CARRILLO CONTIGUO M EXPRESS FILADELFIA</t>
  </si>
  <si>
    <t>PULPERIA UN NUEVO AMANECER</t>
  </si>
  <si>
    <t>LIBERIA, LIBERIA CONTIGUO BARRIO MARTINA BUSTOS</t>
  </si>
  <si>
    <t>PULPERIA CHOLY</t>
  </si>
  <si>
    <t>SAN ISIDRO, SAN ISIDRO 1 K S PLAZA SANTA ROSA</t>
  </si>
  <si>
    <t>COMERCIAL SAN PABLO</t>
  </si>
  <si>
    <t>SAN PABLO, BARVA 150 NORTE DE LA ESC DE SAN PABLO</t>
  </si>
  <si>
    <t>EL OLIVO EXPRESS</t>
  </si>
  <si>
    <t>SAN JOSÉ SANTA ANA SANTA ANA BAJO HONDURAS SANTA ANA SAN JOSE</t>
  </si>
  <si>
    <t>SUPER EL FAMILION</t>
  </si>
  <si>
    <t>SAN JOSÉ PEREZ ZELEDON LA AMISTAD 150 MTS SUR ESCUELA SAN CARLOS</t>
  </si>
  <si>
    <t>PULPERIA LOS ALMENDROS</t>
  </si>
  <si>
    <t>GUAYCARA, GOLFITO LA ESPERANZA  200 ESTE DE LA ESCUELA</t>
  </si>
  <si>
    <t>CARTAGO ALVARADO CERVANTES 150M N DE LA IGLESIA CAT SANTIAGO</t>
  </si>
  <si>
    <t>ABASTECEDOR DULCE NOMBRE</t>
  </si>
  <si>
    <t>TIERRA BLANCA, CARTAGO 600 S DEL CALVARIO TIERRA BLANCA</t>
  </si>
  <si>
    <t>MINI SUPER LA LUCHA</t>
  </si>
  <si>
    <t>SAN ISIDRO, LEON CORTES CASTRO B.LA LUCHA 2DA ENTRADA 300M N.</t>
  </si>
  <si>
    <t>SUPER GRANADILLA</t>
  </si>
  <si>
    <t>GRANADILLA, CURRIDABAT 800 O DE IGL.CATOLICA</t>
  </si>
  <si>
    <t>SUPER OFERMAS</t>
  </si>
  <si>
    <t>URUCA_, SANTA ANA 100 ESTE DE LA COMISARIA LA CARPIO</t>
  </si>
  <si>
    <t>MINI SUPER PACUAR</t>
  </si>
  <si>
    <t>SAN JOSÉ PEREZ ZELEDON DANIEL FLORES JUNTAR DE PACUAR</t>
  </si>
  <si>
    <t>MINI SUPER LA VALERIA</t>
  </si>
  <si>
    <t>CARTAGO PARAISO CACHI 75 ANTES DE LA REPRESA AJENJAL</t>
  </si>
  <si>
    <t>MINI SUPER ARCE</t>
  </si>
  <si>
    <t>PUERTO VIEJO, SARAPIQUI FLAMINIA CONTIGUO BAR MACHACA</t>
  </si>
  <si>
    <t>BRISAS DEL TEMPISQUE</t>
  </si>
  <si>
    <t>NICOYA, NICOYA 700 SUROESTE PLAZA DEP.POZO DE AGUA</t>
  </si>
  <si>
    <t>DISTRIBUIDORA MEKADDESH</t>
  </si>
  <si>
    <t>IPIS, GOICOECHEA IPIS URB.EL PROGRESO FRENTE AL COMUNAL</t>
  </si>
  <si>
    <t>SUPER ARTURO</t>
  </si>
  <si>
    <t>PUNTARENAS GARABITO JACO 800 METROS SUR DE LA MUNICIPALIDAD</t>
  </si>
  <si>
    <t>SUPER LA AMISTAD LONDRES</t>
  </si>
  <si>
    <t>NARANJITO, QUEPOS LONDRES CONTIGUO A LA ESCUELA</t>
  </si>
  <si>
    <t>MINI SUPER MAREAS</t>
  </si>
  <si>
    <t>BAHIA BALLENA, OSA UVITA CALLE COLONIA HOTEL TEKAL</t>
  </si>
  <si>
    <t>MINI SUPER LA PERLA DEL SUR</t>
  </si>
  <si>
    <t>GUADALUPE O ARENILLA, CARTAGO COSTADO OESTE DELK BAR LA UVITA</t>
  </si>
  <si>
    <t>SUPERMERCADO EL CRUCE</t>
  </si>
  <si>
    <t>PEJIBAYE, PEREZ ZELEDON EN EL CRUCE DE MOLLEJONES</t>
  </si>
  <si>
    <t>E Y M MINISUPER</t>
  </si>
  <si>
    <t>GUANACASTE ABANGARES SAN JUAN FRENTE PLAZA AZUL</t>
  </si>
  <si>
    <t>MINI SÚPER JIREH</t>
  </si>
  <si>
    <t>LA CRUZ, LA CRUZ 50 SUR EBAIS B VILLA BURGOS</t>
  </si>
  <si>
    <t>PULPERIA KEY</t>
  </si>
  <si>
    <t>SIQUIRRES, SIQUIRRES CAIRO EL QUEBRADOR EN SIQUIRRES</t>
  </si>
  <si>
    <t>DANIEL MONGE Q</t>
  </si>
  <si>
    <t>ASERRI, ASERRI CONTIGUO TERMINAL BUSES DE PAOS ASERRI</t>
  </si>
  <si>
    <t>GUAPILES, POCOCI BARRIO LAS PALMAS GUAPILES</t>
  </si>
  <si>
    <t>POCORA, GUACIMO FRENTE A COMERCIAL POCORA</t>
  </si>
  <si>
    <t>MINI SUPER MANOLOS</t>
  </si>
  <si>
    <t>SAN ISIDRO, LEON CORTES CASTRO CAMINO A PAVONES CONTIGUO CANCHA SINTETI</t>
  </si>
  <si>
    <t>INVERSIONES CW STAR ORIENTAL S.R.L</t>
  </si>
  <si>
    <t>GRECIA, GRECIA 200 NORTE PLAZA LOS PINOS GRECIA</t>
  </si>
  <si>
    <t>SUPER A y C</t>
  </si>
  <si>
    <t>AGUAS ZARCAS, SAN CARLOS FRENTE A ESCUELA PITALITO</t>
  </si>
  <si>
    <t>DESAMPARADITOS, PURISCAL FRENTE AL TEMPLO CATOLICO DESAMPARADOS</t>
  </si>
  <si>
    <t>MINI SUPER Y LICORERA BARBA ROJA</t>
  </si>
  <si>
    <t>ALAJUELA, ALAJUELA ALAJUELA 100 NORTE BAC SAN JOSE ALAJUELA</t>
  </si>
  <si>
    <t>NOSARA, NICOYA CONTIGUO A LA CRUZ ROJA DE NOSARA</t>
  </si>
  <si>
    <t>ALAJUELA, ALAJUELA 100 ESTE Y 200 SUR Y 200 ESTE DE LA</t>
  </si>
  <si>
    <t>SUPER PALMA</t>
  </si>
  <si>
    <t>GUANACASTE CAÑAS CAÑAS 300N DE MERCADO MUNICIPAL CAÑAS</t>
  </si>
  <si>
    <t>ABASTECEDOR EL BIENESTAR</t>
  </si>
  <si>
    <t>URUCA_, SANTA ANA DEL EBAIS 50 SUR Y 75 OESTE</t>
  </si>
  <si>
    <t>SUPER SALAS</t>
  </si>
  <si>
    <t>HEREDIA HEREDIA HEREDIA 300 NORTE Y 175 OESTE DE LA ENTRADA</t>
  </si>
  <si>
    <t>MINI SUPER EL EXITO</t>
  </si>
  <si>
    <t>HEREDIA, HEREDIA 100 NORTE Y 75 OESTE DEL HOSPITAL DE</t>
  </si>
  <si>
    <t>FULL MINI MARKET</t>
  </si>
  <si>
    <t>QUEPOS, QUEPOS 300MTS SUR DEL CTP DE QUEPOS</t>
  </si>
  <si>
    <t>SUPER BONANZA  3</t>
  </si>
  <si>
    <t>LIMON, LIMON MATINA B-LINE FRENTE A RECOPE</t>
  </si>
  <si>
    <t>MINI SUPER SAN ISIDRO</t>
  </si>
  <si>
    <t>CARTAGO ALVARADO CERVANTES BARRIO SAN ISISDRO  ENTRADA PRINCIPAL</t>
  </si>
  <si>
    <t>CENTRAL DE COMPRA ALAJUELITA</t>
  </si>
  <si>
    <t>ALAJUELITA, ALAJUELITA COSTADO OESTE DEL PARQUE ALAJUELITA</t>
  </si>
  <si>
    <t>MINI SUPER Y LICORERA OAX</t>
  </si>
  <si>
    <t>ALAJUELA SAN RAMON PIEDADES NORTE COSTADO SUR DE LA IGLESIA DE PIEDADES</t>
  </si>
  <si>
    <t>MINI SUPER SIR Y JEAM</t>
  </si>
  <si>
    <t>LA TIGRA, SAN CARLOS 800 NORTE DEL COLEGIO VALLE AZUL</t>
  </si>
  <si>
    <t>MINI SUPER HERMANOS RA</t>
  </si>
  <si>
    <t>NARANJITO, QUEPOS LONDRES-CRUCE DE LA GALEBA BAR 100MT SUR</t>
  </si>
  <si>
    <t>CARTAGO OREAMUNO COT 200 S DE LA CAPILLA DE VELACION COT</t>
  </si>
  <si>
    <t>PULPERIA CELESTE</t>
  </si>
  <si>
    <t>LIMON, LIMON COMUNIDAD DE AGUAS ZARCAS</t>
  </si>
  <si>
    <t>CARIARI, POCOCI A UN COSTADO DE PLAY INFANTIL</t>
  </si>
  <si>
    <t>J Y A MINISUPER</t>
  </si>
  <si>
    <t>LIBERIA, LIBERIA 600S 100E DE ESCUELA CIUDAD BLANCA</t>
  </si>
  <si>
    <t>PULPERIA FATIMA</t>
  </si>
  <si>
    <t>ALAJUELA, ALAJUELA 150 ESTE DEL CENTRO NUTRICION  EL ERIZO</t>
  </si>
  <si>
    <t>MINI SUPER LA AMISTAD WB</t>
  </si>
  <si>
    <t>CONCEPCION, SAN RAMON 300 NORTE DE LA BOMBA DE RIO GRANDE</t>
  </si>
  <si>
    <t>ABIGAIL VARELA CASTILLO</t>
  </si>
  <si>
    <t>CARRIZAL, ALAJUELA FRENTE AL COLEGIO DE CARRIZAL</t>
  </si>
  <si>
    <t>MINI SUPER NUEVA ASIA</t>
  </si>
  <si>
    <t>HOSPITAL, SAN JOSE SJ CENTRAL HOSPITAL BARRIO CUBA FRENTE</t>
  </si>
  <si>
    <t>MINI SUPER MARGARETH</t>
  </si>
  <si>
    <t>RIVAS, PEREZ ZELEDON PUEBLO NUEVO DE RIVAS FRENTE A LA ESC.</t>
  </si>
  <si>
    <t>EKOMARKET 365</t>
  </si>
  <si>
    <t>CARTAGO EL GUARCO SAN ISIDRO FT ESCUELA HIGUITO EL GUARCO</t>
  </si>
  <si>
    <t>SUPER CHICUA</t>
  </si>
  <si>
    <t>CARTAGO OREAMUNO POTRERO CERRADO FRENTE A LA PLAZA DE SAN JUAN DE CHICUA</t>
  </si>
  <si>
    <t>MINI SUPER BREQUIS</t>
  </si>
  <si>
    <t>SANTIAGO, PURISCAL 400 ESTE DEL PARQUE DE PURISCAL</t>
  </si>
  <si>
    <t>GRUPO DESCUENTOCR SOCIEDAD</t>
  </si>
  <si>
    <t>ALAJUELA SAN MATEO SAN MATEO LABRADOR  DIAGONAL A LA PLAZA DE FUTBOL</t>
  </si>
  <si>
    <t>ALAJUELA, ALAJUELA URBANIZACION MONTERROCOSO COYOL ALAJUELA</t>
  </si>
  <si>
    <t>MINI MARKET DEL PACIFICO</t>
  </si>
  <si>
    <t>PUNTARENAS GARABITO JACO CONTIGUO A SODA GARABITO</t>
  </si>
  <si>
    <t>LA PUL-P</t>
  </si>
  <si>
    <t>LIBERIA, LIBERIA 300S ENTRADA PRINCIPAL INVU CASA 11</t>
  </si>
  <si>
    <t>ABASTECEDOR LA PRIMAVERA</t>
  </si>
  <si>
    <t>GUAYCARA, GOLFITO BAMBEL  2  FRENTE A LA PLAZA DE</t>
  </si>
  <si>
    <t>PITAL, SAN CARLOS 200 NOROESTE DE LA ESCUELA PUERTOESCONDI</t>
  </si>
  <si>
    <t>ABASTECEDOR ARGENTINA</t>
  </si>
  <si>
    <t>HOSPITAL, SAN JOSE SJ CRISTO REY 100 S 300 O ESCUELA</t>
  </si>
  <si>
    <t>PEÑAS BLANCAS, SAN RAMON 600 SUR DE ENTRADA CERRO ALEGRE</t>
  </si>
  <si>
    <t>ABAST CHAPULTEPEC N 2</t>
  </si>
  <si>
    <t>GUADALUPE, GOICOECHEA 100 N 50 O DE CRUZ ROJA</t>
  </si>
  <si>
    <t>MINI SUPER MALAKOS</t>
  </si>
  <si>
    <t>SAN RAFAEL ABAJO, DESAMPARADOS 400S DE LA MCDONALDS SAN RAFA ABAJO</t>
  </si>
  <si>
    <t>SUPER DK2</t>
  </si>
  <si>
    <t>ALAJUELA SAN MATEO SAN MATEO FRENTE PLAZA DE FUTBOL</t>
  </si>
  <si>
    <t>TITO CAMARENO T SRL</t>
  </si>
  <si>
    <t>LIBERIA, LIBERIA 625E DEL PALACIO MUNICIPAL LIBERIA</t>
  </si>
  <si>
    <t>SUPERMERCADO LA GUACIMA</t>
  </si>
  <si>
    <t>ALAJUELA ALAJUELA GUACIMA LA GUACIMA 300 OESTE BAR OTTO'S</t>
  </si>
  <si>
    <t>SUPER EL LLANO</t>
  </si>
  <si>
    <t>SANTA CRUZ, SANTA CRUZ 50S DE PLAZA DE FUTBOL EL LLANO</t>
  </si>
  <si>
    <t>LA PUILPERIA EL MANGO</t>
  </si>
  <si>
    <t>BOLSON, SANTA CRUZ 50E SALON COMUNAL ORTEGA</t>
  </si>
  <si>
    <t>MINI SUPER JURVAL</t>
  </si>
  <si>
    <t>SAN JOSÉ GOICOECHEA RANCHO REDONDO 25 E DE LA PARADA BUSES ZETILLAL</t>
  </si>
  <si>
    <t>INVERSIONES HERMANOS ARAGON S.A.</t>
  </si>
  <si>
    <t>CARIARI, POCOCI DIAGONAL N DE SUPER CARIARI AHORRO.</t>
  </si>
  <si>
    <t>ALAJUELA ALAJUELA SAN JOSE 400 METROS ESTE DE DISTRIBUIDORA LA GUAR</t>
  </si>
  <si>
    <t>MINISUPER Y LICORERA EL ZARPE</t>
  </si>
  <si>
    <t>SARDINAL, CARRILLO CONTIGUO CRUZ ROJA SARDINAL</t>
  </si>
  <si>
    <t>SAZON Y SABOR SOCIEDAD DE</t>
  </si>
  <si>
    <t>LA RIBERA, BELEN ZONA FRANCA AMERICA EDIFICIO E</t>
  </si>
  <si>
    <t>MINI MARKET AVELLANAS</t>
  </si>
  <si>
    <t>SANTA CRUZ, SANTA CRUZ 100 ESTE DE LA COSTA  PLAYA AVELLANAS</t>
  </si>
  <si>
    <t>DULCE NOMBRE DE JESU, VAZQUEZ DE CORONADO DULCE NOMBRE DE CORONADO</t>
  </si>
  <si>
    <t>SARDINAL, CARRILLO DIAGONAL ESCUELA COMUNIDAD</t>
  </si>
  <si>
    <t>EL SOL</t>
  </si>
  <si>
    <t>ASERRI, ASERRI LAS MERCEDES ASERRI</t>
  </si>
  <si>
    <t>MINISUPER FINCA ZENT</t>
  </si>
  <si>
    <t>LIMON, LIMON FINCA ZENT</t>
  </si>
  <si>
    <t>DELFIN BARRANTES ROJAS</t>
  </si>
  <si>
    <t>SAMARA, NICOYA 350 NORTE DEL RESTAURANTE LA CATRINA</t>
  </si>
  <si>
    <t>SÚPER LILI BRASILITO</t>
  </si>
  <si>
    <t>CABO VELAS, SANTA CRUZ 125 ESTE DEL PUENTE DE PLAYA BRASILITO</t>
  </si>
  <si>
    <t>MINI SUPER ECOMAK</t>
  </si>
  <si>
    <t>SAN ISIDRO, SAN ISIDRO SAN ISIDRO DE HEREDIA</t>
  </si>
  <si>
    <t>MINISUPER LA NUEVA PERLA</t>
  </si>
  <si>
    <t>LIBERIA, LIBERIA 100N DE ENTRADA CURUBANDE</t>
  </si>
  <si>
    <t>LICORERA JKA</t>
  </si>
  <si>
    <t>CABO VELAS, SANTA CRUZ COSTADO SUR DE LA PLAZA</t>
  </si>
  <si>
    <t>AUTO LICORES SAN PEDRO</t>
  </si>
  <si>
    <t>CURRIDABAT, CURRIDABAT JOSE MARIA ZELEDON</t>
  </si>
  <si>
    <t>PULPERÍA MALU</t>
  </si>
  <si>
    <t>CARRANDI, MATINA 25 SUR Y 30 MT ESTE DEL COLEGIO DE VENEC</t>
  </si>
  <si>
    <t>GOURMET MARKET</t>
  </si>
  <si>
    <t>PUNTARENAS GARABITO JACO PUNTARENAS GARABITO JACO</t>
  </si>
  <si>
    <t>PULPERIA LA ENTRADITA</t>
  </si>
  <si>
    <t>LA CRUZ, LA CRUZ CUAJINIQUIL DEL.PUENTE BEILY 75  OESTE</t>
  </si>
  <si>
    <t>SUPERMERCADO BUENA FORTUNA</t>
  </si>
  <si>
    <t>MERCEDES, HEREDIA 150 MTS DEL BAR ESPAÑA MERCEDES NORTE</t>
  </si>
  <si>
    <t>MINI SUPER LOS CAFETOS</t>
  </si>
  <si>
    <t>SAN FRANCISCO, HEREDIA 500 NORTE DE LA DELEGACIÓN AURORA</t>
  </si>
  <si>
    <t>SUPER EXTRAMAX</t>
  </si>
  <si>
    <t>DULCE NOMBRE DE JESU, VAZQUEZ DE CORONADO DULCE NOMBRE  DE CORONADO</t>
  </si>
  <si>
    <t>GANE N1</t>
  </si>
  <si>
    <t>HOSPITAL, SAN JOSE 150 S PARQUE GARANTÍAS SOCIALES</t>
  </si>
  <si>
    <t>MINI SUPER CURRIDABAT</t>
  </si>
  <si>
    <t>CURRIDABAT, CURRIDABAT CURRIDABAT</t>
  </si>
  <si>
    <t>SUPER DRAGON SANTA BARBARA</t>
  </si>
  <si>
    <t>SANTA BARBARA, SANTA BARBARA 150 OESTE PARQUE SANTA BARBARA</t>
  </si>
  <si>
    <t>MERCED, SAN JOSE BARRIO CLARETH 20 SUROESTE DE LA CAPILLA</t>
  </si>
  <si>
    <t>SUPERMERCADO JORMA</t>
  </si>
  <si>
    <t>ALAJUELA ALAJUELA GUACIMA DE AUTOMERCADO 500 E LA GUACIMA DE ALAJU</t>
  </si>
  <si>
    <t>SUPER KING</t>
  </si>
  <si>
    <t>SARDINAL, CARRILLO PLAYAS DEL COCO</t>
  </si>
  <si>
    <t>ABAST EL ROSARIO</t>
  </si>
  <si>
    <t>EL ROSARIO, NARANJO EL ROSARIO DE NARANJO</t>
  </si>
  <si>
    <t>ABASTECEDOR Y LICORERA MURILLOS</t>
  </si>
  <si>
    <t>PEJIBAYE, PEREZ ZELEDON PEJIBAYE CENTRO</t>
  </si>
  <si>
    <t>MINI SUPER LA CAMPEONA</t>
  </si>
  <si>
    <t>SAN GABRIEL, ASERRI ASERRI SAN GABRIEL</t>
  </si>
  <si>
    <t>SAN DIEGO, LA UNION SAN DIEGO TRES RIOS CALLE GIRALES</t>
  </si>
  <si>
    <t>MINI SUPER MONTES</t>
  </si>
  <si>
    <t>CHIRES, PURISCAL PURISCAL</t>
  </si>
  <si>
    <t>PULPERIA LOS CALEROS</t>
  </si>
  <si>
    <t>LIMÓN POCOCI CARIARI EN MARAVILLA A UN COSTADO DE LA PLAZA DE</t>
  </si>
  <si>
    <t>SUPER CUCO</t>
  </si>
  <si>
    <t>AGUAS ZARCAS, SAN CARLOS 100MTS NORTE DE SUPER LUZ EN AGUA ZARCAS</t>
  </si>
  <si>
    <t>ESTACION DE SERVICIO GS LA</t>
  </si>
  <si>
    <t>BAHIA BALLENA, OSA 2 KMS AL SUR DEL PUENTE SOBRE EL RIO UVI</t>
  </si>
  <si>
    <t>PULPERIA EL PINGUINO</t>
  </si>
  <si>
    <t>ATENAS, ATENAS 200 OESTE DEL COLEGIO DE ATENAS</t>
  </si>
  <si>
    <t>ABASTECEDOR DEL ESTE  CEDROS</t>
  </si>
  <si>
    <t>SABANILLA, MONTES DE OCA FRENTE A CARNICERÍA CEDROS</t>
  </si>
  <si>
    <t>MINI SUPER Y LICORERA LAS MALVINAS</t>
  </si>
  <si>
    <t>LA CRUZ, LA CRUZ LA CRUZ</t>
  </si>
  <si>
    <t>MINI SUPER Y LICORERA YOI</t>
  </si>
  <si>
    <t>GUAPILES, POCOCI CRUCE SAN MIGUEL, LA COLONIA</t>
  </si>
  <si>
    <t>MINI SUPER MAPACHO</t>
  </si>
  <si>
    <t>EL TEJAR, EL GUARCO 25 S BAR LA BARCELONA</t>
  </si>
  <si>
    <t>SÚPER DOÑA BLANCA</t>
  </si>
  <si>
    <t>SAN JOSE DE LA MONTA, BARVA URBANIZACIÓN DOÑA BLANCA</t>
  </si>
  <si>
    <t>PUL FLAVIA</t>
  </si>
  <si>
    <t>TAMBOR, ALAJUELA CACAO</t>
  </si>
  <si>
    <t>MINI SUPER Y LICORERA GUADALUPE</t>
  </si>
  <si>
    <t>RIVAS, PEREZ ZELEDON GUADALUPE DE RIVAS</t>
  </si>
  <si>
    <t>MINI SUPER Y LICORES A Y M</t>
  </si>
  <si>
    <t>DANIEL FLORES, PEREZ ZELEDON LA SUIZA</t>
  </si>
  <si>
    <t>SÚPER LA BOMBA</t>
  </si>
  <si>
    <t>SANTIAGO, PURISCAL PURISCAL</t>
  </si>
  <si>
    <t>LA BODEQUITA</t>
  </si>
  <si>
    <t>HEREDIA SANTO DOMINGO SANTA ROSA SANTA ROSA</t>
  </si>
  <si>
    <t>MINISUPER LA OCHO TRES</t>
  </si>
  <si>
    <t>SAN JOSECITO, SAN RAFAEL 200 NORTE DE LA IGLESIA SAN JOSECITO</t>
  </si>
  <si>
    <t>SUPER HENRY</t>
  </si>
  <si>
    <t>PARRITA, PARRITA 50 METROS OESTE DE LA ESCUELA PLAYON SUR</t>
  </si>
  <si>
    <t>COMERCIALIZADORA FERTINYC S.A</t>
  </si>
  <si>
    <t>CRP448</t>
  </si>
  <si>
    <t>ALAJUELA LOS CHILES LOS CHILES SAN PABLO LOS CHILES 600 N DE LA ESCUELA</t>
  </si>
  <si>
    <t>FONDA MONTE LIBANO</t>
  </si>
  <si>
    <t>CARRANDI, MATINA FINCA MONTE LIBANO BATAN</t>
  </si>
  <si>
    <t>SUPER K&amp;D</t>
  </si>
  <si>
    <t>PUNTARENAS OSA PALMAR CORTEZ</t>
  </si>
  <si>
    <t>M. S  VALENTINA</t>
  </si>
  <si>
    <t>CARMEN, SAN JOSE BANCO NACIONAL MATUTE GOMEZ 25 NORTE</t>
  </si>
  <si>
    <t>MINI SUPER LING</t>
  </si>
  <si>
    <t>RITA, POCOCI 25 ESTE DE LA ESCUELA TICABAN</t>
  </si>
  <si>
    <t>RESTAURANTE OLIVA Y ESPECIAS</t>
  </si>
  <si>
    <t>ZAPOTE, SAN JOSE ZAPOTE DENTRO DE LAS INSTALACIONES DEL C</t>
  </si>
  <si>
    <t>MACOY FOOD</t>
  </si>
  <si>
    <t>ANSELMO LLORENTE, TIBAS DEÑ ICE DE COLIMA 50 ESTE</t>
  </si>
  <si>
    <t>MINI SUPER SANTA CLARA</t>
  </si>
  <si>
    <t>FLORENCIA, SAN CARLOS 500 MTS NORTE DE LA PLAZA SANTA CLARA</t>
  </si>
  <si>
    <t>MINI SUPER ISABEL</t>
  </si>
  <si>
    <t>SANTA LUCIA, BARVA 200 ESTE DEL AM PM DE SANTA LUCÍA</t>
  </si>
  <si>
    <t>MINI SUPER Y LICORERA LA TERMINAL</t>
  </si>
  <si>
    <t>PUNTARENAS PUNTARENAS PUNTARENAS PUNTARENAS, BARRIO DEL CARMEN</t>
  </si>
  <si>
    <t>MINI SUPER DUACARI 1</t>
  </si>
  <si>
    <t>DUACARI, GUACIMO DE  LA ESCUELA MATA LIMÓN 1 1 K Y MEDIO</t>
  </si>
  <si>
    <t>SUPER Y LICORERA EL PRADO</t>
  </si>
  <si>
    <t>SAN ISIDRO, LEON CORTES CASTRO CUARTA ENTRADA DEL PRADO, AL</t>
  </si>
  <si>
    <t>MINISUPER LA ESQUINA</t>
  </si>
  <si>
    <t>SAN FRANCISCO, GOICOECHEA DEL CORREO DE COSTA RICA 100 OESTE</t>
  </si>
  <si>
    <t>MINI SUPER CALA</t>
  </si>
  <si>
    <t>PAVAS, SAN JOSE SAN JOSE, PAVAS</t>
  </si>
  <si>
    <t>EL CAIRO, SIQUIRRES 100 OESTE DE LA PLAZA MILANO</t>
  </si>
  <si>
    <t>TINGOS PURA VIDA MINI SUPER Y</t>
  </si>
  <si>
    <t>GOLFITO, GOLFITO COSTADO NOROESTE DE MIGRACION</t>
  </si>
  <si>
    <t>SUPER JACKY</t>
  </si>
  <si>
    <t>SAN FRANCISCO DE DOS, SAN JOSE DIAGONAL VMA SAN FRANCISCO</t>
  </si>
  <si>
    <t>PULPERIA GMK</t>
  </si>
  <si>
    <t>BATAN, MATINA BATAN DETRAS DE PANADERIA SAN ANTONIO</t>
  </si>
  <si>
    <t>MINI SUPER ANAYESCA</t>
  </si>
  <si>
    <t>LIMON, LIMON BARRIO LIMONCITO.</t>
  </si>
  <si>
    <t>SUPER BUENO</t>
  </si>
  <si>
    <t>SAN JERONIMO, MORAVIA DIAGONAL A LA IGLESIA DE SAN JERÓNIMO DE</t>
  </si>
  <si>
    <t>ABASTECEDOR DOÑA BLANCA</t>
  </si>
  <si>
    <t>SAN JOSÉ ALAJUELITA SAN FELIPE SAN FELIPE LA CORINA</t>
  </si>
  <si>
    <t>PULPERÍA LAS GRADAS</t>
  </si>
  <si>
    <t>SAN JOSÉ SANTA ANA URUCA_ ROSITES CARBALLO LOS MANZANOS</t>
  </si>
  <si>
    <t>SANTA LUCIA, BARVA 400 ESTE DEL BAR ITALIA</t>
  </si>
  <si>
    <t>SUPER GRUPOS UNIDOS CERRO CORTEZ</t>
  </si>
  <si>
    <t>ALAJUELA SAN CARLOS QUESADA 900M ESTE SERVICENTRO CERRO CORTEZ</t>
  </si>
  <si>
    <t>PULPERIA LA OFERTA</t>
  </si>
  <si>
    <t>HATILLO, SAN JOSE 300 OESTE INA HATILLO AGUANTAFILO</t>
  </si>
  <si>
    <t>MEME PAJARITO 2</t>
  </si>
  <si>
    <t>BRASIL, SANTA ANA SAN JOSE SANTA ANA BRASIL</t>
  </si>
  <si>
    <t>LICORERA Y SNACK'S TERRANOVA</t>
  </si>
  <si>
    <t>SAN CRISTOBAL, DESAMPARADOS 800 METROS OESTE DE LA ENTRADA FINCA</t>
  </si>
  <si>
    <t>SUPER LOS JOCOTES</t>
  </si>
  <si>
    <t>FILADELFIA, CARRILLO FRENTE A SÚPER AMBROSIO BARRIO LOS JOCOT</t>
  </si>
  <si>
    <t>EL MIRTO</t>
  </si>
  <si>
    <t>PULPERIA ZAID</t>
  </si>
  <si>
    <t>GERMANIA, SIQUIRRES 100 NORTE DE LA ESCUELA GERMANÍA 1</t>
  </si>
  <si>
    <t>LESTER ARROYO VILLALOBOS</t>
  </si>
  <si>
    <t>GUACIMO, GUACIMO SAN LUIS</t>
  </si>
  <si>
    <t>RIO JIMENEZ, GUACIMO VILLA FRANCA</t>
  </si>
  <si>
    <t>TRAMO EL CARTAGO LIBERIA SRL</t>
  </si>
  <si>
    <t>LIBERIA, LIBERIA 100 N Y 25 O DE LA MUNICIPALIDAD</t>
  </si>
  <si>
    <t>PULP YIRETH</t>
  </si>
  <si>
    <t>LIMÓN LIMON VALLE LA ESTRELLA NUEBA CARTAJENA CASA NUMERO 15</t>
  </si>
  <si>
    <t>MINISUPER Y LICORERA LOS OLIVOS</t>
  </si>
  <si>
    <t>LIMÓN POCOCI CARIARI FRENTE AL SALÓN COMUNAL DEL CEIBO</t>
  </si>
  <si>
    <t>REGALO DE DIOS</t>
  </si>
  <si>
    <t>JIMENEZ, POCOCI SAN MARTIN</t>
  </si>
  <si>
    <t>PULPERÍA EL TRIUNFO</t>
  </si>
  <si>
    <t>HATILLO, SAN JOSE DE LOS SEMAROS DE SAGRADA 100 N Y 75 EST</t>
  </si>
  <si>
    <t>MINI SUPER EL GATO NEGRO</t>
  </si>
  <si>
    <t>PUENTE DE PIEDRA, GRECIA BAJO ROSALES</t>
  </si>
  <si>
    <t>SUPER PUERTA DE SOL</t>
  </si>
  <si>
    <t>TARCOLES, GARABITO BIJAGUAL</t>
  </si>
  <si>
    <t>PULPERIA CALLE BARANTES</t>
  </si>
  <si>
    <t>ALAJUELA SAN RAMON PEÑAS BLANCAS CALLE BARANTES FRENTE A LA EMPACADORA</t>
  </si>
  <si>
    <t>PULPERIA VANTIS</t>
  </si>
  <si>
    <t>CABO VELAS, SANTA CRUZ LA GARITA VIEJA CONTIGUO A LA IGLESIA CA</t>
  </si>
  <si>
    <t>CONCENTRADO LA PARADA</t>
  </si>
  <si>
    <t>NICOYA, NICOYA MERCADO NICOYA</t>
  </si>
  <si>
    <t>TIRRASES, CURRIDABAT TIRASES , URB LA PONDEROSA 3 ENTRADA</t>
  </si>
  <si>
    <t>ABASTECEDOR TÍPICA</t>
  </si>
  <si>
    <t>MIRAMAR, MONTES DE ORO DE LA ENTRA DE PAVONES 150M NORTE</t>
  </si>
  <si>
    <t>GRAN FAMILIA</t>
  </si>
  <si>
    <t>GUANACASTE SANTA CRUZ SANTA CRUZ RÍO CAÑAS SANTA CRUZ</t>
  </si>
  <si>
    <t>MINISUPER LA FORTALEZA</t>
  </si>
  <si>
    <t>GUANACASTE LIBERIA LIBERIA 25SUR DE PUENTE LA ARENA B°LOS CAMARENOS</t>
  </si>
  <si>
    <t>SUPER EL MIRADOR</t>
  </si>
  <si>
    <t>SAN LORENZO, TARRAZU FRENTE A LA PLAZA DE DEPORTES</t>
  </si>
  <si>
    <t>MINI SUPER LONDRES</t>
  </si>
  <si>
    <t>SAN SEBASTIAN, SAN JOSE DE LA ENTRADA PRINCIPAL DEL HOTEL</t>
  </si>
  <si>
    <t>MINI SUPER SANLU</t>
  </si>
  <si>
    <t>EL ROSARIO, NARANJO 50 NORTE IGLESIA CATÓLICA</t>
  </si>
  <si>
    <t>MINI SUPER LUIS</t>
  </si>
  <si>
    <t>SAN RAFAEL ABAJO, DESAMPARADOS SAN SEBASTIAN LOPEZ MATEOS</t>
  </si>
  <si>
    <t>MINI LOS ASTUA</t>
  </si>
  <si>
    <t>SAN RAFAEL ABAJO, DESAMPARADOS 100E 100S 50 O SAN RAFAEL ABAJO</t>
  </si>
  <si>
    <t>BOULEMARKET</t>
  </si>
  <si>
    <t>CATEDRAL, SAN JOSE BULEVAR SOBRE EL OIJ FRENTE AL INAMU.</t>
  </si>
  <si>
    <t>PANADERIA SIRYANA</t>
  </si>
  <si>
    <t>LIMON, LIMON CONTIGUO A SODA TACO RICO</t>
  </si>
  <si>
    <t>SAN JUAN, SANTA BARBARA SÚPER SOL 100 ESTE</t>
  </si>
  <si>
    <t>SAN FELIPE, ALAJUELITA URB EL TIRIBI ALAJUELITA</t>
  </si>
  <si>
    <t>LICORES Y ABARROTES YORDI</t>
  </si>
  <si>
    <t>SAN JOSECITO, ALAJUELITA SAN JOSECITO,150 OESTE DE LA IGLESIA</t>
  </si>
  <si>
    <t>SODA HACIENDA HERRERA</t>
  </si>
  <si>
    <t>SANTA ANA, SANTA ANA SANTA ANA, FRENTE A ANTIGUAS BODEGAS DE</t>
  </si>
  <si>
    <t>LA SUERTE #3</t>
  </si>
  <si>
    <t>MINISUPER SAN JOSE NORTE</t>
  </si>
  <si>
    <t>SAN JOSE, NARANJO 85 NORTE DE LA IGLESIA CATOLICA</t>
  </si>
  <si>
    <t>PULPERIA MARI</t>
  </si>
  <si>
    <t>LAS HORQUETAS, SARAPIQUI 1 KIL ESTE DE LA ESCUELA DE LA CHAVEZ</t>
  </si>
  <si>
    <t>LA ECONOMICA</t>
  </si>
  <si>
    <t>TAMBOR, ALAJUELA CACAO ALAJUELA</t>
  </si>
  <si>
    <t>MINI SUPER ARRIETA</t>
  </si>
  <si>
    <t>ALAJUELA SAN CARLOS QUESADA FRENTE EL ACUADUCTO LA ABUNDANCIA</t>
  </si>
  <si>
    <t>HATILLO, SAN JOSE 350 MTRS  OESTE DE LA IGLESIA CATOLICA</t>
  </si>
  <si>
    <t>PULPERIA LA VENTANITA</t>
  </si>
  <si>
    <t>ALAJUELA SAN CARLOS LA FORTUNA SECTOR LOS ÁNGELES</t>
  </si>
  <si>
    <t>MINI SUPER TOÑO</t>
  </si>
  <si>
    <t>MERCEDES, HEREDIA 400 OESTE DEL COLEGIO CLARETIANO</t>
  </si>
  <si>
    <t>TATITO'S</t>
  </si>
  <si>
    <t>BAGACES, BAGACES DEL SODA IVETH 50 O Y 200 N</t>
  </si>
  <si>
    <t>PIZZA TAVA ACOSTA</t>
  </si>
  <si>
    <t>SAN IGNACIO, ACOSTA ACOSTA FTE A LA CLINICA.</t>
  </si>
  <si>
    <t>MINI SUPER JUSTO A TIEMPO</t>
  </si>
  <si>
    <t>ALAJUELA RIO CUARTO RIO CUARTO FRENTE A LA PLAZA DE LA VICTORIA</t>
  </si>
  <si>
    <t>SUPER CAÑAS</t>
  </si>
  <si>
    <t>CONCEPCION, LA UNION CONCEPCIÓN TRES RIOS</t>
  </si>
  <si>
    <t>SUPER COMISARIATO DON ANTONIO</t>
  </si>
  <si>
    <t>CORRALILLO, CARTAGO 500 SE DE LA ESCUELA  DE RÍO CONEJO CORR</t>
  </si>
  <si>
    <t>MINI SUPER DONDE MOE</t>
  </si>
  <si>
    <t>LA TRINIDAD, MORAVIA TRINIDAD MORAVIA</t>
  </si>
  <si>
    <t>LA PUL</t>
  </si>
  <si>
    <t>DESAMPARADOS, DESAMPARADOS DE PIZZA WILLIS 200 OESTE 100 SUR PASO A</t>
  </si>
  <si>
    <t>CONCEPCIÓN DE MARIA</t>
  </si>
  <si>
    <t>CONCEPCION, ATENAS FRENTE ESCUELA MERCEDES QUESADA CONCEPCI</t>
  </si>
  <si>
    <t>SUPER TODI CASA</t>
  </si>
  <si>
    <t>ALAJUELA, ALAJUELA ENTRADA BABIERA 100 OESTE 250 SUR</t>
  </si>
  <si>
    <t>PULPERÍA LA PLAZA</t>
  </si>
  <si>
    <t>LIMÓN SIQUIRRES EL CAIRO SEIS AMIGOS CAIRO SIQUIRRES</t>
  </si>
  <si>
    <t>STEVES SUPERMARKET AND DELI</t>
  </si>
  <si>
    <t>BAHIA BALLENA, OSA 300 MTS SUROESTE DEL PUENTE DE</t>
  </si>
  <si>
    <t>MINI SUPER THALIA DEL SUR</t>
  </si>
  <si>
    <t>SAN SEBASTIAN, SAN JOSE SAN SEBASTIAN</t>
  </si>
  <si>
    <t>GRAN CHINA</t>
  </si>
  <si>
    <t>LAS HORQUETAS, SARAPIQUI FRENTE A TALLE DE MOTOS YAMAHA RÍO FRÍO6</t>
  </si>
  <si>
    <t>SODA CARMEN 3</t>
  </si>
  <si>
    <t>LIMÓN SIQUIRRES SIQUIRRES CARMEN 3</t>
  </si>
  <si>
    <t>MINI SUPER Y LICORES EL MURO</t>
  </si>
  <si>
    <t>SAN JUAN, SAN RAMON EL MURO DE NARANJO EN LA INTERSECCIÓN</t>
  </si>
  <si>
    <t>NIDIA</t>
  </si>
  <si>
    <t>URUCA_, SANTA ANA 4 PARADA 100 S 200 OESTE</t>
  </si>
  <si>
    <t>CURRIDABAT, CURRIDABAT 25 S DE LA ESQUINA SUR SO DEL PARQUE</t>
  </si>
  <si>
    <t>3101796239 SA</t>
  </si>
  <si>
    <t>SANTO DOMINGO, SANTA BARBARA ANTIGUO SÚPER CAMILA, LOS LAGOS</t>
  </si>
  <si>
    <t>ALAJUELA SAN CARLOS QUESADA 50 MTS NORTE DEL ESTADIO MUNICIPAL</t>
  </si>
  <si>
    <t>MINI SUPER LA BODEGUITA 1</t>
  </si>
  <si>
    <t>QUEPOS, QUEPOS 125MT NORTE DE PALI QUEPOS</t>
  </si>
  <si>
    <t>D GOUT KYJ SOCIEDAD ANONIMA</t>
  </si>
  <si>
    <t>DESAMPARADOS, ALAJUELA DESAMPARADOS DE ALAJUELA</t>
  </si>
  <si>
    <t>YALILE</t>
  </si>
  <si>
    <t>URUCA_, SANTA ANA 25 O COMISARÍA LA CARPIO</t>
  </si>
  <si>
    <t>NOMADA SÚPER MARKET</t>
  </si>
  <si>
    <t>ALAJUELA SAN CARLOS LA FORTUNA 500 MTS OESTE CRUCE HACIA LA CATARATA</t>
  </si>
  <si>
    <t>MINI SUPER LA HEREDIANA</t>
  </si>
  <si>
    <t>HEREDIA, HEREDIA 300 OESTE DEL ESTADIO DE HEREDIA</t>
  </si>
  <si>
    <t>SUPER DEL BARRIO</t>
  </si>
  <si>
    <t>PUNTARENAS GARABITO JACO LAS MONAS 50 MTS E ESCUELA</t>
  </si>
  <si>
    <t>MINI SUPER CERRO VERDE</t>
  </si>
  <si>
    <t>TACARES, GRECIA ESC CATALUÑA 350 MTS OESTE</t>
  </si>
  <si>
    <t>MINI SUPER Y LICORERA TEO</t>
  </si>
  <si>
    <t>SAN JOSÉ PEREZ ZELEDON DANIEL FLORES PACUAR, DE LA ESCUELA 100 MTS AL</t>
  </si>
  <si>
    <t>ROCA 2</t>
  </si>
  <si>
    <t>ATENAS, ATENAS DE MEJOR CLIMA 100 NORTE</t>
  </si>
  <si>
    <t>SUPER MERAKI</t>
  </si>
  <si>
    <t>SAN JOSÉ PURISCAL SAN ANTONIO SAN ANTONIO PURISCAL</t>
  </si>
  <si>
    <t>SUPER Y LICORERA EL NORTE</t>
  </si>
  <si>
    <t>HEREDIA HEREDIA MERCEDES FRENTE A LA FERIA DEL MERCEDES NORTE</t>
  </si>
  <si>
    <t>MARKET RIO ORO</t>
  </si>
  <si>
    <t>POZOS, SANTA ANA RÍO ORO, SANTA ANA COMERCIAL RÍO ORO</t>
  </si>
  <si>
    <t>MINISUPER LA AMISTAD</t>
  </si>
  <si>
    <t>SAN RAFAEL, SAN RAMON 25S DE LA ENTRADA URB LOS PORTONES</t>
  </si>
  <si>
    <t>PULPERÍA MADOX</t>
  </si>
  <si>
    <t>URUCA_, SANTA ANA TERMINAL 150 N 150 O</t>
  </si>
  <si>
    <t>SUPER MONTAÑA DE ORO 2</t>
  </si>
  <si>
    <t>SAN DIEGO, LA UNION FRENTE IGLESIA SAN DIEGO DEL MONTE</t>
  </si>
  <si>
    <t>MINI SUPER N Y S</t>
  </si>
  <si>
    <t>CARIARI, POCOCI 300 ESTE DEL TALLER GRUCASA ASTUA PIRIE</t>
  </si>
  <si>
    <t>MINI SUPER BALBOA</t>
  </si>
  <si>
    <t>SAN RAFAEL ABAJO, DESAMPARADOS SAN RAFAEL ABAJO DESAMPARADOS</t>
  </si>
  <si>
    <t>PULPERIA LAS PALMAS</t>
  </si>
  <si>
    <t>ALAJUELA SARCHI SARCHI SUR SARCHI SUR</t>
  </si>
  <si>
    <t>BELEN, CARRILLO SANTA ANA BELÉN DIAGONAL PLAZA FÚTBOL</t>
  </si>
  <si>
    <t>ABASTECEDOR BODEGUITA</t>
  </si>
  <si>
    <t>TURRIALBA, TURRIALBA 50 ESTE PULPERÍA TORRE LUNA</t>
  </si>
  <si>
    <t>ALAJUELA SAN CARLOS LA FORTUNA BARRIO LAS BRISAS 200 NORTE,</t>
  </si>
  <si>
    <t>MINI SUPER LOS MANGOS</t>
  </si>
  <si>
    <t>SAN JOSE, NARANJO ALTO LOPEZ CALLE VAINILLA 75 O ALAJUELA</t>
  </si>
  <si>
    <t>MINI SUPER CARVAJALES</t>
  </si>
  <si>
    <t>NICOYA, NICOYA 300 M OESTE DE BCR 25 SUR</t>
  </si>
  <si>
    <t>PULPERIA SOFI</t>
  </si>
  <si>
    <t>SAN ISIDRO, LEON CORTES CASTRO COCORI 50 METROS ANTES DE LA PLAZA</t>
  </si>
  <si>
    <t>ABASTECEDOR MARY</t>
  </si>
  <si>
    <t>PUERTO CORTES, OSA CIUDAD CORTES, BARRIO LA LAGUNA</t>
  </si>
  <si>
    <t>MINI SUPER LA ARROCERA</t>
  </si>
  <si>
    <t>GARITA, ALAJUELA BALSA DE ATENAS...FRENTE A LA ESTACION</t>
  </si>
  <si>
    <t>PANADERIA TUTU</t>
  </si>
  <si>
    <t>CAÑAS DULCES, LIBERIA FRENTE ABASTECEDOR LA MONCHA</t>
  </si>
  <si>
    <t>SUPER RAPIDO</t>
  </si>
  <si>
    <t>ALAJUELA SAN CARLOS AGUAS ZARCAS 600 MTS ESTE HIGLESIA CATÓLICA</t>
  </si>
  <si>
    <t>WULIANGRUN   S.R.L</t>
  </si>
  <si>
    <t>ALAJUELA SAN CARLOS VENECIA FRENTE ESCUELA VENECIA</t>
  </si>
  <si>
    <t>MINI SUPER EL SURTIDITO</t>
  </si>
  <si>
    <t>QUEBRADILLA, CARTAGO QUEBRADILLA. CALLE BERMEJO</t>
  </si>
  <si>
    <t>LA NUEVA DE SANTA LUCIA</t>
  </si>
  <si>
    <t>SAN MIGUEL, DESAMPARADOS EL HUAZO 150 OESTE DE LA ESCUELA</t>
  </si>
  <si>
    <t>MINI SÚPER ECONOMICO</t>
  </si>
  <si>
    <t>QUESADA, SAN CARLOS FRENTE IGLESIA SAN MIGUEL CQ</t>
  </si>
  <si>
    <t>SAN JOSÉ SANTA ANA SANTA ANA SANTA ANA</t>
  </si>
  <si>
    <t>PITAL, SAN CARLOS FRENTE A LA PLAZA EN PITAL</t>
  </si>
  <si>
    <t>VERDULERÍA BENDICION</t>
  </si>
  <si>
    <t>URUCA_, SANTA ANA LA TERMINAL 300 AL NORTE</t>
  </si>
  <si>
    <t>MINI SUPER AMISTAD MUNDIAL</t>
  </si>
  <si>
    <t>HATILLO, SAN JOSE HATILLO</t>
  </si>
  <si>
    <t>MINI SÚPER 95</t>
  </si>
  <si>
    <t>SAN RAMON, SAN RAMON SAN PEDRO</t>
  </si>
  <si>
    <t>FAMILIAR MAYRA</t>
  </si>
  <si>
    <t>MATINA, MATINA 300MTS OESTE DE LA ESCUELA DE BRISTOL</t>
  </si>
  <si>
    <t>QUESITICO</t>
  </si>
  <si>
    <t>TIRRASES, CURRIDABAT 200 ESTE DEL BAR LA COLINA, TIRRASES</t>
  </si>
  <si>
    <t>MINI SUPER JYJ</t>
  </si>
  <si>
    <t>CATEDRAL, SAN JOSE SOBRE BUOLEVAR AVE 4 25 NORTE SEÑORITA</t>
  </si>
  <si>
    <t>SABANILLA, MONTES DE OCA COSTADO N DEL PARQUR DE VARGAS ARAYA</t>
  </si>
  <si>
    <t>TOÑOS MARKET</t>
  </si>
  <si>
    <t>ALAJUELA SAN CARLOS PITAL DIAGONAL AL BAR TONOS</t>
  </si>
  <si>
    <t>SÚPER LA ESQUINA</t>
  </si>
  <si>
    <t>HOSPITAL, SAN JOSE CALLE 12 AVENIDA 20 CRISTO REY</t>
  </si>
  <si>
    <t>SUPER ECONÓMICO</t>
  </si>
  <si>
    <t>SAN JOSÉ SAN JOSE HOSPITAL CRISTO REY</t>
  </si>
  <si>
    <t>SUPER  CACHOS</t>
  </si>
  <si>
    <t>LLANO GRANDE, CARTAGO 50 NORTE DE LA IGLESIA DE LLANO GRANDE</t>
  </si>
  <si>
    <t>MINI SÚPER EL ABUELO</t>
  </si>
  <si>
    <t>EL CARMEN, CARTAGO SAN BLAS</t>
  </si>
  <si>
    <t>Z MINISUPER</t>
  </si>
  <si>
    <t>ALAJUELA SAN CARLOS LA FORTUNA 300 MTS OESTE CEMENTERIO</t>
  </si>
  <si>
    <t>MINISUPER VILLAS DEL SOL</t>
  </si>
  <si>
    <t>DANIEL FLORES, PEREZ ZELEDON 800 METROS SUR DE LAS BODEGAS CNP</t>
  </si>
  <si>
    <t>MÍNISUPER LA DESPENSA 2</t>
  </si>
  <si>
    <t>GUANACASTE LIBERIA LIBERIA URBANIZACIÓN LOURDEZ QUEBRADA GRANDE</t>
  </si>
  <si>
    <t>MINI SUPER LA LICO</t>
  </si>
  <si>
    <t>SIQUIRRES, SIQUIRRES DEL SALON COMUNAL SAN RAFAEL 80 MTS NORT</t>
  </si>
  <si>
    <t>MINI SUPER VILLALOBOS</t>
  </si>
  <si>
    <t>ULLOA, HEREDIA BAJOS.DEL VÍRILLA ANTIGUA PULP MARI</t>
  </si>
  <si>
    <t>LA TIENDITA</t>
  </si>
  <si>
    <t>SAN JOSÉ SAN JOSE HOSPITAL SAN JOSE  CALLE 20 AVE 2</t>
  </si>
  <si>
    <t>SUPERMERCADO CRISTO REY</t>
  </si>
  <si>
    <t>HOSPITAL, SAN JOSE CRISTO REY</t>
  </si>
  <si>
    <t>RESTAURANTE PALACIO BENDECIDO</t>
  </si>
  <si>
    <t>ESCAZU, ESCAZU SAN JOSE</t>
  </si>
  <si>
    <t>MINI SUPER PUNTA MORALES</t>
  </si>
  <si>
    <t>PUNTARENAS PUNTARENAS CHOMES 50 OESTE ESCUELA ARTURO GARCIA PUNTA MOR</t>
  </si>
  <si>
    <t>MINI SUPER Y LICORERA LA CASCADO</t>
  </si>
  <si>
    <t>NICOYA, NICOYA DE LA PLAZA DE BELEN 500 M ASIA SÁMARA</t>
  </si>
  <si>
    <t>SAN ISIDRO, LEON CORTES CASTRO FRENTE AL LICEO UNESCO</t>
  </si>
  <si>
    <t>MINI SUPER LA ARBOLEDA</t>
  </si>
  <si>
    <t>GRECIA, GRECIA 25 S Y 200 E DE DELEGACION</t>
  </si>
  <si>
    <t>EL TEJAR, EL GUARCO CONTIGUO A PARQUE LOS SAUCES TEJAR</t>
  </si>
  <si>
    <t>MINI SUPER CECI</t>
  </si>
  <si>
    <t>SAN MIGUEL, SANTO DOMINGO 800 O DEL COLEGIO LINCON</t>
  </si>
  <si>
    <t>ABASTECEDOR PRIMOS MELENDEZ</t>
  </si>
  <si>
    <t>LIMON, LIMON SAN CARLOS DE PACUARITO ..BATAN</t>
  </si>
  <si>
    <t>DONDE COCHO</t>
  </si>
  <si>
    <t>SAN RAFAEL ARRIBA, DESAMPARADOS 100 S DEL BUEN PASTOR</t>
  </si>
  <si>
    <t>MINI SUPER NUBULA</t>
  </si>
  <si>
    <t>PUERTO VIEJO, SARAPIQUI NARANJALES ,DE SÚPER BAMBÚ 50 MTS ESTE</t>
  </si>
  <si>
    <t>NUEVA CHINA EL COCO</t>
  </si>
  <si>
    <t>GUANACASTE CARRILLO SARDINAL PLAYAS DEL COCO</t>
  </si>
  <si>
    <t>UNISUPER</t>
  </si>
  <si>
    <t>GUACIMA, ALAJUELA 100 N DE LOS REYES</t>
  </si>
  <si>
    <t>MINI SUPER POPULAR FENG</t>
  </si>
  <si>
    <t>CARIARI, POCOCI CARIARI PALERMO</t>
  </si>
  <si>
    <t>EL MORAL</t>
  </si>
  <si>
    <t>LA TRINIDAD, MORAVIA DE LA IGLESIA DE LA TRINIDAD 200 NORTE Y</t>
  </si>
  <si>
    <t>MINI SUPER 6A9</t>
  </si>
  <si>
    <t>ALAJUELA PALMARES BUENOS AIRES 150 O DE CONCREPAL</t>
  </si>
  <si>
    <t>VIRITECA RIO CLARO LIMITADA</t>
  </si>
  <si>
    <t>GUAYCARA, GOLFITO UN COSTADO DE LIBRERÍA ERICKA</t>
  </si>
  <si>
    <t>PANADERIA Y MINI SUPER LA BENDICIÓN</t>
  </si>
  <si>
    <t>HEREDIA, HEREDIA COSTADO NORTE DEL PARQUE LAS</t>
  </si>
  <si>
    <t>ABASTECEDOR SAN MARTÍN</t>
  </si>
  <si>
    <t>MATA DE PLATANO, GOICOECHEA 650 SUR ESTE DE LA PRIMERA ENTRADA</t>
  </si>
  <si>
    <t>MINI SUPER CENTRO</t>
  </si>
  <si>
    <t>CARMEN, SAN JOSE 200 N DEL CORREO FRENTE A PARQUEO</t>
  </si>
  <si>
    <t>MINISUPER Y LICORERA SIBAJA</t>
  </si>
  <si>
    <t>SUPER MI LUGAR</t>
  </si>
  <si>
    <t>PUNTARENAS BUENOS AIRES BUENOS AIRES COSTADO OESTE DE LA CLÍNICA</t>
  </si>
  <si>
    <t>MINI SUPER Y LICOR CENTRO DE AMIGOS</t>
  </si>
  <si>
    <t>LIMÓN POCOCI JIMENEZ FRENTE A SÚPER MG JIMÉNEZ CENTRO</t>
  </si>
  <si>
    <t>MINISUPER Y LICORERA ARKA</t>
  </si>
  <si>
    <t>ALAJUELA, ALAJUELA 75S DE LA IGLESIA CORAZON DE JESUS</t>
  </si>
  <si>
    <t>MINI SUPER Y LICORERA LA VUELTA</t>
  </si>
  <si>
    <t>NARANJO, NARANJO 100N DE LA GASOLINERA VARRIENTOS</t>
  </si>
  <si>
    <t>PULPERIA EL BOSQUE</t>
  </si>
  <si>
    <t>SAN PEDRO, SANTA BARBARA DE LA PLAZA DEPORTES 400 ESTE, SAN PEDRO</t>
  </si>
  <si>
    <t>DEXXOS MARKET</t>
  </si>
  <si>
    <t>ALAJUELA SAN CARLOS FLORENCIA FRENTE TEC SANTA CLARA</t>
  </si>
  <si>
    <t>MINI SÚPERYLICORERAHERMANOS FAJARDO</t>
  </si>
  <si>
    <t>CARIARI, POCOCI CARIBE LAS BRISAS</t>
  </si>
  <si>
    <t>TICO MARKET</t>
  </si>
  <si>
    <t>DANIEL FLORES, PEREZ ZELEDON PALMARÉS CENTRO DANIEL FLORES</t>
  </si>
  <si>
    <t>PULPERIA DOÑA FLOR</t>
  </si>
  <si>
    <t>PUNTARENAS GARABITO JACO FRENTE A SÚPER FÉLIX HERRADURA</t>
  </si>
  <si>
    <t>MINIMARKET SAN PEDRO</t>
  </si>
  <si>
    <t>SAN PEDRO, PEREZ ZELEDON FRENTE A LA PLAZA DE SAN PEDRO TURRUBARE</t>
  </si>
  <si>
    <t>ABAST OROKAY</t>
  </si>
  <si>
    <t>CARTAGO PARAISO OROSI 100 NORTE Y 100 OESTE DE LA BOMBA</t>
  </si>
  <si>
    <t>SUPER AMIGOS</t>
  </si>
  <si>
    <t>SABANA REDONDA, POAS 200 MTS ESTE EBAIS DE</t>
  </si>
  <si>
    <t>MINI SUPER MARAL</t>
  </si>
  <si>
    <t>URUCA_, SANTA ANA FRENTE CLÍNICA OFTALMOLÓGICA</t>
  </si>
  <si>
    <t>SAN PABLO, NANDAYURE SAN PABLO</t>
  </si>
  <si>
    <t>GO MARIO</t>
  </si>
  <si>
    <t>CURRIDABAT, CURRIDABAT COSTADO S DE LOS MULTIFAMILIARES CURRIDA</t>
  </si>
  <si>
    <t>SODA LA MONTAÑA</t>
  </si>
  <si>
    <t>PACUARITO, SIQUIRRES ENTRADA A LAS PERLAS 100 AL OESTE</t>
  </si>
  <si>
    <t>FARMACIA JSM</t>
  </si>
  <si>
    <t>GUAPILES, POCOCI TERMINAL DE BUSES</t>
  </si>
  <si>
    <t>SUPER VILLA NUEVA</t>
  </si>
  <si>
    <t>NARANJITO, QUEPOS 800MTS ESTE IGLESIA VILLA NUEVA</t>
  </si>
  <si>
    <t>LA FORTUNA, SAN CARLOS 500M NORTE BNCR FORTUNA</t>
  </si>
  <si>
    <t>VERDULERIA LETTOS</t>
  </si>
  <si>
    <t>ALAJUELA, ALAJUELA PUEBLO NUEVO</t>
  </si>
  <si>
    <t>PULPERIA OFA</t>
  </si>
  <si>
    <t>LIMON, LIMON LIMÓN PACUARE VIEJO INFIERNILLO</t>
  </si>
  <si>
    <t>RONG GUANG</t>
  </si>
  <si>
    <t>SAN NICOLAS, CARTAGO FRENTE AL SUPER TARAS</t>
  </si>
  <si>
    <t>PULPERIA SUPER EXITO</t>
  </si>
  <si>
    <t>JIMENEZ, POCOCI 800 NORTE DE LAS OFICINAS DE DEMASA</t>
  </si>
  <si>
    <t>MINI SUPER NUÑEZ</t>
  </si>
  <si>
    <t>ALAJUELA SAN CARLOS LA FORTUNA 100 SUR CEMENTERIO FORTUNA</t>
  </si>
  <si>
    <t>MINI SUPER DIASA</t>
  </si>
  <si>
    <t>ALAJUELA, ALAJUELA FRENTE A GRUPO DIASA</t>
  </si>
  <si>
    <t>PULPERIA ANDRICK</t>
  </si>
  <si>
    <t>URUCA_, SANTA ANA 200 S DE CUARTA PARADA</t>
  </si>
  <si>
    <t>RESTAURANTE FINCA SANTA ROSA.</t>
  </si>
  <si>
    <t>LIMON, LIMON SANTA ROSA.LIMÓN</t>
  </si>
  <si>
    <t>GLOBAL MARKET</t>
  </si>
  <si>
    <t>SAN JOSÉ DESAMPARADOS FRENTE EL COLEGIO NUESTRA SEÑORA EN DESA</t>
  </si>
  <si>
    <t>MINI SUPER ONDE TIO</t>
  </si>
  <si>
    <t>PUNTARENAS GARABITO JACO JACO QUEBRADA SECA 200 SUR HOTEL DOCE LU</t>
  </si>
  <si>
    <t>MINISUPER  A Y M #2</t>
  </si>
  <si>
    <t>ALAJUELA SAN CARLOS LA FORTUNA 350 OESTE DE LA EMPACADORA BYC</t>
  </si>
  <si>
    <t>MINISUPER Y LICORERA LOS COMPAS</t>
  </si>
  <si>
    <t>ALAJUELA SAN CARLOS LA FORTUNA AÑAJUELA, SAN CARLOS, MONTERREY</t>
  </si>
  <si>
    <t>ABASTECEDR  R C</t>
  </si>
  <si>
    <t>HEREDIA HEREDIA ULLOA VIRILLA</t>
  </si>
  <si>
    <t>PULPERIA VALENTINA</t>
  </si>
  <si>
    <t>CARIARI, POCOCI CARIARI BARRIO LAS ORQUIDEAS</t>
  </si>
  <si>
    <t>PULPERÍA MI TITA</t>
  </si>
  <si>
    <t>BATAN, MATINA BATAN RAMAL 7, 4TA ENTRADA DERECHA</t>
  </si>
  <si>
    <t>ABASTECEDOR LOS OLIVOS</t>
  </si>
  <si>
    <t>ASERRI, ASERRI BOMBA LA TRINIDAD 200 OESTE 100 SUR</t>
  </si>
  <si>
    <t>CURRIDABAT, CURRIDABAT DE LA BOMBA HIGUERÓN 50 AL SUR</t>
  </si>
  <si>
    <t>MINISUPER CENTENO</t>
  </si>
  <si>
    <t>RIO AZUL, LA UNION FRENTE IGLESIA CATÓLICA DE RÍO AZUL</t>
  </si>
  <si>
    <t>MINI SUPER ARAYA</t>
  </si>
  <si>
    <t>SANTA CRUZ, SANTA CRUZ SANTA BARBARA</t>
  </si>
  <si>
    <t>SÚPER LEPANTO</t>
  </si>
  <si>
    <t>LEPANTO, PUNTARENAS FRENTE A LA ESCULA DE LEPANTO</t>
  </si>
  <si>
    <t>SAN PEDRO, POAS FRENTE PLAZA DEPORTES</t>
  </si>
  <si>
    <t>SODA Y MINI SUPER EL CAMIONERO</t>
  </si>
  <si>
    <t>PUNTARENAS PUNTARENAS PUNTARENAS DIAGONAL AL LAGAR BARRANCA</t>
  </si>
  <si>
    <t>SUPER ANITA</t>
  </si>
  <si>
    <t>LA FORTUNA, SAN CARLOS 500M OESTE DE LA ENTRADA ZONA FLUCA</t>
  </si>
  <si>
    <t>MINI SUPER LA PRINCIPAL</t>
  </si>
  <si>
    <t>QUEPOS, QUEPOS BOCA VIEJA</t>
  </si>
  <si>
    <t>PULPERÍA EVENECER COLINA</t>
  </si>
  <si>
    <t>LIMON, LIMON COLINA LIMÓN 15 METROS NORTE DE LAVACAR</t>
  </si>
  <si>
    <t>MINI SUPER THAIS</t>
  </si>
  <si>
    <t>SAN SEBASTIAN, SAN JOSE SAN JOSÉ SAN SEBASTIAN</t>
  </si>
  <si>
    <t>BITA'S BAKERY</t>
  </si>
  <si>
    <t>TAMBOR, ALAJUELA 150MTS NORTE ESCUELA DE</t>
  </si>
  <si>
    <t>MINI SUPER Y LIC MURALLA</t>
  </si>
  <si>
    <t>ALAJUELA SAN RAMON SAN RAMON SAN RAMÓN</t>
  </si>
  <si>
    <t>MINI SUPER LAGUNAS</t>
  </si>
  <si>
    <t>SAN JUAN DE MATA, TURRUBARES FRENTE AL SALON COMUNAL DE LAGUNAS</t>
  </si>
  <si>
    <t>SODA LA TERMINAL</t>
  </si>
  <si>
    <t>SAN ISIDRO, LEON CORTES CASTRO SAN ISIDRO PEREZ ZELEDON MERCADO CENTRAL</t>
  </si>
  <si>
    <t>SAN JOSÉ PEREZ ZELEDON SAN ISIDRO DE EL GENERAL 200 MTS SUR DE LA IGLESIA LA LUZ</t>
  </si>
  <si>
    <t>HILDA</t>
  </si>
  <si>
    <t>PUERTO VIEJO, SARAPIQUI NARANJALES LA COLONIAPLAZA 100SUR TOPE</t>
  </si>
  <si>
    <t>MINI SUPER Y LICORERA RANDY #2</t>
  </si>
  <si>
    <t>PUNTARENAS PUNTARENAS BARRANCA GASOLINERA SERVICENTRO ROBLE</t>
  </si>
  <si>
    <t>LICORERA OASIS</t>
  </si>
  <si>
    <t>VEINTISIETE DE ABRIL, SANTA CRUZ 30O OESTE DE SODA FOGÓN DOÑA LUISA</t>
  </si>
  <si>
    <t>SUPER DRAGON TEJAR</t>
  </si>
  <si>
    <t>EL TEJAR, EL GUARCO 100 OESTE DEL PUENTE DE TEJAR</t>
  </si>
  <si>
    <t>CASA PARTICULAR MACIEL</t>
  </si>
  <si>
    <t>SANTA CRUZ, SANTA CRUZ CHIRCO 300/OESTE RESIDENCIAL LAS PIÑUELA</t>
  </si>
  <si>
    <t>ABASTECEDOR JERUSALÉN</t>
  </si>
  <si>
    <t>HEREDIA SARAPIQUI PUERTO VIEJO JERUSALÉN 10 OESTE DE LA ENTRADA A JERU</t>
  </si>
  <si>
    <t>MINI SUPER A Y V #2</t>
  </si>
  <si>
    <t>GUAPILES, POCOCI TERMINAL DE BUSES  CRUCE ROBERTO</t>
  </si>
  <si>
    <t>MINI SUPER FELIZ</t>
  </si>
  <si>
    <t>SAN ANTONIO, BELEN BELÉN</t>
  </si>
  <si>
    <t>ASOAZM</t>
  </si>
  <si>
    <t>PUNTARENAS ESPARZA ESPIRITU SANTO TEJAR ESPRZ 200MTRS SUR DE QUEBR POCAMAR</t>
  </si>
  <si>
    <t>PULPERIA S Y Q</t>
  </si>
  <si>
    <t>EL GENERAL, PEREZ ZELEDON 125 METROS OESTE DEL SALÓN MARCELLA</t>
  </si>
  <si>
    <t>SÚPER Y CARNÉS JULI</t>
  </si>
  <si>
    <t>PUNTARENAS PUNTARENAS BARRANCA DEL RANCHO CAUIN 100 SUR 200 OESTE</t>
  </si>
  <si>
    <t>MINI SUPER JOSECITO</t>
  </si>
  <si>
    <t>CARMEN, SAN JOSE SAN JOSE COSTADO ESTE HP CALDERÓN GUARDI</t>
  </si>
  <si>
    <t>DOMINICAL SUPER MARKET 2</t>
  </si>
  <si>
    <t>BAHIA BALLENA, OSA DOMINICAL FRENTE A LA IGLESIA</t>
  </si>
  <si>
    <t>SÚPER LA CENTRAL 8</t>
  </si>
  <si>
    <t>ALAJUELA POAS SAN JUAN FRENTE A LA IGLESIA DE SAN JUAN,</t>
  </si>
  <si>
    <t>MINI SUPER LICORERA JB</t>
  </si>
  <si>
    <t>ALAJUELA ALAJUELA GUACIMA CENTRO COMERCIAL PLAZA GUACIMA</t>
  </si>
  <si>
    <t>SODA LA AMISTAD</t>
  </si>
  <si>
    <t>SAN JOSECITO, SAN RAFAEL SAN RAFAEL HEREDIA</t>
  </si>
  <si>
    <t>PULPERIA DONDE CHINA</t>
  </si>
  <si>
    <t>SAN PABLO, LEON CORTES CASTRO 75 ESTE DE LA BOMBA MI GAS TURRUBARES.</t>
  </si>
  <si>
    <t>MINISUPER MO</t>
  </si>
  <si>
    <t>PURRAL, GOICOECHEA PURRAL IPIS GUADALUPE</t>
  </si>
  <si>
    <t>LA FORTUNA, SAN CARLOS 140M OESTE DE LA ESCUELA</t>
  </si>
  <si>
    <t>ABASTECEDOR ZABDI</t>
  </si>
  <si>
    <t>VALLE LA ESTRELLA, LIMON 25METROS NORTE PUESTO DE SALUD BOCUARE</t>
  </si>
  <si>
    <t>SERVICENTRO LA CHINA</t>
  </si>
  <si>
    <t>BARRANCA, PUNTARENAS PUNTARENAS, FRENTE A HOGARES CREA</t>
  </si>
  <si>
    <t>SÚPER DEREK</t>
  </si>
  <si>
    <t>PARRITA, PARRITA RIO SECO CAMINO A REINMAKER</t>
  </si>
  <si>
    <t>MINISUPER EBENEZER</t>
  </si>
  <si>
    <t>LIBERIA, LIBERIA 200 ESTE DEL ECONÓMICO DE ALMENDRALES</t>
  </si>
  <si>
    <t>LICORERA LA CARRETA</t>
  </si>
  <si>
    <t>ALAJUELA SAN RAMON PEÑAS BLANCAS CHACHAGUA FRENTE COMISARIATO</t>
  </si>
  <si>
    <t>MINI SUPER SAN JOSECITO</t>
  </si>
  <si>
    <t>SAN ISIDRO, SAN ISIDRO 800 ESTE DE LA IGLESIA SE SAN JOSECITO</t>
  </si>
  <si>
    <t>PULPERIA TATITO'S #2</t>
  </si>
  <si>
    <t>BAGACES, BAGACES MONTENEGRO COSTADO DE LA LICORERA VARGAS</t>
  </si>
  <si>
    <t>GUANACASTE CAÑAS CAÑAS 400 OESTE DE SERVICENTRO CAÑAS</t>
  </si>
  <si>
    <t>SODA ASEBERMUDEZ</t>
  </si>
  <si>
    <t>LAS HORQUETAS, SARAPIQUI FLAMINIA, 800 MTS ESTE DE LA ESCUELA.</t>
  </si>
  <si>
    <t>PULPERÍA JORSON</t>
  </si>
  <si>
    <t>CARRANDI, MATINA CUBA CRIK DEL PUENTE NEGRO 300MT MANO DE</t>
  </si>
  <si>
    <t>MINI SUPER IVO</t>
  </si>
  <si>
    <t>PUNTARENAS PUNTARENAS PUNTARENAS PUNTARENAS FRENTE A ESCUELA MORA Y CAÑAS</t>
  </si>
  <si>
    <t>COMERCIALIZADORA MB</t>
  </si>
  <si>
    <t>CURRIDABAT, CURRIDABAT DEL BN 100 S 125 E</t>
  </si>
  <si>
    <t>PULP SAENZ</t>
  </si>
  <si>
    <t>SAN FELIPE, ALAJUELITA FRENTE LA TERMINAL DE BUSES DE TEJARCILL</t>
  </si>
  <si>
    <t>ABASTECEDOR  LA AURORA</t>
  </si>
  <si>
    <t>GUAYCARA, GOLFITO BAMBEL 3</t>
  </si>
  <si>
    <t>MINI SUPER KIKE</t>
  </si>
  <si>
    <t>DIRIA, SANTA CRUZ SAN JUAN</t>
  </si>
  <si>
    <t>SODA EL PASO CARIBEÑO</t>
  </si>
  <si>
    <t>GUAPILES, POCOCI TERMINAL DE BUSES, CRUCE ROBERTO'S</t>
  </si>
  <si>
    <t>MINISUPER TAMBOR</t>
  </si>
  <si>
    <t>ALAJUELA ALAJUELA TAMBOR 300E DE LA IGLESIA DE TAMBOR</t>
  </si>
  <si>
    <t>SUPER LA DOS MIL</t>
  </si>
  <si>
    <t>QUESADA, SAN CARLOS 300NORTE 80 ESTE HOGAR DE ANCIANOS</t>
  </si>
  <si>
    <t>PULPERIA DYJOMA</t>
  </si>
  <si>
    <t>GUANACASTE ABANGARES SAN JUAN 2 KILÓMETROS NORTE DEL BAR LA NAVE LA</t>
  </si>
  <si>
    <t>SUPERMERCADO EL ROBLE</t>
  </si>
  <si>
    <t>TOBOSI, EL GUARCO TOBOSI BARRIO LA CRUZ</t>
  </si>
  <si>
    <t>XCON</t>
  </si>
  <si>
    <t>TIRRASES, CURRIDABAT FRENTE A ALCOHÓLICOS ANONIMOS</t>
  </si>
  <si>
    <t>MINI SUPER Y LICORERA LA 23</t>
  </si>
  <si>
    <t>ALAJUELA PALMARES PALMARES 275 N ESTADIO MUNICIPAL</t>
  </si>
  <si>
    <t>OLIVA TUY SOCIEDAD ANONIMA</t>
  </si>
  <si>
    <t>HEREDIA HEREDIA SAN FRANCISCO 200 OESTE Y 150 SUR DEL REY SAN FRANCISC</t>
  </si>
  <si>
    <t>MINI SUPER LI-YING</t>
  </si>
  <si>
    <t>SAN ANTONIO, ALAJUELA FRENTE AL RESTAURANTE LA FORTUNA</t>
  </si>
  <si>
    <t>MERCEDES, HEREDIA HEREDIA MERCEDES SUR</t>
  </si>
  <si>
    <t>MINI SUPER LLOLLETE 2</t>
  </si>
  <si>
    <t>PUNTARENAS PUNTARENAS PUNTARENAS BELLA VISTA COMISARIA 25 O</t>
  </si>
  <si>
    <t>SUPER ECOMAX</t>
  </si>
  <si>
    <t>CARTAGO OREAMUNO SAN RAFAEL 100 N PLAZA DEPORTES SAN RAFAEL OREAMUNO</t>
  </si>
  <si>
    <t>MINISUPER 83</t>
  </si>
  <si>
    <t>PATALILLO, VAZQUEZ DE CORONADO SAN ANTONIO DE CORONADO 300 O DEL KFC</t>
  </si>
  <si>
    <t>PULPERIA MARITZA</t>
  </si>
  <si>
    <t>HEREDIA SARAPIQUI LA VIRGEN BARRIO LOS PINOS</t>
  </si>
  <si>
    <t>SÚPER BUENO</t>
  </si>
  <si>
    <t>SAN JOSÉ MONTES DE OCA SABANILLA VARGAS ARAYA 150N DE SODA SAN BOSCO</t>
  </si>
  <si>
    <t>SANTA RITA, NANDAYURE ACOYAPA FRENTE A PLAZA SOBRE CALLE PRINC</t>
  </si>
  <si>
    <t>MINI SUPER JUANITO</t>
  </si>
  <si>
    <t>SAMARA, NICOYA EL SILENCIO DE SÁMARA</t>
  </si>
  <si>
    <t>SUPERMERCADO LA CORONA ESTADÍO</t>
  </si>
  <si>
    <t>SAN ISIDRO, LEON CORTES CASTRO 100 METROS SUROESTE DEL ESTADIO</t>
  </si>
  <si>
    <t>MINI SUPER EL PATIO</t>
  </si>
  <si>
    <t>HATILLO, SAN JOSE 75 S 25 O CLUB HOUSE SOBRE ALAMEDA</t>
  </si>
  <si>
    <t>RIGOS PIZZA</t>
  </si>
  <si>
    <t>SAN ISIDRO, LEON CORTES CASTRO ENTRDA SAGRADA  FAMILIA</t>
  </si>
  <si>
    <t>SUPER UNIVEN</t>
  </si>
  <si>
    <t>ALAJUELA, ALAJUELA FRENTE A LA MUTUAL ALAJUELA LA AGONIA</t>
  </si>
  <si>
    <t>MINI SUPER EL VIEJO</t>
  </si>
  <si>
    <t>ASERRI, ASERRI 400SUR DEL BENEFICIO DEL CAFÉ</t>
  </si>
  <si>
    <t>MINISUPER Y LIC ZAMORA</t>
  </si>
  <si>
    <t>TILARAN, TILARAN 75 NORESTE DEL SALÓN COMUNAL</t>
  </si>
  <si>
    <t>PULPERIA ZAHILIN</t>
  </si>
  <si>
    <t>HEREDIA SARAPIQUI LAS HORQUETAS BAMBUZAL, 200 O DE SÚPER BAMBUZAL</t>
  </si>
  <si>
    <t>MINI SUPER WILLY</t>
  </si>
  <si>
    <t>CARTAGO JIMENEZ TUCURRIQUE TUCURRIQUE</t>
  </si>
  <si>
    <t>MINI SUPER NUESTRAS RAICES</t>
  </si>
  <si>
    <t>LAS HORQUETAS, SARAPIQUI 75 M OESTE COOPELESCA COOPECUBUJUQUI</t>
  </si>
  <si>
    <t>PULPERIA GEMELOS</t>
  </si>
  <si>
    <t>MINI SÚPER Y LICORERA EL PUEBLO</t>
  </si>
  <si>
    <t>QUESADA, SAN CARLOS EL TANQUE</t>
  </si>
  <si>
    <t>LICO LA CENTRAL</t>
  </si>
  <si>
    <t>SAN JUAN, TIBAS CONTIGUO A ECONO TIBAS</t>
  </si>
  <si>
    <t>MINISUPER JARQUIN</t>
  </si>
  <si>
    <t>ALAJUELA SAN CARLOS LA FORTUNA FORTUNA TRES ESQUINAS</t>
  </si>
  <si>
    <t>MINI SÚPER CALLE VIEJA</t>
  </si>
  <si>
    <t>SAN JUAN, LA UNION 200 METROS AL OESTE DEL COLEGIO SAINT</t>
  </si>
  <si>
    <t>CARNES EL PURISCALEÑO</t>
  </si>
  <si>
    <t>SAN SEBASTIAN, SAN JOSE 200 E BOMBA UNO SAN SEBASTIAN</t>
  </si>
  <si>
    <t>KYM #2</t>
  </si>
  <si>
    <t>ALAJUELA, ALAJUELA CANOAS ALAJUELA</t>
  </si>
  <si>
    <t>MINISUPER MEGAFRAN</t>
  </si>
  <si>
    <t>PUNTARENAS GOLFITO GUAYCARA 100 METROS OESTE DE LA ESCUELA BRUNCA BA</t>
  </si>
  <si>
    <t>SUPER MONKEY</t>
  </si>
  <si>
    <t>VEINTISIETE DE ABRIL, SANTA CRUZ TAMATINDO</t>
  </si>
  <si>
    <t>ABASTECEDOR  SAN RAFAEL</t>
  </si>
  <si>
    <t>SAN RAFAEL, ESCAZU 600 METROS AL ESTE DE LA ESCUELA DE</t>
  </si>
  <si>
    <t>FAMILIAR DAVONY</t>
  </si>
  <si>
    <t>LIMON, LIMON PACUARE NUEVO</t>
  </si>
  <si>
    <t>LICORERA Y MINI SUPER LA CUADRA</t>
  </si>
  <si>
    <t>SAN NICOLAS, CARTAGO 300 N 25 E BAR LA COPA</t>
  </si>
  <si>
    <t>KOKODRILO MARKET DE HEREDIA</t>
  </si>
  <si>
    <t>HEREDIA, HEREDIA FRENTE A ZONA FRANCA METRO</t>
  </si>
  <si>
    <t>ABAST BAMBÚ</t>
  </si>
  <si>
    <t>SAN VICENTE, MORAVIA 250 O DEL SALON COMUNAL LA ISLA MORAVIA</t>
  </si>
  <si>
    <t>PANADERIA DELYPAN</t>
  </si>
  <si>
    <t>CINCO ESQUINAS, TIBAS CUATRO REINAS 100 OESTE DE LA PLAZA</t>
  </si>
  <si>
    <t>MINISUPER EL  DESTAP</t>
  </si>
  <si>
    <t>SAN JUAN, SANTA BARBARA FRENT. DEPÓSITO SAN MIGUEL  SAN JUAN</t>
  </si>
  <si>
    <t>MERCADO PACUARE SRL</t>
  </si>
  <si>
    <t>TURRIALBA, TURRIALBA TURRIALBA TRANSTUSA</t>
  </si>
  <si>
    <t>MINI SUPER EL SHADDAI</t>
  </si>
  <si>
    <t>ALAJUELA ALAJUELA DESAMPARADOS 200E DEL BAR LOS APACHES ALAJUELA</t>
  </si>
  <si>
    <t>SUPER CENTROAMERICA</t>
  </si>
  <si>
    <t>DUACARI, GUACIMO EL LIMBO B PUEBLO NUEVO FRENTE PLAZA DEP</t>
  </si>
  <si>
    <t>MURILLO EXPRESS</t>
  </si>
  <si>
    <t>ALAJUELA POAS SAN JUAN 200 SE DE LA ESCUELA DE SAN JUAN POAS</t>
  </si>
  <si>
    <t>SAN FRANCISCO DE DOS, SAN JOSE AL FRENTE DEL RESTAURANTE EL EXCELENTE</t>
  </si>
  <si>
    <t>MINI SUPER LA PRADERA</t>
  </si>
  <si>
    <t>SAN JOSECITO, ALAJUELITA DE PANADERÍA SAN JOSECITO 50 N. Y 25 O.</t>
  </si>
  <si>
    <t>ABASTECEDOR EL GORDO</t>
  </si>
  <si>
    <t>LIBERIA, LIBERIA 100 OESTE DE LA ULTIMA PARADA DE MARTINA</t>
  </si>
  <si>
    <t>MINISUPER LA DEPORTIVA</t>
  </si>
  <si>
    <t>CONCEPCION, SAN RAFAEL FRENTE AL ESTADIO DE CONCEPCIÓN</t>
  </si>
  <si>
    <t>LICORERA LA LIKO</t>
  </si>
  <si>
    <t>SARDINAL, CARRILLO ENTRADA A OCOTAL 100 M OESTE</t>
  </si>
  <si>
    <t>QUESADA, SAN CARLOS BARRIO EL CARMEN</t>
  </si>
  <si>
    <t>EMPAQUES MINI SUPER LICORERA</t>
  </si>
  <si>
    <t>SAN MIGUEL, NARANJO 200O DEL PARQUE DE CANDELARIA</t>
  </si>
  <si>
    <t>MERCADO DE CARNES ZUMBADO</t>
  </si>
  <si>
    <t>SANTA EULALIA, ATENAS SANTA EULALIA ATENAS 100 O SALÓN</t>
  </si>
  <si>
    <t>SÚPER COLORES 5</t>
  </si>
  <si>
    <t>SABANILLA, MONTES DE OCA 700 OESTE DEL CRISTO DE SABANILLA</t>
  </si>
  <si>
    <t>SAN JOSECITO, SAN RAFAEL FRENTE PLAZA DEPORTE DE SAN JOSESITO</t>
  </si>
  <si>
    <t>MINI SUPER LA RAYA</t>
  </si>
  <si>
    <t>CARTAGO CARTAGO GUADALUPE O ARENILLA CARTAGO GUADALUPE</t>
  </si>
  <si>
    <t>SUPER MERCADO UNO X UNO</t>
  </si>
  <si>
    <t>QUESADA, SAN CARLOS 70 SUR DEL INA BARRIO LOURDES</t>
  </si>
  <si>
    <t>SÚPER JIRO</t>
  </si>
  <si>
    <t>VENECIA, SAN CARLOS 600 SUR ESCUELA MARSELLA</t>
  </si>
  <si>
    <t>PULPERIA EL ROBLE</t>
  </si>
  <si>
    <t>SAN ISIDRO, EL GUARCO 50MN ESCUELA GUATUSO</t>
  </si>
  <si>
    <t>DISTRIBUIDORA GAITAN</t>
  </si>
  <si>
    <t>MERCED, SAN JOSE SAN JOSE PARQUE LA MERCED 125 SUR</t>
  </si>
  <si>
    <t>MINI SUPER HORQUETAS</t>
  </si>
  <si>
    <t>LAS HORQUETAS, SARAPIQUI COSTADO OESTE DEL CORREO</t>
  </si>
  <si>
    <t>CHARLIE MINI MARKET</t>
  </si>
  <si>
    <t>TOBOSI, EL GUARCO CONTIGUO AL EBAIS</t>
  </si>
  <si>
    <t>ESPENDIO BIMBO SAN CARLOS</t>
  </si>
  <si>
    <t>QUESADA, SAN CARLOS CUIDAD QUESADA CENTRO</t>
  </si>
  <si>
    <t>MINI SÚPER EL PUNTO C&amp;N</t>
  </si>
  <si>
    <t>HEREDIA FLORES LLORENTE DEL PALI DE LOS LAGOS 200 NORTE Y 75 OES</t>
  </si>
  <si>
    <t>SUPERMERCADO MILITO</t>
  </si>
  <si>
    <t>DESAMPARADOS, DESAMPARADOS DESAMPARADOS</t>
  </si>
  <si>
    <t>SAN LORENZO, TARRAZU 25 MTS NORTE ANTIGUA CAPILLA SANTA MARTA</t>
  </si>
  <si>
    <t>ABASTECEDOR MATIKEN</t>
  </si>
  <si>
    <t>LA SUIZA, TURRIALBA PROYECTO LAS GAVIOTAS CASA B51 LA SUIZA</t>
  </si>
  <si>
    <t>LICORERA TOCHY</t>
  </si>
  <si>
    <t>MATA DE PLATANO, GOICOECHEA CARMEN GUADALUPE CONTIGUO A LA MUSMANI</t>
  </si>
  <si>
    <t>LICORERA J Y M</t>
  </si>
  <si>
    <t>FLORENCIA, SAN CARLOS 50M OESTE 25 SUR ENTRADA QUILEA</t>
  </si>
  <si>
    <t>MINI MARKET BERLIN</t>
  </si>
  <si>
    <t>HEREDIA SAN RAFAEL SAN JOSECITO HEREDIA SAN RAFAEL</t>
  </si>
  <si>
    <t>SAN MIGUEL, DESAMPARADOS SAN MIGUEL DESAMPARADOS</t>
  </si>
  <si>
    <t>S.O.S MARKET EXPRESS</t>
  </si>
  <si>
    <t>ALAJUELA SAN CARLOS QUESADA EL TANQUE</t>
  </si>
  <si>
    <t>MINISUPER EL LLANO</t>
  </si>
  <si>
    <t>SAN MIGUEL, DESAMPARADOS FRENTE A LA ESCUELA DEL LLANO, HIGUITO</t>
  </si>
  <si>
    <t>SANTA ELENA KATHERINNE</t>
  </si>
  <si>
    <t>PURRAL, GOICOECHEA LOREMAR PURRAL</t>
  </si>
  <si>
    <t>MINI SUPER LA LUPITA</t>
  </si>
  <si>
    <t>PURRAL, GOICOECHEA PURRAL 200M E DEL SALÓN COMUNAL LA LUPIT</t>
  </si>
  <si>
    <t>MINI SUPER LA VENTANA</t>
  </si>
  <si>
    <t>PUNTARENAS PUNTARENAS PUNTARENAS 20 NOV ANTIGUA PULP ABC 25 NORTE</t>
  </si>
  <si>
    <t>LARAS FOOD</t>
  </si>
  <si>
    <t>ALAJUELA SAN RAMON PEÑAS BLANCAS PEÑAS BLANCAS CHACHAGUA</t>
  </si>
  <si>
    <t>TIENDA DE CONVENIENCIA MJ</t>
  </si>
  <si>
    <t>PUNTARENAS BUENOS AIRES BUENOS AIRES CONTIGUO A CORREOS DE COSTA RICA</t>
  </si>
  <si>
    <t>SUPER CENTRO SAN ISIDRO</t>
  </si>
  <si>
    <t>SAN ISIDRO, SAN ISIDRO COSTA SUR IGLESIA SAN ISIDRO DE HEREDIA</t>
  </si>
  <si>
    <t>AUTO LICORERA LA BOMBA</t>
  </si>
  <si>
    <t>ALAJUELA SAN CARLOS LA TIGRA CONTIGUO A GASOLINERA LA LUCHA</t>
  </si>
  <si>
    <t>LIKOMONKEY</t>
  </si>
  <si>
    <t>SAN RAFAEL, SAN RAFAEL 75 MTS OESTE DE LA FERRETERÍA REFAELEÑO</t>
  </si>
  <si>
    <t>SUPER WILY</t>
  </si>
  <si>
    <t>BOLIVAR, GRECIA CONTIGUO AL CRUCE DE CAJON</t>
  </si>
  <si>
    <t>COMERCIAL RUIS</t>
  </si>
  <si>
    <t>DANIEL FLORES, PEREZ ZELEDON PINAR DEL RÍO</t>
  </si>
  <si>
    <t>SOMOS  CISNE</t>
  </si>
  <si>
    <t>CARTAGENA, SANTA CRUZ CARTAGENA BARRIO MILAGRO CASA 4</t>
  </si>
  <si>
    <t>Q BARATO</t>
  </si>
  <si>
    <t>SANTA CRUZ, SANTA CRUZ 150 OESTE DE LA UCR BARRIO LIMON</t>
  </si>
  <si>
    <t>MERCADITO EXPRESS</t>
  </si>
  <si>
    <t>TURRUCARES, ALAJUELA TURRUCARES ALAJUELA</t>
  </si>
  <si>
    <t>MINI SUPER SIQUIARES</t>
  </si>
  <si>
    <t>TURRUCARES, ALAJUELA 2.5 KM AL ESTE DE LA PIZZERÍA</t>
  </si>
  <si>
    <t>AMIGOS MARKET</t>
  </si>
  <si>
    <t>ALAJUELA ALAJUELA SAN ISIDRO CONTIGO PUESTO POLICÍA</t>
  </si>
  <si>
    <t>LA LIKO DE EMMA</t>
  </si>
  <si>
    <t>HEREDIA SANTA BARBARA SANTO DOMINGO 50 OESTE DEL CEMENTERIO</t>
  </si>
  <si>
    <t>MINI SUPER VICTORIA</t>
  </si>
  <si>
    <t>BUENOS AIRES, PALMARES FRENTE MUEBLES CHEKELON</t>
  </si>
  <si>
    <t>REPOSTERIA KENNETH</t>
  </si>
  <si>
    <t>SAN RAFAEL, SAN RAMON VUELTA CRISTO SAN RAFAEL ALAJUELA</t>
  </si>
  <si>
    <t>SUPERMERCADO GRUPO UNIDOS L.A</t>
  </si>
  <si>
    <t>ALAJUELA SAN CARLOS LA FORTUNA 400M SUR DE LA ESCUELA LOS ANGELES</t>
  </si>
  <si>
    <t>MINI SUPER Y LICORERA MAQUELGAL.</t>
  </si>
  <si>
    <t>JIMENEZ, POCOCI JIMENES ANITA GRANDE CRUCE LINEA 1 K NOR</t>
  </si>
  <si>
    <t>MINI MARKET THE CORNER</t>
  </si>
  <si>
    <t>ZARAGOZA, PALMARES DIAGONAL AL SUPER EL RINCON</t>
  </si>
  <si>
    <t>SUPER GC</t>
  </si>
  <si>
    <t>LIMÓN SIQUIRRES SIQUIRRES COSTADO NORTE IGLESIA DISCIPULOS DE CRIS</t>
  </si>
  <si>
    <t>MINI SUPER  EBENECER</t>
  </si>
  <si>
    <t>ALAJUELA SAN CARLOS LA TIGRA FRENTE A POLLOS PAKO</t>
  </si>
  <si>
    <t>MINI SUPER LA ANGOSTURA</t>
  </si>
  <si>
    <t>PUNTARENAS ESPARZA MACACONA MACACONA</t>
  </si>
  <si>
    <t>BUEN PRECIO</t>
  </si>
  <si>
    <t>RITA, POCOCI LA TERESA</t>
  </si>
  <si>
    <t>ASOCIACION OBRAS DEL ESP?RITU SANTO</t>
  </si>
  <si>
    <t>CATEDRAL, SAN JOSE SAN JOSE CRISTO REY</t>
  </si>
  <si>
    <t>ORANGE LIQUOR STORE</t>
  </si>
  <si>
    <t>PUNTARENAS GARABITO JACO FRENTE XTC</t>
  </si>
  <si>
    <t>SUPER LA MARGARITA</t>
  </si>
  <si>
    <t>SAN JOSÉ PURISCAL SAN RAFAEL ESCAZU, CONTIGUO A CASONA LALY</t>
  </si>
  <si>
    <t>SÚPER FELIZ #8</t>
  </si>
  <si>
    <t>SAN JOSÉ DESAMPARADOS SAN ANTONIO TAPACHULA 100MTS Y 150MTS ESTE</t>
  </si>
  <si>
    <t>SUPER ESPERANZA</t>
  </si>
  <si>
    <t>SIQUIRRES, SIQUIRRES SIQUIRRES</t>
  </si>
  <si>
    <t>SUPER LA AMISTAD VILLA NUEVA</t>
  </si>
  <si>
    <t>QUEPOS, QUEPOS VILLA NUEVA FRENTE A LA ESCUELA</t>
  </si>
  <si>
    <t>LICO RUTA 3</t>
  </si>
  <si>
    <t>GARITA, ALAJUELA LA GARITA DE ALAJUELA, JUNTO AL</t>
  </si>
  <si>
    <t>MINI MARKET SAN GERARDO</t>
  </si>
  <si>
    <t>PUNTARENAS PUNTARENAS CHOMES GASOLINERA, JUDAS CHOMES</t>
  </si>
  <si>
    <t>MINI SUPER SUPREMO</t>
  </si>
  <si>
    <t>SANTA ROSA, SANTO DOMINGO 50 OESTE DEL INBIO PARQUE</t>
  </si>
  <si>
    <t>SAN RAMON, SAN RAMON SAN RAMON CALLE ZAMORA</t>
  </si>
  <si>
    <t>MINI SUPER LA BOMBA</t>
  </si>
  <si>
    <t>PALMARES, PALMARES PALMARES BOMBA METROPOLI</t>
  </si>
  <si>
    <t>MINISUPER EL ENCANTO</t>
  </si>
  <si>
    <t>CALLE BLANCOS, GOICOECHEA CONTIGUO A FILI</t>
  </si>
  <si>
    <t>MINI SUPER MORA</t>
  </si>
  <si>
    <t>FLORENCIA, SAN CARLOS 50M SUR ESC SAN LUIS FLORENCIA</t>
  </si>
  <si>
    <t>MINI SUPER ZM</t>
  </si>
  <si>
    <t>ALAJUELA OROTINA OROTINA DIAGONAL AL PARQUE DE SAN MATEO</t>
  </si>
  <si>
    <t>MINISUPER DONDE EL GORDO</t>
  </si>
  <si>
    <t>ALAJUELA, ALAJUELA VILLA BONITA</t>
  </si>
  <si>
    <t>ALAJUELA, ALAJUELA MONSERRAT ALAJUELA</t>
  </si>
  <si>
    <t>MINISUPER BTICOS 2</t>
  </si>
  <si>
    <t>ALAJUELA ALAJUELA ALAJUELA CANOAS 3RA ENTRADA CAMPO VERDE</t>
  </si>
  <si>
    <t>LOS CHILES, LOS CHILES SANTA FE DE LOS CHILES</t>
  </si>
  <si>
    <t>MINI SUPER ORO MUMDO</t>
  </si>
  <si>
    <t>HEREDIA, HEREDIA HEREDIA</t>
  </si>
  <si>
    <t>MINISUPER EL BARATO</t>
  </si>
  <si>
    <t>DESAMPARADOS, ALAJUELA ALAJUELA DESAMPARADOS 700 SUROESTE DE LA</t>
  </si>
  <si>
    <t>SUPER LA VIRGENCITA</t>
  </si>
  <si>
    <t>GRECIA, GRECIA INTERSECCION A LOS ANGELES CONTIGUO A</t>
  </si>
  <si>
    <t>MINI SUPER DORADO</t>
  </si>
  <si>
    <t>ALAJUELA, ALAJUELA 125 N DE PALI PACÍFICO</t>
  </si>
  <si>
    <t>SÚPER Y BAZAR BARVA #2</t>
  </si>
  <si>
    <t>BARVA, BARVA 50 ESTE DEL PARQUÉ DE BARVA</t>
  </si>
  <si>
    <t>SAN ISIDRO, GRECIA 600N DE LA ESCUELA MORAZAN</t>
  </si>
  <si>
    <t>ABAST MARCOS</t>
  </si>
  <si>
    <t>MINI SUPER Y LICORERA KUTUA</t>
  </si>
  <si>
    <t>TURRIALBA, TURRIALBA CARTAGO TURRIALBA FRENTE ARTELEC</t>
  </si>
  <si>
    <t>LICOHOUSE</t>
  </si>
  <si>
    <t>PATALILLO, VAZQUEZ DE CORONADO 400E DEL MALL DON PANCHO</t>
  </si>
  <si>
    <t>LA CASCADA</t>
  </si>
  <si>
    <t>SAN RAFAEL, PURISCAL DETRAS BOMBA DELTA ANONOS</t>
  </si>
  <si>
    <t>SÚPER DON JOSE</t>
  </si>
  <si>
    <t>ALAJUELA SARCHI SAN PEDRO 1KM AL NORTE DE LA ESCUELA SAN PEDRO</t>
  </si>
  <si>
    <t>GUAPILES, POCOCI CASCADAS DE VETREL 300 NORTE</t>
  </si>
  <si>
    <t>SUPER Y LICO DONDE DONDE FERCHO</t>
  </si>
  <si>
    <t>SAN FELIPE, ALAJUELITA SAN FELIPE ALAJUELITA FRENTE SALON</t>
  </si>
  <si>
    <t>SUPER Y LICO LA PROSPERIDAD</t>
  </si>
  <si>
    <t>SAN RAFAEL ARRIBA, DESAMPARADOS 300 S DE LA ESCUELA QUEMADA</t>
  </si>
  <si>
    <t>MINI SUPER EL RECREO</t>
  </si>
  <si>
    <t>SAN VICENTE, MORAVIA LA ISLA MORAVIA</t>
  </si>
  <si>
    <t>LICOUTLET</t>
  </si>
  <si>
    <t>SAN JOSÉ CURRIDABAT CURRIDABAT DIAGONAL A LA POPS DE SAN PEDRO</t>
  </si>
  <si>
    <t>ZAPOTE, SAN JOSE FRENTE REDONDEL DE ZAPOTE</t>
  </si>
  <si>
    <t>SUPER MC</t>
  </si>
  <si>
    <t>ANGELES, SAN RAMON 800 MTS ESTE DE LA ESCUELA BAJO ZUÑIGA</t>
  </si>
  <si>
    <t>MINI SUPER LOS RECUERDOS</t>
  </si>
  <si>
    <t>CARTAGO JIMENEZ JUAN VIÑAS 450M NO PALI JUAN VIÑAS</t>
  </si>
  <si>
    <t>MINISUP LA Y</t>
  </si>
  <si>
    <t>SIQUIRRES, SIQUIRRES 100 MTS OESTE DEL BAR EMILY SOLD</t>
  </si>
  <si>
    <t>MINI SUPER 21</t>
  </si>
  <si>
    <t>CATEDRAL, SAN JOSE SAN JOSE AVE 6 Y8 CALLE 21</t>
  </si>
  <si>
    <t>SUPER LIANG RUEDA</t>
  </si>
  <si>
    <t>QUEBRADILLA, CARTAGO ENTRADA RESIDENCIAL LA RUEDA</t>
  </si>
  <si>
    <t>MINISUPER MAMAJUANA</t>
  </si>
  <si>
    <t>GUANACASTE LIBERIA LIBERIA 75 SUR DE LOS BOMBEROS</t>
  </si>
  <si>
    <t>MINI SÚPER B Y K</t>
  </si>
  <si>
    <t>SIQUIRRES, SIQUIRRES BARRIO EL CIVIL CARMENES SIQUIRRES</t>
  </si>
  <si>
    <t>PULP PACUARITO</t>
  </si>
  <si>
    <t>PACUARITO, SIQUIRRES SIQUIRRES PACUARITO CRUCE LÍNEA 200 NORT</t>
  </si>
  <si>
    <t>MINI SUPER Y LICORERA LOS PILONES</t>
  </si>
  <si>
    <t>NARANJO, NARANJO 200M ESCUELA REPUBLICA DEL ECUADOR</t>
  </si>
  <si>
    <t>MINISUPER Y LIC JALISCO 1</t>
  </si>
  <si>
    <t>ALAJUELA ATENAS SAN JOSE IGLESIA BO SAN JOSE 600 NORTE</t>
  </si>
  <si>
    <t>SUPER GRUPO UNIDOS EL CAMPO</t>
  </si>
  <si>
    <t>QUESADA, SAN CARLOS BARRIO SAN PABLO CIUDAD QUESADA</t>
  </si>
  <si>
    <t>SÚPER CROCO TARCOLES</t>
  </si>
  <si>
    <t>PUNTARENAS GARABITO TARCOLES COSTADO NORTE DEL SALON COMUNAL</t>
  </si>
  <si>
    <t>SUPERMERCADO EL CEIBO</t>
  </si>
  <si>
    <t>SIQUIRRES, SIQUIRRES TRES X FRENTE ALA IGLESIA CATÓLICA</t>
  </si>
  <si>
    <t>ABASTECEDOR LINDA VISTA</t>
  </si>
  <si>
    <t>SIQUIRRES, SIQUIRRES CARRETERA 3 X FRENTE LA PLAZA DE LINDA V</t>
  </si>
  <si>
    <t>MARELA MINIMARKET</t>
  </si>
  <si>
    <t>GUAPILES, POCOCI 300 NORTE BOMBA SANTA CLARA</t>
  </si>
  <si>
    <t>PULPERIA CERRITOS</t>
  </si>
  <si>
    <t>QUEPOS, QUEPOS CERRITOS CONTIGUO A TANQUE DE AGUA</t>
  </si>
  <si>
    <t>SODA LA PLAZA</t>
  </si>
  <si>
    <t>GUANACASTE HOJANCHA HOJANCHA PUERTO CARRILLO COSTADO OESTE</t>
  </si>
  <si>
    <t>SUPER MARKET 323</t>
  </si>
  <si>
    <t>SARCHI NORTE, SARCHI RINCON DE ALPIZAR</t>
  </si>
  <si>
    <t>MINI SUPER DONDE LOS HERMANOS</t>
  </si>
  <si>
    <t>SANTO DOMINGO, SANTA BARBARA CONTIGUO A LA FISCHEL</t>
  </si>
  <si>
    <t>VERDURERIA LA MANAGUITA</t>
  </si>
  <si>
    <t>SIERPE, OSA PALMAR SUR FINCA 3</t>
  </si>
  <si>
    <t>MINI SUPER Y LICORERA ELEVEN</t>
  </si>
  <si>
    <t>DANIEL FLORES, PEREZ ZELEDON LA PISTA DANIEL FLORES PEREZ ZELEDON</t>
  </si>
  <si>
    <t>PUNTARENAS MONTE VERDE MONTE VERDE DEL CEMENTERIO 300 OESTE SANTA ELENA</t>
  </si>
  <si>
    <t>SUERTE MVP SOCIEDAD ANONIMA</t>
  </si>
  <si>
    <t>ALAJUELA, ALAJUELA 100 ESTE DEL AUTO MERCADO DE ALAJUELA</t>
  </si>
  <si>
    <t>MINI SUPER CHEG DU</t>
  </si>
  <si>
    <t>NICOYA, NICOYA 50 NORTE DE CRUZ ROJA DE NICOYA</t>
  </si>
  <si>
    <t>SUPER LA CUMBRE #4</t>
  </si>
  <si>
    <t>CARTAGO TURRIALBA TURRIALBA COLORADO TURRIALBA</t>
  </si>
  <si>
    <t>MINI SUPER GAMBOA</t>
  </si>
  <si>
    <t>JIMENEZ, POCOCI 200 OESTE DE LA PLAZA FUTBOL MOLINO ..</t>
  </si>
  <si>
    <t>SÚPERMERCADO GRUPO UNIDOS VENECIA</t>
  </si>
  <si>
    <t>VENECIA, SAN CARLOS FRENTE COLEGIO VENECIA</t>
  </si>
  <si>
    <t>SÚPER FUTURO SAN PABLO</t>
  </si>
  <si>
    <t>SAN PABLO, SAN PABLO 100 SUR 400 ESTE DE LA IGLESIA DE SAN</t>
  </si>
  <si>
    <t>AHORRO TOTAL</t>
  </si>
  <si>
    <t>LIMÓN POCOCI RITA LA RITA POCOCI</t>
  </si>
  <si>
    <t>MINI SUPER DALESKA</t>
  </si>
  <si>
    <t>DANIEL FLORES, PEREZ ZELEDON MARIA AUXILIADORA</t>
  </si>
  <si>
    <t>SUPER CONCHAL</t>
  </si>
  <si>
    <t>GUANACASTE SANTA CRUZ CABO VELAS 300 ESTE RESTAURANTE PATAGONIA DEL MAR</t>
  </si>
  <si>
    <t>MINI SÚPER BUENA SUERTE</t>
  </si>
  <si>
    <t>LIMON, LIMON LIMÓN CENTRO, FRENTE A POPS</t>
  </si>
  <si>
    <t>YENDRY GABRIELA RODRIGUEZ ALVARE</t>
  </si>
  <si>
    <t>GUANACASTE ABANGARES SIERRA SAN RAFAEL, ABANGARES DIAGONAL A LA IGLE</t>
  </si>
  <si>
    <t>LICORERA OROMANGO</t>
  </si>
  <si>
    <t>ALAJUELA OROTINA OROTINA 300 NORT DE MAXI PALI OROTINA</t>
  </si>
  <si>
    <t>CONCENTRADOS  OVARES</t>
  </si>
  <si>
    <t>LEPANTO, PUNTARENAS COSTADO OESTE  DE LA PLAZA DE LEPANTO</t>
  </si>
  <si>
    <t>FINCA SAN CAYETANO</t>
  </si>
  <si>
    <t>PUERTO VIEJO, SARAPIQUI SAN CAYETANO</t>
  </si>
  <si>
    <t>SUPER Y LICORERA EVA</t>
  </si>
  <si>
    <t>HOJANCHA, HOJANCHA HOJANCHA</t>
  </si>
  <si>
    <t>GALLO MARKET</t>
  </si>
  <si>
    <t>GOLFITO, GOLFITO LA CUADRA AL LADO DE CARRO BLANCO</t>
  </si>
  <si>
    <t>SAN ANTONIO, ALAJUELITA FRENTE A EKONO</t>
  </si>
  <si>
    <t>LICORERA M y J</t>
  </si>
  <si>
    <t>CARIARI, POCOCI NAJERA DE LA RITA POCOCI</t>
  </si>
  <si>
    <t>MINI MARKET BAMBU 106</t>
  </si>
  <si>
    <t>HEREDIA, HEREDIA 200/SUR DE RITEVI LAGUNILLA</t>
  </si>
  <si>
    <t>EXPD LA BONANZA</t>
  </si>
  <si>
    <t>HEREDIA HEREDIA HEREDIA HEREDIA, SAN LORENZO, CONTIGUO</t>
  </si>
  <si>
    <t>MINI MARKET QUIRÓS</t>
  </si>
  <si>
    <t>QUESADA, SAN CARLOS SAN CARLOS PORVENIR FRENTE</t>
  </si>
  <si>
    <t>SUPER PUENTE PIEDRA</t>
  </si>
  <si>
    <t>PUENTE DE PIEDRA, GRECIA COSTADO DE LA PLAZA DE DEPORTES PUENTE P</t>
  </si>
  <si>
    <t>MINI SUPER VIKINGO #2</t>
  </si>
  <si>
    <t>NICOYA, NICOYA NAMBI</t>
  </si>
  <si>
    <t>PARRITA, PARRITA ENTRADA A PLAYON FRENTE A REFORMADORES</t>
  </si>
  <si>
    <t>ABAST. YOSI</t>
  </si>
  <si>
    <t>RIO NUEVO, PEREZ ZELEDON SANTA ROSA</t>
  </si>
  <si>
    <t>PULPERIA DON CARLOS</t>
  </si>
  <si>
    <t>GUAPILES, POCOCI GUAPILES</t>
  </si>
  <si>
    <t>PANES CAFE</t>
  </si>
  <si>
    <t>ZAPOTE, SAN JOSE SAN JOSE ZAPOTE</t>
  </si>
  <si>
    <t>MINI MARKET LA PASADITA</t>
  </si>
  <si>
    <t>QUESADA, SAN CARLOS CQ 200 SUR IGLESIA SAN MARTIN</t>
  </si>
  <si>
    <t>MINI SUPER Y LIC TARRA</t>
  </si>
  <si>
    <t>BARRANCA, PUNTARENAS ENTRADA PRINCIPAL DE LOS ALMENDROS FRENT</t>
  </si>
  <si>
    <t>SODA LOMAS</t>
  </si>
  <si>
    <t>RIO JIMENEZ, GUACIMO SODA LOMAS</t>
  </si>
  <si>
    <t>UNICOMPRO</t>
  </si>
  <si>
    <t>SAN JOSÉ DESAMPARADOS DESAMPARADOS LA URUCA 100 NORTE 25 ESTE</t>
  </si>
  <si>
    <t>SUPER PITAHAYA</t>
  </si>
  <si>
    <t>PUNTARENAS PUNTARENAS PITAHAYA PITAHAYA AL FRENTE DE LA PLAZA</t>
  </si>
  <si>
    <t>LAS PILAS</t>
  </si>
  <si>
    <t>COLORADO, ABANGARES 50 NORT DE LA CARNICERÍA LA BAJUREÑA</t>
  </si>
  <si>
    <t>LICO BOUTIQUE TURRÚCARES</t>
  </si>
  <si>
    <t>TURRUCARES, ALAJUELA 300 METROS ESTE DE PIZZERÍA LA ESTACIÓN</t>
  </si>
  <si>
    <t>MINI SÚPER MJ</t>
  </si>
  <si>
    <t>SAN ISIDRO, LEON CORTES CASTRO SAN ISIDRO</t>
  </si>
  <si>
    <t>MINI SUPER MYN</t>
  </si>
  <si>
    <t>CARTAGO PARAISO PARAISO 100 ESTE DE LA IGLESIA DE BIRRISITO</t>
  </si>
  <si>
    <t>SUPER SULY</t>
  </si>
  <si>
    <t>SAN RAFAEL, OREAMUNO CARTAGO SAN RAFAEL OREAMUNO</t>
  </si>
  <si>
    <t>PULP LA VENTANITA</t>
  </si>
  <si>
    <t>SAN RAFAEL ARRIBA, DESAMPARADOS 200 S DEL PUENTE DE CAÑAS</t>
  </si>
  <si>
    <t>CENTRO DE COMPRAS DE HEREDIA</t>
  </si>
  <si>
    <t>HEREDIA, HEREDIA CONTIGUO A LA LINEA DEL TREN</t>
  </si>
  <si>
    <t>ABAST MARACAY</t>
  </si>
  <si>
    <t>SAN ISIDRO, LEON CORTES CASTRO LAS AMERICAS</t>
  </si>
  <si>
    <t>MINISUPER FACILITO</t>
  </si>
  <si>
    <t>CURRIDABAT, CURRIDABAT CIPRESES, 50M OESTE DE LA ESCUELA</t>
  </si>
  <si>
    <t>MINI SUPER EL SAUCE</t>
  </si>
  <si>
    <t>SANTA TERESITA, TURRIALBA EN LA ENTRADA EL SAUCES CENTRO</t>
  </si>
  <si>
    <t>SODA COCOBOLO</t>
  </si>
  <si>
    <t>PUERTO VIEJO, SARAPIQUI NARANJALES FRENTE FINCA COCOBOLO</t>
  </si>
  <si>
    <t>MINI SUPER REPUNTA</t>
  </si>
  <si>
    <t>DANIEL FLORES, PEREZ ZELEDON REPUNTA DE DANIEL FLORES</t>
  </si>
  <si>
    <t>QUESADA, SAN CARLOS 75 METROS SUR DE LA IGLESIA CATÓLICA</t>
  </si>
  <si>
    <t>MINI SUPER MI FAMILIA</t>
  </si>
  <si>
    <t>JIMENEZ, POCOCI SUERRE</t>
  </si>
  <si>
    <t>PULPERÍA BIENVENIDOS</t>
  </si>
  <si>
    <t>LIMÓN GUACIMO GUACIMO GUACIMO</t>
  </si>
  <si>
    <t>MINI SUPER SAN BOSCO #2</t>
  </si>
  <si>
    <t>LA FORTUNA, SAN CARLOS FRENTE LA PLAZA BONANZA</t>
  </si>
  <si>
    <t>MINI SUPER ROMA</t>
  </si>
  <si>
    <t>HEREDIA SAN RAFAEL SAN RAFAEL HEREDIA SAN RAFAEL DE LA ENTRADA ESCUELA</t>
  </si>
  <si>
    <t>MINI SUPER JOMI</t>
  </si>
  <si>
    <t>VALLE LA ESTRELLA, LIMON SAN FAEL DE PANDORA</t>
  </si>
  <si>
    <t>SODA TATIANA</t>
  </si>
  <si>
    <t>LIMÓN LIMON LIMON LIMÓN CENTRO, FRENTE AL BN</t>
  </si>
  <si>
    <t>MINI SUPER Y LICORERA DF</t>
  </si>
  <si>
    <t>SAN JOSÉ PEREZ ZELEDON SAN ISIDRO DE EL GENERAL CRUCE BOSTON</t>
  </si>
  <si>
    <t>MINI SUPER SAN FRANCISCO</t>
  </si>
  <si>
    <t>CONCEPCION, LA UNION 100 METROS AL ESTE DW LA ESCUELA DE SAN</t>
  </si>
  <si>
    <t>SUPER LICORERA HAPPY KIM Y SOL</t>
  </si>
  <si>
    <t>ALAJUELA OROTINA COYOLAR ESTACIÓN DE BUSES OROTINA</t>
  </si>
  <si>
    <t>LIMON, LIMON COSTADO CANCHA DE BÁSQUET CORALES 2</t>
  </si>
  <si>
    <t>SUPER EL CORRAL PORTEÑO</t>
  </si>
  <si>
    <t>PUNTARENAS PUNTARENAS PUNTARENAS 50 OESTE OFICINAS DEL MOP EN CHACARITA</t>
  </si>
  <si>
    <t>LICORERA  EL ZARP'</t>
  </si>
  <si>
    <t>HATILLO, SAN JOSE 50 S ALMACENES UNIDOS HATILLO</t>
  </si>
  <si>
    <t>SUPER MERCADO ELENA</t>
  </si>
  <si>
    <t>ALAJUELA SAN CARLOS LA PALMERA SANFRANCISCO LA PALMERA FRENTE PLAZA</t>
  </si>
  <si>
    <t>CARNES SOLIMA #2</t>
  </si>
  <si>
    <t>DANIEL FLORES, PEREZ ZELEDON COSTADO ESTE DE LA ESCUELA LOS CHILES</t>
  </si>
  <si>
    <t>MINI SUPER CELESTE #2</t>
  </si>
  <si>
    <t>DUACARI, GUACIMO EL LIMBO FRENTE A LA ESCUELA</t>
  </si>
  <si>
    <t>MINI MARKET Y LICORES VARGAS</t>
  </si>
  <si>
    <t>ASERRI, ASERRI 200OE DEL POLIDEPORTIVO ASERRI</t>
  </si>
  <si>
    <t>SUPER LA DESPENSA</t>
  </si>
  <si>
    <t>SAN RAFAEL, SAN RAMON DE LA ESCUELA SAN RAFAEL 200 S</t>
  </si>
  <si>
    <t>ALAJUELA SAN RAMON SAN RAMON 100 MTS NORTE DEL CAI</t>
  </si>
  <si>
    <t>SUPER LIANG 1</t>
  </si>
  <si>
    <t>TAMBOR, ALAJUELA 100 NORTE DE LA ESTACION DE BUSES</t>
  </si>
  <si>
    <t>ABASTECEDOR CANELO</t>
  </si>
  <si>
    <t>CARTAGO PARAISO SANTIAGO CARTAGO PARAÍSO SANTIAGO</t>
  </si>
  <si>
    <t>SUPERMERCADO GRUPO UNIDOS LA</t>
  </si>
  <si>
    <t>ALAJUELA SAN CARLOS LA PALMERA COSTADO SUR PLAZA DEPORTES</t>
  </si>
  <si>
    <t>PULPERÍA ROSITA</t>
  </si>
  <si>
    <t>LIMÓN LIMON LIMON JUAN PABLO SEGUNDO CALLE DEL SEMÁFORO FI</t>
  </si>
  <si>
    <t>PULPERÍA MONTELIMAR</t>
  </si>
  <si>
    <t>SAN PABLO, LEON CORTES CASTRO 200 METROS ESTE DE EL SÚPER MONTELIMAR</t>
  </si>
  <si>
    <t>UNIMARKET</t>
  </si>
  <si>
    <t>SAN PEDRO, BARVA 25 OESTE DE LA IGLESIA DE ROSALES</t>
  </si>
  <si>
    <t>MEXIFRUT</t>
  </si>
  <si>
    <t>EL CAIRO, SIQUIRRES CAIRO SIQUIRRES</t>
  </si>
  <si>
    <t>CAFECITO EXPRESS CARIARI</t>
  </si>
  <si>
    <t>LA ASUNCION, BELEN REAL CARIARI FRENTE A ALISS</t>
  </si>
  <si>
    <t>LICORERA PURA VIDA</t>
  </si>
  <si>
    <t>VEINTISIETE DE ABRIL, SANTA CRUZ TAMARINDO</t>
  </si>
  <si>
    <t>MINISUPER BILIBILI</t>
  </si>
  <si>
    <t>MERCED, SAN JOSE 400N EMERGENCIAS SAN JUAN DE DIOS</t>
  </si>
  <si>
    <t>MINI SUPER Y LICORERIA</t>
  </si>
  <si>
    <t>HEREDIA, HEREDIA HEREDIA, ANTIGUO ESTACIÓN DE BOMBEROS</t>
  </si>
  <si>
    <t>REY PIZZA</t>
  </si>
  <si>
    <t>LLORENTE, FLORES FRENTE A LAS BODEGAS DE PALI</t>
  </si>
  <si>
    <t>ELITE YIRETH</t>
  </si>
  <si>
    <t>RITA, POCOCI NAJERA BARRIO ROXANITA COSTADO PLAZA DEP</t>
  </si>
  <si>
    <t>PULPERÍA EBEN-EZER.</t>
  </si>
  <si>
    <t>RIO BLANCO, LIMON RÍO QUITO 100MTS ANTES DE LA ESCULA</t>
  </si>
  <si>
    <t>PULPERIA EL NEGRO</t>
  </si>
  <si>
    <t>LIBERIA, LIBERIA 50 NORTE DE PULPERIA M Y M EL JICARO</t>
  </si>
  <si>
    <t>MINI SUPER Y LICORERA LOS CEDROS</t>
  </si>
  <si>
    <t>LEPANTO, PUNTARENAS 50 MTS ESTE Y 500 MTS NORTE DE</t>
  </si>
  <si>
    <t>VENTANA KARLA</t>
  </si>
  <si>
    <t>SAN SEBASTIAN, SAN JOSE 200 N INA DE PASO ANCHO</t>
  </si>
  <si>
    <t>SODA TOME Y JALE</t>
  </si>
  <si>
    <t>MERCEDES, HEREDIA MERCEDES NORTE</t>
  </si>
  <si>
    <t>SÚPERMERCADO GRUPO ECONOMICO</t>
  </si>
  <si>
    <t>LA CRUZ, LA CRUZ LA CRUZ CENTRO</t>
  </si>
  <si>
    <t>GOLOSINAS YEA</t>
  </si>
  <si>
    <t>QUEPOS, QUEPOS COCAL CENTRO</t>
  </si>
  <si>
    <t>SUPER MONTRA</t>
  </si>
  <si>
    <t>ALAJUELA ALAJUELA ALAJUELA LA AGONIA CONTIGUO A SUPER</t>
  </si>
  <si>
    <t>MINI SUPER MJ NAVEL</t>
  </si>
  <si>
    <t>PACUARITO, SIQUIRRES SIQUIRRES PIÑERA 800 OSTE</t>
  </si>
  <si>
    <t>MI PUEBLO</t>
  </si>
  <si>
    <t>NARANJO, NARANJO NARANJO DULCE NOMBRE</t>
  </si>
  <si>
    <t>PULPERIA LAS TAPITAS</t>
  </si>
  <si>
    <t>CURRIDABAT, CURRIDABAT 200N DE LA PAÑALERA EN BARRIO MARIA AUXI</t>
  </si>
  <si>
    <t>SUPER FAMY</t>
  </si>
  <si>
    <t>GRECIA, GRECIA GRECIA CENTRO</t>
  </si>
  <si>
    <t>SUPER D'AWIN</t>
  </si>
  <si>
    <t>QUEBRADA HONDA, NICOYA QUEBRADA HONDA, 100 MTS AL NORTE DE LA</t>
  </si>
  <si>
    <t>PULPERIA LUSIANA</t>
  </si>
  <si>
    <t>BRASIL, SANTA ANA SANTA ANA BRASIL URBANIZACION</t>
  </si>
  <si>
    <t>MAQUINITAS WUENDY</t>
  </si>
  <si>
    <t>GUANACASTE SANTA CRUZ CABO VELAS 1 KM SUR DEL BAR LA PERLA Y 75ESTE</t>
  </si>
  <si>
    <t>SUPER TUANIS</t>
  </si>
  <si>
    <t>SAN PABLO, SAN PABLO 300 ESTE DÉ LA ESCUELA DE LA PUEBLA</t>
  </si>
  <si>
    <t>MINI SUPER LOS PINOS</t>
  </si>
  <si>
    <t>SAN JOSÉ PEREZ ZELEDON DANIEL FLORES SAN FRANCISCO</t>
  </si>
  <si>
    <t>BRUJOS MARKET</t>
  </si>
  <si>
    <t>PARAISO, PARAISO DEL REST CONTINENTAL 500M SUR</t>
  </si>
  <si>
    <t>PULPERÍA Y VERDULERIA LOMAS</t>
  </si>
  <si>
    <t>SAN MIGUEL, DESAMPARADOS SAN MIGUEL LOMAS</t>
  </si>
  <si>
    <t>MINI SUPER LOS MOLINA</t>
  </si>
  <si>
    <t>PUENTE DE PIEDRA, GRECIA 200SUR DEL CRUZ CARETERA ASI FANAL</t>
  </si>
  <si>
    <t>MINI SUPER LOS SUEÑOS</t>
  </si>
  <si>
    <t>GUANACASTE ABANGARES LAS JUNTAS DIAGONAL AL MONUMENTO DEL MINERO</t>
  </si>
  <si>
    <t>VOLCAN, BUENOS AIRES FRENTE A LA PLAZA EL SOCORRO BUENOS AIRE</t>
  </si>
  <si>
    <t>GUAPILES, POCOCI LA TROCHA</t>
  </si>
  <si>
    <t>MINI SUPER Y LICORERA BRAYKA 4</t>
  </si>
  <si>
    <t>LA GRANJA, PALMARES ENTRADA DE LOS PROYECTOS DE LA GRANJA,</t>
  </si>
  <si>
    <t>MINI SUPER FRANCHESKA</t>
  </si>
  <si>
    <t>CARTAGO TURRIALBA TURRIALBA SAN JUAN SUR JUAN VIÑAS</t>
  </si>
  <si>
    <t>VERDULERIA DACAPI</t>
  </si>
  <si>
    <t>FILADELFIA, CARRILLO COSTADO SUR DE   LA IGLESIA DE FILADELFI</t>
  </si>
  <si>
    <t>MAUS 2</t>
  </si>
  <si>
    <t>SANTA ANA, SANTA ANA FORUM 2</t>
  </si>
  <si>
    <t>MINI SUPER Y GRIEGA</t>
  </si>
  <si>
    <t>CANOAS, CORREDORES BARRIO DARIZARA</t>
  </si>
  <si>
    <t>MINISUPER Y LICORERA LICO EXPRESS</t>
  </si>
  <si>
    <t>ASERRI, ASERRI 5 ESQUINAS DE ASERRI CONTIGUO A POLLO GR</t>
  </si>
  <si>
    <t>SAN ANTONIO, NICOYA 50M SUR DE LA PLAZA DE DEPORTES</t>
  </si>
  <si>
    <t>MINI SUPER Y LICORERA THE POINT</t>
  </si>
  <si>
    <t>ATENAS, ATENAS ATRAS DE LOS COLOCHOS ATENAS</t>
  </si>
  <si>
    <t>PULP ELIZA</t>
  </si>
  <si>
    <t>POCORA, GUACIMO POCORA DESTIERRO SUR</t>
  </si>
  <si>
    <t>MINI SÚPER VYV</t>
  </si>
  <si>
    <t>CARRILLOS, POAS 200 NORTE Y 200 ESTE DEL SÚPER PRIMAVERA</t>
  </si>
  <si>
    <t>MINI MARKET JULIAN</t>
  </si>
  <si>
    <t>ANSELMO LLORENTE, TIBAS FRENTE A COSTADO ESTE EDIFICIO NACION</t>
  </si>
  <si>
    <t>ALAJUELA SAN RAMON PEÑAS BLANCAS SAN LORENZO</t>
  </si>
  <si>
    <t>PULPERÍA J Y N</t>
  </si>
  <si>
    <t>GUACIMO, GUACIMO CALLE AL HOGAR</t>
  </si>
  <si>
    <t>RITA, POCOCI TERESA CENTRO</t>
  </si>
  <si>
    <t>MINI MARKET  ROUTE 34</t>
  </si>
  <si>
    <t>PUNTARENAS GARABITO JACO CONTIGUO A SERV HERRADURA DELTA</t>
  </si>
  <si>
    <t>MINISUPER LA PULPE DEL BODEGÓN</t>
  </si>
  <si>
    <t>CARIARI, POCOCI CARIARI</t>
  </si>
  <si>
    <t>LA PULPE MINI MARKET</t>
  </si>
  <si>
    <t>GUAPILES, POCOCI GUAPILES REGISTRO CIVIL 100 NORTE</t>
  </si>
  <si>
    <t>PITAL, SAN CARLOS 200 SUR DEL SUPER ANA CAMINO A PUERTO</t>
  </si>
  <si>
    <t>DONDE CHOCO</t>
  </si>
  <si>
    <t>MERCEDES, HEREDIA HEREDIA, MERCEDES SUR, DEL BAR FOFO</t>
  </si>
  <si>
    <t>CARNES DON CRISTÓBAL</t>
  </si>
  <si>
    <t>CAÑAS, CAÑAS DIAGONAL ESTADIO CAÑAS</t>
  </si>
  <si>
    <t>SUPER DRAGÓN TURRIALBA</t>
  </si>
  <si>
    <t>TURRIALBA, TURRIALBA 25 SUR DE LA ESC. GENARO BONILLA</t>
  </si>
  <si>
    <t>SUPER SAN JOSE</t>
  </si>
  <si>
    <t>ALAJUELA SAN RAMON SAN RAMON 400 METROS ESTE DEL MERCAD</t>
  </si>
  <si>
    <t>LA ESQUINA DEL AHORRO</t>
  </si>
  <si>
    <t>MATA REDONDA, SAN JOSE FRENTE CNFL</t>
  </si>
  <si>
    <t>MINI SUPER EL ABUELO</t>
  </si>
  <si>
    <t>RITA, POCOCI LA RITA 500 ESTE PARQUE LA RITA CARRETER</t>
  </si>
  <si>
    <t>OMAEL STORE #4</t>
  </si>
  <si>
    <t>VEINTISIETE DE ABRIL, SANTA CRUZ CRUCE DE VILLARREAL TAMARINDO</t>
  </si>
  <si>
    <t>MINI SUPER Y LICORERA MYS</t>
  </si>
  <si>
    <t>BUENOS AIRES, BUENOS AIRES VERACRUZ BUENOS AIRES</t>
  </si>
  <si>
    <t>LICORERA Y MINISUPER LA POSITIVA</t>
  </si>
  <si>
    <t>FRAILES, DESAMPARADOS CENTRO DE FRAILES, FRENTE A LA IGLESIA</t>
  </si>
  <si>
    <t>PULPERÍA PYG</t>
  </si>
  <si>
    <t>LIMÓN POCOCI ROXANA LATRINIDAD DE ROXANA FRENTE</t>
  </si>
  <si>
    <t>PULPERÍA GORRITA</t>
  </si>
  <si>
    <t>SIQUIRRES, SIQUIRRES LAURELES</t>
  </si>
  <si>
    <t>LICORERA CENTRAL PARK</t>
  </si>
  <si>
    <t>PUNTARENAS GARABITO JACO JACO AVENIDA PASTOR DIAZ FRENTE AL PARQU</t>
  </si>
  <si>
    <t>MINI SUPER CHEPE'S</t>
  </si>
  <si>
    <t>ALAJUELA SAN RAMON SAN RAMON 75 OESTE DE FRUTAS Y VERDURAS</t>
  </si>
  <si>
    <t>ALTA FIORI</t>
  </si>
  <si>
    <t>SAN RAFAEL, PURISCAL ESCAZÚ, SAN RAFAEL</t>
  </si>
  <si>
    <t>ARENAL FORTUNA MARKET</t>
  </si>
  <si>
    <t>ALAJUELA SAN CARLOS LA FORTUNA FORTUNA CENTRO</t>
  </si>
  <si>
    <t>ABARROTES Y LICORES LOS LEONES 3</t>
  </si>
  <si>
    <t>SAN JOSÉ PEREZ ZELEDON RIVAS FRENTE A PLAZA DEPORTES MIRAFLORES</t>
  </si>
  <si>
    <t>MINI SUPER ARIELA</t>
  </si>
  <si>
    <t>LIMON, LIMON ENTRE CALLES LIMON</t>
  </si>
  <si>
    <t>EL DOLAR</t>
  </si>
  <si>
    <t>GUAPILES, POCOCI GUAPILES CONTIGUO A MASXMENOS</t>
  </si>
  <si>
    <t>MINI SUPER SOTOS</t>
  </si>
  <si>
    <t>SABANA REDONDA, POAS 250 METROS SUR DE LA IGLESIA</t>
  </si>
  <si>
    <t>PULPERÍA CORI</t>
  </si>
  <si>
    <t>LIMÓN SIQUIRRES SIQUIRRES LOS LAURELES SIQUIRRES</t>
  </si>
  <si>
    <t>MINI SUPER VILLA TAOBAO #4</t>
  </si>
  <si>
    <t>HATILLO, SAN JOSE HATILLO 1 300 OESTE DE LA PLAZA D FUTBOL</t>
  </si>
  <si>
    <t>ABST Y LICO DÓNDE PEPE</t>
  </si>
  <si>
    <t>ASERRI, ASERRI 100 OESTE Y 50 SUR DE LAS TEJITAS</t>
  </si>
  <si>
    <t>MINI SUPER FLORIDA</t>
  </si>
  <si>
    <t>SAN ANTONIO, NICOYA FLORIDA</t>
  </si>
  <si>
    <t>ASOCIACI?N SOLIDARIAS DE EMPLEADOS</t>
  </si>
  <si>
    <t>SAN PEDRO, MONTES DE OCA DENTRO DE LAS INSTALACIONES DE LA.U LA.T</t>
  </si>
  <si>
    <t>SÚPER JIAN</t>
  </si>
  <si>
    <t>SAN SEBASTIAN, SAN JOSE 300S DE ROTONDA GUACAMAYA</t>
  </si>
  <si>
    <t>SUPER JAFETH</t>
  </si>
  <si>
    <t>QUEPOS, QUEPOS CERRITOS</t>
  </si>
  <si>
    <t>PETRONILA</t>
  </si>
  <si>
    <t>PARRITA, PARRITA PLAYON SUR, 600M DE SÚPER ALEGRE</t>
  </si>
  <si>
    <t>MINI SUPER BELLA</t>
  </si>
  <si>
    <t>SAN SEBASTIAN, SAN JOSE SAN SEBAS DEL BCR 300 OESTE</t>
  </si>
  <si>
    <t>MINI AMANECER</t>
  </si>
  <si>
    <t>ASERRI, ASERRI FERRETERÍA EL PROGRESO 300 OEST</t>
  </si>
  <si>
    <t>SUPER LA CORONA 3</t>
  </si>
  <si>
    <t>FILADELFIA, CARRILLO 100 SUR DE LA ESCUELA CORRALILLO</t>
  </si>
  <si>
    <t>KIMER MINI MARKET</t>
  </si>
  <si>
    <t>ALAJUELA GRECIA GRECIA FRENTE A PALI EL PORO</t>
  </si>
  <si>
    <t>MINI SUPER Y LICORERA KEY</t>
  </si>
  <si>
    <t>CIRRI SUR, NARANJO CRUCE CIRRI</t>
  </si>
  <si>
    <t>PULPERÍA YENEIS</t>
  </si>
  <si>
    <t>LEPANTO, PUNTARENAS 25 OESTE Y 800 SUROESTE DEL DEL MAG</t>
  </si>
  <si>
    <t>SÚPER KALI</t>
  </si>
  <si>
    <t>ALAJUELA SAN RAMON VOLIO 50 OESTE DE LA ESCUELA JULIÁN VOLIO</t>
  </si>
  <si>
    <t>PULPERÍA WEWI</t>
  </si>
  <si>
    <t>TRES RIOS, LA UNION SAN DIEGO TRES RÍOS</t>
  </si>
  <si>
    <t>PULPERÍA LOPEZ</t>
  </si>
  <si>
    <t>LIMON, LIMON VILLA DEL MAR 1 DELA ENTRADA DEL ANTIGUO</t>
  </si>
  <si>
    <t>MINISUPER EL ALTO</t>
  </si>
  <si>
    <t>LAS JUNTAS, ABANGARES FRENTE A RANCHO ANNIA LOURDES ABANGARES</t>
  </si>
  <si>
    <t>SÚPER SAN JUAN GRANDE</t>
  </si>
  <si>
    <t>PUNTARENAS ESPARZA SAN JUAN GRANDE FRENTE ENTRADA DE MOLLEJONES ESPARZA</t>
  </si>
  <si>
    <t>MINI SUPER ARAUZ</t>
  </si>
  <si>
    <t>RITA, POCOCI BARRIO NAZARETH ,ENTRADA MOLA Y PEDIZ</t>
  </si>
  <si>
    <t>SÚPER MELLIN</t>
  </si>
  <si>
    <t>DANIEL FLORES, PEREZ ZELEDON LAS JUNTAS DE PACUAR</t>
  </si>
  <si>
    <t>PLAZA DE TOROS</t>
  </si>
  <si>
    <t>ZAPOTE, SAN JOSE COSTADO DEL REDONDEL DE ZAPOTE</t>
  </si>
  <si>
    <t>EMUNAH # 2</t>
  </si>
  <si>
    <t>CARMEN, SAN JOSE SAN JOSÉ, BARRIO CHINO, DEL PARQUE DEL</t>
  </si>
  <si>
    <t>GUACIMA, ALAJUELA EL COYOL</t>
  </si>
  <si>
    <t>SUPERMERCADO CAMPION S.A</t>
  </si>
  <si>
    <t>PUNTARENAS PUNTARENAS PUNTARENAS BELLA VISTA, FRENTE A URBANIZACIÓN JOSUÉ</t>
  </si>
  <si>
    <t>BUSINESS SELLER</t>
  </si>
  <si>
    <t>LIMON, LIMON VILLA DEL MAR 2 DEL RANCHO CABEMAK 75 E</t>
  </si>
  <si>
    <t>MINI SUPER LA PRIMABERA</t>
  </si>
  <si>
    <t>DIRIA, SANTA CRUZ SANTA BARBARA</t>
  </si>
  <si>
    <t>MINI SUPER LICO SMART</t>
  </si>
  <si>
    <t>ALAJUELA, ALAJUELA 100 E PANADERÍA GRANIER</t>
  </si>
  <si>
    <t>SÚPER LA GUARIA #2</t>
  </si>
  <si>
    <t>HEREDIA SAN PABLO SAN PABLO RINCÓN DE RICARDO SAN PABLO</t>
  </si>
  <si>
    <t>MINI SUPER DEL RIO</t>
  </si>
  <si>
    <t>NICOYA, NICOYA SAN PEDRO</t>
  </si>
  <si>
    <t>SUPERMERCADO LA CORONA PEDREGOSO</t>
  </si>
  <si>
    <t>SAN ISIDRO, LEON CORTES CASTRO PEDREGOSO PÉREZ ZELEDÓN</t>
  </si>
  <si>
    <t>TAYUTIC, TURRIALBA FRENTE A LA PLAZA GRANO DE ORO</t>
  </si>
  <si>
    <t>LICOMART</t>
  </si>
  <si>
    <t>CATEDRAL, SAN JOSE SAN JOSÉ AVE 10 FT A REST LA COMILONA</t>
  </si>
  <si>
    <t>ABASTECEDOR LA PILEÑA</t>
  </si>
  <si>
    <t>LICO POP</t>
  </si>
  <si>
    <t>PUERTO VIEJO, SARAPIQUI LA GUARIA SARAPIQUI COSTADO DEL</t>
  </si>
  <si>
    <t>MAGREIS</t>
  </si>
  <si>
    <t>ALAJUELA SAN CARLOS AGUAS ZARCAS LOS CHILES DE AGUAS ZARCAS ENTRADA CALLE</t>
  </si>
  <si>
    <t>MINI SUPER Y LOS SUEÑOS</t>
  </si>
  <si>
    <t>PUNTARENAS GARABITO JACO HERRADURA, CONTIGUO A LA BOMBA DELTA</t>
  </si>
  <si>
    <t>SUPER Y LICORERA NOVA</t>
  </si>
  <si>
    <t>ROSARIO, DESAMPARADOS DESAMPARADOS  LA FILA</t>
  </si>
  <si>
    <t>SAN JOSÉ DESAMPARADOS DESAMPARADOS 175 SUROESTE DEL COLEGIO DE CONTADORES</t>
  </si>
  <si>
    <t>MINI SÚPER EL DOS</t>
  </si>
  <si>
    <t>GOLFITO, GOLFITO GOLFITO KM 2</t>
  </si>
  <si>
    <t>MINISUPER KRISDEN</t>
  </si>
  <si>
    <t>LA GRANJA, PALMARES 50S EBAIS LA GRANJA</t>
  </si>
  <si>
    <t>MINI MARKET Y LICORERÍA GUAYABO</t>
  </si>
  <si>
    <t>CARTAGO TURRIALBA SANTA TERESITA 50 AL ESTE DEL BAR RESTAURANTE CABAÑA</t>
  </si>
  <si>
    <t>MINI SUPER U LIC LAS CARRETAS</t>
  </si>
  <si>
    <t>SAN MIGUEL, NARANJO SAN MIGUEL OESTE FRENTE BAR CHACÓN</t>
  </si>
  <si>
    <t>LICORERA Y MINISUPER LA CAVA DE</t>
  </si>
  <si>
    <t>ALAJUELA POAS CARRILLOS CONTIGUO A POWER HOUSE CARRILLOS</t>
  </si>
  <si>
    <t>SUPER M33</t>
  </si>
  <si>
    <t>HATILLO, SAN JOSE HATILLO CENTRO FRENTE AL MINISTERIO DE S</t>
  </si>
  <si>
    <t>MINISUPER JENNY</t>
  </si>
  <si>
    <t>PUNTARENAS PUNTARENAS CHOMES JUDAS DE CHOMES</t>
  </si>
  <si>
    <t>SUPER CAIS</t>
  </si>
  <si>
    <t>PURRAL, GOICOECHEA URBANIZACIÓN KURU</t>
  </si>
  <si>
    <t>ABASTECEDOR ENYEL</t>
  </si>
  <si>
    <t>SANTA CRUZ, TURRIALBA 300 MTS ESTE DEL BAR MIRADOR NORTEÑO</t>
  </si>
  <si>
    <t>MINISUPER CERCE</t>
  </si>
  <si>
    <t>GOLFITO, GOLFITO BARRIO LLANO BONITO DESPUÉS DE EL PUENTE</t>
  </si>
  <si>
    <t>VENDING MINIMARKET</t>
  </si>
  <si>
    <t>HEREDIA, HEREDIA ULTRAPARK 2 , LAGUNILLA, HEREDIA</t>
  </si>
  <si>
    <t>PULPERÍA CUKY</t>
  </si>
  <si>
    <t>SAN JERONIMO, NARANJO DIAGONAL AL RANCHO RAFAS CALLE REAL</t>
  </si>
  <si>
    <t>PULPERÍA ESCALERA DE JACOB</t>
  </si>
  <si>
    <t>BATAN, MATINA MIRAFLORES .BATÁN</t>
  </si>
  <si>
    <t>SUPERMERCADO CUBEROS</t>
  </si>
  <si>
    <t>SAN PEDRO, SARCHI 100 METROS NORTE DEL TEMPLO CATÓLICO DE</t>
  </si>
  <si>
    <t>JUMBO MAX</t>
  </si>
  <si>
    <t>PUNTARENAS PUNTARENAS PUNTARENAS PUNTARENAS, SANTA RITA</t>
  </si>
  <si>
    <t>MINISUPER MIRADOR</t>
  </si>
  <si>
    <t>ALAJUELA SAN CARLOS MONTERREY CRUCE DE UNIÓ DE MONTERREY</t>
  </si>
  <si>
    <t>ALAJUELA ZARCERO GUADALUPE ZARCERO SAN LUIS</t>
  </si>
  <si>
    <t>ARYMO'S</t>
  </si>
  <si>
    <t>ALAJUELA SAN CARLOS LA FORTUNA SECTOR LOS ANGELES 25 ESTE BAR LOS PILAR</t>
  </si>
  <si>
    <t>MINI SUPER FUYODO</t>
  </si>
  <si>
    <t>CURRIDABAT, CURRIDABAT 200 E DEL CEMENTERIO DE CURRI</t>
  </si>
  <si>
    <t>MINISUPER FENG</t>
  </si>
  <si>
    <t>SARCHI SUR, SARCHI SARCHI</t>
  </si>
  <si>
    <t>LICOMARKET THEY BOSS</t>
  </si>
  <si>
    <t>SAN ISIDRO, VAZQUEZ DE CORONADO CONTIGUO A BOMBA EL TRAPICHE</t>
  </si>
  <si>
    <t>MINI SÚPER EL ZURQUI</t>
  </si>
  <si>
    <t>SAN RAFAEL, OREAMUNO 300 NORTE DEL BNCR SAN RAFAEL OREMUNO</t>
  </si>
  <si>
    <t>SUPER MERCADO EL PARRITENO</t>
  </si>
  <si>
    <t>PARRITA, PARRITA CONTIGUO AL COLONO</t>
  </si>
  <si>
    <t>INSTANTE MARKET</t>
  </si>
  <si>
    <t>SAN PABLO, BARVA SAN PABLO DE BARVA</t>
  </si>
  <si>
    <t>MINI SUPER 3 AMIGOS</t>
  </si>
  <si>
    <t>CARIARI, POCOCI FRENTE A BOMBA JSM CARIARI</t>
  </si>
  <si>
    <t>MINI SUPER#18</t>
  </si>
  <si>
    <t>VOLCAN, BUENOS AIRES SANTA MARTA DE VOLCÁN</t>
  </si>
  <si>
    <t>SUPER LOS ÁRBOLES</t>
  </si>
  <si>
    <t>GUADALUPE, GOICOECHEA DE LA MUEBLERÍA DE LA ROBERT 300 METROS</t>
  </si>
  <si>
    <t>MINI SUPER Y LICORES TANIA</t>
  </si>
  <si>
    <t>SAN ANTONIO, NICOYA CARRALILLO</t>
  </si>
  <si>
    <t>LÁCTEOS ZARCERO</t>
  </si>
  <si>
    <t>ULLOA, HEREDIA HEREDIA AURORA CENADA</t>
  </si>
  <si>
    <t>MINI SUPER Y LICORERA ZARPE O QUE?</t>
  </si>
  <si>
    <t>PARRITA, PARRITA PARRITA CENTRO</t>
  </si>
  <si>
    <t>LA ESTACIÓN DEL SABOR</t>
  </si>
  <si>
    <t>NICOYA, NICOYA PARADA MUNICIPAL DE LA PAMPA</t>
  </si>
  <si>
    <t>TURRUCARES, ALAJUELA 300 SUR DEL CEMENTERIO DE TURRUCARES</t>
  </si>
  <si>
    <t>MINI SUPER Y LICORERA MAD</t>
  </si>
  <si>
    <t>ANSELMO LLORENTE, TIBAS BARRIO FLETCHER 75M ESTE DE LA ENTRADA</t>
  </si>
  <si>
    <t>LICORERA LA 93</t>
  </si>
  <si>
    <t>TIERRA BLANCA, CARTAGO OREAMUNO DE LA ESTACIÓN GASOLINA EL SURC</t>
  </si>
  <si>
    <t>SÚPER F Y M</t>
  </si>
  <si>
    <t>LA FORTUNA, SAN CARLOS TRESQUINAS DE FORTUNA</t>
  </si>
  <si>
    <t>SUPER PATO 1</t>
  </si>
  <si>
    <t>PUNTARENAS ESPARZA ESPIRITU SANTO ESPARZA, BARRIO EL ROSAL</t>
  </si>
  <si>
    <t>PULPERÍA CRISPA</t>
  </si>
  <si>
    <t>PUERTO VIEJO, SARAPIQUI BARRIO YACARE COSTADO DE SUPER MOSQUITA</t>
  </si>
  <si>
    <t>MINI SUPER ZC</t>
  </si>
  <si>
    <t>SANTA CRUZ, SANTA CRUZ DE LA ESQUINA MOR OESTE 75 AL NORTE</t>
  </si>
  <si>
    <t>SÚPER LUCKY. 3</t>
  </si>
  <si>
    <t>ALAJUELA ATENAS CONCEPCION DIAGONAL IGLESIA  CONCEPCIÓN  DE SAN RAM</t>
  </si>
  <si>
    <t>SÚPER ANCLA</t>
  </si>
  <si>
    <t>GARITA, ALAJUELA COSTADO NORTE IGLESIA BARRIO SAN JOSÉ</t>
  </si>
  <si>
    <t>NARANJO, NARANJO 100 SUR DEL COLEGIO DE NARANJO</t>
  </si>
  <si>
    <t>MINI SÚPER Y LICORERA EL ZARPE</t>
  </si>
  <si>
    <t>CAÑAS, CAÑAS COSTADO NORTE DE GIMNASIO MUNICIPAL</t>
  </si>
  <si>
    <t>REX STREET FOOD</t>
  </si>
  <si>
    <t>HEREDIA BARVA SANTA LUCIA HEREDIA SANTA LUCIA</t>
  </si>
  <si>
    <t>MINI SÚPER EL PLAN</t>
  </si>
  <si>
    <t>CARRIZAL, ALAJUELA CARRIZAL ANTIGUO BAR GABILAN</t>
  </si>
  <si>
    <t>MINI SUPER CYS</t>
  </si>
  <si>
    <t>ALAJUELA SAN CARLOS PITAL FRENTE CEMENTERIO PUERTO ESCONDIDO</t>
  </si>
  <si>
    <t>WALTER ENRIQUE BENAVIDES NAVARRO</t>
  </si>
  <si>
    <t>NARANJO, NARANJO COSTADO OESTE CASA CURAL DE NARANJO</t>
  </si>
  <si>
    <t>MINI SÚPER EL CHAMITO</t>
  </si>
  <si>
    <t>SANTA LUCIA, BARVA HEREDIA BARVA SANTA LUCIA</t>
  </si>
  <si>
    <t>COMARCA FLASH MARKET</t>
  </si>
  <si>
    <t>CURRIDABAT, CURRIDABAT FRENTE MUDANZAS MUNDIALES</t>
  </si>
  <si>
    <t>MINI SUPER EL ANCLA</t>
  </si>
  <si>
    <t>PUNTARENAS ESPARZA MACACONA ESPARZA, DEL SALÓN COMUNAL 25 N</t>
  </si>
  <si>
    <t>PUKIS</t>
  </si>
  <si>
    <t>CARTAGENA, SANTA CRUZ HUACAS EN CRUZE DE BRASILITO/ HUACAS</t>
  </si>
  <si>
    <t>CASA PARTICULAR CARLOS</t>
  </si>
  <si>
    <t>SANTA CRUZ, SANTA CRUZ DE LA PLAZA DE CHIRCO 200MT AL NORTE</t>
  </si>
  <si>
    <t>LA VENTANITA DE PATRI</t>
  </si>
  <si>
    <t>GOLFITO, GOLFITO KM 20 CIUDADELA</t>
  </si>
  <si>
    <t>MINISUPER SAN PEDRO MYM</t>
  </si>
  <si>
    <t>LEPANTO, PUNTARENAS 1KM AL OESTE DE LA ENTRADA DEL MANGO</t>
  </si>
  <si>
    <t>MINI SUPER ATLANTIC</t>
  </si>
  <si>
    <t>PUERTO VIEJO, SARAPIQUI SARAPIQUI CRUCE Y GRIEGA</t>
  </si>
  <si>
    <t>MINISUPER Y LICORERA LA MARGARITA</t>
  </si>
  <si>
    <t>QUESADA, SAN CARLOS FRENTE PLAZA LA MARGARITA</t>
  </si>
  <si>
    <t>LA CASA DEL PASTELILLO</t>
  </si>
  <si>
    <t>ALAJUELA PALMARES PALMARES DIAGONAL BOMBA 3 PUENTES</t>
  </si>
  <si>
    <t>HOMEX ALAJUELITA</t>
  </si>
  <si>
    <t>ALAJUELITA, ALAJUELITA 50MTS 100 ESTE Y SUR DE LA IGLESIA</t>
  </si>
  <si>
    <t>PULPERIA LA AMISTAD #2</t>
  </si>
  <si>
    <t>ALAJUELA SAN CARLOS POCOSOL BANDERAS 100 E ESCUELA</t>
  </si>
  <si>
    <t>MINI SÚPER EL PATRON</t>
  </si>
  <si>
    <t>LA VIRGEN, SARAPIQUI 350 ESTE DE POZO AZUL</t>
  </si>
  <si>
    <t>PANADERÍA VALLE</t>
  </si>
  <si>
    <t>TEMPATE, SANTA CRUZ PORTEGOLPE COSTADO SUR DE LA CANCHA FUTB</t>
  </si>
  <si>
    <t>PULPERÍA JUAN MORA</t>
  </si>
  <si>
    <t>DULCE NOMBRE DE JESU, VAZQUEZ DE CORONADO BARRIO EL RODEO CALLE CHON MORA</t>
  </si>
  <si>
    <t>PUEBLO NAZIRA</t>
  </si>
  <si>
    <t>CARTAGO TURRIALBA TURRIALBA DE LA ENTRADA DE CARMELIRA 125 MTRS NORT</t>
  </si>
  <si>
    <t>GREEN MARKET</t>
  </si>
  <si>
    <t>ALAJUELA, ALAJUELA 50MTS SUR DE LA PLAZA DEL LLANO ALAJUELA</t>
  </si>
  <si>
    <t>PULPERÍA EL PARCE</t>
  </si>
  <si>
    <t>SAN RAFAEL, SAN RAMON ALAJUELA SAN RAFAEL</t>
  </si>
  <si>
    <t>MINI SÚPER FUENTE DE ORO</t>
  </si>
  <si>
    <t>CINCO ESQUINAS, TIBAS 5 ESQUINA TIBAS</t>
  </si>
  <si>
    <t>SUPERMERCADO POÁS</t>
  </si>
  <si>
    <t>SAN PEDRO, POAS ALAJUELA POÁS</t>
  </si>
  <si>
    <t>MINI SUPER Y LICORERA EL HOGAR</t>
  </si>
  <si>
    <t>GUACIMO, GUACIMO DIAGONAL AL CEMENTERIO DEL HOGAR GUACIMO</t>
  </si>
  <si>
    <t>MINI SUPER LA ALEGRIA</t>
  </si>
  <si>
    <t>FLORIDA, SIQUIRRES LA ALEGRÍA DE SIQUIRRES FRENTE A SUPER</t>
  </si>
  <si>
    <t>SÚPER LA PITAYA</t>
  </si>
  <si>
    <t>MATA REDONDA, SAN JOSE SAN JOSÉ BARRIO PITAYA, AVENIDA 5</t>
  </si>
  <si>
    <t>SERVICIOS GENERALES DE</t>
  </si>
  <si>
    <t>PUNTARENAS PUNTARENAS PUNTARENAS ROBLE 100 MTS ESTE DE PANADERÍA ELIZONDO</t>
  </si>
  <si>
    <t>EL PUNTO MINI SUPER</t>
  </si>
  <si>
    <t>SAN JOSE, ATENAS IGLESIA CATÓLICA DE TUETAL ALAJUELA 1 KM</t>
  </si>
  <si>
    <t>COMIDAS LILLI</t>
  </si>
  <si>
    <t>NOSARA, NICOYA CONTIGUO A PIZZERÍA LILLI</t>
  </si>
  <si>
    <t>PULPERÍA MARÍN</t>
  </si>
  <si>
    <t>MERCED, SAN JOSE PRECARIO LOS ALAMO CASA ROJA Y AZUL</t>
  </si>
  <si>
    <t>MINI SÚPER VENUS</t>
  </si>
  <si>
    <t>MATAMA, LIMON CONTIGUO AL SÚPER O7</t>
  </si>
  <si>
    <t>ANA MARTINEZ GAMBOA</t>
  </si>
  <si>
    <t>CARRANDI, MATINA FINCA PLACERES</t>
  </si>
  <si>
    <t>SUPER ECONOMICO BUENOS AIRES SÁBANA</t>
  </si>
  <si>
    <t>BUENOS AIRES, BUENOS AIRES BUENOS AIRES PUNTARENAS</t>
  </si>
  <si>
    <t>MINI SUPER LOS KORIOTOS</t>
  </si>
  <si>
    <t>PUNTARENAS PUNTARENAS PUNTARENAS 25 METROS NORTE DE LA IGLESIA CATÓLICA</t>
  </si>
  <si>
    <t>MINI SUPER YUNIC</t>
  </si>
  <si>
    <t>RIO BLANCO, LIMON RIO MADRE CONTIGUO PREDIO RADA</t>
  </si>
  <si>
    <t>LA LICO DE CHEO</t>
  </si>
  <si>
    <t>NARANJO, NARANJO 50 SUR DEL ANTIGUO TALLER DE FIBRAS</t>
  </si>
  <si>
    <t>PULPERÍA LA GUARIA</t>
  </si>
  <si>
    <t>CARIARI, POCOCI 100 AL NORTE 150 AL ESTE. DE MAX PALI</t>
  </si>
  <si>
    <t>PULPERÍA LA VIRGEN DE LOS ANGELES</t>
  </si>
  <si>
    <t>NOSARA, NICOYA NOSARA 309 ESTE DE LA CASONA</t>
  </si>
  <si>
    <t>SAN RAFAEL, SAN RAMON SAN RAFAEL DIAGONAL A MUEBLES DURAN</t>
  </si>
  <si>
    <t>SODA EL PARQUE BARVA</t>
  </si>
  <si>
    <t>SAN PEDRO, SANTA BARBARA BARVA DE HEREDIA</t>
  </si>
  <si>
    <t>LICOLANDIA</t>
  </si>
  <si>
    <t>LA PALMERA, SAN CARLOS LA PALMERA SANTA ROSA DIAGONAL PUNTO DE</t>
  </si>
  <si>
    <t>MINI SÚPER LICORERA SAN ANTONIO</t>
  </si>
  <si>
    <t>MONTERREY, SAN CARLOS MONTERREY SAN CARLOS</t>
  </si>
  <si>
    <t>MINI SÚPER TAN</t>
  </si>
  <si>
    <t>CARTAGO CARTAGO GUADALUPE O ARENILLA DIAGONAL A SEÑOR PAN GUADALUPE</t>
  </si>
  <si>
    <t>MINI SUPER NOROESTE</t>
  </si>
  <si>
    <t>PAVAS, SAN JOSE PAVAS 50 METROS ESTE EMBAJADA</t>
  </si>
  <si>
    <t>SÚPER LA ESQUINA DEL BARRIO</t>
  </si>
  <si>
    <t>PUNTARENAS PUNTARENAS PUNTARENAS FRENTE A SÚPER EL MARAVILLOSO</t>
  </si>
  <si>
    <t>PULPERIA MELY</t>
  </si>
  <si>
    <t>RANCHO REDONDO, GOICOECHEA DETRÁS DEL MERCADO DEL MUEBLE</t>
  </si>
  <si>
    <t>SUPERMERCADO A Y A</t>
  </si>
  <si>
    <t>ALAJUELA OROTINA OROTINA 150 MTS OESTE DEL MERCADO MUNICIPAL DE</t>
  </si>
  <si>
    <t>LA LICORERÍA CR BBT TODO</t>
  </si>
  <si>
    <t>ALAJUELA OROTINA OROTINA FRENTE A GRAN BODEGA OROTINA</t>
  </si>
  <si>
    <t>MINI SUPER Y LIC EL DOLAR</t>
  </si>
  <si>
    <t>PUNTARENAS PUNTARENAS PUNTARENAS CONTINUO A LA ENTRADA BARRIO LOS ESTADOS</t>
  </si>
  <si>
    <t>MINI SUPER LUCA</t>
  </si>
  <si>
    <t>SAN FRANCISCO, HEREDIA 100M SUR DE LA ESCUELA GUARARI</t>
  </si>
  <si>
    <t>PULPERÍA ALCAZARES</t>
  </si>
  <si>
    <t>DESAMPARADOS, DESAMPARADOS FÚTBOL 5 ALCAZARES</t>
  </si>
  <si>
    <t>LIC LA CORTE</t>
  </si>
  <si>
    <t>SAN RAMON, SAN RAMON 25 SUR DE ESC JORGE WASHINGTON SAN RAMÓN</t>
  </si>
  <si>
    <t>SÚPER ECONOMICO</t>
  </si>
  <si>
    <t>HEREDIA SARAPIQUI LAS HORQUETAS RIO FRIO FINCA 11</t>
  </si>
  <si>
    <t>SAN ISIDRO, LEON CORTES CASTRO TIERRA PROMETIDA</t>
  </si>
  <si>
    <t>DYE SOLUCIONES MARKET</t>
  </si>
  <si>
    <t>AGUAS ZARCAS, SAN CARLOS 400 MTS ESTE DE LA ESCUELA CERRO CORTES</t>
  </si>
  <si>
    <t>MINI SÚPER EMILIOS 2</t>
  </si>
  <si>
    <t>GUANACASTE BAGACES BAGACES BAGACES-</t>
  </si>
  <si>
    <t>SÚPER SUNSHINE</t>
  </si>
  <si>
    <t>PITAL, SAN CARLOS COSTADO NORTE DE LA PLAZA DE LA TABLA</t>
  </si>
  <si>
    <t>MINI MARKET BAMBU</t>
  </si>
  <si>
    <t>SAN SEBASTIAN, SAN JOSE DENTRO DE CENTRO COMERCIAL EL BAMBU</t>
  </si>
  <si>
    <t>PULPERÍA ROYALTY</t>
  </si>
  <si>
    <t>LIMON, LIMON CIELO AMARILLO DETRAS DE LA PARADA</t>
  </si>
  <si>
    <t>SUPER DON MARINO</t>
  </si>
  <si>
    <t>ALAJUELA OROTINA OROTINA OROTINA</t>
  </si>
  <si>
    <t>MINI SUPER AHORRO</t>
  </si>
  <si>
    <t>SAN JOSÉ ALAJUELITA SAN FELIPE SAN JOSÉ ALAJUELITA SAN FELIPE</t>
  </si>
  <si>
    <t>PULPERÍA TYC</t>
  </si>
  <si>
    <t>SANTA EULALIA, ATENAS SANTA EULALIA CALLE VAINILLA</t>
  </si>
  <si>
    <t>SODA TUCAS ORIGINAL</t>
  </si>
  <si>
    <t>SAN PABLO, BARVA 425 NORTE CLÍNICA DE BARVA</t>
  </si>
  <si>
    <t>PANADERIA LA ESQUINITA DEL BUEN SAB</t>
  </si>
  <si>
    <t>VEINTISIETE DE ABRIL, SANTA CRUZ SANTA ROSA, A UN COSTADO DE SODA SANTA</t>
  </si>
  <si>
    <t>PULP AUXILIADORA</t>
  </si>
  <si>
    <t>ZAPOTE, SAN JOSE PRECARIO ZAPOTE</t>
  </si>
  <si>
    <t>MINI SUPER Y LICORERA LA ESPERANZA</t>
  </si>
  <si>
    <t>NOSARA, NICOYA NOSARA LA ESPERANZA 50M SUR DE PIZZA EL</t>
  </si>
  <si>
    <t>MINI SÚPER Y LICORERA SUNSET</t>
  </si>
  <si>
    <t>LA CRUZ, LA CRUZ EL JOBO, CARRETERA HACIA EL HOTEL DREAMS</t>
  </si>
  <si>
    <t>SÚPER DÍA DÍA</t>
  </si>
  <si>
    <t>NICOYA, NICOYA NICOYA</t>
  </si>
  <si>
    <t>VIDA MARKET</t>
  </si>
  <si>
    <t>SAN FRANCISCO, HEREDIA CENTRO COMERCIAL OXÍGENO HEREDIA</t>
  </si>
  <si>
    <t>SUPERMERCADO HOMEX EL LLANO</t>
  </si>
  <si>
    <t>ALAJUELA, ALAJUELA 100 SUR DE CLÍNICA MARCIAL</t>
  </si>
  <si>
    <t>MINI SUPER LA SUERTE</t>
  </si>
  <si>
    <t>PARAISO, PARAISO 400 NORTE DEL REST CONTINENTAL</t>
  </si>
  <si>
    <t>MINISUPER NAHIARA</t>
  </si>
  <si>
    <t>PALMAR, OSA PALAMAR SUR OSA PALMAR 6-11</t>
  </si>
  <si>
    <t>PUERTA DE SOL</t>
  </si>
  <si>
    <t>SAN RAMON, SAN RAMON SAN RAMÓN</t>
  </si>
  <si>
    <t>LA CASITA DEL QUESO</t>
  </si>
  <si>
    <t>CARTAGO TURRIALBA TURRIALBA DIAGONAL ALA CLÍNICA DEL DOLOR DE LA IGL</t>
  </si>
  <si>
    <t>SÚPER FERRE EL CRUCE</t>
  </si>
  <si>
    <t>DANIEL FLORES, PEREZ ZELEDON 350 NORTE DE LA ESCUELA</t>
  </si>
  <si>
    <t>COOPECRUCEÑOS</t>
  </si>
  <si>
    <t>GUANACASTE LA CRUZ LA CRUZ 100M NORTE DEL COLEGIO BILINGÜE LA CRUZ</t>
  </si>
  <si>
    <t>AGUAS ZARCAS, SAN CARLOS FRENTE A ESCUELA  LOS CHILES  AGUAS ZARC</t>
  </si>
  <si>
    <t>SÚPERMERCADO SÚPER  OFERTA</t>
  </si>
  <si>
    <t>BUENOS AIRES, BUENOS AIRES COSTADO OESTE DE LA ESCUELA ROGELIO F</t>
  </si>
  <si>
    <t>ABASTECEDOR BACESAJ</t>
  </si>
  <si>
    <t>NOSARA, NICOYA 100 METROS AL NORTE DEL LICEO DE NOSARA</t>
  </si>
  <si>
    <t>EL MANANTIAL</t>
  </si>
  <si>
    <t>PUNTARENAS PUNTARENAS GUACIMAL 100 METROS SUR DE RESTAURANTE PURA VIDA</t>
  </si>
  <si>
    <t>MINI SUPER FIJO</t>
  </si>
  <si>
    <t>DESAMPARADOS, DESAMPARADOS GRAVILIAS SOBRE CALLE ANCHA. AL FRENTE</t>
  </si>
  <si>
    <t>PULPERÍA CHAVITOS</t>
  </si>
  <si>
    <t>EL CAIRO, SIQUIRRES 450 ESTE DE LA GUARDIA RURAL CAIRO</t>
  </si>
  <si>
    <t>MINI SÚPER Y LICORERA JELIAN</t>
  </si>
  <si>
    <t>CARIARI, POCOCI 25 OESTE DEL PARQUE DE PALERMO</t>
  </si>
  <si>
    <t>PUL JONATHAN</t>
  </si>
  <si>
    <t>PUERTO VIEJO, SARAPIQUI LA ALDEA PUERTO VIEJO SARAPIQUÍ</t>
  </si>
  <si>
    <t>SÚPER Y LICORERA GAIA</t>
  </si>
  <si>
    <t>SAN JUAN, TIBAS DE LA DISTRIBUIDORA ROJAS 200 OESTE</t>
  </si>
  <si>
    <t>MINISUPER LUNA</t>
  </si>
  <si>
    <t>GUANACASTE CAÑAS CAÑAS URBANIZACIÓN VEROLIZ EN CAÑAS CASA I20</t>
  </si>
  <si>
    <t>ABASTECEDOR LUCÍA</t>
  </si>
  <si>
    <t>SIQUIRRES, SIQUIRRES 600 M NOROESTE EBAIS LA LUCHA</t>
  </si>
  <si>
    <t>DISTRIBUIDORA ALECA</t>
  </si>
  <si>
    <t>HEREDIA SARAPIQUI LAS HORQUETAS RIO FRIO  SUPER CISNERO 150 ESTE</t>
  </si>
  <si>
    <t>SUPER ROISA</t>
  </si>
  <si>
    <t>LA FORTUNA, SAN CARLOS 300 OESTE ESCUELA SAN RAFAEL PEÑAS BLANC</t>
  </si>
  <si>
    <t>MINISUPER RACHELL</t>
  </si>
  <si>
    <t>CARIARI, POCOCI RÓTULO FRENTE AL SALÓN COMUNAL</t>
  </si>
  <si>
    <t>MINI MARKET M27 NARANJITO</t>
  </si>
  <si>
    <t>PUNTARENAS QUEPOS NARANJITO FRENTE A LA ESCUELA NARANJITO</t>
  </si>
  <si>
    <t>MINI SÚPER EL MERCADO</t>
  </si>
  <si>
    <t>LIMON, LIMON LIMÓN CENTRO EN EL MERCADO LOCAL #4</t>
  </si>
  <si>
    <t>FRENCHIES</t>
  </si>
  <si>
    <t>ALAJUELA GRECIA GRECIA 50 O DE ÓPTICA VISIÓN</t>
  </si>
  <si>
    <t>SUPER LA TORTUGA</t>
  </si>
  <si>
    <t>CARIARI, POCOCI CARIARI ESCUELA PALERMO 60 OESTE</t>
  </si>
  <si>
    <t>EL PUNTO TIENDA DE CONVENIENCIAS</t>
  </si>
  <si>
    <t>ALAJUELA, ALAJUELA 25 SUR DE LA SEGUNDA ENTRADA IMAS 2</t>
  </si>
  <si>
    <t>ABASTECEDOR NANY</t>
  </si>
  <si>
    <t>HATILLO, SAN JOSE POLIDEPORTIVO DE LA 15 SETIEMBRE 150 S</t>
  </si>
  <si>
    <t>SODA 7 SOLES #2</t>
  </si>
  <si>
    <t>VALLE LA ESTRELLA, LIMON VALLE LLANO GRANDE</t>
  </si>
  <si>
    <t>EL MANA</t>
  </si>
  <si>
    <t>SAN RAFAEL ARRIBA, DESAMPARADOS SAN JOSÉ DESAMPARADOS SAN RAFAEL ARRIBA</t>
  </si>
  <si>
    <t>MINI SÚPER J Y J</t>
  </si>
  <si>
    <t>LAS HORQUETAS, SARAPIQUI LA VICTORIA</t>
  </si>
  <si>
    <t>EL MERCADITO DE SAN ANTONIO</t>
  </si>
  <si>
    <t>SANTO TOMAS, SANTO DOMINGO 100 METROS AL NORTE DE LA ERMITA DE</t>
  </si>
  <si>
    <t>DELIKOR PÉREZ ZELEDÓN PALMARES</t>
  </si>
  <si>
    <t>DANIEL FLORES, PEREZ ZELEDON PALMARES DE DANIEL FLORES</t>
  </si>
  <si>
    <t>CASA PARTICULAR SOCORRO</t>
  </si>
  <si>
    <t>SANTA CRUZ, SANTA CRUZ DE MEGA SUPER TAMARINDO 50 AL ESTE</t>
  </si>
  <si>
    <t>LICORERA DÓNDE WALLACE</t>
  </si>
  <si>
    <t>SAN JUAN, POAS SAN JUAN SAN RAMÓN</t>
  </si>
  <si>
    <t>MINI SUPER AGUILA 2</t>
  </si>
  <si>
    <t>ALAJUELA, ALAJUELA LA AGONÍA ALJUELA FRENTE A POLLOS DEL</t>
  </si>
  <si>
    <t>YA MARKET LOS ANGELES</t>
  </si>
  <si>
    <t>ALAJUELA SAN CARLOS LA FORTUNA LOS ANGELES DE FORTUNA</t>
  </si>
  <si>
    <t>MINI SÚPER Y LICORERA J Y J</t>
  </si>
  <si>
    <t>LAS HORQUETAS, SARAPIQUI FINCA 9 RIO FRIO</t>
  </si>
  <si>
    <t>EMPANADITA UCIMED</t>
  </si>
  <si>
    <t>SAN JOSÉ SAN JOSE MATA REDONDA SÁBANA 400 OESTE DE LA POPS UCIMED</t>
  </si>
  <si>
    <t>TAVO"S MINIMARKET</t>
  </si>
  <si>
    <t>GUAPILES, POCOCI CALLE EL TABLON</t>
  </si>
  <si>
    <t>EMPORIO GRATO</t>
  </si>
  <si>
    <t>CARTAGO ALVARADO PACAYAS COSTADO SUR DE LA IGLESIA DE PACAYAS</t>
  </si>
  <si>
    <t>SÚPER SAN RAFAEL</t>
  </si>
  <si>
    <t>SAN RAFAEL, VAZQUEZ DE CORONADO SAN JOSÉ SAN RAFAEL MONTES DE OCA , COS</t>
  </si>
  <si>
    <t>CANOAS, CORREDORES CIUDADELA EL TRIUNFO</t>
  </si>
  <si>
    <t>MINI SUPER J</t>
  </si>
  <si>
    <t>PUNTARENAS, PUNTARENAS BARRANCA,ÚLTIMA ALAMEDA DE LOS ALMENDROS</t>
  </si>
  <si>
    <t>PUL IVANNIA</t>
  </si>
  <si>
    <t>ROXANA, POCOCI 50 M SUR Y 100 ESTE DE BAR NETOS</t>
  </si>
  <si>
    <t>SÚPER EL TRÉBOL</t>
  </si>
  <si>
    <t>PIEDADES SUR, SAN RAMON CONTIGUO SÚPER ARIAS PIEDADES SUR</t>
  </si>
  <si>
    <t>MINI SUPER LA AURORA</t>
  </si>
  <si>
    <t>ULLOA, HEREDIA FRENTE AL PARQUE DE LA AURORA</t>
  </si>
  <si>
    <t>VISION BISTRO</t>
  </si>
  <si>
    <t>ZAPOTE, SAN JOSE SAN JOSÉ ZAPOTE 1KM OESTE DE CASA</t>
  </si>
  <si>
    <t>MINI SÚPER SHADAI</t>
  </si>
  <si>
    <t>SAMARA, NICOYA SAN FERNANDO SAMARA 50 OESTE DE LA ESC</t>
  </si>
  <si>
    <t>VENTANA ABY</t>
  </si>
  <si>
    <t>LA FORTUNA, SAN CARLOS ZONA FLUCA DEL CEMENTERIO 600M NORTE</t>
  </si>
  <si>
    <t>MI SÚPER Y LICORERA LOS SANTOS</t>
  </si>
  <si>
    <t>SAN PEDRO, MONTES DE OCA 125 OESTE DEL KFC SOBRE LA LÍNEA DEL TRE</t>
  </si>
  <si>
    <t>BERANIA</t>
  </si>
  <si>
    <t>LIMÓN GUACIMO POCORA POCORA SUR DE LA ESCUELA 50S 80 OESTE</t>
  </si>
  <si>
    <t>MINI SUPER CV</t>
  </si>
  <si>
    <t>SAN JOSÉ PEREZ ZELEDON RIO NUEVO 200 MTS OESTE SOBRE EL PUENTE PEDREGOSO</t>
  </si>
  <si>
    <t>SUPER, LICORES Y BAZAR LOS MORAS</t>
  </si>
  <si>
    <t>DANIEL FLORES, PEREZ ZELEDON 250 MTS AL ESTE DE LA ESCUELA QUEBRADA</t>
  </si>
  <si>
    <t>LAS FLORES MINI MARKET</t>
  </si>
  <si>
    <t>HEREDIA HEREDIA HEREDIA HEREDIA CENTRO</t>
  </si>
  <si>
    <t>FRUTAS Y VERDURAS EMMA</t>
  </si>
  <si>
    <t>SANTA CRUZ, SANTA CRUZ SAN FRANCISCO FRENTE A LA ASADA</t>
  </si>
  <si>
    <t>SUPER CENTER</t>
  </si>
  <si>
    <t>ALAJUELA OROTINA OROTINA CONTIGUO A MONGE</t>
  </si>
  <si>
    <t>SÚPER MONCHO</t>
  </si>
  <si>
    <t>SAN RAMON, SAN RAMON COSTADO SUR ESCUELA JORGE WASHINGTON SAN</t>
  </si>
  <si>
    <t>MINI SUPER ACUARIO</t>
  </si>
  <si>
    <t>CAÑAS, CAÑAS BARRIÓ LA UNIÓN</t>
  </si>
  <si>
    <t>MINI SUPER EMILY</t>
  </si>
  <si>
    <t>SANTA ELENA, LA CRUZ 1KM AL ESTE DEL SALÓN COMUNAL</t>
  </si>
  <si>
    <t>CASA PARTICULAR YINETH</t>
  </si>
  <si>
    <t>SANTA CRUZ, SANTA CRUZ DE PULPERÍA EL MILAGRO 75 E</t>
  </si>
  <si>
    <t>MINIMEGA TILARAN</t>
  </si>
  <si>
    <t>TILARAN, TILARAN 300 OESTE DE GASOLINERA JSM</t>
  </si>
  <si>
    <t>PUNTARENAS PUNTARENAS BARRANCA BARRANCA 50 METROS ESTE DEL REY</t>
  </si>
  <si>
    <t>MINI SÚPER Y LICORERA VASQUEZ</t>
  </si>
  <si>
    <t>SAN ISIDRO, LEON CORTES CASTRO UNESCO</t>
  </si>
  <si>
    <t>PULPERÍA DÓNDE ABUELO</t>
  </si>
  <si>
    <t>SALITRAL, SANTA ANA SALITRAL</t>
  </si>
  <si>
    <t>SUPER VERANO</t>
  </si>
  <si>
    <t>ORIENTAL, CARTAGO 300 S DE LA ESQUINA SE DE LA CORTE</t>
  </si>
  <si>
    <t>SÚPER DK 3</t>
  </si>
  <si>
    <t>ALAJUELA OROTINA OROTINA LABRADOR SAN MATEO OROTINA</t>
  </si>
  <si>
    <t>PUNTARENAS GARABITO JACO FRENTE A JACO SABOR</t>
  </si>
  <si>
    <t>TE LO TENGO MINI SUPER</t>
  </si>
  <si>
    <t>SAN PEDRO, MONTES DE OCA SAN PEDRO.CALLE LA.AMARGURA</t>
  </si>
  <si>
    <t>SÚPER PALMITOS</t>
  </si>
  <si>
    <t>NARANJO, NARANJO FRENTE IGLESIA DE PALMITOS</t>
  </si>
  <si>
    <t>MINI SÚPER CAVI</t>
  </si>
  <si>
    <t>TRES RIOS, LA UNION TRES RÍOS LA UNION 100 OESTE DEL</t>
  </si>
  <si>
    <t>PULPERIA EL NANCE</t>
  </si>
  <si>
    <t>CAÑAS, CAÑAS LIBERTAD 50 OESTE DE LA ESCUELA</t>
  </si>
  <si>
    <t>MINI SUPER VILLA NUEVA</t>
  </si>
  <si>
    <t>DESAMPARADOS, DESAMPARADOS 100S 400E DE LA CLÍNICA MARCIAL FALLAS</t>
  </si>
  <si>
    <t>SUPER ZHONGPO</t>
  </si>
  <si>
    <t>MATINA, MATINA LIMÓN, MATINA,GOLI</t>
  </si>
  <si>
    <t>ABASTECEDOR EL ORION</t>
  </si>
  <si>
    <t>SAN RAFAEL, OREAMUNO EL BOSQUE SAN RAFAEL</t>
  </si>
  <si>
    <t>MINISUPER Y LICORERA CAIMITOS</t>
  </si>
  <si>
    <t>FLORENCIA, SAN CARLOS ENTRADA PRINCIPAL DE CAIMITOS FLORENCIA</t>
  </si>
  <si>
    <t>LUNA NUEVA #3</t>
  </si>
  <si>
    <t>OROTINA, OROTINA FRENTE A PISCINAS IGUI OROTINA</t>
  </si>
  <si>
    <t>MINI SUPER ONDE BETO</t>
  </si>
  <si>
    <t>VENECIA, SAN CARLOS FRENTE FERRETERÍA SAN MIGUEL</t>
  </si>
  <si>
    <t>CENTRAL PARK MINI MARKET</t>
  </si>
  <si>
    <t>PULPERÍA MUCHI</t>
  </si>
  <si>
    <t>GUAPILES, POCOCI BARRIO JESÚS 100MTS OESTE PLAZA FÚTBOL</t>
  </si>
  <si>
    <t>MINI SÚPER SEIDY</t>
  </si>
  <si>
    <t>GUAYCARA, GOLFITO BARRIO EMANUEL</t>
  </si>
  <si>
    <t>MINISUPER OCHENTA Y UNO</t>
  </si>
  <si>
    <t>PUNTARENAS ESPARZA SAN JUAN GRANDE CEIBA OROTINA FRENTE BODEGAS ABOPAC</t>
  </si>
  <si>
    <t>MINI SUPER BUEN PRECIO 3</t>
  </si>
  <si>
    <t>QUESADA, SAN CARLOS ENTRADA URBANIZACION CAÑAVERAL</t>
  </si>
  <si>
    <t>MINI SUPER Y LICORERA JKE</t>
  </si>
  <si>
    <t>TURRIALBA, TURRIALBA FRENTE AL PARQUE LA DOMINICA</t>
  </si>
  <si>
    <t>FRESH MARKET</t>
  </si>
  <si>
    <t>LIBERIA, LIBERIA FRENTE A SUPER ALMENDRALES</t>
  </si>
  <si>
    <t>MINI SUPER CIELO CELESTE</t>
  </si>
  <si>
    <t>CARTAGO OREAMUNO COT CONTIGUO AL BAR PUNTO Y APARTE</t>
  </si>
  <si>
    <t>LA ESTACIÓN</t>
  </si>
  <si>
    <t>PUNTARENAS ESPARZA ESPIRITU SANTO ESPARZA CENTRO DE LOS BOMBEROS 25 OESTE</t>
  </si>
  <si>
    <t>MINI SUPER LDT</t>
  </si>
  <si>
    <t>PARRITA, PARRITA PARRITA LA LOMA</t>
  </si>
  <si>
    <t>LICO Y MINI SUPER TOME Y DÉME</t>
  </si>
  <si>
    <t>PARRITA, PARRITA PARRITA</t>
  </si>
  <si>
    <t>MINI SUPER H Y R</t>
  </si>
  <si>
    <t>ALAJUELA, ALAJUELA 75 OESTE DE LA FARMACIA GEMA ALAJUELA CE</t>
  </si>
  <si>
    <t>LICORERA POPEYE 1</t>
  </si>
  <si>
    <t>ALAJUELA ZARCERO LAGUNA ZARCERO</t>
  </si>
  <si>
    <t>VECINOS MARKET</t>
  </si>
  <si>
    <t>SAN JOSÉ PEREZ ZELEDON DANIEL FLORES LA HERMOSA</t>
  </si>
  <si>
    <t>SÚPER DOS PALMERAS</t>
  </si>
  <si>
    <t>CARTAGO PARAISO OROSI PALOMO CARTAGO</t>
  </si>
  <si>
    <t>MINI SUPER CHEO</t>
  </si>
  <si>
    <t>ALAJUELA SAN CARLOS LA PALMERA SANFRANCISCO LA PALMERA 800 SUR DE</t>
  </si>
  <si>
    <t>SÚPER VIVA</t>
  </si>
  <si>
    <t>TAMBOR, ALAJUELA ALAJUELA TAMBOR</t>
  </si>
  <si>
    <t>SUPER MEGA AHORRO</t>
  </si>
  <si>
    <t>LAS HORQUETAS, SARAPIQUI 100METROS NORTE DEL EBAIS DE FINCA 2</t>
  </si>
  <si>
    <t>SÚPER MARIANA</t>
  </si>
  <si>
    <t>LAS HORQUETAS, SARAPIQUI 10 METROS ESTE DE LA ENTRADA DE LA CHAVE</t>
  </si>
  <si>
    <t>PULPERÍA LA TERRAZA</t>
  </si>
  <si>
    <t>LIMÓN SIQUIRRES SIQUIRRES CARMEN 1, EL CIVIL COSTADO REST.LA MACHA</t>
  </si>
  <si>
    <t>MINISUPER POCOCÍ</t>
  </si>
  <si>
    <t>GUAPILES, POCOCI 200MTS OESTE LICEO EXPERIMENTAL POCOCÍ</t>
  </si>
  <si>
    <t>DONDE CHOCO #2</t>
  </si>
  <si>
    <t>MERCEDES, HEREDIA MERCEDES SUR CONTIGUO A LA MUSMANI</t>
  </si>
  <si>
    <t>SUPER SETILLAL</t>
  </si>
  <si>
    <t>SANTO DOMINGO, SANTO DOMINGO 500M SUR DEL CEMENTERIO DE SAN BOSCO</t>
  </si>
  <si>
    <t>MINISUPER MAIVALE</t>
  </si>
  <si>
    <t>FLORENCIA, SAN CARLOS CRUCÉ DE MUELLE SAN CARLOS</t>
  </si>
  <si>
    <t>MINISUPER Y LICORERA SAN MARTIN</t>
  </si>
  <si>
    <t>QUESADA, SAN CARLOS DIAGONAL SALÓN COMUNAL SAN MARTIN</t>
  </si>
  <si>
    <t>ABASTECEDOR JARIMA</t>
  </si>
  <si>
    <t>LIMON, LIMON BARRIO QUINTO</t>
  </si>
  <si>
    <t>MINI SUPER ACUÑA</t>
  </si>
  <si>
    <t>MINI SUPER LIBANO</t>
  </si>
  <si>
    <t>GUAPILES, POCOCI FRENTE ASEMBIS</t>
  </si>
  <si>
    <t>SÚPER LAS MARAVILLAS</t>
  </si>
  <si>
    <t>PUNTARENAS PUNTARENAS PUNTARENAS 100 METROS ESTE DE LA PLAZA DE DEPORTES</t>
  </si>
  <si>
    <t>NUEVO 98</t>
  </si>
  <si>
    <t>GUADALUPE O ARENILLA, CARTAGO 300 SUR SAGRADO CORAZÓN MOLINO</t>
  </si>
  <si>
    <t>MINI SÚPER CUESTILLAS</t>
  </si>
  <si>
    <t>ALAJUELA SAN CARLOS FLORENCIA SANTA CLARA</t>
  </si>
  <si>
    <t>MINI SUPER GUANG DONG</t>
  </si>
  <si>
    <t>GUACIMO, GUACIMO 200 MTR OESTE COLONO AGROPECUARIO GUACIM</t>
  </si>
  <si>
    <t>FLASH MARKET PITAL</t>
  </si>
  <si>
    <t>ALAJUELA SAN CARLOS PITAL PITAL</t>
  </si>
  <si>
    <t>MINI SÚPER JYL 2</t>
  </si>
  <si>
    <t>RITA, POCOCI CAMPO 2 CENTRO</t>
  </si>
  <si>
    <t>MINI SUPER Y LICORERA PATA</t>
  </si>
  <si>
    <t>ALAJUELA SAN CARLOS LA FORTUNA SECTOR LOS ANGELES 25 NORTE IGLESIA</t>
  </si>
  <si>
    <t>PULPERIA LILLY S</t>
  </si>
  <si>
    <t>TURRIALBA, TURRIALBA LA SUSANITA FRENTE AL HOSPITA</t>
  </si>
  <si>
    <t>AMÉRICA REYES REYES</t>
  </si>
  <si>
    <t>NICOYA, NICOYA ISLA VENADO</t>
  </si>
  <si>
    <t>NENOS MARKET</t>
  </si>
  <si>
    <t>PLATANARES, PEREZ ZELEDON SAN RAFAEL FRENTE A EL COLEGIO</t>
  </si>
  <si>
    <t>MINI SÚPER ROZ</t>
  </si>
  <si>
    <t>ALAJUELA SAN CARLOS FLORENCIA MOLINO LA VEGA</t>
  </si>
  <si>
    <t>MINISUPER EL PUENTE</t>
  </si>
  <si>
    <t>TAMBOR, ALAJUELA 25 SUR DEL PUENTE TAMBOR</t>
  </si>
  <si>
    <t>MINISUPER LA LICO DELUXE</t>
  </si>
  <si>
    <t>BATAN, MATINA BATAN CONTIGO SÚPER LIAM</t>
  </si>
  <si>
    <t>SÚPER LA CARRETA</t>
  </si>
  <si>
    <t>BAGACES, BAGACES BAGACES</t>
  </si>
  <si>
    <t>FULL MARKET</t>
  </si>
  <si>
    <t>ALAJUELA SAN CARLOS QUESADA 150M SUR BLOQUERA</t>
  </si>
  <si>
    <t>PULPERÍA  FUSCALDO</t>
  </si>
  <si>
    <t>DESAMPARADOS, DESAMPARADOS DESAMPARADOS POR EL TIRIBI</t>
  </si>
  <si>
    <t>PULPERÍA LA VICTORIA</t>
  </si>
  <si>
    <t>ALAJUELA OROTINA OROTINA OROTINA, ALAJUELA, BARRIO NUEVO</t>
  </si>
  <si>
    <t>MINI SUPER MOLI</t>
  </si>
  <si>
    <t>TURRIALBA, TURRIALBA PROYECTO DE COLORADO</t>
  </si>
  <si>
    <t>PULPERÍA CESI</t>
  </si>
  <si>
    <t>PATARRA, DESAMPARADOS DESAMPARADOS PATARRA GUATUSO DE LA</t>
  </si>
  <si>
    <t>MINISUPER TATY</t>
  </si>
  <si>
    <t>CALLE BLANCOS, GOICOECHEA 300 M OESTE, ANTES DE FEMSA CALLE BLANCO</t>
  </si>
  <si>
    <t>LA BODEGUITA DE LUIS</t>
  </si>
  <si>
    <t>PUNTARENAS PUNTARENAS PUNTARENAS 75 OESTE DEL INAS FRAYCASIANO</t>
  </si>
  <si>
    <t>MINI SUPER YANSY</t>
  </si>
  <si>
    <t>GUANACASTE BAGACES BAGACES BAGACES</t>
  </si>
  <si>
    <t>PEGUI.</t>
  </si>
  <si>
    <t>PUNTARENAS PUNTARENAS PUNTARENAS RIOJALANDIA BARRANCA</t>
  </si>
  <si>
    <t>SUPER EL BUEN PRECIO #2</t>
  </si>
  <si>
    <t>QUESADA, SAN CARLOS 25M SUR IGLESIA CATÓLICA DN</t>
  </si>
  <si>
    <t>MINI SUPER Y LICORERA EL MIRADOR</t>
  </si>
  <si>
    <t>LA PALMERA, SAN CARLOS 1.5 KM ESTE DEL EBAIS LA PALMERA</t>
  </si>
  <si>
    <t>SÚPER FORTUNA</t>
  </si>
  <si>
    <t>PAVAS, SAN JOSE FRENTE CONCÉNTRIX PAVAS</t>
  </si>
  <si>
    <t>MINI SUPER Y LICOR SAMALU</t>
  </si>
  <si>
    <t>SAN JOSÉ TIBAS SAN JUAN SAN JUAN TIBAS</t>
  </si>
  <si>
    <t>MEMO LICORES</t>
  </si>
  <si>
    <t>SAN RAFAEL, PURISCAL ESCAZU 200 ESTE DE PLAZA MONTE ESCAZU</t>
  </si>
  <si>
    <t>FAMILY SUPERMARKET</t>
  </si>
  <si>
    <t>ALAJUELA SAN CARLOS FLORENCIA 200 MTS ESTE IGLESIA SANTA RITA</t>
  </si>
  <si>
    <t>CARNEXPRESS</t>
  </si>
  <si>
    <t>ALAJUELA NARANJO SAN MIGUEL CONTIGUO ESC PRESBÍTERO JOSÉ DEL OLMO</t>
  </si>
  <si>
    <t>ENTRECORTE BRASSERIE Y BAR</t>
  </si>
  <si>
    <t>SAN RAFAEL, PURISCAL MOMENTUM ESCAZU</t>
  </si>
  <si>
    <t>PANADERÍA Y ABASTECEDOR</t>
  </si>
  <si>
    <t>CINCO ESQUINAS, TIBAS LA FABIOLA</t>
  </si>
  <si>
    <t>CHARLIE'S TO GO</t>
  </si>
  <si>
    <t>ALAJUELA SAN CARLOS LA FORTUNA SAN CARLOS FORTUNA</t>
  </si>
  <si>
    <t>ALANE</t>
  </si>
  <si>
    <t>ALAJUELA OROTINA OROTINA CONTIGUO A LA IGLESIA DE JESUCRISTO</t>
  </si>
  <si>
    <t>MARKET PLANET</t>
  </si>
  <si>
    <t>SAN ISIDRO, SAN ISIDRO CENTRO SAN ISIDRO CONTIGUO A LA POPS</t>
  </si>
  <si>
    <t>MINIMARKET DORADO LIMITADA</t>
  </si>
  <si>
    <t>CARMEN, SAN JOSE SAN JOSÉ SAN JOSÉ CARMEN</t>
  </si>
  <si>
    <t>MINI SUPER GAITÁN</t>
  </si>
  <si>
    <t>MERCED, SAN JOSE SAN JOSÉ SAN JOSÉ MERCED</t>
  </si>
  <si>
    <t>LA MARTINA</t>
  </si>
  <si>
    <t>PARAISO, PARAISO PARAISO</t>
  </si>
  <si>
    <t>MINI MARKET LOS HELECHOS</t>
  </si>
  <si>
    <t>PARAISO, PARAISO LLANOS DE SANTA LUCIA LOS HELECHOS</t>
  </si>
  <si>
    <t>CCH CAFETERÍAS PREMIUM S.A</t>
  </si>
  <si>
    <t>ULLOA, HEREDIA LAGUNILLA HEREDIA</t>
  </si>
  <si>
    <t>MARKET AT HOME MH SOCIEDAD DE</t>
  </si>
  <si>
    <t>BRASIL, SANTA ANA RADIAL COLON SAN JOSÉ, PARQUES DEL SOL</t>
  </si>
  <si>
    <t>MINI SUPER Y LICORERA 4A</t>
  </si>
  <si>
    <t>QUEPOS, QUEPOS QUEPOS NARANJITO</t>
  </si>
  <si>
    <t>SUPERMERCADO LICORERA LA TORRE</t>
  </si>
  <si>
    <t>ALAJUELA SAN CARLOS LA TIGRA EL FUTURO DE LA TIGRA</t>
  </si>
  <si>
    <t>DISTRIBUIDORA DEVCA</t>
  </si>
  <si>
    <t>ALAJUELA GRECIA GRECIA BARRIO LOS PINOS GRECIA CENTRO</t>
  </si>
  <si>
    <t>PULPERIA NENEY</t>
  </si>
  <si>
    <t>LIMON, LIMON EL BOSQUE</t>
  </si>
  <si>
    <t>MINI SUPER MACHE</t>
  </si>
  <si>
    <t>ALAJUELA OROTINA OROTINA KM II, FRENTE A 4TA EMTRADA</t>
  </si>
  <si>
    <t>MINISUPER EL RUBIO</t>
  </si>
  <si>
    <t>BUENOS AIRES, BUENOS AIRES 100 METROS SUR DEL COLEGIO TÉCNICO DE</t>
  </si>
  <si>
    <t>ABASTECEDOR STEFANY</t>
  </si>
  <si>
    <t>QUEPOS, QUEPOS QUEPOS EL COCAL</t>
  </si>
  <si>
    <t>MINI SUPER PALMITOS</t>
  </si>
  <si>
    <t>NARANJO, NARANJO 200 SUR DE LA ESCUELA DE PALMITOS DE NAR</t>
  </si>
  <si>
    <t>EL PUNTAZO</t>
  </si>
  <si>
    <t>PUNTARENAS PUNTARENAS BARRANCA EL INVU BARRANCA CONTIGUO A SÚPER GUARIA</t>
  </si>
  <si>
    <t>ABAST NOCHI</t>
  </si>
  <si>
    <t>LAS JUNTAS, ABANGARES MATAPALO</t>
  </si>
  <si>
    <t>PULPERÍA BETTY</t>
  </si>
  <si>
    <t>SAN MIGUEL, DESAMPARADOS LOS GUIDOS CASA CUBA CONDOMINIO LAS MAMD</t>
  </si>
  <si>
    <t>MULTICOMPRA</t>
  </si>
  <si>
    <t>ALAJUELA SAN CARLOS QUESADA CONTIGUO A LA TIENDA JOSÉ PAOLO</t>
  </si>
  <si>
    <t>MINI SUPER ZEUS</t>
  </si>
  <si>
    <t>CARTAGO CARTAGO OCCIDENTAL 25 SUR DE REPUESTOS MENA</t>
  </si>
  <si>
    <t>MINISUPER ANGELITO</t>
  </si>
  <si>
    <t>DANIEL FLORES, PEREZ ZELEDON CONTIGUO AL SALÓN COMUNAL BAIDAMBU</t>
  </si>
  <si>
    <t>EL CRUCE</t>
  </si>
  <si>
    <t>SANTA ANA, SANTA ANA SAN TANA</t>
  </si>
  <si>
    <t>ABASTECEDOR MYL</t>
  </si>
  <si>
    <t>RIO AZUL, LA UNION RIO AZUL DE LA ÚLTIMA PARADA DE BUSES DE</t>
  </si>
  <si>
    <t>MINISUPER EL ÚNICO SAN BOSCO</t>
  </si>
  <si>
    <t>PURABA, SANTA BARBARA 300 NORTE DE LA ESCUELA DE SAN BOSCOO</t>
  </si>
  <si>
    <t>SÚPER BUENA NOTA</t>
  </si>
  <si>
    <t>SABANILLA, MONTES DE OCA SAN JOSÉ MONTES DE OCA LOURDES</t>
  </si>
  <si>
    <t>MINI SUPER Y LICORERA LLANO BONITO</t>
  </si>
  <si>
    <t>ALAJUELA NARANJO CIRRI SUR 250 METROS NOROESTE DE LA IGLESIA</t>
  </si>
  <si>
    <t>MINI SUPER CHAPLIN</t>
  </si>
  <si>
    <t>LIMON, LIMON LIMON,200 ESTE DE PIUTA</t>
  </si>
  <si>
    <t>SÚPER SAN PEDRO</t>
  </si>
  <si>
    <t>ALAJUELA SAN RAMON SAN RAMON ALAJUELA SAN RAMÓN SAN PEDRO</t>
  </si>
  <si>
    <t>COMISARIATO  BRENES</t>
  </si>
  <si>
    <t>LIMON, LIMON CEIBON</t>
  </si>
  <si>
    <t>SUPERMERCADO DIAMOND PENSHURT</t>
  </si>
  <si>
    <t>VALLE LA ESTRELLA, LIMON 100 DE LA GASOLINERA DE PENSHURT</t>
  </si>
  <si>
    <t>SUPER FELIZ 2</t>
  </si>
  <si>
    <t>HEREDIA HEREDIA HEREDIA DEL BOCA 100MTS NORTE 100 ESTE LOCAL ESQ</t>
  </si>
  <si>
    <t>SÚPER LA MURALLA #3</t>
  </si>
  <si>
    <t>CABO VELAS, SANTA CRUZ FRENTE A SODA LA TÍPICA PLAYA POTRERO</t>
  </si>
  <si>
    <t>MINISUPER LA ANTIGUA ROANA</t>
  </si>
  <si>
    <t>PUNTARENAS OSA PALMAR PALMAR NORTE</t>
  </si>
  <si>
    <t>GOLD MARKET</t>
  </si>
  <si>
    <t>PAVAS, SAN JOSE CONTIGUO A LA MC DONALD DE PAVAS</t>
  </si>
  <si>
    <t>SODA FINCA GIGANTE</t>
  </si>
  <si>
    <t>SIQUIRRES, SIQUIRRES FINCA GIGANTE CARMENES SIQUIRRES</t>
  </si>
  <si>
    <t>LICORERA EL DOGOR</t>
  </si>
  <si>
    <t>PUNTARENAS PUNTARENAS PUNTARENAS PUNTARENAS, FRAY CASIANO</t>
  </si>
  <si>
    <t>J Y J 2</t>
  </si>
  <si>
    <t>PUNTARENAS PUNTARENAS BARRANCA 100 ESTE DEL ANTIGUO HOSPITAL MONSEÑOR</t>
  </si>
  <si>
    <t>MERCADITO PACUARE 2</t>
  </si>
  <si>
    <t>TURRIALBA, TURRIALBA FRENTE AL COLEGIO IET DE TURRIALBA</t>
  </si>
  <si>
    <t>MINI SUPER Y LICORERA MATTEX</t>
  </si>
  <si>
    <t>LIMÓN LIMON VALLE LA ESTRELLA LLANO GRANDE VALLE LA ESTRELLA</t>
  </si>
  <si>
    <t>TOLKIEN HOBBY STORE</t>
  </si>
  <si>
    <t>LIMÓN POCOCI GUAPILES COSTADO ESTE DE FUNERARIA VIDA NUEVA</t>
  </si>
  <si>
    <t>MINI SUPER EL GOLFO</t>
  </si>
  <si>
    <t>VEINTISIETE DE ABRIL, SANTA CRUZ PLAYA OSTIONAL</t>
  </si>
  <si>
    <t>PULPERÍA NENITA</t>
  </si>
  <si>
    <t>SAN RAFAEL, SAN RAMON BARRIO LOS ANGELES.</t>
  </si>
  <si>
    <t>MINI SUPER DÓNDE WIL</t>
  </si>
  <si>
    <t>PUERTO VIEJO, SARAPIQUI 200 M SUR IGLESIA CRISTO REY</t>
  </si>
  <si>
    <t>ABAST JIRON ZAMORA</t>
  </si>
  <si>
    <t>COLORADO, ABANGARES COLORADO</t>
  </si>
  <si>
    <t>QUESOS TILARAN</t>
  </si>
  <si>
    <t>GUANACASTE NICOYA NICOYA SAN MARTIN</t>
  </si>
  <si>
    <t>CASA HABITACIÓN LIZETH</t>
  </si>
  <si>
    <t>PARRITA, PARRITA PARCELAS</t>
  </si>
  <si>
    <t>SGU DEL NORTE SA</t>
  </si>
  <si>
    <t>ALAJUELA SAN CARLOS LA FORTUNA FRENTE SUPER COMISARIATO CHACHAGUA</t>
  </si>
  <si>
    <t>SUPER MERCADO TRUST MART</t>
  </si>
  <si>
    <t>PUNTARENAS GARABITO JACO PUNTARENAS GARABITO JACO DIAGONAL</t>
  </si>
  <si>
    <t>PULPERIA LI</t>
  </si>
  <si>
    <t>MINI SÚPER MYC</t>
  </si>
  <si>
    <t>SAN JOSÉ GOICOECHEA PURRAL DE SÚPER MUJERCITAS 100 OESTE</t>
  </si>
  <si>
    <t>MINI SUPER LOS PARCEROS</t>
  </si>
  <si>
    <t>HEREDIA SAN PABLO SAN PABLO COSTADO OESTE DE LA MUNICIPALIDAD DE SAN</t>
  </si>
  <si>
    <t>MINI SÚPER LAS VEGAS</t>
  </si>
  <si>
    <t>LAS HORQUETAS, SARAPIQUI ENTRADA A ISLA GRANDE</t>
  </si>
  <si>
    <t>SAN MIGUEL, DESAMPARADOS DESAMPARADOS SAN MIGUEL</t>
  </si>
  <si>
    <t>SÚPER TODO EN UNO</t>
  </si>
  <si>
    <t>ALAJUELA SAN CARLOS AGUAS ZARCAS SAN CARLOS AGUAS ZARCAS DEL BCR 1 KM EST</t>
  </si>
  <si>
    <t>MINI SUPER V Y V</t>
  </si>
  <si>
    <t>PUNTARENAS BUENOS AIRES BORUCA BUENOS AIRES</t>
  </si>
  <si>
    <t>ASEDEMASA</t>
  </si>
  <si>
    <t>PAVAS, SAN JOSE 2KM AL OESTE DE LA EMBAJADA DE PAVAS</t>
  </si>
  <si>
    <t>MINISUPER DANA</t>
  </si>
  <si>
    <t>IPIS, GOICOECHEA DEL PALI IPIS 50 OESTE, 400 SUR Y 50 OES</t>
  </si>
  <si>
    <t>SUPER Y LICORERA BAMBU</t>
  </si>
  <si>
    <t>MINISUPER SOFÍA</t>
  </si>
  <si>
    <t>PUNTARENAS GOLFITO GOLFITO 25 METROS NORTE DEL COLEGIO GOLFITO</t>
  </si>
  <si>
    <t>MINI SÚPER SAN MIGUEL</t>
  </si>
  <si>
    <t>LA VIRGEN, SARAPIQUI 1 KM NOROESTE DE SÚPER SAN RAFAEL</t>
  </si>
  <si>
    <t>MINI SUPER LUNA ...</t>
  </si>
  <si>
    <t>LIMÓN LIMON VALLE LA ESTRELLA LLANO GRANDE</t>
  </si>
  <si>
    <t>PULPERÍA TRINO BEBEDERO</t>
  </si>
  <si>
    <t>SAN ANTONIO, DESAMPARADOS BEBEDERO, ESCAZÚ</t>
  </si>
  <si>
    <t>MINI SÚPER CARRIZAL</t>
  </si>
  <si>
    <t>PUNTARENAS PUNTARENAS PUNTARENAS FRENTE AL PARQUE DE CARRIZAL</t>
  </si>
  <si>
    <t>SAN JUAN, TIBAS CUATRO REINAS CASA 36 -A TIBAS-</t>
  </si>
  <si>
    <t>SUPER VERANOS</t>
  </si>
  <si>
    <t>SAN JOSE DE LA MONTA, BARVA 50S DE LA ESCUELA DE SAN MIGUEL SN JOSÉ</t>
  </si>
  <si>
    <t>SÚPER EL FUTURO</t>
  </si>
  <si>
    <t>NOSARA, NICOYA NOSARA,COSTADO NORTE DE LA PLAZA</t>
  </si>
  <si>
    <t>PDV GARABITO Y DUSTRI</t>
  </si>
  <si>
    <t>PUNTARENAS GARABITO TARCOLES 25  MTR ESTE DEL BAZAR CAROLINA</t>
  </si>
  <si>
    <t>PULPERÍA NATASHA</t>
  </si>
  <si>
    <t>HOSPITAL, SAN JOSE BARRIO CUBA EL POCHOTE DEL SALÓN COMUNAL</t>
  </si>
  <si>
    <t>LICORES Y MÁS GATO NEGRO</t>
  </si>
  <si>
    <t>DESAMPARADOS, DESAMPARADOS DE LA ROTONDA DE LA Y GRIEGA</t>
  </si>
  <si>
    <t>PANADERÍA MARÍN</t>
  </si>
  <si>
    <t>QUEPOS, QUEPOS QUEPOS FRENTE A COOPE AGRI</t>
  </si>
  <si>
    <t>LA BODEGUITA</t>
  </si>
  <si>
    <t>ANGELES, SAN RAFAEL 100 SUR DE ENTRADA TANQUE 90</t>
  </si>
  <si>
    <t>VENTANA KAVI</t>
  </si>
  <si>
    <t>CARTAGO CARTAGO SAN NICOLAS 150 ESTE IGLESIA OCHOMOGO</t>
  </si>
  <si>
    <t>VALLE LA ESTRELLA, LIMON VALLE ESTRELLA 200 MTRS OESTE DEL EVAIS</t>
  </si>
  <si>
    <t>PULPERÍA DON GATO</t>
  </si>
  <si>
    <t>SAN JOSÉ TIBAS SAN JUAN SAN JOSÉ TIBAS COLIMA</t>
  </si>
  <si>
    <t>MINI SUPER C Y L</t>
  </si>
  <si>
    <t>ROXANA, POCOCI ROXANA 300 NORTE 100 ESTE DE LA ESCUELA</t>
  </si>
  <si>
    <t>PULPERIA ALFA Y OMEGA</t>
  </si>
  <si>
    <t>PURRAL, GOICOECHEA DE LOS TANQUES AYA 100 S.</t>
  </si>
  <si>
    <t>PULPERÍA ROCKY</t>
  </si>
  <si>
    <t>SIQUIRRES, SIQUIRRES 125 N DEL PUENTE NEGRO BARRIO SAN MARTIN</t>
  </si>
  <si>
    <t>LICORERA 3 AMIGOS</t>
  </si>
  <si>
    <t>PLEAMAR-KET</t>
  </si>
  <si>
    <t>COLON, MORA FRENTE ESCUELA BRASIL DE MORA</t>
  </si>
  <si>
    <t>MINI SUPER LA NASKY</t>
  </si>
  <si>
    <t>PAVAS, SAN JOSE PAVAS CENTRO</t>
  </si>
  <si>
    <t>TOBOSI, EL GUARCO ENTRADA RESIDENCIAL BARCELONA</t>
  </si>
  <si>
    <t>MINI SUPER CHINITO</t>
  </si>
  <si>
    <t>LEPANTO, PUNTARENAS 500MTS ESTE DEL TEMPLO CATÓLICO JICARAL</t>
  </si>
  <si>
    <t>MINI SÚPER LA AMISTAD</t>
  </si>
  <si>
    <t>RITA, POCOCI DEL EBAIS DE RIO JIMÉNEZ 2K AL E ESCOCIA</t>
  </si>
  <si>
    <t>MINISUPER LOS PICANTICOS</t>
  </si>
  <si>
    <t>SAN JOSÉ SANTA ANA POZOS DE LA ENTRADA DE LA CHISPA 150 ESTE</t>
  </si>
  <si>
    <t>MINISUPER RK</t>
  </si>
  <si>
    <t>SAN JOSÉ PURISCAL SANTIAGO PURISCAL. SANTIAGO</t>
  </si>
  <si>
    <t>DISFRUTA LA FRUTA #1</t>
  </si>
  <si>
    <t>CARRIZAL, ALAJUELA CANOAS ALAJUELA URBA MONTE CRISTAL</t>
  </si>
  <si>
    <t>MINI SUPER SAN DIEGO</t>
  </si>
  <si>
    <t>TRES RIOS, LA UNION TRES RÍOS</t>
  </si>
  <si>
    <t>SÚPER TIGRE # 2</t>
  </si>
  <si>
    <t>CARTAGO PARAISO SANTIAGO 300 M ESTE DEL RESTAURANTE LA NAVIDEÑA</t>
  </si>
  <si>
    <t>MINI SUPER Y LICORERA LOREMAR</t>
  </si>
  <si>
    <t>SAN JOSÉ GOICOECHEA PURRAL URBANIZACIÓN LOREMAR CASA #7 PURRAL</t>
  </si>
  <si>
    <t>MINI SÚPER LA HABANA</t>
  </si>
  <si>
    <t>CONCEPCION, ALAJUELITA 25 NORTE CEDES DON BOSCO CONCEPCIÓN</t>
  </si>
  <si>
    <t>MINI SÚPER SALCHIS</t>
  </si>
  <si>
    <t>LAS HORQUETAS, SARAPIQUI CONTIGUO A RESTAURANTE HORQUETAS</t>
  </si>
  <si>
    <t>MINI SUPER MOJA</t>
  </si>
  <si>
    <t>CARTAGO TURRIALBA TURRIALBA 50 METROS NORTE DE MEGA SÚPER</t>
  </si>
  <si>
    <t>SUPERMERCADO CENTRAL MARKET</t>
  </si>
  <si>
    <t>DESAMPARADOS, DESAMPARADOS DESAMPARADOS CENTRO FRENTE AL LAGAR</t>
  </si>
  <si>
    <t>MINISUPER Y LICORERA CHITO #2</t>
  </si>
  <si>
    <t>PUNTARENAS PUNTARENAS PUNTARENAS 50MTS AL NORTE DE CLÍNICA SAN RAFAEL</t>
  </si>
  <si>
    <t>LICORERA DON JUAN</t>
  </si>
  <si>
    <t>MINI SUPER CACHETON</t>
  </si>
  <si>
    <t>PUNTARENAS, PUNTARENAS JIRETH 500 NORTE DE LA ESCUELA DEL ROBLE</t>
  </si>
  <si>
    <t>MINISUPER Y LICORERA CACHI</t>
  </si>
  <si>
    <t>CARTAGO PARAISO CACHI 200 ESTE DE LA PLAZA CACHI</t>
  </si>
  <si>
    <t>MINISUPER Y LICORERA JEYK</t>
  </si>
  <si>
    <t>DESAMPARADOS, DESAMPARADOS DEL PALI CALLE FALLAS 100 SUR Y 25 OESTE</t>
  </si>
  <si>
    <t>MINI SUPER LA GUADALUPANA</t>
  </si>
  <si>
    <t>CARTAGO TURRIALBA TUIS TUIS BARRIO 70</t>
  </si>
  <si>
    <t>MINIMARKET LOS SUEÑOS</t>
  </si>
  <si>
    <t>PUERTO VIEJO, SARAPIQUI 300 MTS NORTE DE LA PLAZA DE DEPORTES</t>
  </si>
  <si>
    <t>ABASTECEDOR EL TORITO</t>
  </si>
  <si>
    <t>SAN VICENTE, MORAVIA SAN VICENTE DE MORAVIA DEL BCO NAC.800 M</t>
  </si>
  <si>
    <t>LICORERA ELIXIR</t>
  </si>
  <si>
    <t>SAN JOSÉ GOICOECHEA PURRAL 200M E DEL PALI CALLE GUTIÉRREZ</t>
  </si>
  <si>
    <t>KIOSCO ZANDRINA</t>
  </si>
  <si>
    <t>QUEPOS, QUEPOS MERCADO MUNICIPAL DE QUEPOS</t>
  </si>
  <si>
    <t>SAN JOSE, NARANJO SAN JOSÉ SUR ATENAS</t>
  </si>
  <si>
    <t>MINI SUPER VILLANUEVA</t>
  </si>
  <si>
    <t>LAS HORQUETAS, SARAPIQUI 1 KL AL ESTE DE PALI RIO FRIO</t>
  </si>
  <si>
    <t>SUPER LA PRIMAVERA #3</t>
  </si>
  <si>
    <t>CARTAGO TURRIALBA LA SUIZA TURRIALBA LA SUIZA FRENTE AL GOLLO</t>
  </si>
  <si>
    <t>SUPER OSCAR 24/7</t>
  </si>
  <si>
    <t>TRES RIOS, LA UNION TRES RIOS</t>
  </si>
  <si>
    <t>SÚPER Y LICORERA AGUA BENDITA</t>
  </si>
  <si>
    <t>SAN JOSECITO, SAN RAFAEL SAN RAFAEL DE HEREDIA</t>
  </si>
  <si>
    <t>MINISUPER LAS ESFERAS</t>
  </si>
  <si>
    <t>SIERPE, OSA PALMAR SUR FRENTE PLAZA</t>
  </si>
  <si>
    <t>ABASTECEDOR LAS MARIANAS</t>
  </si>
  <si>
    <t>PURRAL, GOICOECHEA FRENTE A TERMINAL MARIANAS</t>
  </si>
  <si>
    <t>SÚPER MARKET MK SOCIEDAD DE</t>
  </si>
  <si>
    <t>SAN JOSÉ VAZQUEZ DE CORONADO CASCAJAL CASCAJAL DE CORONADO</t>
  </si>
  <si>
    <t>MINI SUPER EL VALLE</t>
  </si>
  <si>
    <t>GUANACASTE ABANGARES LAS JUNTAS VALLE DEL RIO LAS JUNTAS</t>
  </si>
  <si>
    <t>PULPERÍA MELITA</t>
  </si>
  <si>
    <t>GUANACASTE SANTA CRUZ SANTA CRUZ BARRIO MELITA BRASILITO</t>
  </si>
  <si>
    <t>MINI SUPER LA VILLA</t>
  </si>
  <si>
    <t>ALAJUELA, ALAJUELA 300 OESTE DEL MONUMENTO AL PACTO SOBRE C</t>
  </si>
  <si>
    <t>JUCALOA #2</t>
  </si>
  <si>
    <t>PALMAR, OSA CORTES DE OSA 500MTS NORTE DE SÚPER</t>
  </si>
  <si>
    <t>SÚPER MILAGROSA</t>
  </si>
  <si>
    <t>DANIEL FLORES, PEREZ ZELEDON 400 METROS SUR DE LAS BODEGAS DEL CNP</t>
  </si>
  <si>
    <t>HIPER CARIARI</t>
  </si>
  <si>
    <t>CARIARI, POCOCI FRENTE SERVICENTRO UNO CARIARI</t>
  </si>
  <si>
    <t>MINI SUPER DON CHILO</t>
  </si>
  <si>
    <t>ALAJUELA OROTINA EL MASTATE 25 N DE LA PLAZA DE DEPORTE GUAYABAL</t>
  </si>
  <si>
    <t>SÚPER EL RETORNO</t>
  </si>
  <si>
    <t>GUACIMO, GUACIMO 150 NORTE CTP GUACIMO</t>
  </si>
  <si>
    <t>MINI MARKET R Y M</t>
  </si>
  <si>
    <t>PUNTARENAS PUNTARENAS PUNTARENAS FRENTE BCR ROBLE</t>
  </si>
  <si>
    <t>SUPER CIRRI UNO</t>
  </si>
  <si>
    <t>ALAJUELA NARANJO CIRRI SUR CIRRI FRENTE A LA CANCHA</t>
  </si>
  <si>
    <t>MEGA PRECIO</t>
  </si>
  <si>
    <t>DESAMPARADOS, ALAJUELA FRENTE A EQUIPOS JCB -MOJÓN DESAMPARADOS</t>
  </si>
  <si>
    <t>MINISUPER Y LICORES RANDY'S</t>
  </si>
  <si>
    <t>PUNTARENAS ESPARZA ESPIRITU SANTO ESPARZA PUNTARENAS DE LA MUNI 75 ESTE</t>
  </si>
  <si>
    <t>MINI SUPER EL CRUZ-E</t>
  </si>
  <si>
    <t>LIMÓN GUACIMO GUACIMO LA PERLA DE GUACIMO</t>
  </si>
  <si>
    <t>SÚPER RONALD 2</t>
  </si>
  <si>
    <t>PUNTARENAS ESPARZA ESPIRITU SANTO ESPARZA MOJÓN 50 ESTE DE SÚPER RONALD 1</t>
  </si>
  <si>
    <t>SUPER ASPAVEL 22</t>
  </si>
  <si>
    <t>ALAJUELA ATENAS SAN JOSE BARRIO SAN JOSE</t>
  </si>
  <si>
    <t>MINI SUPER OPERMART</t>
  </si>
  <si>
    <t>ALAJUELA, ALAJUELA ALAJUELA DE LA IGLESIA CATÓLICA DEL CARM</t>
  </si>
  <si>
    <t>NACIÓN SUSHI</t>
  </si>
  <si>
    <t>SAN RAFAEL, PURISCAL OFIBODEGA EL ALMENDRO,BODEGA 8</t>
  </si>
  <si>
    <t>PUNTARENAS ESPARZA SAN RAFAEL ESPARZA EL BARÓN LAS PARCELAS</t>
  </si>
  <si>
    <t>MINI SUPER R Y M</t>
  </si>
  <si>
    <t>DESAMPARADOS, DESAMPARADOS SAN FRANCISCO DE DOS RÍOS 200 ESTE</t>
  </si>
  <si>
    <t>SÚPER LOIA</t>
  </si>
  <si>
    <t>NARANJO, NARANJO 50 METROS ESTE ESCUELA DULCE NOMBRE</t>
  </si>
  <si>
    <t>SUPERMERCADOS CHEX</t>
  </si>
  <si>
    <t>PUNTARENAS GARABITO JACO GARABITO JACO FRENTE AL HOTEL BEST WESTE</t>
  </si>
  <si>
    <t>LICORERAS JUAN</t>
  </si>
  <si>
    <t>SAN ISIDRO, VAZQUEZ DE CORONADO SAN FRANCISCO CORONADO</t>
  </si>
  <si>
    <t>MINI SÚPER Y LICORES LA LICO</t>
  </si>
  <si>
    <t>ALAJUELA SAN RAMON ALFARO IGLESIA TREMEDAL 100 SUR Y 50 OESTE</t>
  </si>
  <si>
    <t>CENTRAL MARKET</t>
  </si>
  <si>
    <t>PUNTARENAS GARABITO JACO CALLE LA CENTRAL DEL BAR OZ 175MT</t>
  </si>
  <si>
    <t>WAWA MARKET</t>
  </si>
  <si>
    <t>ULLOA, HEREDIA CONTIGUO AL AUTO PITS BARREAL DE HEREDIA</t>
  </si>
  <si>
    <t>VENTANITA MAGDALENA</t>
  </si>
  <si>
    <t>CUTRIS, SAN CARLOS CUTRIS CORAZÓN DE JESÚS</t>
  </si>
  <si>
    <t>VIRITECA 2</t>
  </si>
  <si>
    <t>PUNTARENAS OSA PALMAR 150 M OESTE DE LA SUCURSAL DE CCSS</t>
  </si>
  <si>
    <t>SUPER ECONÓMICO HEREDIA</t>
  </si>
  <si>
    <t>SAN FRANCISCO, HEREDIA 200 OESTE Y 300 NORTE DE LA ESCUELA</t>
  </si>
  <si>
    <t>SUPER  LA PALMA</t>
  </si>
  <si>
    <t>CARMEN, SAN JOSE 25 N DE ALMACENES UNIDAD SAN JOSE</t>
  </si>
  <si>
    <t>GRUPO ECONOMICO CQ</t>
  </si>
  <si>
    <t>ALAJUELA SAN CARLOS QUESADA 15 MTS OESTE DEL COLONO CQ</t>
  </si>
  <si>
    <t>SÚPER 168</t>
  </si>
  <si>
    <t>CARTAGO CARTAGO SAN NICOLAS 150 NORTE ESCUELA REPÚBLICA FRANCESA</t>
  </si>
  <si>
    <t>ECO MINI MARKET</t>
  </si>
  <si>
    <t>MERCEDES, ATENAS BARRIO MERCEDES CONTIGUO A LA PLAZA</t>
  </si>
  <si>
    <t>TIENDA DE CONVENIENCIA SERVICENTROS</t>
  </si>
  <si>
    <t>LIBERIA, LIBERIA FRENTE AL AEROPUERTO LIBERIA</t>
  </si>
  <si>
    <t>MINI SUPER LA CHISPA</t>
  </si>
  <si>
    <t>SAN JOSÉ SANTA ANA SANTA ANA LA CHISPA DE SANTA ANA</t>
  </si>
  <si>
    <t>SUPER CAREZA</t>
  </si>
  <si>
    <t>ALAJUELA ALAJUELA GUACIMA FRENTE AL PARQUE DE CIRUELAS</t>
  </si>
  <si>
    <t>MINISUPER LEON</t>
  </si>
  <si>
    <t>LIMÓN SIQUIRRES FLORIDA SAN ISIDRO</t>
  </si>
  <si>
    <t>LA PROSPERIDAD</t>
  </si>
  <si>
    <t>CUTRIS, SAN CARLOS 200 ESTE ENTRADA ALA ARAÑA CUTRIS</t>
  </si>
  <si>
    <t>SAN JOSÉ SANTA ANA SANTA ANA SANTA ANA CALLE LA CHISPA</t>
  </si>
  <si>
    <t>ABASTECEDOR LA PLAZA 1</t>
  </si>
  <si>
    <t>ALAJUELA OROTINA OROTINA SAN MATEO , AV 2 LOCAL ESQUINERO</t>
  </si>
  <si>
    <t>MINISUPER 5 ESQUINAS</t>
  </si>
  <si>
    <t>PUERTO CORTES, OSA PUERTO CORTEZ COSTADO SUR</t>
  </si>
  <si>
    <t>SUPERMERCADO LAS VUELTAS</t>
  </si>
  <si>
    <t>GUACIMA, ALAJUELA FRENTE A LA IGLESIA</t>
  </si>
  <si>
    <t>LAS JUNTAS, ABANGARES LAS JUNTAS SAN FRANCISCO</t>
  </si>
  <si>
    <t>MINI SUPER LICORERA SAN JUAN GRANDE</t>
  </si>
  <si>
    <t>SAN JUAN, ABANGARES SAN JUAN LAS JUNTAS</t>
  </si>
  <si>
    <t>CONCENTRADOS LA CASONA</t>
  </si>
  <si>
    <t>GUANACASTE NICOYA NICOYA 400 MT ESTE DEL BANCO NACIONAL</t>
  </si>
  <si>
    <t>GRAB AND EAT PARQUE 160</t>
  </si>
  <si>
    <t>SAN RAFAEL, SAN RAMON DENTRO DEL CONDOMINIO PARQUE 160</t>
  </si>
  <si>
    <t>MARKET AAA</t>
  </si>
  <si>
    <t>VEINTISIETE DE ABRIL, SANTA CRUZ EN SERVI MÓVIL 27</t>
  </si>
  <si>
    <t>PULPERÍA MAROTO</t>
  </si>
  <si>
    <t>SAN JOSE, ATENAS PRIMERA ENTRADA CACAO 800 M OESTE</t>
  </si>
  <si>
    <t>VERDULERÍA SUS AMIGOS</t>
  </si>
  <si>
    <t>CARMONA, NANDAYURE FRENTE AL PARQUE NANDAYURE GUANACASTE</t>
  </si>
  <si>
    <t>SOYOPAN</t>
  </si>
  <si>
    <t>POCOSOL, SAN CARLOS LOS CHILES MEDIO QUESO100 ESTE BAR</t>
  </si>
  <si>
    <t>PULPERÍA FLORIBETH</t>
  </si>
  <si>
    <t>LIBERIA, LIBERIA BARRIO SANTA LUISA</t>
  </si>
  <si>
    <t>MINI SUPER FAMA</t>
  </si>
  <si>
    <t>ALAJUELA, ALAJUELA DEL PARQUE DE LOS NIÑOS ALAJUELA CENTRO,</t>
  </si>
  <si>
    <t>SÚPER POLLO</t>
  </si>
  <si>
    <t>SAN RAMON, SAN RAMON SAN RAMÓN PARADAS MUNICIPALES</t>
  </si>
  <si>
    <t>PULPERÍA EL TAMARINDO</t>
  </si>
  <si>
    <t>GUANACASTE BAGACES BAGACES FALCONIANA</t>
  </si>
  <si>
    <t>LIBERIA, LIBERIA FRENTE A REPUESTOS GIGANTES</t>
  </si>
  <si>
    <t>TAYCASA</t>
  </si>
  <si>
    <t>FLORENCIA, SAN CARLOS FLORENCIA</t>
  </si>
  <si>
    <t>FLASH MARKET</t>
  </si>
  <si>
    <t>SUPER LA TORRE</t>
  </si>
  <si>
    <t>ALAJUELA SAN RAMON VOLIO VOLVIÓ SAN RAMÓN</t>
  </si>
  <si>
    <t>MINI SÚPER Y LICORERA DAYKA</t>
  </si>
  <si>
    <t>QUESADA, SAN CARLOS CEDRAL CUIDAD QUESADA</t>
  </si>
  <si>
    <t>SÚPER MERCADO CAIMITAL</t>
  </si>
  <si>
    <t>NICOYA, NICOYA DIAGONAL A LA IGLESIA CATOLICA</t>
  </si>
  <si>
    <t>VENTANA FIDELON 2</t>
  </si>
  <si>
    <t>ALAJUELA SAN CARLOS PITAL PITAL PUERTO ESCONDIDO</t>
  </si>
  <si>
    <t>MINI MARKET DAYKA</t>
  </si>
  <si>
    <t>QUESADA, SAN CARLOS LLAMADA CUIDAD QUESADA</t>
  </si>
  <si>
    <t>MINI SUPER SKY</t>
  </si>
  <si>
    <t>ALAJUELA, ALAJUELA 50 OESTE DE CONSTRUPLAZA ALAJUELA CENTRO</t>
  </si>
  <si>
    <t>PULPERÍA CAMILA</t>
  </si>
  <si>
    <t>PERALTA, TURRIALBA 300 OESTE DE LA ANTIGUA ESTACIÓN TRENES</t>
  </si>
  <si>
    <t>MAYRON RICHMOND</t>
  </si>
  <si>
    <t>SAN JOSÉ GOICOECHEA PURRAL 200 O PLAZA FÚTBOL MOZOTAL</t>
  </si>
  <si>
    <t>LA ESNAQUI</t>
  </si>
  <si>
    <t>CARMONA, NANDAYURE 25 METROS SUR DEL MINISTERIO DE SALUD</t>
  </si>
  <si>
    <t>CASA PARTICULAR OBED</t>
  </si>
  <si>
    <t>LEPANTO, PUNTARENAS 500MT OESTE DE LA ESCUELA DE LEPANTO</t>
  </si>
  <si>
    <t>ZARPE O QUE BOMBA GUACIMA</t>
  </si>
  <si>
    <t>GUACIMA, ALAJUELA DENTRO BOMBA ZAVILLANA GUACIMA ARRIBA</t>
  </si>
  <si>
    <t>MINISUPER VASQUEZ</t>
  </si>
  <si>
    <t>ALAJUELA ALAJUELA ALAJUELA SAN RAFAEL ALAJUELA FRENTE A MAC DONALD</t>
  </si>
  <si>
    <t>PULPERÍA LA BENDECION</t>
  </si>
  <si>
    <t>PAQUERA, PUNTARENAS 200 SUR DE LA ENTRADA DE PLAYA BLANCA</t>
  </si>
  <si>
    <t>VÍA FLAMINGO MARKET</t>
  </si>
  <si>
    <t>RESTAURANTE SELVA NEGRA</t>
  </si>
  <si>
    <t>RIO CUARTO, RIO CUARTO 600 MTS ESTE BCR RÍO CUARTO</t>
  </si>
  <si>
    <t>RONAL MENA ANGULO</t>
  </si>
  <si>
    <t>FLORENCIA, SAN CARLOS CONTIGO A PALI SANTA CLARA</t>
  </si>
  <si>
    <t>SÚPER EL ALMENDRO 2</t>
  </si>
  <si>
    <t>GUANACASTE SANTA CRUZ SANTA CRUZ BRASILITO</t>
  </si>
  <si>
    <t>SÚPER SANTA ROSA 2 LA TROCHA</t>
  </si>
  <si>
    <t>LIMÓN POCOCI GUAPILES 600 M DEL CRUCE DE LA TROCHA,RUMBO A</t>
  </si>
  <si>
    <t>MINI SUPER RODRÍGUEZ</t>
  </si>
  <si>
    <t>TIRRASES, CURRIDABAT TIRRASES DE CURRIDABAT 15 DE AGOSTO</t>
  </si>
  <si>
    <t>SÚPER LA CARRETA 2</t>
  </si>
  <si>
    <t>MINISUPER EL PUEBLO</t>
  </si>
  <si>
    <t>ALAJUELA SAN CARLOS LA FORTUNA ZETA 13 FORTUNA</t>
  </si>
  <si>
    <t>DISTRIBUIDORA VEGA</t>
  </si>
  <si>
    <t>NARANJO, NARANJO FRENTE A LA FERIA DEL AGRICULTOR</t>
  </si>
  <si>
    <t>MINI SUPER JIMÉNEZ</t>
  </si>
  <si>
    <t>ALAJUELA, ALAJUELA ALAJUELA PUEBLO NUEVO CONTIGUO A LA ANTI</t>
  </si>
  <si>
    <t>PANADERÍA LA URUCA</t>
  </si>
  <si>
    <t>URUCA_, SANTA ANA FRENTE A LA ENTRADA PRINCIPAL DEL INS</t>
  </si>
  <si>
    <t>MINI SUPER LA FAMILIA#3</t>
  </si>
  <si>
    <t>ALAJUELA ALAJUELA ALAJUELA DE LA MUNI DE ALAJUELA 250 SUR</t>
  </si>
  <si>
    <t>TOTAL</t>
  </si>
  <si>
    <t>ALAJUELA ALAJUELA ALAJUELA ALAJUELA CENTRO FRENTE A LA BOMBA DELTA</t>
  </si>
  <si>
    <t>EL MERCADITO TUANIS</t>
  </si>
  <si>
    <t>CARTAGO OREAMUNO CIPRESES BOQUERÓN DE OREMUNO</t>
  </si>
  <si>
    <t>DISTRIBUIDORA LA FÁBRICA DEL MANÍ</t>
  </si>
  <si>
    <t>EL TEJAR, EL GUARCO CONTIGUO A FERRETERÍA TREJOS</t>
  </si>
  <si>
    <t>VENTANITA RENATO</t>
  </si>
  <si>
    <t>YOHANNA VARGAS</t>
  </si>
  <si>
    <t>KAVA MINI SUPER</t>
  </si>
  <si>
    <t>TILARAN, TILARAN 25 SUR DE HOTEL MARYS</t>
  </si>
  <si>
    <t>MINI SUPER AM</t>
  </si>
  <si>
    <t>DANIEL FLORES, PEREZ ZELEDON FRENTE AL SÚPER FERRE EL CRUCE EN</t>
  </si>
  <si>
    <t>MINI SUPER CHISA</t>
  </si>
  <si>
    <t>LA PALMERA, SAN CARLOS 75M AL SUR CRUCE VILLA MARIA</t>
  </si>
  <si>
    <t>MINI SUPER Y LICORERA CHÁVEZ</t>
  </si>
  <si>
    <t>CAÑAS, CAÑAS 200M NORTE DE DE LA MUNICIPALIDAD CAÑAS.</t>
  </si>
  <si>
    <t>LA JULIETA</t>
  </si>
  <si>
    <t>ALAJUELA ALAJUELA RIO SEGUNDO RIO SEGUNDO 50MTS OESTE Y 200MTS NORTE</t>
  </si>
  <si>
    <t>SUPER Y LICORERA LAGUNA</t>
  </si>
  <si>
    <t>ALAJUELA SAN CARLOS VENECIA 50M NORTE DE SODA PITY</t>
  </si>
  <si>
    <t>CARTAGO PARAISO CACHI FRENTE A PLAZA DEPORTES CACHÍ</t>
  </si>
  <si>
    <t>SODA MARCELA</t>
  </si>
  <si>
    <t>GUANACASTE SANTA CRUZ SANTA CRUZ DIAGONAL AL SALÓN MULTI USOS DE VILLA</t>
  </si>
  <si>
    <t>QUICK STOP MINI MARKET</t>
  </si>
  <si>
    <t>ALAJUELA SAN CARLOS LA FORTUNA 600 MTS OESTE DE SÚPER CRISTIAN #1</t>
  </si>
  <si>
    <t>DEACACHIMBA SABOR NICAGUENSE</t>
  </si>
  <si>
    <t>LIBERIA, LIBERIA LIBERIA BARRIO CORAZÓN DE JESÚS</t>
  </si>
  <si>
    <t>SUPER Y LICORERA MAR</t>
  </si>
  <si>
    <t>ALAJUELA PALMARES LA GRANJA CALLE BRUJOS  X PULPERÍA PROYECTO</t>
  </si>
  <si>
    <t>SUPER PURA VIDA 1</t>
  </si>
  <si>
    <t>ALAJUELA OROTINA HACIENDA VIEJA HACIENDA VIEJA FRENTE A LA PLAZA DEÚTBOL</t>
  </si>
  <si>
    <t>PULPERÍA LOS HERMANOS</t>
  </si>
  <si>
    <t>SAN JOSÉ SAN JOSE SAN SEBASTIAN COLONIA 15 DE SETIEMBRE</t>
  </si>
  <si>
    <t>SUPERMARKET CAMILO</t>
  </si>
  <si>
    <t>LA GRANJA, PALMARES 300 MTS AL OESTE DEL ICE</t>
  </si>
  <si>
    <t>MINI SUPER LVM</t>
  </si>
  <si>
    <t>ALAJUELA ATENAS SAN JOSE BARRIO SAN JOSÉ</t>
  </si>
  <si>
    <t>PULP LA CHISPA</t>
  </si>
  <si>
    <t>QUEBRADA HONDA, NICOYA COPASL QUEBRADA HONDA</t>
  </si>
  <si>
    <t>SUPERMERCADO FAMI</t>
  </si>
  <si>
    <t>RIVAS, PEREZ ZELEDON BONITA DE RIVAS 200 METROS DE VISTA DEL</t>
  </si>
  <si>
    <t>MINI SUPER LA GUACIMA 2</t>
  </si>
  <si>
    <t>ALAJUELA SAN RAMON VOLIO VOLIO SAN RAMÓN</t>
  </si>
  <si>
    <t>MINI SUPER Y LICORERA J Y D</t>
  </si>
  <si>
    <t>NARANJO, NARANJO BARRANCA CEMENTERIO 150 OESTE NARANJO</t>
  </si>
  <si>
    <t>SÚPER RINDE</t>
  </si>
  <si>
    <t>TILARAN, TILARAN FRENTE A PALI TILARAN</t>
  </si>
  <si>
    <t>ALAJUELA RIO CUARTO RIO CUARTO 250M SURESTE 100M ESTE LICEO LA AMISTAD</t>
  </si>
  <si>
    <t>MINI SUPER D Y J VALENTINA</t>
  </si>
  <si>
    <t>ALAJUELA SAN CARLOS LA FORTUNA TRES ESQUINAS DE LOS ANGELES DE</t>
  </si>
  <si>
    <t>ABASTECEDOR YOHAN</t>
  </si>
  <si>
    <t>SAN JOSÉ SAN JOSE MERCED DENTRO DEL MERCADO LA COCA COLA</t>
  </si>
  <si>
    <t>MINI MERCADO</t>
  </si>
  <si>
    <t>ALAJUELA ALAJUELA DESAMPARADOS CALLE LOS BAJOS DESAMPARADOS DE ALAJUELA</t>
  </si>
  <si>
    <t>MINI SUPER Y LIC PALLINO</t>
  </si>
  <si>
    <t>GUANACASTE CAÑAS PALMIRA COSTADO NORTE DE LA CANCHA DE FÚTBOL</t>
  </si>
  <si>
    <t>MINI SÚPER EL PUEBLO</t>
  </si>
  <si>
    <t>ALAJUELA ALAJUELA RIO SEGUNDO CONTIGUO AL PARQUE DEL AGRICULTOR</t>
  </si>
  <si>
    <t>XINYI SOCIEDAD DE RESPONSABILIDAD</t>
  </si>
  <si>
    <t>PUNTARENAS PUNTARENAS BARRANCA 100 METROS BANCO NACIONAL</t>
  </si>
  <si>
    <t>SÚPER DENG</t>
  </si>
  <si>
    <t>SAN JOSÉ ALAJUELITA ALAJUELITA ALAJUELITA CENTRO</t>
  </si>
  <si>
    <t>PULPERÍA TECHI</t>
  </si>
  <si>
    <t>SAN JOSÉ SAN JOSE SAN SEBASTIAN SAN JOSÉ SAN SEBASTIÁN</t>
  </si>
  <si>
    <t>MINISUPER TICO FRESCO</t>
  </si>
  <si>
    <t>ALAJUELA ALAJUELA SAN RAFAEL SAN RAFAEL ALAJUELA BARRIO LOURDES</t>
  </si>
  <si>
    <t>LA PULPERÍA DEL TURCO</t>
  </si>
  <si>
    <t>HEREDIA SAN PABLO SAN PABLO SAN PABLO URB NUEVA JERUSALEN CASA 19</t>
  </si>
  <si>
    <t>PULPERIA JIREH</t>
  </si>
  <si>
    <t>ALAJUELA SAN CARLOS POCOSOL 2 KM OESTE DE LA ESCUELA BUENOS AIRES</t>
  </si>
  <si>
    <t>MINISUPER Y LICORERA LOS SÁNCHEZ</t>
  </si>
  <si>
    <t>SAN JOSÉ PEREZ ZELEDON PEJIBAYE 200 METROS NORTE DE POLLOS WALI</t>
  </si>
  <si>
    <t>MINISUPER SAN DIEGO</t>
  </si>
  <si>
    <t>SAN JOSÉ ACOSTA SAN IGNACIO SAN JOSÉ, ACOSTA, CHIRRACA</t>
  </si>
  <si>
    <t>MINIMACHO #3</t>
  </si>
  <si>
    <t>SAN JOSÉ ACOSTA SAN IGNACIO SAN JOSÉ, ACOSTA, SAN IGNACIO</t>
  </si>
  <si>
    <t>SODA ESCUELA</t>
  </si>
  <si>
    <t>LIMÓN POCOCI GUAPILES GUAPILES</t>
  </si>
  <si>
    <t>ROSA SANDOVAL LUMBI</t>
  </si>
  <si>
    <t>HEREDIA SARAPIQUI LAS HORQUETAS TIGRE</t>
  </si>
  <si>
    <t>SUPERMERCADO ECONÓMICO</t>
  </si>
  <si>
    <t>ALAJUELA SAN RAMON SAN ISIDRO 300 MTS NORTE EBAIS CHACHAGUA</t>
  </si>
  <si>
    <t>MINI SUPER Y LICORERA EL TRAPICHE</t>
  </si>
  <si>
    <t>ALAJUELA SAN CARLOS LA FORTUNA 500 MTRS OESTE DE LA ESCUELA ELABANICO</t>
  </si>
  <si>
    <t>QUE CHIMBA JOSS</t>
  </si>
  <si>
    <t>LIMÓN POCOCI GUAPILES 170 M SUR CEMENTERIO GUAPILES</t>
  </si>
  <si>
    <t>MINI SUPER BORBON</t>
  </si>
  <si>
    <t>ALAJUELA LOS CHILES LOS CHILES 50 MTS OESTE DE LA ESCUELA LAS NUBES</t>
  </si>
  <si>
    <t>MINI SUPER JUNTO</t>
  </si>
  <si>
    <t>SAN JOSÉ SAN JOSE HOSPITAL FRENTE PARQUE MINISTERIO DE SALUD</t>
  </si>
  <si>
    <t>DAKITA  S.R.L</t>
  </si>
  <si>
    <t>ALAJUELA GRECIA SAN ISIDRO FRENTE A LA ENTRADA RESERVA #2</t>
  </si>
  <si>
    <t>PULPERÍA LOS HIGUERONES</t>
  </si>
  <si>
    <t>ALAJUELA SAN CARLOS POCOSOL EL PLOMO</t>
  </si>
  <si>
    <t>EL TULIPAN MINIMARKET</t>
  </si>
  <si>
    <t>SAN JOSÉ SAN JOSE MERCED EDIFICIO TORRE MERCEDES, PASEO COLON</t>
  </si>
  <si>
    <t>LA COCINA DE DOÑA MONCHA</t>
  </si>
  <si>
    <t>ALAJUELA GRECIA SAN ISIDRO 300 MTS EBAIS CHACHAGUA</t>
  </si>
  <si>
    <t>SODA EL TEC</t>
  </si>
  <si>
    <t>ALAJUELA SAN CARLOS FLORENCIA FRENTE POLLO TEDDY SANTA CLARA</t>
  </si>
  <si>
    <t>MINISUPER LIFE</t>
  </si>
  <si>
    <t>ALAJUELA ALAJUELA SAN RAFAEL CONTIGUO A MAXI PALI DE SAN RAFAEL</t>
  </si>
  <si>
    <t>SÚPER CORAZÓN 2</t>
  </si>
  <si>
    <t>GUANACASTE SANTA CRUZ CABO VELAS 500 SUR DE SÚPER EL TANQUE</t>
  </si>
  <si>
    <t>PULPERÍA HERRERA</t>
  </si>
  <si>
    <t>ALAJUELA SAN CARLOS LA FORTUNA LA PERLA DE LA FORTUNA 600 MTRS DEL</t>
  </si>
  <si>
    <t>ALAJUELA POAS CARRILLOS 250 NORTE DE LA PLAZA DEPORTE CARRILLOS</t>
  </si>
  <si>
    <t>MINI SUPER ZAMORA</t>
  </si>
  <si>
    <t>GUANACASTE TILARAN TILARAN 100 SUR DE BOMBA DE TILARAN</t>
  </si>
  <si>
    <t>MINI SUPER ADICO</t>
  </si>
  <si>
    <t>CARTAGO OREAMUNO CIPRESES CIPRESES DE OREAMUNO</t>
  </si>
  <si>
    <t>SODA DÓNDE EL GORDO</t>
  </si>
  <si>
    <t>ALAJUELA ALAJUELA ALAJUELA 500M ESTE DE BOMBA SAN ANTONIO</t>
  </si>
  <si>
    <t>PULPERÍA LA MACHA</t>
  </si>
  <si>
    <t>ALAJUELA ALAJUELA GUACIMA GUACIMA ABAJO LOS REYES</t>
  </si>
  <si>
    <t>MINI SÚPER TYG</t>
  </si>
  <si>
    <t>GUANACASTE BAGACES BAGACES BAGACES EL ARBOLITO DE MECO 100 NORTE Y</t>
  </si>
  <si>
    <t>MARTHA DE LOS ANGELES MARQUEZ</t>
  </si>
  <si>
    <t>SAN JOSÉ ALAJUELITA CONCEPCION ALAJUELITA CONCEPCIÓN ABAJO BARRIO EL TE</t>
  </si>
  <si>
    <t>MINI SÚPER LA ESQUINITA</t>
  </si>
  <si>
    <t>ALAJUELA ALAJUELA ALAJUELA DE LA CLÍNICA MARCIAL 150 METROS OESTE</t>
  </si>
  <si>
    <t>CHEX CALLE 12</t>
  </si>
  <si>
    <t>SAN JOSÉ SAN JOSE HOSPITAL COSTADO NOROESTE IGLESIA LA MERCED</t>
  </si>
  <si>
    <t>SUPER CUAJINIQUIL</t>
  </si>
  <si>
    <t>GUANACASTE LA CRUZ LA CRUZ FRENTE A LA ANTIGUA DELEGACIÓN</t>
  </si>
  <si>
    <t>SUPERMERCADO COMPRA MÁS</t>
  </si>
  <si>
    <t>CARTAGO CARTAGO SAN NICOLAS TARAS FRENTE A CENTRO SERVICIO LOS AMIGO</t>
  </si>
  <si>
    <t>RINCÓN POBLANO</t>
  </si>
  <si>
    <t>ALAJUELA ALAJUELA ALAJUELA CALLE 8;COSTADO SUR CONTIGUO A CABUYO</t>
  </si>
  <si>
    <t>CHINA MALL</t>
  </si>
  <si>
    <t>HEREDIA HEREDIA SAN FRANCISCO HEREDIA SAN FRANCISCO CONTIGUO A MUNDO</t>
  </si>
  <si>
    <t>MINI SUPER RYR</t>
  </si>
  <si>
    <t>GUANACASTE BAGACES BAGACES BAGACES PUENTE QUEMADO DE LA ENTRADA</t>
  </si>
  <si>
    <t>SUPER Y LICORERA MANOLO #6</t>
  </si>
  <si>
    <t>GUANACASTE CARRILLO FILADELFIA DIAGONAL A LA CANCHA DE FÚTBOL EL COCAL</t>
  </si>
  <si>
    <t>KIMBERLY VEGA ESPINOZA</t>
  </si>
  <si>
    <t>GUANACASTE LA CRUZ LA CRUZ CONTIGUO LUBRICENTRO FOWKS CUAJINIQUIL</t>
  </si>
  <si>
    <t>SUPER Y LICORERA EL BUEN PRECIO</t>
  </si>
  <si>
    <t>GUANACASTE LA CRUZ LA CRUZ 25 METROS SUR DE ALMACÉN GOLLO LA CRUZ</t>
  </si>
  <si>
    <t>SUPER YIRUFA 2</t>
  </si>
  <si>
    <t>LIMÓN SIQUIRRES ALEGRIA CRUCE DE ALEGRÍA</t>
  </si>
  <si>
    <t>TIMI MARKET</t>
  </si>
  <si>
    <t>SAN JOSÉ SAN JOSE MERCED 75 NORTE DEL MERCADO BORBON</t>
  </si>
  <si>
    <t>SUPER MACHO 1</t>
  </si>
  <si>
    <t>SAN JOSÉ ESCAZU ESCAZU BELLO HORIZONTE FRENTE IGLESIA CATÓLICA</t>
  </si>
  <si>
    <t>AL CHILE</t>
  </si>
  <si>
    <t>SAN JOSÉ MONTES DE OCA SAN PEDRO MONTES DE OCA LOURDES</t>
  </si>
  <si>
    <t>MINI SUPER GYF</t>
  </si>
  <si>
    <t>SAN JOSÉ SAN JOSE CATEDRAL DEL RESTAURANTE CASA CHINA 150 N</t>
  </si>
  <si>
    <t>PULPERÍA SARAY</t>
  </si>
  <si>
    <t>SAN JOSÉ SAN JOSE SAN SEBASTIAN CAÑADA SUR DEL LAVACAR MANZANA AV 40B</t>
  </si>
  <si>
    <t>MINI SUPER APOLOS</t>
  </si>
  <si>
    <t>ALAJUELA ALAJUELA ALAJUELA AGONIA 100 ESTE DE PINTURAS SUR</t>
  </si>
  <si>
    <t>VIRITECA</t>
  </si>
  <si>
    <t>SAN JOSÉ PEREZ ZELEDON DANIEL FLORES FRENTE A CÁMARA DE CAÑEROS</t>
  </si>
  <si>
    <t>MINI SUPER BADILLA</t>
  </si>
  <si>
    <t>CARTAGO PARAISO LLANOS DE SANTA LUCIA LLANOS STA LUCIA</t>
  </si>
  <si>
    <t>SUPER LA GUARDIA</t>
  </si>
  <si>
    <t>ALAJUELA SAN CARLOS AGUAS ZARCAS NAZARETH AGUAS ZARCAS</t>
  </si>
  <si>
    <t>ALAJUELA SAN CARLOS PITAL CENTRO PITAL</t>
  </si>
  <si>
    <t>HEREDIA SAN PABLO SAN PABLO SAN PABLO URB LAS BRISAS</t>
  </si>
  <si>
    <t>MINI SUPER CICI</t>
  </si>
  <si>
    <t>LIMÓN POCOCI RITA FRENTE AL PARQUE LA RITA</t>
  </si>
  <si>
    <t>MINI SUPER JING</t>
  </si>
  <si>
    <t>ALAJUELA ALAJUELA ALAJUELA BARRIO FLORES DIAGONAL A SÚPER PASFLORES</t>
  </si>
  <si>
    <t>MINISUPER PURA VIDA</t>
  </si>
  <si>
    <t>ALAJUELA SAN CARLOS LA FORTUNA ZONA FLUCA</t>
  </si>
  <si>
    <t>EL REGALO DE DIOS.</t>
  </si>
  <si>
    <t>GUANACASTE LIBERIA LIBERIA BARRIO MARTINA BUSTOS,DE LA PRIMERA ANTE</t>
  </si>
  <si>
    <t>EL VAGO</t>
  </si>
  <si>
    <t>ALAJUELA SAN CARLOS FLORENCIA 1KM ESTE BOMBA HM  SANTA CLARA</t>
  </si>
  <si>
    <t>MINISUPER IVY</t>
  </si>
  <si>
    <t>ALAJUELA ALAJUELA ALAJUELA AL COSTADO SUR DEL BANCO POPULAR</t>
  </si>
  <si>
    <t>MINIMART OCHO</t>
  </si>
  <si>
    <t>ALAJUELA SAN CARLOS LA FORTUNA EN CENTRO COMERCIAL PLAZA ARENAL</t>
  </si>
  <si>
    <t>INTERVINDA DE COSA RICA SA</t>
  </si>
  <si>
    <t>ALAJUELA SARCHI SARCHI NORTE SARCHI 50 METROS AL ESTE DEL PARQUE</t>
  </si>
  <si>
    <t>FV  DISTRIBUCIONES SRL</t>
  </si>
  <si>
    <t>ALAJUELA SAN RAMON SAN RAMON 59 ESTE DE LA ESCUELA WASHINGTON</t>
  </si>
  <si>
    <t>ABASTECEDOR GUACHIPELIN</t>
  </si>
  <si>
    <t>GUANACASTE SANTA CRUZ SANTA CRUZ LOS RANCHOS DE LA PLAZA DE DEPORTES 400</t>
  </si>
  <si>
    <t>COCOS MARKET</t>
  </si>
  <si>
    <t>ALAJUELA SAN CARLOS LA FORTUNA 500 ESTE DE LA ESCUELA TRES ESQUINAS</t>
  </si>
  <si>
    <t>URBAN MARKET</t>
  </si>
  <si>
    <t>ALAJUELA ALAJUELA ALAJUELA AGONIA DE ALAJUELA FRENTE A SÚPER BATERI</t>
  </si>
  <si>
    <t>DGVENDING</t>
  </si>
  <si>
    <t>ALAJUELA SAN CARLOS QUESADA SAN GERARDO CIUDAD QUESADA</t>
  </si>
  <si>
    <t>FRESH MART BOSTON</t>
  </si>
  <si>
    <t>LIMÓN MATINA CARRANDI BOSTON</t>
  </si>
  <si>
    <t>GUANACASTE NANDAYURE SAN PABLO PAVONES DE NANDAYURE</t>
  </si>
  <si>
    <t>AUTOLICO  AZ</t>
  </si>
  <si>
    <t>ALAJUELA SAN CARLOS AGUAS ZARCAS AGUAS ZARCAS</t>
  </si>
  <si>
    <t>DGMARKET</t>
  </si>
  <si>
    <t>ALAJUELA SAN CARLOS QUESADA SAN GERARDO</t>
  </si>
  <si>
    <t>MINI SUPER EN EL BARRIO</t>
  </si>
  <si>
    <t>ALAJUELA OROTINA OROTINA DETRÁS DEL TALLER FENIX</t>
  </si>
  <si>
    <t>DIXOSA COMERCIAL XOCHIZOLLY S.A.</t>
  </si>
  <si>
    <t>SAN JOSÉ GOICOECHEA IPIS CORONADO DAN ANTONIO</t>
  </si>
  <si>
    <t>SUPER Y LIC MAGALY</t>
  </si>
  <si>
    <t>GUANACASTE NICOYA NICOYA URBANIZACIÓN EMANUEL AJOY</t>
  </si>
  <si>
    <t>SÚPER FELICIDAD #2</t>
  </si>
  <si>
    <t>SAN JOSÉ GOICOECHEA IPIS IPIS FRENTE AL SUPER EL SOL</t>
  </si>
  <si>
    <t>NULABEL</t>
  </si>
  <si>
    <t>SAN JOSÉ PEREZ ZELEDON SAN ISIDRO DE EL GENERAL CONTIGUO A DISTRIBUDORA PJ EN LOMA VERDE</t>
  </si>
  <si>
    <t>SÚPER Y BAZAR EL DESCUENTO</t>
  </si>
  <si>
    <t>ALAJUELA NARANJO NARANJO NARANJO DULCE NOMBRE</t>
  </si>
  <si>
    <t>PULP GAS Y ABARROTES ERICK</t>
  </si>
  <si>
    <t>GUANACASTE NICOYA MANSION 25 MTS ESTE Y 25 NORTE DEL EBAIS JOAQUÍN</t>
  </si>
  <si>
    <t>MINI SUPER Y LICORES</t>
  </si>
  <si>
    <t>ALAJUELA SAN CARLOS FLORENCIA FRENTE AL TEC SANTA CLARA</t>
  </si>
  <si>
    <t>LICO EXPRESS</t>
  </si>
  <si>
    <t>ALAJUELA SAN CARLOS VENECIA 200M NORTE DEL CAMPO FERIAL</t>
  </si>
  <si>
    <t>FRESAS DEL VOLCÁN</t>
  </si>
  <si>
    <t>ALAJUELA ALAJUELA GARITA 700MTS ANTES DE LA FIESTA DEL MAÍZ</t>
  </si>
  <si>
    <t>NÓMADA LAUREL</t>
  </si>
  <si>
    <t>ALAJUELA SAN CARLOS LA FORTUNA ALAJUELA, SAN CARLOS, LA FORTUNA 350M AL</t>
  </si>
  <si>
    <t>MINISUPER LA ESPERANZA</t>
  </si>
  <si>
    <t>LIMÓN SIQUIRRES GERMANIA GERMANIA</t>
  </si>
  <si>
    <t>ARENAL FORTUNA MARKET  N2</t>
  </si>
  <si>
    <t>ALAJUELA SAN CARLOS FLORENCIA FRENTE TECNOLÓGICO SANTA CLARA</t>
  </si>
  <si>
    <t>VCG</t>
  </si>
  <si>
    <t>SAN JOSÉ SAN JOSE SAN SEBASTIAN SAN SEBASTIÁN 75 M OESTE DEL PALI</t>
  </si>
  <si>
    <t>ABASTECEDOR JIREH</t>
  </si>
  <si>
    <t>ALAJUELA LOS CHILES EL AMPARO FRENTE AL TANQUE DEL AGUA EL GALLITO</t>
  </si>
  <si>
    <t>PULPERÍA AV40</t>
  </si>
  <si>
    <t>SAN JOSÉ SAN JOSE SAN SEBASTIAN CAÑADA SUR DEL LAVACAR MANZANA  250 M</t>
  </si>
  <si>
    <t>MINI SÚPER OUTLET EL ÁRABE #2</t>
  </si>
  <si>
    <t>GUANACASTE LIBERIA LIBERIA DE BAR PALERMO 175M ESTE</t>
  </si>
  <si>
    <t>CARTAGO PARAISO PARAISO PARAISO LLANOS DE SANTA LUCIA</t>
  </si>
  <si>
    <t>MINISUPER Y LICORERA</t>
  </si>
  <si>
    <t>HEREDIA HEREDIA MERCEDES HEREDIA HEREDIA CUBUJUQUI</t>
  </si>
  <si>
    <t>CORPORACIÓN MIKA</t>
  </si>
  <si>
    <t>ALAJUELA ALAJUELA SAN RAFAEL ALAJUELA SAN RAFAEL BODEGAS</t>
  </si>
  <si>
    <t>Código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</si>
</sst>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chterneiracorp.sharepoint.com/sites/dnncorp/Planeacion%20Regional/Planeaci&#243;n%20Miguel/ICE%20KO/JULIO/CR/Mapas/Mapas/RUTEO%20CR%20JULIO.xlsm" TargetMode="External"/><Relationship Id="rId1" Type="http://schemas.openxmlformats.org/officeDocument/2006/relationships/externalLinkPath" Target="https://dichterneiracorp.sharepoint.com/sites/dnncorp/Planeacion%20Regional/Planeaci&#243;n%20Miguel/ICE%20KO/JULIO/CR/Mapas/Mapas/RUTEO%20CR%20JUL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ARGA"/>
      <sheetName val="CARGUE"/>
      <sheetName val="Tabla3"/>
      <sheetName val="EXPORT_PEGAR"/>
      <sheetName val="DASHBOARD"/>
      <sheetName val="CUOTA RUTA"/>
      <sheetName val="UNIVERSO"/>
      <sheetName val="BD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Ruta DN</v>
          </cell>
          <cell r="D1" t="str">
            <v>Observación</v>
          </cell>
        </row>
        <row r="2">
          <cell r="A2" t="str">
            <v>CRP121</v>
          </cell>
          <cell r="D2" t="str">
            <v>Cargar</v>
          </cell>
        </row>
        <row r="3">
          <cell r="A3" t="str">
            <v>CRP122</v>
          </cell>
          <cell r="D3" t="str">
            <v>Cargar</v>
          </cell>
        </row>
        <row r="4">
          <cell r="A4" t="str">
            <v>CRP123</v>
          </cell>
          <cell r="D4" t="str">
            <v>Cargar</v>
          </cell>
        </row>
        <row r="5">
          <cell r="A5" t="str">
            <v>CRP124</v>
          </cell>
          <cell r="D5" t="str">
            <v>Cargar</v>
          </cell>
        </row>
        <row r="6">
          <cell r="A6" t="str">
            <v>CRP125</v>
          </cell>
          <cell r="D6" t="str">
            <v>Cargar</v>
          </cell>
        </row>
        <row r="7">
          <cell r="A7" t="str">
            <v>CRP126</v>
          </cell>
          <cell r="D7" t="str">
            <v>Cargar</v>
          </cell>
        </row>
        <row r="8">
          <cell r="A8" t="str">
            <v>CRP127</v>
          </cell>
          <cell r="D8" t="str">
            <v>Cargar</v>
          </cell>
        </row>
        <row r="9">
          <cell r="A9" t="str">
            <v>CRP128</v>
          </cell>
          <cell r="D9" t="str">
            <v>Cargar</v>
          </cell>
        </row>
        <row r="10">
          <cell r="A10" t="str">
            <v>CRP129</v>
          </cell>
          <cell r="D10" t="str">
            <v>Cargar</v>
          </cell>
        </row>
        <row r="11">
          <cell r="A11" t="str">
            <v>CRP130</v>
          </cell>
          <cell r="D11" t="str">
            <v>Cargar</v>
          </cell>
        </row>
        <row r="12">
          <cell r="A12" t="str">
            <v>CRP131</v>
          </cell>
          <cell r="D12" t="str">
            <v>Cargar</v>
          </cell>
        </row>
        <row r="13">
          <cell r="A13" t="str">
            <v>CRP132</v>
          </cell>
          <cell r="D13" t="str">
            <v>Cargar</v>
          </cell>
        </row>
        <row r="14">
          <cell r="A14" t="str">
            <v>CRP133</v>
          </cell>
          <cell r="D14" t="str">
            <v>Cargar</v>
          </cell>
        </row>
        <row r="15">
          <cell r="A15" t="str">
            <v>CRP134</v>
          </cell>
          <cell r="D15" t="str">
            <v>Cargar</v>
          </cell>
        </row>
        <row r="16">
          <cell r="A16" t="str">
            <v>CRP135</v>
          </cell>
          <cell r="D16" t="str">
            <v>Cargar</v>
          </cell>
        </row>
        <row r="17">
          <cell r="A17" t="str">
            <v>CRP136</v>
          </cell>
          <cell r="D17" t="str">
            <v>Cargar</v>
          </cell>
        </row>
        <row r="18">
          <cell r="A18" t="str">
            <v>CRP137</v>
          </cell>
          <cell r="D18" t="str">
            <v>Cargar</v>
          </cell>
        </row>
        <row r="19">
          <cell r="A19" t="str">
            <v>CRP138</v>
          </cell>
          <cell r="D19" t="str">
            <v>Cargar</v>
          </cell>
        </row>
        <row r="20">
          <cell r="A20" t="str">
            <v>CRP139</v>
          </cell>
          <cell r="D20" t="str">
            <v>Cargar</v>
          </cell>
        </row>
        <row r="21">
          <cell r="A21" t="str">
            <v>CRP140</v>
          </cell>
          <cell r="D21" t="str">
            <v>Cargar</v>
          </cell>
        </row>
        <row r="22">
          <cell r="A22" t="str">
            <v>CRP141</v>
          </cell>
          <cell r="D22" t="str">
            <v>Cargar</v>
          </cell>
        </row>
        <row r="23">
          <cell r="A23" t="str">
            <v>CRP142</v>
          </cell>
          <cell r="D23" t="str">
            <v>Cargar</v>
          </cell>
        </row>
        <row r="24">
          <cell r="A24" t="str">
            <v>CRP143</v>
          </cell>
          <cell r="D24" t="str">
            <v>Cargar</v>
          </cell>
        </row>
        <row r="25">
          <cell r="A25" t="str">
            <v>CRP144</v>
          </cell>
          <cell r="D25" t="str">
            <v>Cargar</v>
          </cell>
        </row>
        <row r="26">
          <cell r="A26" t="str">
            <v>CRP145</v>
          </cell>
          <cell r="D26" t="str">
            <v>Cargar</v>
          </cell>
        </row>
        <row r="27">
          <cell r="A27" t="str">
            <v>CRP146</v>
          </cell>
          <cell r="D27" t="str">
            <v>Cargar</v>
          </cell>
        </row>
        <row r="28">
          <cell r="A28" t="str">
            <v>CRP147</v>
          </cell>
          <cell r="D28" t="str">
            <v>Cargar</v>
          </cell>
        </row>
        <row r="29">
          <cell r="A29" t="str">
            <v>CRP148</v>
          </cell>
          <cell r="D29" t="str">
            <v>Cargar</v>
          </cell>
        </row>
        <row r="30">
          <cell r="A30" t="str">
            <v>CRP152</v>
          </cell>
          <cell r="D30" t="str">
            <v>Cargar</v>
          </cell>
        </row>
        <row r="31">
          <cell r="A31" t="str">
            <v>CRP153</v>
          </cell>
          <cell r="D31" t="str">
            <v>Cargar</v>
          </cell>
        </row>
        <row r="32">
          <cell r="A32" t="str">
            <v>CRP154</v>
          </cell>
          <cell r="D32" t="str">
            <v>Cargar</v>
          </cell>
        </row>
        <row r="33">
          <cell r="A33" t="str">
            <v>CRP155</v>
          </cell>
          <cell r="D33" t="str">
            <v>Cargar</v>
          </cell>
        </row>
        <row r="34">
          <cell r="A34" t="str">
            <v>CRP301</v>
          </cell>
          <cell r="D34" t="str">
            <v>Cargar</v>
          </cell>
        </row>
        <row r="35">
          <cell r="A35" t="str">
            <v>CRP302</v>
          </cell>
          <cell r="D35" t="str">
            <v>Cargar</v>
          </cell>
        </row>
        <row r="36">
          <cell r="A36" t="str">
            <v>CRP303</v>
          </cell>
          <cell r="D36" t="str">
            <v>Cargar</v>
          </cell>
        </row>
        <row r="37">
          <cell r="A37" t="str">
            <v>CRP304</v>
          </cell>
          <cell r="D37" t="str">
            <v>Cargar</v>
          </cell>
        </row>
        <row r="38">
          <cell r="A38" t="str">
            <v>CRP305</v>
          </cell>
          <cell r="D38" t="str">
            <v>Cargar</v>
          </cell>
        </row>
        <row r="39">
          <cell r="A39" t="str">
            <v>CRP306</v>
          </cell>
          <cell r="D39" t="str">
            <v>Cargar</v>
          </cell>
        </row>
        <row r="40">
          <cell r="A40" t="str">
            <v>CRP307</v>
          </cell>
          <cell r="D40" t="str">
            <v>Cargar</v>
          </cell>
        </row>
        <row r="41">
          <cell r="A41" t="str">
            <v>CRP351</v>
          </cell>
          <cell r="D41" t="str">
            <v>Cargar</v>
          </cell>
        </row>
        <row r="42">
          <cell r="A42" t="str">
            <v>CRP352</v>
          </cell>
          <cell r="D42" t="str">
            <v>Cargar</v>
          </cell>
        </row>
        <row r="43">
          <cell r="A43" t="str">
            <v>CRP353</v>
          </cell>
          <cell r="D43" t="str">
            <v>Cargar</v>
          </cell>
        </row>
        <row r="44">
          <cell r="A44" t="str">
            <v>CRP354</v>
          </cell>
          <cell r="D44" t="str">
            <v>Cargar</v>
          </cell>
        </row>
        <row r="45">
          <cell r="A45" t="str">
            <v>CRP355</v>
          </cell>
          <cell r="D45" t="str">
            <v>Cargar</v>
          </cell>
        </row>
        <row r="46">
          <cell r="A46" t="str">
            <v>CRP356</v>
          </cell>
          <cell r="D46" t="str">
            <v>Cargar</v>
          </cell>
        </row>
        <row r="47">
          <cell r="A47" t="str">
            <v>CRP359</v>
          </cell>
          <cell r="D47" t="str">
            <v>Cargar</v>
          </cell>
        </row>
        <row r="48">
          <cell r="A48" t="str">
            <v>CRP360</v>
          </cell>
          <cell r="D48" t="str">
            <v>Cargar</v>
          </cell>
        </row>
        <row r="49">
          <cell r="A49" t="str">
            <v>CRP361</v>
          </cell>
          <cell r="D49" t="str">
            <v>Cargar</v>
          </cell>
        </row>
        <row r="50">
          <cell r="A50" t="str">
            <v>CRP421</v>
          </cell>
          <cell r="D50" t="str">
            <v>Cargar</v>
          </cell>
        </row>
        <row r="51">
          <cell r="A51" t="str">
            <v>CRP422</v>
          </cell>
          <cell r="D51" t="str">
            <v>Cargar</v>
          </cell>
        </row>
        <row r="52">
          <cell r="A52" t="str">
            <v>CRP425</v>
          </cell>
          <cell r="D52" t="str">
            <v>Cargar</v>
          </cell>
        </row>
        <row r="53">
          <cell r="A53" t="str">
            <v>CRP431</v>
          </cell>
          <cell r="D53" t="str">
            <v>Cargar</v>
          </cell>
        </row>
        <row r="54">
          <cell r="A54" t="str">
            <v>CRP432</v>
          </cell>
          <cell r="D54" t="str">
            <v>Cargar</v>
          </cell>
        </row>
        <row r="55">
          <cell r="A55" t="str">
            <v>CRP433</v>
          </cell>
          <cell r="D55" t="str">
            <v>Cargar</v>
          </cell>
        </row>
        <row r="56">
          <cell r="A56" t="str">
            <v>CRP434</v>
          </cell>
          <cell r="D56" t="str">
            <v>Cargar</v>
          </cell>
        </row>
        <row r="57">
          <cell r="A57" t="str">
            <v>CRP435</v>
          </cell>
          <cell r="D57" t="str">
            <v>Cargar</v>
          </cell>
        </row>
        <row r="58">
          <cell r="A58" t="str">
            <v>CRP436</v>
          </cell>
          <cell r="D58" t="str">
            <v>Cargar</v>
          </cell>
        </row>
        <row r="59">
          <cell r="A59" t="str">
            <v>CRP441</v>
          </cell>
          <cell r="D59" t="str">
            <v>Cargar</v>
          </cell>
        </row>
        <row r="60">
          <cell r="A60" t="str">
            <v>CRP442</v>
          </cell>
          <cell r="D60" t="str">
            <v>Cargar</v>
          </cell>
        </row>
        <row r="61">
          <cell r="A61" t="str">
            <v>CRP443</v>
          </cell>
          <cell r="D61" t="str">
            <v>Cargar</v>
          </cell>
        </row>
        <row r="62">
          <cell r="A62" t="str">
            <v>CRP444</v>
          </cell>
          <cell r="D62" t="str">
            <v>Cargar</v>
          </cell>
        </row>
        <row r="63">
          <cell r="A63" t="str">
            <v>CRP445</v>
          </cell>
          <cell r="D63" t="str">
            <v>Cargar</v>
          </cell>
        </row>
        <row r="64">
          <cell r="A64" t="str">
            <v>CRP446</v>
          </cell>
          <cell r="D64" t="str">
            <v>Cargar</v>
          </cell>
        </row>
        <row r="65">
          <cell r="A65" t="str">
            <v>CRP447</v>
          </cell>
          <cell r="D65" t="str">
            <v>Cargar</v>
          </cell>
        </row>
        <row r="66">
          <cell r="A66" t="str">
            <v>CRP448</v>
          </cell>
          <cell r="D66" t="str">
            <v>Cargar</v>
          </cell>
        </row>
        <row r="67">
          <cell r="A67" t="str">
            <v>CRP550</v>
          </cell>
          <cell r="D67" t="str">
            <v>Cargar</v>
          </cell>
        </row>
        <row r="68">
          <cell r="A68" t="str">
            <v>CRP551</v>
          </cell>
          <cell r="D68" t="str">
            <v>Cargar</v>
          </cell>
        </row>
        <row r="69">
          <cell r="A69" t="str">
            <v>CRP552</v>
          </cell>
          <cell r="D69" t="str">
            <v>Cargar</v>
          </cell>
        </row>
        <row r="70">
          <cell r="A70" t="str">
            <v>CRP553</v>
          </cell>
          <cell r="D70" t="str">
            <v>Cargar</v>
          </cell>
        </row>
        <row r="71">
          <cell r="A71" t="str">
            <v>CRP554</v>
          </cell>
          <cell r="D71" t="str">
            <v>Cargar</v>
          </cell>
        </row>
        <row r="72">
          <cell r="A72" t="str">
            <v>CRP555</v>
          </cell>
          <cell r="D72" t="str">
            <v>Cargar</v>
          </cell>
        </row>
        <row r="73">
          <cell r="A73" t="str">
            <v>CRP556</v>
          </cell>
          <cell r="D73" t="str">
            <v>Cargar</v>
          </cell>
        </row>
        <row r="74">
          <cell r="A74" t="str">
            <v>CRP557</v>
          </cell>
          <cell r="D74" t="str">
            <v>Cargar</v>
          </cell>
        </row>
        <row r="75">
          <cell r="A75" t="str">
            <v>CRP558</v>
          </cell>
          <cell r="D75" t="str">
            <v>Cargar</v>
          </cell>
        </row>
        <row r="76">
          <cell r="A76" t="str">
            <v>CRP560</v>
          </cell>
          <cell r="D76" t="str">
            <v>Cargar</v>
          </cell>
        </row>
        <row r="77">
          <cell r="A77" t="str">
            <v>CRP630</v>
          </cell>
          <cell r="D77" t="str">
            <v>Cargar</v>
          </cell>
        </row>
        <row r="78">
          <cell r="A78" t="str">
            <v>CRP631</v>
          </cell>
          <cell r="D78" t="str">
            <v>Cargar</v>
          </cell>
        </row>
        <row r="79">
          <cell r="A79" t="str">
            <v>CRP632</v>
          </cell>
          <cell r="D79" t="str">
            <v>Cargar</v>
          </cell>
        </row>
        <row r="80">
          <cell r="A80" t="str">
            <v>CRP633</v>
          </cell>
          <cell r="D80" t="str">
            <v>Cargar</v>
          </cell>
        </row>
        <row r="81">
          <cell r="A81" t="str">
            <v>CRP634</v>
          </cell>
          <cell r="D81" t="str">
            <v>Cargar</v>
          </cell>
        </row>
        <row r="82">
          <cell r="A82" t="str">
            <v>CRP635</v>
          </cell>
          <cell r="D82" t="str">
            <v>Cargar</v>
          </cell>
        </row>
        <row r="83">
          <cell r="A83" t="str">
            <v>CRP636</v>
          </cell>
          <cell r="D83" t="str">
            <v>Cargar</v>
          </cell>
        </row>
        <row r="84">
          <cell r="A84" t="str">
            <v>CRP637</v>
          </cell>
          <cell r="D84" t="str">
            <v>Cargar</v>
          </cell>
        </row>
        <row r="85">
          <cell r="A85" t="str">
            <v>CRP638</v>
          </cell>
          <cell r="D85" t="str">
            <v>Cargar</v>
          </cell>
        </row>
        <row r="86">
          <cell r="A86" t="str">
            <v>CRP639</v>
          </cell>
          <cell r="D86" t="str">
            <v>Cargar</v>
          </cell>
        </row>
        <row r="87">
          <cell r="A87" t="str">
            <v>CRP640</v>
          </cell>
          <cell r="D87" t="str">
            <v>Cargar</v>
          </cell>
        </row>
        <row r="88">
          <cell r="A88" t="str">
            <v>CRP671</v>
          </cell>
          <cell r="D88" t="str">
            <v>Cargar</v>
          </cell>
        </row>
        <row r="89">
          <cell r="A89" t="str">
            <v>CRP673</v>
          </cell>
          <cell r="D89" t="str">
            <v>Cargar</v>
          </cell>
        </row>
        <row r="90">
          <cell r="A90" t="str">
            <v>CRP680</v>
          </cell>
          <cell r="D90" t="str">
            <v>Cargar</v>
          </cell>
        </row>
        <row r="91">
          <cell r="A91" t="str">
            <v>CRP681</v>
          </cell>
          <cell r="D91" t="str">
            <v>Cargar</v>
          </cell>
        </row>
        <row r="92">
          <cell r="A92" t="str">
            <v>CRP682</v>
          </cell>
          <cell r="D92" t="str">
            <v>Cargar</v>
          </cell>
        </row>
        <row r="93">
          <cell r="A93" t="str">
            <v>CRP683</v>
          </cell>
          <cell r="D93" t="str">
            <v>Cargar</v>
          </cell>
        </row>
        <row r="94">
          <cell r="A94" t="str">
            <v>CRP684</v>
          </cell>
          <cell r="D94" t="str">
            <v>Cargar</v>
          </cell>
        </row>
        <row r="95">
          <cell r="A95" t="str">
            <v>CRP685</v>
          </cell>
          <cell r="D95" t="str">
            <v>Cargar</v>
          </cell>
        </row>
        <row r="96">
          <cell r="A96" t="str">
            <v>CRP822</v>
          </cell>
          <cell r="D96" t="str">
            <v>Cargar</v>
          </cell>
        </row>
        <row r="97">
          <cell r="A97" t="str">
            <v>CRP823</v>
          </cell>
          <cell r="D97" t="str">
            <v>Cargar</v>
          </cell>
        </row>
        <row r="98">
          <cell r="A98" t="str">
            <v>CRP824</v>
          </cell>
          <cell r="D98" t="str">
            <v>Cargar</v>
          </cell>
        </row>
        <row r="99">
          <cell r="A99" t="str">
            <v>CRP825</v>
          </cell>
          <cell r="D99" t="str">
            <v>Cargar</v>
          </cell>
        </row>
        <row r="100">
          <cell r="A100" t="str">
            <v>CRP826</v>
          </cell>
          <cell r="D100" t="str">
            <v>Cargar</v>
          </cell>
        </row>
        <row r="101">
          <cell r="A101" t="str">
            <v>CRP827</v>
          </cell>
          <cell r="D101" t="str">
            <v>Cargar</v>
          </cell>
        </row>
        <row r="102">
          <cell r="A102" t="str">
            <v>CRP828</v>
          </cell>
          <cell r="D102" t="str">
            <v>Cargar</v>
          </cell>
        </row>
        <row r="103">
          <cell r="A103" t="str">
            <v>CRP829</v>
          </cell>
          <cell r="D103" t="str">
            <v>Cargar</v>
          </cell>
        </row>
        <row r="104">
          <cell r="A104" t="str">
            <v>CRP830</v>
          </cell>
          <cell r="D104" t="str">
            <v>Cargar</v>
          </cell>
        </row>
        <row r="105">
          <cell r="A105" t="str">
            <v>CRP833</v>
          </cell>
          <cell r="D105" t="str">
            <v>Cargar</v>
          </cell>
        </row>
        <row r="106">
          <cell r="A106" t="str">
            <v>CRP834</v>
          </cell>
          <cell r="D106" t="str">
            <v>Cargar</v>
          </cell>
        </row>
        <row r="107">
          <cell r="A107" t="str">
            <v>CRP900</v>
          </cell>
          <cell r="D107" t="str">
            <v>Cargar</v>
          </cell>
        </row>
        <row r="108">
          <cell r="A108" t="str">
            <v>CRP901</v>
          </cell>
          <cell r="D108" t="str">
            <v>Cargar</v>
          </cell>
        </row>
        <row r="109">
          <cell r="A109" t="str">
            <v>CRP902</v>
          </cell>
          <cell r="D109" t="str">
            <v>Cargar</v>
          </cell>
        </row>
        <row r="110">
          <cell r="A110" t="str">
            <v>CRP903</v>
          </cell>
          <cell r="D110" t="str">
            <v>Cargar</v>
          </cell>
        </row>
        <row r="111">
          <cell r="A111" t="str">
            <v>CRP904</v>
          </cell>
          <cell r="D111" t="str">
            <v>Cargar</v>
          </cell>
        </row>
        <row r="112">
          <cell r="A112" t="str">
            <v>CRP905</v>
          </cell>
          <cell r="D112" t="str">
            <v>Cargar</v>
          </cell>
        </row>
        <row r="113">
          <cell r="A113" t="str">
            <v>CRP906</v>
          </cell>
          <cell r="D113" t="str">
            <v>Cargar</v>
          </cell>
        </row>
        <row r="114">
          <cell r="A114" t="str">
            <v>CRP907</v>
          </cell>
          <cell r="D114" t="str">
            <v>Cargar</v>
          </cell>
        </row>
        <row r="115">
          <cell r="A115" t="str">
            <v>CRP908</v>
          </cell>
          <cell r="D115" t="str">
            <v>Cargar</v>
          </cell>
        </row>
        <row r="116">
          <cell r="A116" t="str">
            <v>CRP909</v>
          </cell>
          <cell r="D116" t="str">
            <v>Cargar</v>
          </cell>
        </row>
        <row r="117">
          <cell r="A117" t="str">
            <v>CRP910</v>
          </cell>
          <cell r="D117" t="str">
            <v>Cargar</v>
          </cell>
        </row>
        <row r="118">
          <cell r="A118" t="str">
            <v>CRP911</v>
          </cell>
          <cell r="D118" t="str">
            <v>Cargar</v>
          </cell>
        </row>
        <row r="119">
          <cell r="A119" t="str">
            <v>CRP912</v>
          </cell>
          <cell r="D119" t="str">
            <v>Cargar</v>
          </cell>
        </row>
        <row r="120">
          <cell r="A120" t="str">
            <v>CRP913</v>
          </cell>
          <cell r="D120" t="str">
            <v>Cargar</v>
          </cell>
        </row>
        <row r="121">
          <cell r="A121" t="str">
            <v>CRP914</v>
          </cell>
          <cell r="D121" t="str">
            <v>Cargar</v>
          </cell>
        </row>
        <row r="122">
          <cell r="A122" t="str">
            <v>CRP915</v>
          </cell>
          <cell r="D122" t="str">
            <v>Cargar</v>
          </cell>
        </row>
        <row r="123">
          <cell r="A123" t="str">
            <v>CRP916</v>
          </cell>
          <cell r="D123" t="str">
            <v>Cargar</v>
          </cell>
        </row>
        <row r="124">
          <cell r="A124" t="str">
            <v>CRP917</v>
          </cell>
          <cell r="D124" t="str">
            <v>Cargar</v>
          </cell>
        </row>
        <row r="125">
          <cell r="A125" t="str">
            <v>CRP918</v>
          </cell>
          <cell r="D125" t="str">
            <v>Cargar</v>
          </cell>
        </row>
        <row r="126">
          <cell r="A126" t="str">
            <v>CRP919</v>
          </cell>
          <cell r="D126" t="str">
            <v>Cargar</v>
          </cell>
        </row>
        <row r="127">
          <cell r="A127" t="str">
            <v>CRP920</v>
          </cell>
          <cell r="D127" t="str">
            <v>Cargar</v>
          </cell>
        </row>
        <row r="128">
          <cell r="A128" t="str">
            <v>CRP921</v>
          </cell>
          <cell r="D128" t="str">
            <v>Cargar</v>
          </cell>
        </row>
        <row r="129">
          <cell r="A129" t="str">
            <v>CRP922</v>
          </cell>
          <cell r="D129" t="str">
            <v>Cargar</v>
          </cell>
        </row>
        <row r="130">
          <cell r="A130" t="str">
            <v>CRP923</v>
          </cell>
          <cell r="D130" t="str">
            <v>Cargar</v>
          </cell>
        </row>
        <row r="131">
          <cell r="A131" t="str">
            <v>CRP924</v>
          </cell>
          <cell r="D131" t="str">
            <v>Cargar</v>
          </cell>
        </row>
        <row r="132">
          <cell r="A132" t="str">
            <v>CRP925</v>
          </cell>
          <cell r="D132" t="str">
            <v>Cargar</v>
          </cell>
        </row>
        <row r="133">
          <cell r="A133" t="str">
            <v>CRP930</v>
          </cell>
          <cell r="D133" t="str">
            <v>Cargar</v>
          </cell>
        </row>
        <row r="134">
          <cell r="A134" t="str">
            <v>CRP931</v>
          </cell>
          <cell r="D134" t="str">
            <v>Cargar</v>
          </cell>
        </row>
        <row r="135">
          <cell r="A135" t="str">
            <v>CRP934</v>
          </cell>
          <cell r="D135" t="str">
            <v>Cargar</v>
          </cell>
        </row>
        <row r="136">
          <cell r="A136" t="str">
            <v>CRP935</v>
          </cell>
          <cell r="D136" t="str">
            <v>Cargar</v>
          </cell>
        </row>
        <row r="137">
          <cell r="A137" t="str">
            <v>CRP936</v>
          </cell>
          <cell r="D137" t="str">
            <v>Cargar</v>
          </cell>
        </row>
        <row r="138">
          <cell r="A138" t="str">
            <v>CRP937</v>
          </cell>
          <cell r="D138" t="str">
            <v>Cargar</v>
          </cell>
        </row>
        <row r="139">
          <cell r="A139" t="str">
            <v>CRP938</v>
          </cell>
          <cell r="D139" t="str">
            <v>Cargar</v>
          </cell>
        </row>
        <row r="140">
          <cell r="A140" t="str">
            <v>CRP946</v>
          </cell>
          <cell r="D140" t="str">
            <v>Cargar</v>
          </cell>
        </row>
        <row r="141">
          <cell r="A141" t="str">
            <v>CRP947</v>
          </cell>
          <cell r="D141" t="str">
            <v>Cargar</v>
          </cell>
        </row>
        <row r="142">
          <cell r="A142" t="str">
            <v>CRP948</v>
          </cell>
          <cell r="D142" t="str">
            <v>Cargar</v>
          </cell>
        </row>
        <row r="143">
          <cell r="A143" t="str">
            <v>CRP949</v>
          </cell>
          <cell r="D143" t="str">
            <v>Cargar</v>
          </cell>
        </row>
      </sheetData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B8D60D3-E850-4913-AAEA-1C102D59C36B}" autoFormatId="16" applyNumberFormats="0" applyBorderFormats="0" applyFontFormats="0" applyPatternFormats="0" applyAlignmentFormats="0" applyWidthHeightFormats="0">
  <queryTableRefresh nextId="26" unboundColumnsRight="1">
    <queryTableFields count="19">
      <queryTableField id="1" name="RefID" tableColumnId="1"/>
      <queryTableField id="2" name="PDV" tableColumnId="2"/>
      <queryTableField id="3" name="Pais" tableColumnId="3"/>
      <queryTableField id="4" name="Agencia" tableColumnId="4"/>
      <queryTableField id="5" name="Canal" tableColumnId="5"/>
      <queryTableField id="6" name="SubCanal" tableColumnId="6"/>
      <queryTableField id="7" name="Gec" tableColumnId="7"/>
      <queryTableField id="8" name="Ruta" tableColumnId="8"/>
      <queryTableField id="9" name="DireccionPDV" tableColumnId="9"/>
      <queryTableField id="10" name="Latitud" tableColumnId="10"/>
      <queryTableField id="11" name="Longitud" tableColumnId="11"/>
      <queryTableField id="12" name="PDV FIJO/PRIORITARIO" tableColumnId="12"/>
      <queryTableField id="13" name="Responsable " tableColumnId="13"/>
      <queryTableField id="22" name="MT" tableColumnId="22"/>
      <queryTableField id="14" name="MT FINAL" tableColumnId="14"/>
      <queryTableField id="23" name="DIA" tableColumnId="23"/>
      <queryTableField id="16" name="Dia_Asignado" tableColumnId="16"/>
      <queryTableField id="21" name="EXPORT.Estado" tableColumnId="21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1F5A9-6E1B-46AC-9A0F-36A1B64EF3E0}" name="UNIVERSO" displayName="UNIVERSO" ref="A1:S4276" tableType="queryTable" totalsRowShown="0">
  <autoFilter ref="A1:S4276" xr:uid="{A321F5A9-6E1B-46AC-9A0F-36A1B64EF3E0}"/>
  <tableColumns count="19">
    <tableColumn id="1" xr3:uid="{FE691B61-A253-4FA2-A0DA-D3428B84D585}" uniqueName="1" name="Código DN" queryTableFieldId="1"/>
    <tableColumn id="2" xr3:uid="{953EC1B3-19DD-47BB-973A-BB6A6F1F3D29}" uniqueName="2" name="PDV" queryTableFieldId="2" dataDxfId="13"/>
    <tableColumn id="3" xr3:uid="{D3ABDE0F-0C79-43C8-8CE5-CE1A6D1DDE73}" uniqueName="3" name="Pais" queryTableFieldId="3" dataDxfId="12"/>
    <tableColumn id="4" xr3:uid="{42640E79-A5E8-405D-AE09-1153FC764D48}" uniqueName="4" name="Agencia" queryTableFieldId="4" dataDxfId="11"/>
    <tableColumn id="5" xr3:uid="{2DDA3654-E9E4-4016-8D89-9D705E8FF451}" uniqueName="5" name="Canal" queryTableFieldId="5" dataDxfId="10"/>
    <tableColumn id="6" xr3:uid="{5B52FAF0-1732-4973-85B8-65307D00117E}" uniqueName="6" name="SubCanal" queryTableFieldId="6" dataDxfId="9"/>
    <tableColumn id="7" xr3:uid="{5C207FFD-BD7A-4013-8B82-F7DED02259DB}" uniqueName="7" name="Gec" queryTableFieldId="7" dataDxfId="8"/>
    <tableColumn id="8" xr3:uid="{96C44E27-6C57-4208-9311-3DB3E8FB6D86}" uniqueName="8" name="Ruta" queryTableFieldId="8" dataDxfId="7"/>
    <tableColumn id="9" xr3:uid="{743C8ADE-E66B-4A62-ADF4-72D5098A2F65}" uniqueName="9" name="DireccionPDV" queryTableFieldId="9" dataDxfId="6"/>
    <tableColumn id="10" xr3:uid="{BCE6614B-EB6D-4FD5-8D2D-89B9AE963575}" uniqueName="10" name="Latitud" queryTableFieldId="10"/>
    <tableColumn id="11" xr3:uid="{0C9CE204-B695-4A94-970B-E31718D1790C}" uniqueName="11" name="Longitud" queryTableFieldId="11"/>
    <tableColumn id="12" xr3:uid="{F2E23C5A-ED59-4E2A-94E0-229264E711DE}" uniqueName="12" name="PDV FIJO/PRIORITARIO" queryTableFieldId="12" dataDxfId="5"/>
    <tableColumn id="13" xr3:uid="{C0E016A9-8A85-45CB-8E65-FAA794807C1B}" uniqueName="13" name="Responsable " queryTableFieldId="13" dataDxfId="4"/>
    <tableColumn id="22" xr3:uid="{DEDBB0D8-E776-4693-94CE-1FB7BF71954D}" uniqueName="22" name="MT" queryTableFieldId="22" dataDxfId="3"/>
    <tableColumn id="14" xr3:uid="{CC62955E-7F12-40FA-B1D7-E7DB6766FAE6}" uniqueName="14" name="MT FINAL" queryTableFieldId="14" dataDxfId="2"/>
    <tableColumn id="23" xr3:uid="{7A304188-1194-42BC-8B32-4BCFC810451A}" uniqueName="23" name="DIA" queryTableFieldId="23"/>
    <tableColumn id="16" xr3:uid="{07685D72-82B5-4B58-B9D8-AB2A8A2533E3}" uniqueName="16" name="Dia_Asignado" queryTableFieldId="16" dataDxfId="1"/>
    <tableColumn id="21" xr3:uid="{A237F799-3A0B-43AF-984F-4332D462BF33}" uniqueName="21" name="EXPORT.Estado" queryTableFieldId="21"/>
    <tableColumn id="20" xr3:uid="{19E97C74-646D-4E1E-A058-817FBEF9E653}" uniqueName="20" name="DESCARGAR" queryTableFieldId="20" dataDxfId="0">
      <calculatedColumnFormula>_xlfn.XLOOKUP(UNIVERSO[[#This Row],[Ruta]],'[1]CUOTA RUTA'!A:A,'[1]CUOTA RUTA'!D:D)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6C9D-7F64-4D21-B314-081B98472EA0}">
  <sheetPr codeName="Hoja1"/>
  <dimension ref="A1:S4276"/>
  <sheetViews>
    <sheetView tabSelected="1" workbookViewId="0">
      <selection activeCell="A6" sqref="A6"/>
    </sheetView>
  </sheetViews>
  <sheetFormatPr baseColWidth="10" defaultRowHeight="15" x14ac:dyDescent="0.25"/>
  <sheetData>
    <row r="1" spans="1:19" x14ac:dyDescent="0.25">
      <c r="A1" t="s">
        <v>8399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1500001217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9.9415250999999998</v>
      </c>
      <c r="K2">
        <v>-84.135108099999997</v>
      </c>
      <c r="L2" t="s">
        <v>26</v>
      </c>
      <c r="M2" t="s">
        <v>27</v>
      </c>
      <c r="N2" t="s">
        <v>28</v>
      </c>
      <c r="O2" t="s">
        <v>29</v>
      </c>
      <c r="P2">
        <v>22</v>
      </c>
      <c r="Q2" t="s">
        <v>30</v>
      </c>
      <c r="S2" t="str">
        <f>_xlfn.XLOOKUP(UNIVERSO[[#This Row],[Ruta]],'[1]CUOTA RUTA'!A:A,'[1]CUOTA RUTA'!D:D)</f>
        <v>Cargar</v>
      </c>
    </row>
    <row r="3" spans="1:19" x14ac:dyDescent="0.25">
      <c r="A3">
        <v>1500001304</v>
      </c>
      <c r="B3" t="s">
        <v>31</v>
      </c>
      <c r="C3" t="s">
        <v>19</v>
      </c>
      <c r="D3" t="s">
        <v>32</v>
      </c>
      <c r="E3" t="s">
        <v>21</v>
      </c>
      <c r="F3" t="s">
        <v>22</v>
      </c>
      <c r="G3" t="s">
        <v>33</v>
      </c>
      <c r="H3" t="s">
        <v>34</v>
      </c>
      <c r="I3" t="s">
        <v>35</v>
      </c>
      <c r="J3">
        <v>9.9223099999999995</v>
      </c>
      <c r="K3">
        <v>-84.063878000000003</v>
      </c>
      <c r="L3" t="s">
        <v>26</v>
      </c>
      <c r="M3" t="s">
        <v>36</v>
      </c>
      <c r="N3" t="s">
        <v>37</v>
      </c>
      <c r="O3" t="s">
        <v>38</v>
      </c>
      <c r="P3">
        <v>7</v>
      </c>
      <c r="Q3" t="s">
        <v>39</v>
      </c>
      <c r="S3" t="str">
        <f>_xlfn.XLOOKUP(UNIVERSO[[#This Row],[Ruta]],'[1]CUOTA RUTA'!A:A,'[1]CUOTA RUTA'!D:D)</f>
        <v>Cargar</v>
      </c>
    </row>
    <row r="4" spans="1:19" x14ac:dyDescent="0.25">
      <c r="A4">
        <v>1500001431</v>
      </c>
      <c r="B4" t="s">
        <v>40</v>
      </c>
      <c r="C4" t="s">
        <v>19</v>
      </c>
      <c r="D4" t="s">
        <v>32</v>
      </c>
      <c r="E4" t="s">
        <v>21</v>
      </c>
      <c r="F4" t="s">
        <v>22</v>
      </c>
      <c r="G4" t="s">
        <v>33</v>
      </c>
      <c r="H4" t="s">
        <v>34</v>
      </c>
      <c r="I4" t="s">
        <v>41</v>
      </c>
      <c r="J4">
        <v>9.9140080000000008</v>
      </c>
      <c r="K4">
        <v>-84.066374999999994</v>
      </c>
      <c r="L4" t="s">
        <v>26</v>
      </c>
      <c r="M4" t="s">
        <v>36</v>
      </c>
      <c r="N4" t="s">
        <v>37</v>
      </c>
      <c r="O4" t="s">
        <v>38</v>
      </c>
      <c r="P4">
        <v>12</v>
      </c>
      <c r="Q4" t="s">
        <v>42</v>
      </c>
      <c r="S4" t="str">
        <f>_xlfn.XLOOKUP(UNIVERSO[[#This Row],[Ruta]],'[1]CUOTA RUTA'!A:A,'[1]CUOTA RUTA'!D:D)</f>
        <v>Cargar</v>
      </c>
    </row>
    <row r="5" spans="1:19" x14ac:dyDescent="0.25">
      <c r="A5">
        <v>1500001573</v>
      </c>
      <c r="B5" t="s">
        <v>43</v>
      </c>
      <c r="C5" t="s">
        <v>19</v>
      </c>
      <c r="D5" t="s">
        <v>20</v>
      </c>
      <c r="E5" t="s">
        <v>21</v>
      </c>
      <c r="F5" t="s">
        <v>22</v>
      </c>
      <c r="G5" t="s">
        <v>33</v>
      </c>
      <c r="H5" t="s">
        <v>44</v>
      </c>
      <c r="I5" t="s">
        <v>45</v>
      </c>
      <c r="J5">
        <v>10.07175</v>
      </c>
      <c r="K5">
        <v>-84.396850000000001</v>
      </c>
      <c r="L5" t="s">
        <v>26</v>
      </c>
      <c r="M5" t="s">
        <v>46</v>
      </c>
      <c r="N5" t="s">
        <v>47</v>
      </c>
      <c r="O5" t="s">
        <v>48</v>
      </c>
      <c r="P5">
        <v>6</v>
      </c>
      <c r="Q5" t="s">
        <v>49</v>
      </c>
      <c r="S5" t="str">
        <f>_xlfn.XLOOKUP(UNIVERSO[[#This Row],[Ruta]],'[1]CUOTA RUTA'!A:A,'[1]CUOTA RUTA'!D:D)</f>
        <v>Cargar</v>
      </c>
    </row>
    <row r="6" spans="1:19" x14ac:dyDescent="0.25">
      <c r="A6">
        <v>1500001796</v>
      </c>
      <c r="B6" t="s">
        <v>50</v>
      </c>
      <c r="C6" t="s">
        <v>19</v>
      </c>
      <c r="D6" t="s">
        <v>20</v>
      </c>
      <c r="E6" t="s">
        <v>21</v>
      </c>
      <c r="F6" t="s">
        <v>51</v>
      </c>
      <c r="G6" t="s">
        <v>23</v>
      </c>
      <c r="H6" t="s">
        <v>52</v>
      </c>
      <c r="I6" t="s">
        <v>53</v>
      </c>
      <c r="J6">
        <v>9.9050218000000001</v>
      </c>
      <c r="K6">
        <v>-84.133451699999995</v>
      </c>
      <c r="L6" t="s">
        <v>26</v>
      </c>
      <c r="M6" t="s">
        <v>54</v>
      </c>
      <c r="N6" t="s">
        <v>55</v>
      </c>
      <c r="O6" t="s">
        <v>56</v>
      </c>
      <c r="P6">
        <v>12</v>
      </c>
      <c r="Q6" t="s">
        <v>42</v>
      </c>
      <c r="S6" t="str">
        <f>_xlfn.XLOOKUP(UNIVERSO[[#This Row],[Ruta]],'[1]CUOTA RUTA'!A:A,'[1]CUOTA RUTA'!D:D)</f>
        <v>Cargar</v>
      </c>
    </row>
    <row r="7" spans="1:19" x14ac:dyDescent="0.25">
      <c r="A7">
        <v>1500001872</v>
      </c>
      <c r="B7" t="s">
        <v>57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58</v>
      </c>
      <c r="I7" t="s">
        <v>59</v>
      </c>
      <c r="J7">
        <v>10.036809</v>
      </c>
      <c r="K7">
        <v>-84.173078000000004</v>
      </c>
      <c r="L7" t="s">
        <v>26</v>
      </c>
      <c r="M7" t="s">
        <v>54</v>
      </c>
      <c r="N7" t="s">
        <v>55</v>
      </c>
      <c r="O7" t="s">
        <v>56</v>
      </c>
      <c r="P7">
        <v>16</v>
      </c>
      <c r="Q7" t="s">
        <v>60</v>
      </c>
      <c r="S7" t="str">
        <f>_xlfn.XLOOKUP(UNIVERSO[[#This Row],[Ruta]],'[1]CUOTA RUTA'!A:A,'[1]CUOTA RUTA'!D:D)</f>
        <v>Cargar</v>
      </c>
    </row>
    <row r="8" spans="1:19" x14ac:dyDescent="0.25">
      <c r="A8">
        <v>1500002517</v>
      </c>
      <c r="B8" t="s">
        <v>61</v>
      </c>
      <c r="C8" t="s">
        <v>19</v>
      </c>
      <c r="D8" t="s">
        <v>32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>
        <v>9.9078029999999995</v>
      </c>
      <c r="K8">
        <v>-83.986875999999995</v>
      </c>
      <c r="L8" t="s">
        <v>26</v>
      </c>
      <c r="M8" t="s">
        <v>36</v>
      </c>
      <c r="N8" t="s">
        <v>37</v>
      </c>
      <c r="O8" t="s">
        <v>38</v>
      </c>
      <c r="P8">
        <v>19</v>
      </c>
      <c r="Q8" t="s">
        <v>67</v>
      </c>
      <c r="S8" t="str">
        <f>_xlfn.XLOOKUP(UNIVERSO[[#This Row],[Ruta]],'[1]CUOTA RUTA'!A:A,'[1]CUOTA RUTA'!D:D)</f>
        <v>Cargar</v>
      </c>
    </row>
    <row r="9" spans="1:19" x14ac:dyDescent="0.25">
      <c r="A9">
        <v>1500002980</v>
      </c>
      <c r="B9" t="s">
        <v>68</v>
      </c>
      <c r="C9" t="s">
        <v>19</v>
      </c>
      <c r="D9" t="s">
        <v>32</v>
      </c>
      <c r="E9" t="s">
        <v>21</v>
      </c>
      <c r="F9" t="s">
        <v>22</v>
      </c>
      <c r="G9" t="s">
        <v>33</v>
      </c>
      <c r="H9" t="s">
        <v>69</v>
      </c>
      <c r="I9" t="s">
        <v>70</v>
      </c>
      <c r="J9">
        <v>9.8693833333329994</v>
      </c>
      <c r="K9">
        <v>-84.056545</v>
      </c>
      <c r="L9" t="s">
        <v>26</v>
      </c>
      <c r="M9" t="s">
        <v>71</v>
      </c>
      <c r="N9" t="s">
        <v>72</v>
      </c>
      <c r="O9" t="s">
        <v>73</v>
      </c>
      <c r="P9">
        <v>20</v>
      </c>
      <c r="Q9" t="s">
        <v>74</v>
      </c>
      <c r="S9" t="str">
        <f>_xlfn.XLOOKUP(UNIVERSO[[#This Row],[Ruta]],'[1]CUOTA RUTA'!A:A,'[1]CUOTA RUTA'!D:D)</f>
        <v>Cargar</v>
      </c>
    </row>
    <row r="10" spans="1:19" x14ac:dyDescent="0.25">
      <c r="A10">
        <v>1500002994</v>
      </c>
      <c r="B10" t="s">
        <v>75</v>
      </c>
      <c r="C10" t="s">
        <v>19</v>
      </c>
      <c r="D10" t="s">
        <v>32</v>
      </c>
      <c r="E10" t="s">
        <v>21</v>
      </c>
      <c r="F10" t="s">
        <v>22</v>
      </c>
      <c r="G10" t="s">
        <v>33</v>
      </c>
      <c r="H10" t="s">
        <v>76</v>
      </c>
      <c r="I10" t="s">
        <v>77</v>
      </c>
      <c r="J10">
        <v>9.960604</v>
      </c>
      <c r="K10">
        <v>-84.008956999999995</v>
      </c>
      <c r="L10" t="s">
        <v>26</v>
      </c>
      <c r="M10" t="s">
        <v>36</v>
      </c>
      <c r="N10" t="s">
        <v>37</v>
      </c>
      <c r="O10" t="s">
        <v>38</v>
      </c>
      <c r="P10">
        <v>20</v>
      </c>
      <c r="Q10" t="s">
        <v>74</v>
      </c>
      <c r="S10" t="str">
        <f>_xlfn.XLOOKUP(UNIVERSO[[#This Row],[Ruta]],'[1]CUOTA RUTA'!A:A,'[1]CUOTA RUTA'!D:D)</f>
        <v>Cargar</v>
      </c>
    </row>
    <row r="11" spans="1:19" x14ac:dyDescent="0.25">
      <c r="A11">
        <v>1500003141</v>
      </c>
      <c r="B11" t="s">
        <v>78</v>
      </c>
      <c r="C11" t="s">
        <v>19</v>
      </c>
      <c r="D11" t="s">
        <v>32</v>
      </c>
      <c r="E11" t="s">
        <v>21</v>
      </c>
      <c r="F11" t="s">
        <v>22</v>
      </c>
      <c r="G11" t="s">
        <v>33</v>
      </c>
      <c r="H11" t="s">
        <v>76</v>
      </c>
      <c r="I11" t="s">
        <v>79</v>
      </c>
      <c r="J11">
        <v>9.9447729999999996</v>
      </c>
      <c r="K11">
        <v>-84.026923999999994</v>
      </c>
      <c r="L11" t="s">
        <v>26</v>
      </c>
      <c r="M11" t="s">
        <v>36</v>
      </c>
      <c r="N11" t="s">
        <v>37</v>
      </c>
      <c r="O11" t="s">
        <v>38</v>
      </c>
      <c r="P11">
        <v>9</v>
      </c>
      <c r="Q11" t="s">
        <v>80</v>
      </c>
      <c r="S11" t="str">
        <f>_xlfn.XLOOKUP(UNIVERSO[[#This Row],[Ruta]],'[1]CUOTA RUTA'!A:A,'[1]CUOTA RUTA'!D:D)</f>
        <v>Cargar</v>
      </c>
    </row>
    <row r="12" spans="1:19" x14ac:dyDescent="0.25">
      <c r="A12">
        <v>1500003511</v>
      </c>
      <c r="B12" t="s">
        <v>81</v>
      </c>
      <c r="C12" t="s">
        <v>19</v>
      </c>
      <c r="D12" t="s">
        <v>32</v>
      </c>
      <c r="E12" t="s">
        <v>21</v>
      </c>
      <c r="F12" t="s">
        <v>22</v>
      </c>
      <c r="G12" t="s">
        <v>33</v>
      </c>
      <c r="H12" t="s">
        <v>82</v>
      </c>
      <c r="I12" t="s">
        <v>83</v>
      </c>
      <c r="J12">
        <v>9.8916439999999994</v>
      </c>
      <c r="K12">
        <v>-84.068749999999994</v>
      </c>
      <c r="L12" t="s">
        <v>26</v>
      </c>
      <c r="M12" t="s">
        <v>71</v>
      </c>
      <c r="N12" t="s">
        <v>72</v>
      </c>
      <c r="O12" t="s">
        <v>73</v>
      </c>
      <c r="P12">
        <v>18</v>
      </c>
      <c r="Q12" t="s">
        <v>84</v>
      </c>
      <c r="S12" t="str">
        <f>_xlfn.XLOOKUP(UNIVERSO[[#This Row],[Ruta]],'[1]CUOTA RUTA'!A:A,'[1]CUOTA RUTA'!D:D)</f>
        <v>Cargar</v>
      </c>
    </row>
    <row r="13" spans="1:19" x14ac:dyDescent="0.25">
      <c r="A13">
        <v>1500003757</v>
      </c>
      <c r="B13" t="s">
        <v>85</v>
      </c>
      <c r="C13" t="s">
        <v>19</v>
      </c>
      <c r="D13" t="s">
        <v>32</v>
      </c>
      <c r="E13" t="s">
        <v>21</v>
      </c>
      <c r="F13" t="s">
        <v>22</v>
      </c>
      <c r="G13" t="s">
        <v>23</v>
      </c>
      <c r="H13" t="s">
        <v>86</v>
      </c>
      <c r="I13" t="s">
        <v>87</v>
      </c>
      <c r="J13">
        <v>9.9069199999999995</v>
      </c>
      <c r="K13">
        <v>-84.090500000000006</v>
      </c>
      <c r="L13" t="s">
        <v>26</v>
      </c>
      <c r="M13" t="s">
        <v>71</v>
      </c>
      <c r="N13" t="s">
        <v>72</v>
      </c>
      <c r="O13" t="s">
        <v>73</v>
      </c>
      <c r="P13">
        <v>6</v>
      </c>
      <c r="Q13" t="s">
        <v>49</v>
      </c>
      <c r="S13" t="str">
        <f>_xlfn.XLOOKUP(UNIVERSO[[#This Row],[Ruta]],'[1]CUOTA RUTA'!A:A,'[1]CUOTA RUTA'!D:D)</f>
        <v>Cargar</v>
      </c>
    </row>
    <row r="14" spans="1:19" x14ac:dyDescent="0.25">
      <c r="A14">
        <v>1500003794</v>
      </c>
      <c r="B14" t="s">
        <v>88</v>
      </c>
      <c r="C14" t="s">
        <v>19</v>
      </c>
      <c r="D14" t="s">
        <v>32</v>
      </c>
      <c r="E14" t="s">
        <v>62</v>
      </c>
      <c r="F14" t="s">
        <v>63</v>
      </c>
      <c r="G14" t="s">
        <v>64</v>
      </c>
      <c r="H14" t="s">
        <v>89</v>
      </c>
      <c r="I14" t="s">
        <v>90</v>
      </c>
      <c r="J14">
        <v>9.9103700000000003</v>
      </c>
      <c r="K14">
        <v>-84.077299999999994</v>
      </c>
      <c r="L14" t="s">
        <v>26</v>
      </c>
      <c r="M14" t="s">
        <v>71</v>
      </c>
      <c r="N14" t="s">
        <v>72</v>
      </c>
      <c r="O14" t="s">
        <v>73</v>
      </c>
      <c r="P14">
        <v>6</v>
      </c>
      <c r="Q14" t="s">
        <v>49</v>
      </c>
      <c r="S14" t="str">
        <f>_xlfn.XLOOKUP(UNIVERSO[[#This Row],[Ruta]],'[1]CUOTA RUTA'!A:A,'[1]CUOTA RUTA'!D:D)</f>
        <v>Cargar</v>
      </c>
    </row>
    <row r="15" spans="1:19" x14ac:dyDescent="0.25">
      <c r="A15">
        <v>1500004045</v>
      </c>
      <c r="B15" t="s">
        <v>91</v>
      </c>
      <c r="C15" t="s">
        <v>19</v>
      </c>
      <c r="D15" t="s">
        <v>32</v>
      </c>
      <c r="E15" t="s">
        <v>21</v>
      </c>
      <c r="F15" t="s">
        <v>22</v>
      </c>
      <c r="G15" t="s">
        <v>33</v>
      </c>
      <c r="H15" t="s">
        <v>92</v>
      </c>
      <c r="I15" t="s">
        <v>93</v>
      </c>
      <c r="J15">
        <v>9.9627730000000003</v>
      </c>
      <c r="K15">
        <v>-84.034881999999996</v>
      </c>
      <c r="L15" t="s">
        <v>26</v>
      </c>
      <c r="M15" t="s">
        <v>94</v>
      </c>
      <c r="N15" t="s">
        <v>95</v>
      </c>
      <c r="O15" t="s">
        <v>96</v>
      </c>
      <c r="P15">
        <v>8</v>
      </c>
      <c r="Q15" t="s">
        <v>97</v>
      </c>
      <c r="S15" t="str">
        <f>_xlfn.XLOOKUP(UNIVERSO[[#This Row],[Ruta]],'[1]CUOTA RUTA'!A:A,'[1]CUOTA RUTA'!D:D)</f>
        <v>Cargar</v>
      </c>
    </row>
    <row r="16" spans="1:19" x14ac:dyDescent="0.25">
      <c r="A16">
        <v>1500004555</v>
      </c>
      <c r="B16" t="s">
        <v>98</v>
      </c>
      <c r="C16" t="s">
        <v>19</v>
      </c>
      <c r="D16" t="s">
        <v>32</v>
      </c>
      <c r="E16" t="s">
        <v>21</v>
      </c>
      <c r="F16" t="s">
        <v>22</v>
      </c>
      <c r="G16" t="s">
        <v>33</v>
      </c>
      <c r="H16" t="s">
        <v>99</v>
      </c>
      <c r="I16" t="s">
        <v>100</v>
      </c>
      <c r="J16">
        <v>9.9246119999999998</v>
      </c>
      <c r="K16">
        <v>-84.089545999999999</v>
      </c>
      <c r="L16" t="s">
        <v>26</v>
      </c>
      <c r="M16" t="s">
        <v>71</v>
      </c>
      <c r="N16" t="s">
        <v>72</v>
      </c>
      <c r="O16" t="s">
        <v>73</v>
      </c>
      <c r="P16">
        <v>3</v>
      </c>
      <c r="Q16" t="s">
        <v>101</v>
      </c>
      <c r="S16" t="str">
        <f>_xlfn.XLOOKUP(UNIVERSO[[#This Row],[Ruta]],'[1]CUOTA RUTA'!A:A,'[1]CUOTA RUTA'!D:D)</f>
        <v>Cargar</v>
      </c>
    </row>
    <row r="17" spans="1:19" x14ac:dyDescent="0.25">
      <c r="A17">
        <v>1500004714</v>
      </c>
      <c r="B17" t="s">
        <v>102</v>
      </c>
      <c r="C17" t="s">
        <v>19</v>
      </c>
      <c r="D17" t="s">
        <v>32</v>
      </c>
      <c r="E17" t="s">
        <v>21</v>
      </c>
      <c r="F17" t="s">
        <v>22</v>
      </c>
      <c r="G17" t="s">
        <v>23</v>
      </c>
      <c r="H17" t="s">
        <v>103</v>
      </c>
      <c r="I17" t="s">
        <v>104</v>
      </c>
      <c r="J17">
        <v>9.9115590000000005</v>
      </c>
      <c r="K17">
        <v>-84.104012999999995</v>
      </c>
      <c r="L17" t="s">
        <v>26</v>
      </c>
      <c r="M17" t="s">
        <v>71</v>
      </c>
      <c r="N17" t="s">
        <v>72</v>
      </c>
      <c r="O17" t="s">
        <v>73</v>
      </c>
      <c r="P17">
        <v>12</v>
      </c>
      <c r="Q17" t="s">
        <v>42</v>
      </c>
      <c r="S17" t="str">
        <f>_xlfn.XLOOKUP(UNIVERSO[[#This Row],[Ruta]],'[1]CUOTA RUTA'!A:A,'[1]CUOTA RUTA'!D:D)</f>
        <v>Cargar</v>
      </c>
    </row>
    <row r="18" spans="1:19" x14ac:dyDescent="0.25">
      <c r="A18">
        <v>1500004768</v>
      </c>
      <c r="B18" t="s">
        <v>105</v>
      </c>
      <c r="C18" t="s">
        <v>19</v>
      </c>
      <c r="D18" t="s">
        <v>32</v>
      </c>
      <c r="E18" t="s">
        <v>21</v>
      </c>
      <c r="F18" t="s">
        <v>22</v>
      </c>
      <c r="G18" t="s">
        <v>23</v>
      </c>
      <c r="H18" t="s">
        <v>106</v>
      </c>
      <c r="I18" t="s">
        <v>107</v>
      </c>
      <c r="J18">
        <v>9.9156110000000002</v>
      </c>
      <c r="K18">
        <v>-84.107551999999998</v>
      </c>
      <c r="L18" t="s">
        <v>26</v>
      </c>
      <c r="M18" t="s">
        <v>71</v>
      </c>
      <c r="N18" t="s">
        <v>72</v>
      </c>
      <c r="O18" t="s">
        <v>73</v>
      </c>
      <c r="P18">
        <v>11</v>
      </c>
      <c r="Q18" t="s">
        <v>108</v>
      </c>
      <c r="S18" t="str">
        <f>_xlfn.XLOOKUP(UNIVERSO[[#This Row],[Ruta]],'[1]CUOTA RUTA'!A:A,'[1]CUOTA RUTA'!D:D)</f>
        <v>Cargar</v>
      </c>
    </row>
    <row r="19" spans="1:19" x14ac:dyDescent="0.25">
      <c r="A19">
        <v>1500004781</v>
      </c>
      <c r="B19" t="s">
        <v>109</v>
      </c>
      <c r="C19" t="s">
        <v>19</v>
      </c>
      <c r="D19" t="s">
        <v>32</v>
      </c>
      <c r="E19" t="s">
        <v>21</v>
      </c>
      <c r="F19" t="s">
        <v>22</v>
      </c>
      <c r="G19" t="s">
        <v>33</v>
      </c>
      <c r="H19" t="s">
        <v>106</v>
      </c>
      <c r="I19" t="s">
        <v>110</v>
      </c>
      <c r="J19">
        <v>9.922129</v>
      </c>
      <c r="K19">
        <v>-84.098156000000003</v>
      </c>
      <c r="L19" t="s">
        <v>26</v>
      </c>
      <c r="M19" t="s">
        <v>71</v>
      </c>
      <c r="N19" t="s">
        <v>72</v>
      </c>
      <c r="O19" t="s">
        <v>73</v>
      </c>
      <c r="P19">
        <v>3</v>
      </c>
      <c r="Q19" t="s">
        <v>101</v>
      </c>
      <c r="S19" t="str">
        <f>_xlfn.XLOOKUP(UNIVERSO[[#This Row],[Ruta]],'[1]CUOTA RUTA'!A:A,'[1]CUOTA RUTA'!D:D)</f>
        <v>Cargar</v>
      </c>
    </row>
    <row r="20" spans="1:19" x14ac:dyDescent="0.25">
      <c r="A20">
        <v>1500005058</v>
      </c>
      <c r="B20" t="s">
        <v>111</v>
      </c>
      <c r="C20" t="s">
        <v>19</v>
      </c>
      <c r="D20" t="s">
        <v>32</v>
      </c>
      <c r="E20" t="s">
        <v>21</v>
      </c>
      <c r="F20" t="s">
        <v>22</v>
      </c>
      <c r="G20" t="s">
        <v>23</v>
      </c>
      <c r="H20" t="s">
        <v>112</v>
      </c>
      <c r="I20" t="s">
        <v>113</v>
      </c>
      <c r="J20">
        <v>9.9516249999999999</v>
      </c>
      <c r="K20">
        <v>-84.099095000000005</v>
      </c>
      <c r="L20" t="s">
        <v>26</v>
      </c>
      <c r="M20" t="s">
        <v>94</v>
      </c>
      <c r="N20" t="s">
        <v>95</v>
      </c>
      <c r="O20" t="s">
        <v>96</v>
      </c>
      <c r="P20">
        <v>12</v>
      </c>
      <c r="Q20" t="s">
        <v>42</v>
      </c>
      <c r="S20" t="str">
        <f>_xlfn.XLOOKUP(UNIVERSO[[#This Row],[Ruta]],'[1]CUOTA RUTA'!A:A,'[1]CUOTA RUTA'!D:D)</f>
        <v>Cargar</v>
      </c>
    </row>
    <row r="21" spans="1:19" x14ac:dyDescent="0.25">
      <c r="A21">
        <v>1500005182</v>
      </c>
      <c r="B21" t="s">
        <v>114</v>
      </c>
      <c r="C21" t="s">
        <v>19</v>
      </c>
      <c r="D21" t="s">
        <v>32</v>
      </c>
      <c r="E21" t="s">
        <v>21</v>
      </c>
      <c r="F21" t="s">
        <v>22</v>
      </c>
      <c r="G21" t="s">
        <v>33</v>
      </c>
      <c r="H21" t="s">
        <v>115</v>
      </c>
      <c r="I21" t="s">
        <v>116</v>
      </c>
      <c r="J21">
        <v>9.949522</v>
      </c>
      <c r="K21">
        <v>-84.080680999999998</v>
      </c>
      <c r="L21" t="s">
        <v>26</v>
      </c>
      <c r="M21" t="s">
        <v>36</v>
      </c>
      <c r="N21" t="s">
        <v>37</v>
      </c>
      <c r="O21" t="s">
        <v>38</v>
      </c>
      <c r="P21">
        <v>5</v>
      </c>
      <c r="Q21" t="s">
        <v>117</v>
      </c>
      <c r="S21" t="str">
        <f>_xlfn.XLOOKUP(UNIVERSO[[#This Row],[Ruta]],'[1]CUOTA RUTA'!A:A,'[1]CUOTA RUTA'!D:D)</f>
        <v>Cargar</v>
      </c>
    </row>
    <row r="22" spans="1:19" x14ac:dyDescent="0.25">
      <c r="A22">
        <v>1500005240</v>
      </c>
      <c r="B22" t="s">
        <v>118</v>
      </c>
      <c r="C22" t="s">
        <v>19</v>
      </c>
      <c r="D22" t="s">
        <v>32</v>
      </c>
      <c r="E22" t="s">
        <v>21</v>
      </c>
      <c r="F22" t="s">
        <v>22</v>
      </c>
      <c r="G22" t="s">
        <v>64</v>
      </c>
      <c r="H22" t="s">
        <v>115</v>
      </c>
      <c r="I22" t="s">
        <v>119</v>
      </c>
      <c r="J22">
        <v>9.9451599999999996</v>
      </c>
      <c r="K22">
        <v>-84.077500000000001</v>
      </c>
      <c r="L22" t="s">
        <v>26</v>
      </c>
      <c r="M22" t="s">
        <v>36</v>
      </c>
      <c r="N22" t="s">
        <v>37</v>
      </c>
      <c r="O22" t="s">
        <v>38</v>
      </c>
      <c r="P22">
        <v>4</v>
      </c>
      <c r="Q22" t="s">
        <v>120</v>
      </c>
      <c r="S22" t="str">
        <f>_xlfn.XLOOKUP(UNIVERSO[[#This Row],[Ruta]],'[1]CUOTA RUTA'!A:A,'[1]CUOTA RUTA'!D:D)</f>
        <v>Cargar</v>
      </c>
    </row>
    <row r="23" spans="1:19" x14ac:dyDescent="0.25">
      <c r="A23">
        <v>1500005352</v>
      </c>
      <c r="B23" t="s">
        <v>121</v>
      </c>
      <c r="C23" t="s">
        <v>19</v>
      </c>
      <c r="D23" t="s">
        <v>32</v>
      </c>
      <c r="E23" t="s">
        <v>21</v>
      </c>
      <c r="F23" t="s">
        <v>22</v>
      </c>
      <c r="G23" t="s">
        <v>33</v>
      </c>
      <c r="H23" t="s">
        <v>82</v>
      </c>
      <c r="I23" t="s">
        <v>122</v>
      </c>
      <c r="J23">
        <v>9.9049817000000004</v>
      </c>
      <c r="K23">
        <v>-84.075040000000001</v>
      </c>
      <c r="L23" t="s">
        <v>26</v>
      </c>
      <c r="M23" t="s">
        <v>71</v>
      </c>
      <c r="N23" t="s">
        <v>72</v>
      </c>
      <c r="O23" t="s">
        <v>73</v>
      </c>
      <c r="P23">
        <v>7</v>
      </c>
      <c r="Q23" t="s">
        <v>39</v>
      </c>
      <c r="S23" t="str">
        <f>_xlfn.XLOOKUP(UNIVERSO[[#This Row],[Ruta]],'[1]CUOTA RUTA'!A:A,'[1]CUOTA RUTA'!D:D)</f>
        <v>Cargar</v>
      </c>
    </row>
    <row r="24" spans="1:19" x14ac:dyDescent="0.25">
      <c r="A24">
        <v>1500005397</v>
      </c>
      <c r="B24" t="s">
        <v>123</v>
      </c>
      <c r="C24" t="s">
        <v>19</v>
      </c>
      <c r="D24" t="s">
        <v>32</v>
      </c>
      <c r="E24" t="s">
        <v>21</v>
      </c>
      <c r="F24" t="s">
        <v>51</v>
      </c>
      <c r="G24" t="s">
        <v>23</v>
      </c>
      <c r="H24" t="s">
        <v>86</v>
      </c>
      <c r="I24" t="s">
        <v>124</v>
      </c>
      <c r="J24">
        <v>9.9799732999999993</v>
      </c>
      <c r="K24">
        <v>-84.091476700000001</v>
      </c>
      <c r="L24" t="s">
        <v>26</v>
      </c>
      <c r="M24" t="s">
        <v>71</v>
      </c>
      <c r="N24" t="s">
        <v>72</v>
      </c>
      <c r="O24" t="s">
        <v>73</v>
      </c>
      <c r="P24">
        <v>23</v>
      </c>
      <c r="Q24" t="s">
        <v>125</v>
      </c>
      <c r="S24" t="str">
        <f>_xlfn.XLOOKUP(UNIVERSO[[#This Row],[Ruta]],'[1]CUOTA RUTA'!A:A,'[1]CUOTA RUTA'!D:D)</f>
        <v>Cargar</v>
      </c>
    </row>
    <row r="25" spans="1:19" x14ac:dyDescent="0.25">
      <c r="A25">
        <v>1500005462</v>
      </c>
      <c r="B25" t="s">
        <v>126</v>
      </c>
      <c r="C25" t="s">
        <v>19</v>
      </c>
      <c r="D25" t="s">
        <v>32</v>
      </c>
      <c r="E25" t="s">
        <v>21</v>
      </c>
      <c r="F25" t="s">
        <v>22</v>
      </c>
      <c r="G25" t="s">
        <v>33</v>
      </c>
      <c r="H25" t="s">
        <v>127</v>
      </c>
      <c r="I25" t="s">
        <v>128</v>
      </c>
      <c r="J25">
        <v>9.8539083333330009</v>
      </c>
      <c r="K25">
        <v>-84.090698333329996</v>
      </c>
      <c r="L25" t="s">
        <v>26</v>
      </c>
      <c r="M25" t="s">
        <v>54</v>
      </c>
      <c r="N25" t="s">
        <v>129</v>
      </c>
      <c r="O25" t="s">
        <v>130</v>
      </c>
      <c r="P25">
        <v>23</v>
      </c>
      <c r="Q25" t="s">
        <v>125</v>
      </c>
      <c r="S25" t="str">
        <f>_xlfn.XLOOKUP(UNIVERSO[[#This Row],[Ruta]],'[1]CUOTA RUTA'!A:A,'[1]CUOTA RUTA'!D:D)</f>
        <v>Cargar</v>
      </c>
    </row>
    <row r="26" spans="1:19" x14ac:dyDescent="0.25">
      <c r="A26">
        <v>1500005727</v>
      </c>
      <c r="B26" t="s">
        <v>131</v>
      </c>
      <c r="C26" t="s">
        <v>19</v>
      </c>
      <c r="D26" t="s">
        <v>32</v>
      </c>
      <c r="E26" t="s">
        <v>21</v>
      </c>
      <c r="F26" t="s">
        <v>22</v>
      </c>
      <c r="G26" t="s">
        <v>23</v>
      </c>
      <c r="H26" t="s">
        <v>89</v>
      </c>
      <c r="I26" t="s">
        <v>132</v>
      </c>
      <c r="J26">
        <v>9.9011560000000003</v>
      </c>
      <c r="K26">
        <v>-84.082785000000001</v>
      </c>
      <c r="L26" t="s">
        <v>26</v>
      </c>
      <c r="M26" t="s">
        <v>71</v>
      </c>
      <c r="N26" t="s">
        <v>72</v>
      </c>
      <c r="O26" t="s">
        <v>73</v>
      </c>
      <c r="P26">
        <v>6</v>
      </c>
      <c r="Q26" t="s">
        <v>49</v>
      </c>
      <c r="S26" t="str">
        <f>_xlfn.XLOOKUP(UNIVERSO[[#This Row],[Ruta]],'[1]CUOTA RUTA'!A:A,'[1]CUOTA RUTA'!D:D)</f>
        <v>Cargar</v>
      </c>
    </row>
    <row r="27" spans="1:19" x14ac:dyDescent="0.25">
      <c r="A27">
        <v>1500006202</v>
      </c>
      <c r="B27" t="s">
        <v>133</v>
      </c>
      <c r="C27" t="s">
        <v>19</v>
      </c>
      <c r="D27" t="s">
        <v>32</v>
      </c>
      <c r="E27" t="s">
        <v>21</v>
      </c>
      <c r="F27" t="s">
        <v>22</v>
      </c>
      <c r="G27" t="s">
        <v>23</v>
      </c>
      <c r="H27" t="s">
        <v>134</v>
      </c>
      <c r="I27" t="s">
        <v>135</v>
      </c>
      <c r="J27">
        <v>9.9651230000000002</v>
      </c>
      <c r="K27">
        <v>-84.065391000000005</v>
      </c>
      <c r="L27" t="s">
        <v>26</v>
      </c>
      <c r="M27" t="s">
        <v>94</v>
      </c>
      <c r="N27" t="s">
        <v>95</v>
      </c>
      <c r="O27" t="s">
        <v>96</v>
      </c>
      <c r="P27">
        <v>10</v>
      </c>
      <c r="Q27" t="s">
        <v>136</v>
      </c>
      <c r="S27" t="str">
        <f>_xlfn.XLOOKUP(UNIVERSO[[#This Row],[Ruta]],'[1]CUOTA RUTA'!A:A,'[1]CUOTA RUTA'!D:D)</f>
        <v>Cargar</v>
      </c>
    </row>
    <row r="28" spans="1:19" x14ac:dyDescent="0.25">
      <c r="A28">
        <v>1500006565</v>
      </c>
      <c r="B28" t="s">
        <v>137</v>
      </c>
      <c r="C28" t="s">
        <v>19</v>
      </c>
      <c r="D28" t="s">
        <v>32</v>
      </c>
      <c r="E28" t="s">
        <v>21</v>
      </c>
      <c r="F28" t="s">
        <v>22</v>
      </c>
      <c r="G28" t="s">
        <v>23</v>
      </c>
      <c r="H28" t="s">
        <v>138</v>
      </c>
      <c r="I28" t="s">
        <v>139</v>
      </c>
      <c r="J28">
        <v>9.9612783</v>
      </c>
      <c r="K28">
        <v>-84.006328300000007</v>
      </c>
      <c r="L28" t="s">
        <v>26</v>
      </c>
      <c r="M28" t="s">
        <v>36</v>
      </c>
      <c r="N28" t="s">
        <v>37</v>
      </c>
      <c r="O28" t="s">
        <v>38</v>
      </c>
      <c r="P28">
        <v>20</v>
      </c>
      <c r="Q28" t="s">
        <v>74</v>
      </c>
      <c r="S28" t="str">
        <f>_xlfn.XLOOKUP(UNIVERSO[[#This Row],[Ruta]],'[1]CUOTA RUTA'!A:A,'[1]CUOTA RUTA'!D:D)</f>
        <v>Cargar</v>
      </c>
    </row>
    <row r="29" spans="1:19" x14ac:dyDescent="0.25">
      <c r="A29">
        <v>1500006631</v>
      </c>
      <c r="B29" t="s">
        <v>140</v>
      </c>
      <c r="C29" t="s">
        <v>19</v>
      </c>
      <c r="D29" t="s">
        <v>32</v>
      </c>
      <c r="E29" t="s">
        <v>21</v>
      </c>
      <c r="F29" t="s">
        <v>22</v>
      </c>
      <c r="G29" t="s">
        <v>33</v>
      </c>
      <c r="H29" t="s">
        <v>92</v>
      </c>
      <c r="I29" t="s">
        <v>141</v>
      </c>
      <c r="J29">
        <v>9.9627999999999997</v>
      </c>
      <c r="K29">
        <v>-84.015100000000004</v>
      </c>
      <c r="L29" t="s">
        <v>26</v>
      </c>
      <c r="M29" t="s">
        <v>94</v>
      </c>
      <c r="N29" t="s">
        <v>95</v>
      </c>
      <c r="O29" t="s">
        <v>96</v>
      </c>
      <c r="P29">
        <v>4</v>
      </c>
      <c r="Q29" t="s">
        <v>120</v>
      </c>
      <c r="S29" t="str">
        <f>_xlfn.XLOOKUP(UNIVERSO[[#This Row],[Ruta]],'[1]CUOTA RUTA'!A:A,'[1]CUOTA RUTA'!D:D)</f>
        <v>Cargar</v>
      </c>
    </row>
    <row r="30" spans="1:19" x14ac:dyDescent="0.25">
      <c r="A30">
        <v>1500006985</v>
      </c>
      <c r="B30" t="s">
        <v>142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143</v>
      </c>
      <c r="I30" t="s">
        <v>144</v>
      </c>
      <c r="J30">
        <v>9.9467336</v>
      </c>
      <c r="K30">
        <v>-84.134589899999995</v>
      </c>
      <c r="L30" t="s">
        <v>26</v>
      </c>
      <c r="M30" t="s">
        <v>27</v>
      </c>
      <c r="N30" t="s">
        <v>28</v>
      </c>
      <c r="O30" t="s">
        <v>29</v>
      </c>
      <c r="P30">
        <v>8</v>
      </c>
      <c r="Q30" t="s">
        <v>97</v>
      </c>
      <c r="S30" t="str">
        <f>_xlfn.XLOOKUP(UNIVERSO[[#This Row],[Ruta]],'[1]CUOTA RUTA'!A:A,'[1]CUOTA RUTA'!D:D)</f>
        <v>Cargar</v>
      </c>
    </row>
    <row r="31" spans="1:19" x14ac:dyDescent="0.25">
      <c r="A31">
        <v>1500008189</v>
      </c>
      <c r="B31" t="s">
        <v>145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146</v>
      </c>
      <c r="J31">
        <v>9.9904229499999992</v>
      </c>
      <c r="K31">
        <v>-84.1136518</v>
      </c>
      <c r="L31" t="s">
        <v>26</v>
      </c>
      <c r="M31" t="s">
        <v>27</v>
      </c>
      <c r="N31" t="s">
        <v>28</v>
      </c>
      <c r="O31" t="s">
        <v>29</v>
      </c>
      <c r="P31">
        <v>19</v>
      </c>
      <c r="Q31" t="s">
        <v>67</v>
      </c>
      <c r="S31" t="str">
        <f>_xlfn.XLOOKUP(UNIVERSO[[#This Row],[Ruta]],'[1]CUOTA RUTA'!A:A,'[1]CUOTA RUTA'!D:D)</f>
        <v>Cargar</v>
      </c>
    </row>
    <row r="32" spans="1:19" x14ac:dyDescent="0.25">
      <c r="A32">
        <v>1500008415</v>
      </c>
      <c r="B32" t="s">
        <v>147</v>
      </c>
      <c r="C32" t="s">
        <v>19</v>
      </c>
      <c r="D32" t="s">
        <v>32</v>
      </c>
      <c r="E32" t="s">
        <v>21</v>
      </c>
      <c r="F32" t="s">
        <v>22</v>
      </c>
      <c r="G32" t="s">
        <v>23</v>
      </c>
      <c r="H32" t="s">
        <v>148</v>
      </c>
      <c r="I32" t="s">
        <v>149</v>
      </c>
      <c r="J32">
        <v>9.9856649999999991</v>
      </c>
      <c r="K32">
        <v>-84.023828300000005</v>
      </c>
      <c r="L32" t="s">
        <v>26</v>
      </c>
      <c r="M32" t="s">
        <v>94</v>
      </c>
      <c r="N32" t="s">
        <v>95</v>
      </c>
      <c r="O32" t="s">
        <v>96</v>
      </c>
      <c r="P32">
        <v>2</v>
      </c>
      <c r="Q32" t="s">
        <v>150</v>
      </c>
      <c r="S32" t="str">
        <f>_xlfn.XLOOKUP(UNIVERSO[[#This Row],[Ruta]],'[1]CUOTA RUTA'!A:A,'[1]CUOTA RUTA'!D:D)</f>
        <v>Cargar</v>
      </c>
    </row>
    <row r="33" spans="1:19" x14ac:dyDescent="0.25">
      <c r="A33">
        <v>1500008440</v>
      </c>
      <c r="B33" t="s">
        <v>151</v>
      </c>
      <c r="C33" t="s">
        <v>19</v>
      </c>
      <c r="D33" t="s">
        <v>32</v>
      </c>
      <c r="E33" t="s">
        <v>21</v>
      </c>
      <c r="F33" t="s">
        <v>22</v>
      </c>
      <c r="G33" t="s">
        <v>33</v>
      </c>
      <c r="H33" t="s">
        <v>148</v>
      </c>
      <c r="I33" t="s">
        <v>152</v>
      </c>
      <c r="J33">
        <v>10.007391666667001</v>
      </c>
      <c r="K33">
        <v>-84.015886666659995</v>
      </c>
      <c r="L33" t="s">
        <v>26</v>
      </c>
      <c r="M33" t="s">
        <v>94</v>
      </c>
      <c r="N33" t="s">
        <v>95</v>
      </c>
      <c r="O33" t="s">
        <v>96</v>
      </c>
      <c r="P33">
        <v>5</v>
      </c>
      <c r="Q33" t="s">
        <v>117</v>
      </c>
      <c r="S33" t="str">
        <f>_xlfn.XLOOKUP(UNIVERSO[[#This Row],[Ruta]],'[1]CUOTA RUTA'!A:A,'[1]CUOTA RUTA'!D:D)</f>
        <v>Cargar</v>
      </c>
    </row>
    <row r="34" spans="1:19" x14ac:dyDescent="0.25">
      <c r="A34">
        <v>1500008656</v>
      </c>
      <c r="B34" t="s">
        <v>153</v>
      </c>
      <c r="C34" t="s">
        <v>19</v>
      </c>
      <c r="D34" t="s">
        <v>32</v>
      </c>
      <c r="E34" t="s">
        <v>21</v>
      </c>
      <c r="F34" t="s">
        <v>22</v>
      </c>
      <c r="G34" t="s">
        <v>33</v>
      </c>
      <c r="H34" t="s">
        <v>138</v>
      </c>
      <c r="I34" t="s">
        <v>154</v>
      </c>
      <c r="J34">
        <v>9.9791916999999994</v>
      </c>
      <c r="K34">
        <v>-84.089781700000003</v>
      </c>
      <c r="L34" t="s">
        <v>26</v>
      </c>
      <c r="M34" t="s">
        <v>36</v>
      </c>
      <c r="N34" t="s">
        <v>37</v>
      </c>
      <c r="O34" t="s">
        <v>38</v>
      </c>
      <c r="P34">
        <v>1</v>
      </c>
      <c r="Q34" t="s">
        <v>155</v>
      </c>
      <c r="S34" t="str">
        <f>_xlfn.XLOOKUP(UNIVERSO[[#This Row],[Ruta]],'[1]CUOTA RUTA'!A:A,'[1]CUOTA RUTA'!D:D)</f>
        <v>Cargar</v>
      </c>
    </row>
    <row r="35" spans="1:19" x14ac:dyDescent="0.25">
      <c r="A35">
        <v>1500009138</v>
      </c>
      <c r="B35" t="s">
        <v>156</v>
      </c>
      <c r="C35" t="s">
        <v>19</v>
      </c>
      <c r="D35" t="s">
        <v>32</v>
      </c>
      <c r="E35" t="s">
        <v>21</v>
      </c>
      <c r="F35" t="s">
        <v>22</v>
      </c>
      <c r="G35" t="s">
        <v>33</v>
      </c>
      <c r="H35" t="s">
        <v>148</v>
      </c>
      <c r="I35" t="s">
        <v>157</v>
      </c>
      <c r="J35">
        <v>9.9710099999999997</v>
      </c>
      <c r="K35">
        <v>-84.029300000000006</v>
      </c>
      <c r="L35" t="s">
        <v>26</v>
      </c>
      <c r="M35" t="s">
        <v>94</v>
      </c>
      <c r="N35" t="s">
        <v>95</v>
      </c>
      <c r="O35" t="s">
        <v>96</v>
      </c>
      <c r="P35">
        <v>2</v>
      </c>
      <c r="Q35" t="s">
        <v>150</v>
      </c>
      <c r="S35" t="str">
        <f>_xlfn.XLOOKUP(UNIVERSO[[#This Row],[Ruta]],'[1]CUOTA RUTA'!A:A,'[1]CUOTA RUTA'!D:D)</f>
        <v>Cargar</v>
      </c>
    </row>
    <row r="36" spans="1:19" x14ac:dyDescent="0.25">
      <c r="A36">
        <v>1500010038</v>
      </c>
      <c r="B36" t="s">
        <v>158</v>
      </c>
      <c r="C36" t="s">
        <v>19</v>
      </c>
      <c r="D36" t="s">
        <v>32</v>
      </c>
      <c r="E36" t="s">
        <v>21</v>
      </c>
      <c r="F36" t="s">
        <v>22</v>
      </c>
      <c r="G36" t="s">
        <v>33</v>
      </c>
      <c r="H36" t="s">
        <v>159</v>
      </c>
      <c r="I36" t="s">
        <v>160</v>
      </c>
      <c r="J36">
        <v>9.9040330000000001</v>
      </c>
      <c r="K36">
        <v>-84.106138000000001</v>
      </c>
      <c r="L36" t="s">
        <v>26</v>
      </c>
      <c r="M36" t="s">
        <v>71</v>
      </c>
      <c r="N36" t="s">
        <v>72</v>
      </c>
      <c r="O36" t="s">
        <v>73</v>
      </c>
      <c r="P36">
        <v>13</v>
      </c>
      <c r="Q36" t="s">
        <v>161</v>
      </c>
      <c r="S36" t="str">
        <f>_xlfn.XLOOKUP(UNIVERSO[[#This Row],[Ruta]],'[1]CUOTA RUTA'!A:A,'[1]CUOTA RUTA'!D:D)</f>
        <v>Cargar</v>
      </c>
    </row>
    <row r="37" spans="1:19" x14ac:dyDescent="0.25">
      <c r="A37">
        <v>1500010054</v>
      </c>
      <c r="B37" t="s">
        <v>162</v>
      </c>
      <c r="C37" t="s">
        <v>19</v>
      </c>
      <c r="D37" t="s">
        <v>32</v>
      </c>
      <c r="E37" t="s">
        <v>21</v>
      </c>
      <c r="F37" t="s">
        <v>22</v>
      </c>
      <c r="G37" t="s">
        <v>23</v>
      </c>
      <c r="H37" t="s">
        <v>86</v>
      </c>
      <c r="I37" t="s">
        <v>163</v>
      </c>
      <c r="J37">
        <v>9.896583333333</v>
      </c>
      <c r="K37">
        <v>-84.096603333329995</v>
      </c>
      <c r="L37" t="s">
        <v>26</v>
      </c>
      <c r="M37" t="s">
        <v>71</v>
      </c>
      <c r="N37" t="s">
        <v>72</v>
      </c>
      <c r="O37" t="s">
        <v>73</v>
      </c>
      <c r="P37">
        <v>8</v>
      </c>
      <c r="Q37" t="s">
        <v>97</v>
      </c>
      <c r="S37" t="str">
        <f>_xlfn.XLOOKUP(UNIVERSO[[#This Row],[Ruta]],'[1]CUOTA RUTA'!A:A,'[1]CUOTA RUTA'!D:D)</f>
        <v>Cargar</v>
      </c>
    </row>
    <row r="38" spans="1:19" x14ac:dyDescent="0.25">
      <c r="A38">
        <v>1500010413</v>
      </c>
      <c r="B38" t="s">
        <v>164</v>
      </c>
      <c r="C38" t="s">
        <v>19</v>
      </c>
      <c r="D38" t="s">
        <v>32</v>
      </c>
      <c r="E38" t="s">
        <v>21</v>
      </c>
      <c r="F38" t="s">
        <v>22</v>
      </c>
      <c r="G38" t="s">
        <v>33</v>
      </c>
      <c r="H38" t="s">
        <v>138</v>
      </c>
      <c r="I38" t="s">
        <v>165</v>
      </c>
      <c r="J38">
        <v>9.9491289999999992</v>
      </c>
      <c r="K38">
        <v>-84.027861999999999</v>
      </c>
      <c r="L38" t="s">
        <v>26</v>
      </c>
      <c r="M38" t="s">
        <v>36</v>
      </c>
      <c r="N38" t="s">
        <v>37</v>
      </c>
      <c r="O38" t="s">
        <v>38</v>
      </c>
      <c r="P38">
        <v>9</v>
      </c>
      <c r="Q38" t="s">
        <v>80</v>
      </c>
      <c r="S38" t="str">
        <f>_xlfn.XLOOKUP(UNIVERSO[[#This Row],[Ruta]],'[1]CUOTA RUTA'!A:A,'[1]CUOTA RUTA'!D:D)</f>
        <v>Cargar</v>
      </c>
    </row>
    <row r="39" spans="1:19" x14ac:dyDescent="0.25">
      <c r="A39">
        <v>1500010531</v>
      </c>
      <c r="B39" t="s">
        <v>166</v>
      </c>
      <c r="C39" t="s">
        <v>19</v>
      </c>
      <c r="D39" t="s">
        <v>32</v>
      </c>
      <c r="E39" t="s">
        <v>21</v>
      </c>
      <c r="F39" t="s">
        <v>22</v>
      </c>
      <c r="G39" t="s">
        <v>23</v>
      </c>
      <c r="H39" t="s">
        <v>134</v>
      </c>
      <c r="I39" t="s">
        <v>167</v>
      </c>
      <c r="J39">
        <v>10.004200000000001</v>
      </c>
      <c r="K39">
        <v>-84.071299999999994</v>
      </c>
      <c r="L39" t="s">
        <v>26</v>
      </c>
      <c r="M39" t="s">
        <v>94</v>
      </c>
      <c r="N39" t="s">
        <v>95</v>
      </c>
      <c r="O39" t="s">
        <v>96</v>
      </c>
      <c r="P39">
        <v>12</v>
      </c>
      <c r="Q39" t="s">
        <v>42</v>
      </c>
      <c r="S39" t="str">
        <f>_xlfn.XLOOKUP(UNIVERSO[[#This Row],[Ruta]],'[1]CUOTA RUTA'!A:A,'[1]CUOTA RUTA'!D:D)</f>
        <v>Cargar</v>
      </c>
    </row>
    <row r="40" spans="1:19" x14ac:dyDescent="0.25">
      <c r="A40">
        <v>1500010818</v>
      </c>
      <c r="B40" t="s">
        <v>168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169</v>
      </c>
      <c r="J40">
        <v>9.9790937</v>
      </c>
      <c r="K40">
        <v>-84.118294309999996</v>
      </c>
      <c r="L40" t="s">
        <v>26</v>
      </c>
      <c r="M40" t="s">
        <v>27</v>
      </c>
      <c r="N40" t="s">
        <v>28</v>
      </c>
      <c r="O40" t="s">
        <v>29</v>
      </c>
      <c r="P40">
        <v>6</v>
      </c>
      <c r="Q40" t="s">
        <v>49</v>
      </c>
      <c r="S40" t="str">
        <f>_xlfn.XLOOKUP(UNIVERSO[[#This Row],[Ruta]],'[1]CUOTA RUTA'!A:A,'[1]CUOTA RUTA'!D:D)</f>
        <v>Cargar</v>
      </c>
    </row>
    <row r="41" spans="1:19" x14ac:dyDescent="0.25">
      <c r="A41">
        <v>1500011155</v>
      </c>
      <c r="B41" t="s">
        <v>168</v>
      </c>
      <c r="C41" t="s">
        <v>19</v>
      </c>
      <c r="D41" t="s">
        <v>32</v>
      </c>
      <c r="E41" t="s">
        <v>21</v>
      </c>
      <c r="F41" t="s">
        <v>22</v>
      </c>
      <c r="G41" t="s">
        <v>23</v>
      </c>
      <c r="H41" t="s">
        <v>103</v>
      </c>
      <c r="I41" t="s">
        <v>170</v>
      </c>
      <c r="J41">
        <v>9.9417139999999993</v>
      </c>
      <c r="K41">
        <v>-84.085937999999999</v>
      </c>
      <c r="L41" t="s">
        <v>26</v>
      </c>
      <c r="M41" t="s">
        <v>71</v>
      </c>
      <c r="N41" t="s">
        <v>72</v>
      </c>
      <c r="O41" t="s">
        <v>73</v>
      </c>
      <c r="P41">
        <v>1</v>
      </c>
      <c r="Q41" t="s">
        <v>155</v>
      </c>
      <c r="S41" t="str">
        <f>_xlfn.XLOOKUP(UNIVERSO[[#This Row],[Ruta]],'[1]CUOTA RUTA'!A:A,'[1]CUOTA RUTA'!D:D)</f>
        <v>Cargar</v>
      </c>
    </row>
    <row r="42" spans="1:19" x14ac:dyDescent="0.25">
      <c r="A42">
        <v>1500012317</v>
      </c>
      <c r="B42" t="s">
        <v>171</v>
      </c>
      <c r="C42" t="s">
        <v>19</v>
      </c>
      <c r="D42" t="s">
        <v>32</v>
      </c>
      <c r="E42" t="s">
        <v>21</v>
      </c>
      <c r="F42" t="s">
        <v>51</v>
      </c>
      <c r="G42" t="s">
        <v>23</v>
      </c>
      <c r="H42" t="s">
        <v>127</v>
      </c>
      <c r="I42" t="s">
        <v>172</v>
      </c>
      <c r="J42">
        <v>9.7967999999999993</v>
      </c>
      <c r="K42">
        <v>-84.131758333329998</v>
      </c>
      <c r="L42" t="s">
        <v>26</v>
      </c>
      <c r="M42" t="s">
        <v>54</v>
      </c>
      <c r="N42" t="s">
        <v>129</v>
      </c>
      <c r="O42" t="s">
        <v>130</v>
      </c>
      <c r="P42">
        <v>22</v>
      </c>
      <c r="Q42" t="s">
        <v>30</v>
      </c>
      <c r="S42" t="str">
        <f>_xlfn.XLOOKUP(UNIVERSO[[#This Row],[Ruta]],'[1]CUOTA RUTA'!A:A,'[1]CUOTA RUTA'!D:D)</f>
        <v>Cargar</v>
      </c>
    </row>
    <row r="43" spans="1:19" x14ac:dyDescent="0.25">
      <c r="A43">
        <v>1500015494</v>
      </c>
      <c r="B43" t="s">
        <v>173</v>
      </c>
      <c r="C43" t="s">
        <v>19</v>
      </c>
      <c r="D43" t="s">
        <v>32</v>
      </c>
      <c r="E43" t="s">
        <v>62</v>
      </c>
      <c r="F43" t="s">
        <v>63</v>
      </c>
      <c r="G43" t="s">
        <v>64</v>
      </c>
      <c r="H43" t="s">
        <v>174</v>
      </c>
      <c r="I43" t="s">
        <v>175</v>
      </c>
      <c r="J43">
        <v>9.9416930000000008</v>
      </c>
      <c r="K43">
        <v>-84.087669000000005</v>
      </c>
      <c r="L43" t="s">
        <v>26</v>
      </c>
      <c r="M43" t="s">
        <v>71</v>
      </c>
      <c r="N43" t="s">
        <v>72</v>
      </c>
      <c r="O43" t="s">
        <v>73</v>
      </c>
      <c r="P43">
        <v>1</v>
      </c>
      <c r="Q43" t="s">
        <v>155</v>
      </c>
      <c r="S43" t="str">
        <f>_xlfn.XLOOKUP(UNIVERSO[[#This Row],[Ruta]],'[1]CUOTA RUTA'!A:A,'[1]CUOTA RUTA'!D:D)</f>
        <v>Cargar</v>
      </c>
    </row>
    <row r="44" spans="1:19" x14ac:dyDescent="0.25">
      <c r="A44">
        <v>1500015771</v>
      </c>
      <c r="B44" t="s">
        <v>176</v>
      </c>
      <c r="C44" t="s">
        <v>19</v>
      </c>
      <c r="D44" t="s">
        <v>32</v>
      </c>
      <c r="E44" t="s">
        <v>21</v>
      </c>
      <c r="F44" t="s">
        <v>22</v>
      </c>
      <c r="G44" t="s">
        <v>23</v>
      </c>
      <c r="H44" t="s">
        <v>65</v>
      </c>
      <c r="I44" t="s">
        <v>177</v>
      </c>
      <c r="J44">
        <v>9.9218100000000007</v>
      </c>
      <c r="K44">
        <v>-83.979529999999997</v>
      </c>
      <c r="L44" t="s">
        <v>26</v>
      </c>
      <c r="M44" t="s">
        <v>36</v>
      </c>
      <c r="N44" t="s">
        <v>37</v>
      </c>
      <c r="O44" t="s">
        <v>38</v>
      </c>
      <c r="P44">
        <v>19</v>
      </c>
      <c r="Q44" t="s">
        <v>67</v>
      </c>
      <c r="S44" t="str">
        <f>_xlfn.XLOOKUP(UNIVERSO[[#This Row],[Ruta]],'[1]CUOTA RUTA'!A:A,'[1]CUOTA RUTA'!D:D)</f>
        <v>Cargar</v>
      </c>
    </row>
    <row r="45" spans="1:19" x14ac:dyDescent="0.25">
      <c r="A45">
        <v>1500017602</v>
      </c>
      <c r="B45" t="s">
        <v>178</v>
      </c>
      <c r="C45" t="s">
        <v>19</v>
      </c>
      <c r="D45" t="s">
        <v>32</v>
      </c>
      <c r="E45" t="s">
        <v>21</v>
      </c>
      <c r="F45" t="s">
        <v>22</v>
      </c>
      <c r="G45" t="s">
        <v>33</v>
      </c>
      <c r="H45" t="s">
        <v>179</v>
      </c>
      <c r="I45" t="s">
        <v>180</v>
      </c>
      <c r="J45">
        <v>9.8947070000000004</v>
      </c>
      <c r="K45">
        <v>-84.049784000000002</v>
      </c>
      <c r="L45" t="s">
        <v>26</v>
      </c>
      <c r="M45" t="s">
        <v>36</v>
      </c>
      <c r="N45" t="s">
        <v>37</v>
      </c>
      <c r="O45" t="s">
        <v>38</v>
      </c>
      <c r="P45">
        <v>14</v>
      </c>
      <c r="Q45" t="s">
        <v>181</v>
      </c>
      <c r="S45" t="str">
        <f>_xlfn.XLOOKUP(UNIVERSO[[#This Row],[Ruta]],'[1]CUOTA RUTA'!A:A,'[1]CUOTA RUTA'!D:D)</f>
        <v>Cargar</v>
      </c>
    </row>
    <row r="46" spans="1:19" x14ac:dyDescent="0.25">
      <c r="A46">
        <v>1500018390</v>
      </c>
      <c r="B46" t="s">
        <v>182</v>
      </c>
      <c r="C46" t="s">
        <v>19</v>
      </c>
      <c r="D46" t="s">
        <v>32</v>
      </c>
      <c r="E46" t="s">
        <v>21</v>
      </c>
      <c r="F46" t="s">
        <v>22</v>
      </c>
      <c r="G46" t="s">
        <v>33</v>
      </c>
      <c r="H46" t="s">
        <v>183</v>
      </c>
      <c r="I46" t="s">
        <v>184</v>
      </c>
      <c r="J46">
        <v>9.9598399999999998</v>
      </c>
      <c r="K46">
        <v>-84.075299999999999</v>
      </c>
      <c r="L46" t="s">
        <v>26</v>
      </c>
      <c r="M46" t="s">
        <v>36</v>
      </c>
      <c r="N46" t="s">
        <v>37</v>
      </c>
      <c r="O46" t="s">
        <v>38</v>
      </c>
      <c r="P46">
        <v>3</v>
      </c>
      <c r="Q46" t="s">
        <v>101</v>
      </c>
      <c r="S46" t="str">
        <f>_xlfn.XLOOKUP(UNIVERSO[[#This Row],[Ruta]],'[1]CUOTA RUTA'!A:A,'[1]CUOTA RUTA'!D:D)</f>
        <v>Cargar</v>
      </c>
    </row>
    <row r="47" spans="1:19" x14ac:dyDescent="0.25">
      <c r="A47">
        <v>1500022576</v>
      </c>
      <c r="B47" t="s">
        <v>185</v>
      </c>
      <c r="C47" t="s">
        <v>19</v>
      </c>
      <c r="D47" t="s">
        <v>186</v>
      </c>
      <c r="E47" t="s">
        <v>21</v>
      </c>
      <c r="F47" t="s">
        <v>51</v>
      </c>
      <c r="G47" t="s">
        <v>23</v>
      </c>
      <c r="H47" t="s">
        <v>187</v>
      </c>
      <c r="I47" t="s">
        <v>188</v>
      </c>
      <c r="J47">
        <v>10.000329000000001</v>
      </c>
      <c r="K47">
        <v>-83.044146999999995</v>
      </c>
      <c r="L47" t="s">
        <v>26</v>
      </c>
      <c r="M47" t="s">
        <v>189</v>
      </c>
      <c r="N47" t="s">
        <v>190</v>
      </c>
      <c r="O47" t="s">
        <v>191</v>
      </c>
      <c r="P47">
        <v>12</v>
      </c>
      <c r="Q47" t="s">
        <v>42</v>
      </c>
      <c r="S47" t="str">
        <f>_xlfn.XLOOKUP(UNIVERSO[[#This Row],[Ruta]],'[1]CUOTA RUTA'!A:A,'[1]CUOTA RUTA'!D:D)</f>
        <v>Cargar</v>
      </c>
    </row>
    <row r="48" spans="1:19" x14ac:dyDescent="0.25">
      <c r="A48">
        <v>1500024827</v>
      </c>
      <c r="B48" t="s">
        <v>192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193</v>
      </c>
      <c r="I48" t="s">
        <v>194</v>
      </c>
      <c r="J48">
        <v>10.002428999999999</v>
      </c>
      <c r="K48">
        <v>-84.242097000000001</v>
      </c>
      <c r="L48" t="s">
        <v>26</v>
      </c>
      <c r="M48" t="s">
        <v>54</v>
      </c>
      <c r="N48" t="s">
        <v>55</v>
      </c>
      <c r="O48" t="s">
        <v>56</v>
      </c>
      <c r="P48">
        <v>7</v>
      </c>
      <c r="Q48" t="s">
        <v>39</v>
      </c>
      <c r="S48" t="str">
        <f>_xlfn.XLOOKUP(UNIVERSO[[#This Row],[Ruta]],'[1]CUOTA RUTA'!A:A,'[1]CUOTA RUTA'!D:D)</f>
        <v>Cargar</v>
      </c>
    </row>
    <row r="49" spans="1:19" x14ac:dyDescent="0.25">
      <c r="A49">
        <v>1500025288</v>
      </c>
      <c r="B49" t="s">
        <v>195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193</v>
      </c>
      <c r="I49" t="s">
        <v>196</v>
      </c>
      <c r="J49">
        <v>9.9743472000000004</v>
      </c>
      <c r="K49">
        <v>-84.256388299999998</v>
      </c>
      <c r="L49" t="s">
        <v>26</v>
      </c>
      <c r="M49" t="s">
        <v>54</v>
      </c>
      <c r="N49" t="s">
        <v>55</v>
      </c>
      <c r="O49" t="s">
        <v>56</v>
      </c>
      <c r="P49">
        <v>6</v>
      </c>
      <c r="Q49" t="s">
        <v>49</v>
      </c>
      <c r="S49" t="str">
        <f>_xlfn.XLOOKUP(UNIVERSO[[#This Row],[Ruta]],'[1]CUOTA RUTA'!A:A,'[1]CUOTA RUTA'!D:D)</f>
        <v>Cargar</v>
      </c>
    </row>
    <row r="50" spans="1:19" x14ac:dyDescent="0.25">
      <c r="A50">
        <v>1500025509</v>
      </c>
      <c r="B50" t="s">
        <v>197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198</v>
      </c>
      <c r="I50" t="s">
        <v>199</v>
      </c>
      <c r="J50">
        <v>9.9153967000000005</v>
      </c>
      <c r="K50">
        <v>-84.179457999999997</v>
      </c>
      <c r="L50" t="s">
        <v>26</v>
      </c>
      <c r="M50" t="s">
        <v>54</v>
      </c>
      <c r="N50" t="s">
        <v>55</v>
      </c>
      <c r="O50" t="s">
        <v>56</v>
      </c>
      <c r="P50">
        <v>11</v>
      </c>
      <c r="Q50" t="s">
        <v>108</v>
      </c>
      <c r="S50" t="str">
        <f>_xlfn.XLOOKUP(UNIVERSO[[#This Row],[Ruta]],'[1]CUOTA RUTA'!A:A,'[1]CUOTA RUTA'!D:D)</f>
        <v>Cargar</v>
      </c>
    </row>
    <row r="51" spans="1:19" x14ac:dyDescent="0.25">
      <c r="A51">
        <v>1500027278</v>
      </c>
      <c r="B51" t="s">
        <v>200</v>
      </c>
      <c r="C51" t="s">
        <v>19</v>
      </c>
      <c r="D51" t="s">
        <v>201</v>
      </c>
      <c r="E51" t="s">
        <v>21</v>
      </c>
      <c r="F51" t="s">
        <v>22</v>
      </c>
      <c r="G51" t="s">
        <v>23</v>
      </c>
      <c r="H51" t="s">
        <v>202</v>
      </c>
      <c r="I51" t="s">
        <v>203</v>
      </c>
      <c r="J51">
        <v>9.9828499999999991</v>
      </c>
      <c r="K51">
        <v>-84.755859999999998</v>
      </c>
      <c r="L51" t="s">
        <v>26</v>
      </c>
      <c r="M51" t="s">
        <v>204</v>
      </c>
      <c r="N51" t="s">
        <v>205</v>
      </c>
      <c r="O51" t="s">
        <v>206</v>
      </c>
      <c r="P51">
        <v>9</v>
      </c>
      <c r="Q51" t="s">
        <v>80</v>
      </c>
      <c r="S51" t="str">
        <f>_xlfn.XLOOKUP(UNIVERSO[[#This Row],[Ruta]],'[1]CUOTA RUTA'!A:A,'[1]CUOTA RUTA'!D:D)</f>
        <v>Cargar</v>
      </c>
    </row>
    <row r="52" spans="1:19" x14ac:dyDescent="0.25">
      <c r="A52">
        <v>1500027994</v>
      </c>
      <c r="B52" t="s">
        <v>207</v>
      </c>
      <c r="C52" t="s">
        <v>19</v>
      </c>
      <c r="D52" t="s">
        <v>208</v>
      </c>
      <c r="E52" t="s">
        <v>62</v>
      </c>
      <c r="F52" t="s">
        <v>63</v>
      </c>
      <c r="G52" t="s">
        <v>23</v>
      </c>
      <c r="H52" t="s">
        <v>209</v>
      </c>
      <c r="I52" t="s">
        <v>210</v>
      </c>
      <c r="J52">
        <v>10.209070000000001</v>
      </c>
      <c r="K52">
        <v>-83.900099999999995</v>
      </c>
      <c r="L52" t="s">
        <v>26</v>
      </c>
      <c r="M52" t="s">
        <v>189</v>
      </c>
      <c r="N52" t="s">
        <v>211</v>
      </c>
      <c r="O52" t="s">
        <v>212</v>
      </c>
      <c r="P52">
        <v>4</v>
      </c>
      <c r="Q52" t="s">
        <v>120</v>
      </c>
      <c r="S52" t="str">
        <f>_xlfn.XLOOKUP(UNIVERSO[[#This Row],[Ruta]],'[1]CUOTA RUTA'!A:A,'[1]CUOTA RUTA'!D:D)</f>
        <v>Cargar</v>
      </c>
    </row>
    <row r="53" spans="1:19" x14ac:dyDescent="0.25">
      <c r="A53">
        <v>1500031585</v>
      </c>
      <c r="B53" t="s">
        <v>213</v>
      </c>
      <c r="C53" t="s">
        <v>19</v>
      </c>
      <c r="D53" t="s">
        <v>32</v>
      </c>
      <c r="E53" t="s">
        <v>21</v>
      </c>
      <c r="F53" t="s">
        <v>51</v>
      </c>
      <c r="G53" t="s">
        <v>23</v>
      </c>
      <c r="H53" t="s">
        <v>103</v>
      </c>
      <c r="I53" t="s">
        <v>214</v>
      </c>
      <c r="J53">
        <v>9.917228333333</v>
      </c>
      <c r="K53">
        <v>-84.097846666660004</v>
      </c>
      <c r="L53" t="s">
        <v>26</v>
      </c>
      <c r="M53" t="s">
        <v>71</v>
      </c>
      <c r="N53" t="s">
        <v>72</v>
      </c>
      <c r="O53" t="s">
        <v>73</v>
      </c>
      <c r="P53">
        <v>3</v>
      </c>
      <c r="Q53" t="s">
        <v>101</v>
      </c>
      <c r="S53" t="str">
        <f>_xlfn.XLOOKUP(UNIVERSO[[#This Row],[Ruta]],'[1]CUOTA RUTA'!A:A,'[1]CUOTA RUTA'!D:D)</f>
        <v>Cargar</v>
      </c>
    </row>
    <row r="54" spans="1:19" x14ac:dyDescent="0.25">
      <c r="A54">
        <v>1500033651</v>
      </c>
      <c r="B54" t="s">
        <v>215</v>
      </c>
      <c r="C54" t="s">
        <v>19</v>
      </c>
      <c r="D54" t="s">
        <v>186</v>
      </c>
      <c r="E54" t="s">
        <v>21</v>
      </c>
      <c r="F54" t="s">
        <v>22</v>
      </c>
      <c r="G54" t="s">
        <v>23</v>
      </c>
      <c r="H54" t="s">
        <v>187</v>
      </c>
      <c r="I54" t="s">
        <v>216</v>
      </c>
      <c r="J54">
        <v>10.00418</v>
      </c>
      <c r="K54">
        <v>-83.034080000000003</v>
      </c>
      <c r="L54" t="s">
        <v>26</v>
      </c>
      <c r="M54" t="s">
        <v>189</v>
      </c>
      <c r="N54" t="s">
        <v>190</v>
      </c>
      <c r="O54" t="s">
        <v>191</v>
      </c>
      <c r="P54">
        <v>12</v>
      </c>
      <c r="Q54" t="s">
        <v>42</v>
      </c>
      <c r="S54" t="str">
        <f>_xlfn.XLOOKUP(UNIVERSO[[#This Row],[Ruta]],'[1]CUOTA RUTA'!A:A,'[1]CUOTA RUTA'!D:D)</f>
        <v>Cargar</v>
      </c>
    </row>
    <row r="55" spans="1:19" x14ac:dyDescent="0.25">
      <c r="A55">
        <v>1500045972</v>
      </c>
      <c r="B55" t="s">
        <v>217</v>
      </c>
      <c r="C55" t="s">
        <v>19</v>
      </c>
      <c r="D55" t="s">
        <v>208</v>
      </c>
      <c r="E55" t="s">
        <v>62</v>
      </c>
      <c r="F55" t="s">
        <v>63</v>
      </c>
      <c r="G55" t="s">
        <v>33</v>
      </c>
      <c r="H55" t="s">
        <v>218</v>
      </c>
      <c r="I55" t="s">
        <v>219</v>
      </c>
      <c r="J55">
        <v>10.20214</v>
      </c>
      <c r="K55">
        <v>-83.796800000000005</v>
      </c>
      <c r="L55" t="s">
        <v>26</v>
      </c>
      <c r="M55" t="s">
        <v>189</v>
      </c>
      <c r="N55" t="s">
        <v>211</v>
      </c>
      <c r="O55" t="s">
        <v>212</v>
      </c>
      <c r="P55">
        <v>5</v>
      </c>
      <c r="Q55" t="s">
        <v>117</v>
      </c>
      <c r="S55" t="str">
        <f>_xlfn.XLOOKUP(UNIVERSO[[#This Row],[Ruta]],'[1]CUOTA RUTA'!A:A,'[1]CUOTA RUTA'!D:D)</f>
        <v>Cargar</v>
      </c>
    </row>
    <row r="56" spans="1:19" x14ac:dyDescent="0.25">
      <c r="A56">
        <v>1500046082</v>
      </c>
      <c r="B56" t="s">
        <v>220</v>
      </c>
      <c r="C56" t="s">
        <v>19</v>
      </c>
      <c r="D56" t="s">
        <v>208</v>
      </c>
      <c r="E56" t="s">
        <v>21</v>
      </c>
      <c r="F56" t="s">
        <v>22</v>
      </c>
      <c r="G56" t="s">
        <v>33</v>
      </c>
      <c r="H56" t="s">
        <v>221</v>
      </c>
      <c r="I56" t="s">
        <v>222</v>
      </c>
      <c r="J56">
        <v>10.14161</v>
      </c>
      <c r="K56">
        <v>-83.522999999999996</v>
      </c>
      <c r="L56" t="s">
        <v>26</v>
      </c>
      <c r="M56" t="s">
        <v>189</v>
      </c>
      <c r="N56" t="s">
        <v>211</v>
      </c>
      <c r="O56" t="s">
        <v>212</v>
      </c>
      <c r="P56">
        <v>9</v>
      </c>
      <c r="Q56" t="s">
        <v>80</v>
      </c>
      <c r="S56" t="str">
        <f>_xlfn.XLOOKUP(UNIVERSO[[#This Row],[Ruta]],'[1]CUOTA RUTA'!A:A,'[1]CUOTA RUTA'!D:D)</f>
        <v>Cargar</v>
      </c>
    </row>
    <row r="57" spans="1:19" x14ac:dyDescent="0.25">
      <c r="A57">
        <v>1500046251</v>
      </c>
      <c r="B57" t="s">
        <v>223</v>
      </c>
      <c r="C57" t="s">
        <v>19</v>
      </c>
      <c r="D57" t="s">
        <v>208</v>
      </c>
      <c r="E57" t="s">
        <v>21</v>
      </c>
      <c r="F57" t="s">
        <v>51</v>
      </c>
      <c r="G57" t="s">
        <v>23</v>
      </c>
      <c r="H57" t="s">
        <v>224</v>
      </c>
      <c r="I57" t="s">
        <v>225</v>
      </c>
      <c r="J57">
        <v>10.278549999999999</v>
      </c>
      <c r="K57">
        <v>-83.785129999999995</v>
      </c>
      <c r="L57" t="s">
        <v>26</v>
      </c>
      <c r="M57" t="s">
        <v>189</v>
      </c>
      <c r="N57" t="s">
        <v>211</v>
      </c>
      <c r="O57" t="s">
        <v>212</v>
      </c>
      <c r="P57">
        <v>2</v>
      </c>
      <c r="Q57" t="s">
        <v>150</v>
      </c>
      <c r="S57" t="str">
        <f>_xlfn.XLOOKUP(UNIVERSO[[#This Row],[Ruta]],'[1]CUOTA RUTA'!A:A,'[1]CUOTA RUTA'!D:D)</f>
        <v>Cargar</v>
      </c>
    </row>
    <row r="58" spans="1:19" x14ac:dyDescent="0.25">
      <c r="A58">
        <v>1500046297</v>
      </c>
      <c r="B58" t="s">
        <v>226</v>
      </c>
      <c r="C58" t="s">
        <v>19</v>
      </c>
      <c r="D58" t="s">
        <v>208</v>
      </c>
      <c r="E58" t="s">
        <v>21</v>
      </c>
      <c r="F58" t="s">
        <v>22</v>
      </c>
      <c r="G58" t="s">
        <v>33</v>
      </c>
      <c r="H58" t="s">
        <v>221</v>
      </c>
      <c r="I58" t="s">
        <v>227</v>
      </c>
      <c r="J58">
        <v>10.3172</v>
      </c>
      <c r="K58">
        <v>-83.761200000000002</v>
      </c>
      <c r="L58" t="s">
        <v>26</v>
      </c>
      <c r="M58" t="s">
        <v>189</v>
      </c>
      <c r="N58" t="s">
        <v>211</v>
      </c>
      <c r="O58" t="s">
        <v>212</v>
      </c>
      <c r="P58">
        <v>1</v>
      </c>
      <c r="Q58" t="s">
        <v>155</v>
      </c>
      <c r="S58" t="str">
        <f>_xlfn.XLOOKUP(UNIVERSO[[#This Row],[Ruta]],'[1]CUOTA RUTA'!A:A,'[1]CUOTA RUTA'!D:D)</f>
        <v>Cargar</v>
      </c>
    </row>
    <row r="59" spans="1:19" x14ac:dyDescent="0.25">
      <c r="A59">
        <v>1500048376</v>
      </c>
      <c r="B59" t="s">
        <v>228</v>
      </c>
      <c r="C59" t="s">
        <v>19</v>
      </c>
      <c r="D59" t="s">
        <v>186</v>
      </c>
      <c r="E59" t="s">
        <v>21</v>
      </c>
      <c r="F59" t="s">
        <v>22</v>
      </c>
      <c r="G59" t="s">
        <v>23</v>
      </c>
      <c r="H59" t="s">
        <v>229</v>
      </c>
      <c r="I59" t="s">
        <v>230</v>
      </c>
      <c r="J59">
        <v>9.9851689700000001</v>
      </c>
      <c r="K59">
        <v>-83.032750340000007</v>
      </c>
      <c r="L59" t="s">
        <v>26</v>
      </c>
      <c r="M59" t="s">
        <v>189</v>
      </c>
      <c r="N59" t="s">
        <v>190</v>
      </c>
      <c r="O59" t="s">
        <v>191</v>
      </c>
      <c r="P59">
        <v>15</v>
      </c>
      <c r="Q59" t="s">
        <v>231</v>
      </c>
      <c r="S59" t="str">
        <f>_xlfn.XLOOKUP(UNIVERSO[[#This Row],[Ruta]],'[1]CUOTA RUTA'!A:A,'[1]CUOTA RUTA'!D:D)</f>
        <v>Cargar</v>
      </c>
    </row>
    <row r="60" spans="1:19" x14ac:dyDescent="0.25">
      <c r="A60">
        <v>1500049016</v>
      </c>
      <c r="B60" t="s">
        <v>232</v>
      </c>
      <c r="C60" t="s">
        <v>19</v>
      </c>
      <c r="D60" t="s">
        <v>186</v>
      </c>
      <c r="E60" t="s">
        <v>21</v>
      </c>
      <c r="F60" t="s">
        <v>51</v>
      </c>
      <c r="G60" t="s">
        <v>23</v>
      </c>
      <c r="H60" t="s">
        <v>229</v>
      </c>
      <c r="I60" t="s">
        <v>233</v>
      </c>
      <c r="J60">
        <v>9.9853178200000006</v>
      </c>
      <c r="K60">
        <v>-83.047184869999995</v>
      </c>
      <c r="L60" t="s">
        <v>26</v>
      </c>
      <c r="M60" t="s">
        <v>189</v>
      </c>
      <c r="N60" t="s">
        <v>190</v>
      </c>
      <c r="O60" t="s">
        <v>191</v>
      </c>
      <c r="P60">
        <v>14</v>
      </c>
      <c r="Q60" t="s">
        <v>181</v>
      </c>
      <c r="S60" t="str">
        <f>_xlfn.XLOOKUP(UNIVERSO[[#This Row],[Ruta]],'[1]CUOTA RUTA'!A:A,'[1]CUOTA RUTA'!D:D)</f>
        <v>Cargar</v>
      </c>
    </row>
    <row r="61" spans="1:19" x14ac:dyDescent="0.25">
      <c r="A61">
        <v>1500049022</v>
      </c>
      <c r="B61" t="s">
        <v>234</v>
      </c>
      <c r="C61" t="s">
        <v>19</v>
      </c>
      <c r="D61" t="s">
        <v>186</v>
      </c>
      <c r="E61" t="s">
        <v>21</v>
      </c>
      <c r="F61" t="s">
        <v>22</v>
      </c>
      <c r="G61" t="s">
        <v>64</v>
      </c>
      <c r="H61" t="s">
        <v>187</v>
      </c>
      <c r="I61" t="s">
        <v>235</v>
      </c>
      <c r="J61">
        <v>10.00104</v>
      </c>
      <c r="K61">
        <v>-83.043189999999996</v>
      </c>
      <c r="L61" t="s">
        <v>26</v>
      </c>
      <c r="M61" t="s">
        <v>189</v>
      </c>
      <c r="N61" t="s">
        <v>190</v>
      </c>
      <c r="O61" t="s">
        <v>191</v>
      </c>
      <c r="P61">
        <v>12</v>
      </c>
      <c r="Q61" t="s">
        <v>42</v>
      </c>
      <c r="S61" t="str">
        <f>_xlfn.XLOOKUP(UNIVERSO[[#This Row],[Ruta]],'[1]CUOTA RUTA'!A:A,'[1]CUOTA RUTA'!D:D)</f>
        <v>Cargar</v>
      </c>
    </row>
    <row r="62" spans="1:19" x14ac:dyDescent="0.25">
      <c r="A62">
        <v>1500049074</v>
      </c>
      <c r="B62" t="s">
        <v>236</v>
      </c>
      <c r="C62" t="s">
        <v>19</v>
      </c>
      <c r="D62" t="s">
        <v>186</v>
      </c>
      <c r="E62" t="s">
        <v>21</v>
      </c>
      <c r="F62" t="s">
        <v>22</v>
      </c>
      <c r="G62" t="s">
        <v>33</v>
      </c>
      <c r="H62" t="s">
        <v>237</v>
      </c>
      <c r="I62" t="s">
        <v>238</v>
      </c>
      <c r="J62">
        <v>10.0983</v>
      </c>
      <c r="K62">
        <v>-83.351690000000005</v>
      </c>
      <c r="L62" t="s">
        <v>26</v>
      </c>
      <c r="M62" t="s">
        <v>189</v>
      </c>
      <c r="N62" t="s">
        <v>190</v>
      </c>
      <c r="O62" t="s">
        <v>191</v>
      </c>
      <c r="P62">
        <v>21</v>
      </c>
      <c r="Q62" t="s">
        <v>239</v>
      </c>
      <c r="S62" t="str">
        <f>_xlfn.XLOOKUP(UNIVERSO[[#This Row],[Ruta]],'[1]CUOTA RUTA'!A:A,'[1]CUOTA RUTA'!D:D)</f>
        <v>Cargar</v>
      </c>
    </row>
    <row r="63" spans="1:19" x14ac:dyDescent="0.25">
      <c r="A63">
        <v>1500050330</v>
      </c>
      <c r="B63" t="s">
        <v>240</v>
      </c>
      <c r="C63" t="s">
        <v>19</v>
      </c>
      <c r="D63" t="s">
        <v>186</v>
      </c>
      <c r="E63" t="s">
        <v>21</v>
      </c>
      <c r="F63" t="s">
        <v>22</v>
      </c>
      <c r="G63" t="s">
        <v>23</v>
      </c>
      <c r="H63" t="s">
        <v>241</v>
      </c>
      <c r="I63" t="s">
        <v>242</v>
      </c>
      <c r="J63">
        <v>9.9896519999999995</v>
      </c>
      <c r="K63">
        <v>-83.131037000000006</v>
      </c>
      <c r="L63" t="s">
        <v>26</v>
      </c>
      <c r="M63" t="s">
        <v>189</v>
      </c>
      <c r="N63" t="s">
        <v>190</v>
      </c>
      <c r="O63" t="s">
        <v>191</v>
      </c>
      <c r="P63">
        <v>23</v>
      </c>
      <c r="Q63" t="s">
        <v>125</v>
      </c>
      <c r="S63" t="str">
        <f>_xlfn.XLOOKUP(UNIVERSO[[#This Row],[Ruta]],'[1]CUOTA RUTA'!A:A,'[1]CUOTA RUTA'!D:D)</f>
        <v>Cargar</v>
      </c>
    </row>
    <row r="64" spans="1:19" x14ac:dyDescent="0.25">
      <c r="A64">
        <v>1500053879</v>
      </c>
      <c r="B64" t="s">
        <v>243</v>
      </c>
      <c r="C64" t="s">
        <v>19</v>
      </c>
      <c r="D64" t="s">
        <v>244</v>
      </c>
      <c r="E64" t="s">
        <v>21</v>
      </c>
      <c r="F64" t="s">
        <v>51</v>
      </c>
      <c r="G64" t="s">
        <v>23</v>
      </c>
      <c r="H64" t="s">
        <v>245</v>
      </c>
      <c r="I64" t="s">
        <v>246</v>
      </c>
      <c r="J64">
        <v>9.1592629999999993</v>
      </c>
      <c r="K64">
        <v>-83.741423999999995</v>
      </c>
      <c r="L64" t="s">
        <v>26</v>
      </c>
      <c r="M64" t="s">
        <v>46</v>
      </c>
      <c r="N64" t="s">
        <v>247</v>
      </c>
      <c r="O64" t="s">
        <v>248</v>
      </c>
      <c r="P64">
        <v>19</v>
      </c>
      <c r="Q64" t="s">
        <v>67</v>
      </c>
      <c r="S64" t="str">
        <f>_xlfn.XLOOKUP(UNIVERSO[[#This Row],[Ruta]],'[1]CUOTA RUTA'!A:A,'[1]CUOTA RUTA'!D:D)</f>
        <v>Cargar</v>
      </c>
    </row>
    <row r="65" spans="1:19" x14ac:dyDescent="0.25">
      <c r="A65">
        <v>1500056068</v>
      </c>
      <c r="B65" t="s">
        <v>249</v>
      </c>
      <c r="C65" t="s">
        <v>19</v>
      </c>
      <c r="D65" t="s">
        <v>20</v>
      </c>
      <c r="E65" t="s">
        <v>21</v>
      </c>
      <c r="F65" t="s">
        <v>22</v>
      </c>
      <c r="G65" t="s">
        <v>33</v>
      </c>
      <c r="H65" t="s">
        <v>250</v>
      </c>
      <c r="I65" t="s">
        <v>251</v>
      </c>
      <c r="J65">
        <v>10.071929000000001</v>
      </c>
      <c r="K65">
        <v>-84.313244999999995</v>
      </c>
      <c r="L65" t="s">
        <v>26</v>
      </c>
      <c r="M65" t="s">
        <v>46</v>
      </c>
      <c r="N65" t="s">
        <v>47</v>
      </c>
      <c r="O65" t="s">
        <v>48</v>
      </c>
      <c r="P65">
        <v>4</v>
      </c>
      <c r="Q65" t="s">
        <v>120</v>
      </c>
      <c r="S65" t="str">
        <f>_xlfn.XLOOKUP(UNIVERSO[[#This Row],[Ruta]],'[1]CUOTA RUTA'!A:A,'[1]CUOTA RUTA'!D:D)</f>
        <v>Cargar</v>
      </c>
    </row>
    <row r="66" spans="1:19" x14ac:dyDescent="0.25">
      <c r="A66">
        <v>1500056546</v>
      </c>
      <c r="B66" t="s">
        <v>252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44</v>
      </c>
      <c r="I66" t="s">
        <v>253</v>
      </c>
      <c r="J66">
        <v>10.10702</v>
      </c>
      <c r="K66">
        <v>-84.363219999999998</v>
      </c>
      <c r="L66" t="s">
        <v>26</v>
      </c>
      <c r="M66" t="s">
        <v>46</v>
      </c>
      <c r="N66" t="s">
        <v>47</v>
      </c>
      <c r="O66" t="s">
        <v>48</v>
      </c>
      <c r="P66">
        <v>2</v>
      </c>
      <c r="Q66" t="s">
        <v>150</v>
      </c>
      <c r="S66" t="str">
        <f>_xlfn.XLOOKUP(UNIVERSO[[#This Row],[Ruta]],'[1]CUOTA RUTA'!A:A,'[1]CUOTA RUTA'!D:D)</f>
        <v>Cargar</v>
      </c>
    </row>
    <row r="67" spans="1:19" x14ac:dyDescent="0.25">
      <c r="A67">
        <v>1500057491</v>
      </c>
      <c r="B67" t="s">
        <v>254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255</v>
      </c>
      <c r="I67" t="s">
        <v>256</v>
      </c>
      <c r="J67">
        <v>10.090044000000001</v>
      </c>
      <c r="K67">
        <v>-84.346342000000007</v>
      </c>
      <c r="L67" t="s">
        <v>26</v>
      </c>
      <c r="M67" t="s">
        <v>46</v>
      </c>
      <c r="N67" t="s">
        <v>47</v>
      </c>
      <c r="O67" t="s">
        <v>48</v>
      </c>
      <c r="P67">
        <v>5</v>
      </c>
      <c r="Q67" t="s">
        <v>117</v>
      </c>
      <c r="S67" t="str">
        <f>_xlfn.XLOOKUP(UNIVERSO[[#This Row],[Ruta]],'[1]CUOTA RUTA'!A:A,'[1]CUOTA RUTA'!D:D)</f>
        <v>Cargar</v>
      </c>
    </row>
    <row r="68" spans="1:19" x14ac:dyDescent="0.25">
      <c r="A68">
        <v>1500057499</v>
      </c>
      <c r="B68" t="s">
        <v>257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255</v>
      </c>
      <c r="I68" t="s">
        <v>258</v>
      </c>
      <c r="J68">
        <v>10.08947</v>
      </c>
      <c r="K68">
        <v>-84.346029999999999</v>
      </c>
      <c r="L68" t="s">
        <v>26</v>
      </c>
      <c r="M68" t="s">
        <v>46</v>
      </c>
      <c r="N68" t="s">
        <v>47</v>
      </c>
      <c r="O68" t="s">
        <v>48</v>
      </c>
      <c r="P68">
        <v>5</v>
      </c>
      <c r="Q68" t="s">
        <v>117</v>
      </c>
      <c r="S68" t="str">
        <f>_xlfn.XLOOKUP(UNIVERSO[[#This Row],[Ruta]],'[1]CUOTA RUTA'!A:A,'[1]CUOTA RUTA'!D:D)</f>
        <v>Cargar</v>
      </c>
    </row>
    <row r="69" spans="1:19" x14ac:dyDescent="0.25">
      <c r="A69">
        <v>1500057703</v>
      </c>
      <c r="B69" t="s">
        <v>259</v>
      </c>
      <c r="C69" t="s">
        <v>19</v>
      </c>
      <c r="D69" t="s">
        <v>20</v>
      </c>
      <c r="E69" t="s">
        <v>21</v>
      </c>
      <c r="F69" t="s">
        <v>22</v>
      </c>
      <c r="G69" t="s">
        <v>33</v>
      </c>
      <c r="H69" t="s">
        <v>260</v>
      </c>
      <c r="I69" t="s">
        <v>261</v>
      </c>
      <c r="J69">
        <v>10.094231730000001</v>
      </c>
      <c r="K69">
        <v>-84.470698380000002</v>
      </c>
      <c r="L69" t="s">
        <v>26</v>
      </c>
      <c r="M69" t="s">
        <v>46</v>
      </c>
      <c r="N69" t="s">
        <v>47</v>
      </c>
      <c r="O69" t="s">
        <v>48</v>
      </c>
      <c r="P69">
        <v>6</v>
      </c>
      <c r="Q69" t="s">
        <v>49</v>
      </c>
      <c r="S69" t="str">
        <f>_xlfn.XLOOKUP(UNIVERSO[[#This Row],[Ruta]],'[1]CUOTA RUTA'!A:A,'[1]CUOTA RUTA'!D:D)</f>
        <v>Cargar</v>
      </c>
    </row>
    <row r="70" spans="1:19" x14ac:dyDescent="0.25">
      <c r="A70">
        <v>1500057820</v>
      </c>
      <c r="B70" t="s">
        <v>262</v>
      </c>
      <c r="C70" t="s">
        <v>19</v>
      </c>
      <c r="D70" t="s">
        <v>20</v>
      </c>
      <c r="E70" t="s">
        <v>21</v>
      </c>
      <c r="F70" t="s">
        <v>22</v>
      </c>
      <c r="G70" t="s">
        <v>64</v>
      </c>
      <c r="H70" t="s">
        <v>263</v>
      </c>
      <c r="I70" t="s">
        <v>264</v>
      </c>
      <c r="J70">
        <v>10.1096</v>
      </c>
      <c r="K70">
        <v>-84.403049999999993</v>
      </c>
      <c r="L70" t="s">
        <v>26</v>
      </c>
      <c r="M70" t="s">
        <v>46</v>
      </c>
      <c r="N70" t="s">
        <v>47</v>
      </c>
      <c r="O70" t="s">
        <v>48</v>
      </c>
      <c r="P70">
        <v>1</v>
      </c>
      <c r="Q70" t="s">
        <v>155</v>
      </c>
      <c r="S70" t="str">
        <f>_xlfn.XLOOKUP(UNIVERSO[[#This Row],[Ruta]],'[1]CUOTA RUTA'!A:A,'[1]CUOTA RUTA'!D:D)</f>
        <v>Cargar</v>
      </c>
    </row>
    <row r="71" spans="1:19" x14ac:dyDescent="0.25">
      <c r="A71">
        <v>1500059453</v>
      </c>
      <c r="B71" t="s">
        <v>265</v>
      </c>
      <c r="C71" t="s">
        <v>19</v>
      </c>
      <c r="D71" t="s">
        <v>266</v>
      </c>
      <c r="E71" t="s">
        <v>21</v>
      </c>
      <c r="F71" t="s">
        <v>22</v>
      </c>
      <c r="G71" t="s">
        <v>33</v>
      </c>
      <c r="H71" t="s">
        <v>267</v>
      </c>
      <c r="I71" t="s">
        <v>268</v>
      </c>
      <c r="J71">
        <v>9.9117339999999992</v>
      </c>
      <c r="K71">
        <v>-83.682200359999996</v>
      </c>
      <c r="L71" t="s">
        <v>26</v>
      </c>
      <c r="M71" t="s">
        <v>189</v>
      </c>
      <c r="N71" t="s">
        <v>269</v>
      </c>
      <c r="O71" t="s">
        <v>270</v>
      </c>
      <c r="P71">
        <v>21</v>
      </c>
      <c r="Q71" t="s">
        <v>239</v>
      </c>
      <c r="S71" t="str">
        <f>_xlfn.XLOOKUP(UNIVERSO[[#This Row],[Ruta]],'[1]CUOTA RUTA'!A:A,'[1]CUOTA RUTA'!D:D)</f>
        <v>Cargar</v>
      </c>
    </row>
    <row r="72" spans="1:19" x14ac:dyDescent="0.25">
      <c r="A72">
        <v>1500059575</v>
      </c>
      <c r="B72" t="s">
        <v>271</v>
      </c>
      <c r="C72" t="s">
        <v>19</v>
      </c>
      <c r="D72" t="s">
        <v>266</v>
      </c>
      <c r="E72" t="s">
        <v>21</v>
      </c>
      <c r="F72" t="s">
        <v>22</v>
      </c>
      <c r="G72" t="s">
        <v>33</v>
      </c>
      <c r="H72" t="s">
        <v>272</v>
      </c>
      <c r="I72" t="s">
        <v>273</v>
      </c>
      <c r="J72">
        <v>9.8769079000000009</v>
      </c>
      <c r="K72">
        <v>-83.831081699999999</v>
      </c>
      <c r="L72" t="s">
        <v>26</v>
      </c>
      <c r="M72" t="s">
        <v>54</v>
      </c>
      <c r="N72" t="s">
        <v>274</v>
      </c>
      <c r="O72" t="s">
        <v>275</v>
      </c>
      <c r="P72">
        <v>21</v>
      </c>
      <c r="Q72" t="s">
        <v>239</v>
      </c>
      <c r="S72" t="str">
        <f>_xlfn.XLOOKUP(UNIVERSO[[#This Row],[Ruta]],'[1]CUOTA RUTA'!A:A,'[1]CUOTA RUTA'!D:D)</f>
        <v>Cargar</v>
      </c>
    </row>
    <row r="73" spans="1:19" x14ac:dyDescent="0.25">
      <c r="A73">
        <v>1500059845</v>
      </c>
      <c r="B73" t="s">
        <v>276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277</v>
      </c>
      <c r="I73" t="s">
        <v>278</v>
      </c>
      <c r="J73">
        <v>9.9734149999999993</v>
      </c>
      <c r="K73">
        <v>-84.210642000000007</v>
      </c>
      <c r="L73" t="s">
        <v>26</v>
      </c>
      <c r="M73" t="s">
        <v>54</v>
      </c>
      <c r="N73" t="s">
        <v>55</v>
      </c>
      <c r="O73" t="s">
        <v>56</v>
      </c>
      <c r="P73">
        <v>19</v>
      </c>
      <c r="Q73" t="s">
        <v>67</v>
      </c>
      <c r="S73" t="str">
        <f>_xlfn.XLOOKUP(UNIVERSO[[#This Row],[Ruta]],'[1]CUOTA RUTA'!A:A,'[1]CUOTA RUTA'!D:D)</f>
        <v>Cargar</v>
      </c>
    </row>
    <row r="74" spans="1:19" x14ac:dyDescent="0.25">
      <c r="A74">
        <v>1500060033</v>
      </c>
      <c r="B74" t="s">
        <v>279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280</v>
      </c>
      <c r="I74" t="s">
        <v>281</v>
      </c>
      <c r="J74">
        <v>10.0150869</v>
      </c>
      <c r="K74">
        <v>-84.204808900000003</v>
      </c>
      <c r="L74" t="s">
        <v>26</v>
      </c>
      <c r="M74" t="s">
        <v>54</v>
      </c>
      <c r="N74" t="s">
        <v>55</v>
      </c>
      <c r="O74" t="s">
        <v>56</v>
      </c>
      <c r="P74">
        <v>4</v>
      </c>
      <c r="Q74" t="s">
        <v>120</v>
      </c>
      <c r="S74" t="str">
        <f>_xlfn.XLOOKUP(UNIVERSO[[#This Row],[Ruta]],'[1]CUOTA RUTA'!A:A,'[1]CUOTA RUTA'!D:D)</f>
        <v>Cargar</v>
      </c>
    </row>
    <row r="75" spans="1:19" x14ac:dyDescent="0.25">
      <c r="A75">
        <v>1500060301</v>
      </c>
      <c r="B75" t="s">
        <v>282</v>
      </c>
      <c r="C75" t="s">
        <v>19</v>
      </c>
      <c r="D75" t="s">
        <v>20</v>
      </c>
      <c r="E75" t="s">
        <v>21</v>
      </c>
      <c r="F75" t="s">
        <v>51</v>
      </c>
      <c r="G75" t="s">
        <v>23</v>
      </c>
      <c r="H75" t="s">
        <v>277</v>
      </c>
      <c r="I75" t="s">
        <v>283</v>
      </c>
      <c r="J75">
        <v>9.9854417000000009</v>
      </c>
      <c r="K75">
        <v>-84.182315000000003</v>
      </c>
      <c r="L75" t="s">
        <v>26</v>
      </c>
      <c r="M75" t="s">
        <v>54</v>
      </c>
      <c r="N75" t="s">
        <v>55</v>
      </c>
      <c r="O75" t="s">
        <v>56</v>
      </c>
      <c r="P75">
        <v>14</v>
      </c>
      <c r="Q75" t="s">
        <v>181</v>
      </c>
      <c r="S75" t="str">
        <f>_xlfn.XLOOKUP(UNIVERSO[[#This Row],[Ruta]],'[1]CUOTA RUTA'!A:A,'[1]CUOTA RUTA'!D:D)</f>
        <v>Cargar</v>
      </c>
    </row>
    <row r="76" spans="1:19" x14ac:dyDescent="0.25">
      <c r="A76">
        <v>1500060554</v>
      </c>
      <c r="B76" t="s">
        <v>284</v>
      </c>
      <c r="C76" t="s">
        <v>19</v>
      </c>
      <c r="D76" t="s">
        <v>20</v>
      </c>
      <c r="E76" t="s">
        <v>21</v>
      </c>
      <c r="F76" t="s">
        <v>22</v>
      </c>
      <c r="G76" t="s">
        <v>33</v>
      </c>
      <c r="H76" t="s">
        <v>285</v>
      </c>
      <c r="I76" t="s">
        <v>286</v>
      </c>
      <c r="J76">
        <v>9.9955999999999996</v>
      </c>
      <c r="K76">
        <v>-84.163093000000003</v>
      </c>
      <c r="L76" t="s">
        <v>26</v>
      </c>
      <c r="M76" t="s">
        <v>54</v>
      </c>
      <c r="N76" t="s">
        <v>55</v>
      </c>
      <c r="O76" t="s">
        <v>56</v>
      </c>
      <c r="P76">
        <v>17</v>
      </c>
      <c r="Q76" t="s">
        <v>287</v>
      </c>
      <c r="S76" t="str">
        <f>_xlfn.XLOOKUP(UNIVERSO[[#This Row],[Ruta]],'[1]CUOTA RUTA'!A:A,'[1]CUOTA RUTA'!D:D)</f>
        <v>Cargar</v>
      </c>
    </row>
    <row r="77" spans="1:19" x14ac:dyDescent="0.25">
      <c r="A77">
        <v>1500060659</v>
      </c>
      <c r="B77" t="s">
        <v>288</v>
      </c>
      <c r="C77" t="s">
        <v>19</v>
      </c>
      <c r="D77" t="s">
        <v>20</v>
      </c>
      <c r="E77" t="s">
        <v>21</v>
      </c>
      <c r="F77" t="s">
        <v>22</v>
      </c>
      <c r="G77" t="s">
        <v>33</v>
      </c>
      <c r="H77" t="s">
        <v>285</v>
      </c>
      <c r="I77" t="s">
        <v>289</v>
      </c>
      <c r="J77">
        <v>10.0042376</v>
      </c>
      <c r="K77">
        <v>-84.188439299999999</v>
      </c>
      <c r="L77" t="s">
        <v>26</v>
      </c>
      <c r="M77" t="s">
        <v>54</v>
      </c>
      <c r="N77" t="s">
        <v>55</v>
      </c>
      <c r="O77" t="s">
        <v>56</v>
      </c>
      <c r="P77">
        <v>15</v>
      </c>
      <c r="Q77" t="s">
        <v>231</v>
      </c>
      <c r="S77" t="str">
        <f>_xlfn.XLOOKUP(UNIVERSO[[#This Row],[Ruta]],'[1]CUOTA RUTA'!A:A,'[1]CUOTA RUTA'!D:D)</f>
        <v>Cargar</v>
      </c>
    </row>
    <row r="78" spans="1:19" x14ac:dyDescent="0.25">
      <c r="A78">
        <v>1500060679</v>
      </c>
      <c r="B78" t="s">
        <v>290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58</v>
      </c>
      <c r="I78" t="s">
        <v>291</v>
      </c>
      <c r="J78">
        <v>10.004745</v>
      </c>
      <c r="K78">
        <v>-84.189825999999996</v>
      </c>
      <c r="L78" t="s">
        <v>26</v>
      </c>
      <c r="M78" t="s">
        <v>54</v>
      </c>
      <c r="N78" t="s">
        <v>55</v>
      </c>
      <c r="O78" t="s">
        <v>56</v>
      </c>
      <c r="P78">
        <v>15</v>
      </c>
      <c r="Q78" t="s">
        <v>231</v>
      </c>
      <c r="S78" t="str">
        <f>_xlfn.XLOOKUP(UNIVERSO[[#This Row],[Ruta]],'[1]CUOTA RUTA'!A:A,'[1]CUOTA RUTA'!D:D)</f>
        <v>Cargar</v>
      </c>
    </row>
    <row r="79" spans="1:19" x14ac:dyDescent="0.25">
      <c r="A79">
        <v>1500061228</v>
      </c>
      <c r="B79" t="s">
        <v>292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277</v>
      </c>
      <c r="I79" t="s">
        <v>293</v>
      </c>
      <c r="J79">
        <v>9.9327199999999998</v>
      </c>
      <c r="K79">
        <v>-84.200720000000004</v>
      </c>
      <c r="L79" t="s">
        <v>26</v>
      </c>
      <c r="M79" t="s">
        <v>54</v>
      </c>
      <c r="N79" t="s">
        <v>55</v>
      </c>
      <c r="O79" t="s">
        <v>56</v>
      </c>
      <c r="P79">
        <v>10</v>
      </c>
      <c r="Q79" t="s">
        <v>136</v>
      </c>
      <c r="S79" t="str">
        <f>_xlfn.XLOOKUP(UNIVERSO[[#This Row],[Ruta]],'[1]CUOTA RUTA'!A:A,'[1]CUOTA RUTA'!D:D)</f>
        <v>Cargar</v>
      </c>
    </row>
    <row r="80" spans="1:19" x14ac:dyDescent="0.25">
      <c r="A80">
        <v>1500061270</v>
      </c>
      <c r="B80" t="s">
        <v>294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198</v>
      </c>
      <c r="I80" t="s">
        <v>295</v>
      </c>
      <c r="J80">
        <v>9.9153941999999997</v>
      </c>
      <c r="K80">
        <v>-84.1795075</v>
      </c>
      <c r="L80" t="s">
        <v>26</v>
      </c>
      <c r="M80" t="s">
        <v>54</v>
      </c>
      <c r="N80" t="s">
        <v>55</v>
      </c>
      <c r="O80" t="s">
        <v>56</v>
      </c>
      <c r="P80">
        <v>11</v>
      </c>
      <c r="Q80" t="s">
        <v>108</v>
      </c>
      <c r="S80" t="str">
        <f>_xlfn.XLOOKUP(UNIVERSO[[#This Row],[Ruta]],'[1]CUOTA RUTA'!A:A,'[1]CUOTA RUTA'!D:D)</f>
        <v>Cargar</v>
      </c>
    </row>
    <row r="81" spans="1:19" x14ac:dyDescent="0.25">
      <c r="A81">
        <v>1500061352</v>
      </c>
      <c r="B81" t="s">
        <v>296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277</v>
      </c>
      <c r="I81" t="s">
        <v>297</v>
      </c>
      <c r="J81">
        <v>9.9312000000000005</v>
      </c>
      <c r="K81">
        <v>-84.184830000000005</v>
      </c>
      <c r="L81" t="s">
        <v>26</v>
      </c>
      <c r="M81" t="s">
        <v>54</v>
      </c>
      <c r="N81" t="s">
        <v>55</v>
      </c>
      <c r="O81" t="s">
        <v>56</v>
      </c>
      <c r="P81">
        <v>11</v>
      </c>
      <c r="Q81" t="s">
        <v>108</v>
      </c>
      <c r="S81" t="str">
        <f>_xlfn.XLOOKUP(UNIVERSO[[#This Row],[Ruta]],'[1]CUOTA RUTA'!A:A,'[1]CUOTA RUTA'!D:D)</f>
        <v>Cargar</v>
      </c>
    </row>
    <row r="82" spans="1:19" x14ac:dyDescent="0.25">
      <c r="A82">
        <v>1500061440</v>
      </c>
      <c r="B82" t="s">
        <v>298</v>
      </c>
      <c r="C82" t="s">
        <v>19</v>
      </c>
      <c r="D82" t="s">
        <v>20</v>
      </c>
      <c r="E82" t="s">
        <v>21</v>
      </c>
      <c r="F82" t="s">
        <v>51</v>
      </c>
      <c r="G82" t="s">
        <v>23</v>
      </c>
      <c r="H82" t="s">
        <v>58</v>
      </c>
      <c r="I82" t="s">
        <v>299</v>
      </c>
      <c r="J82">
        <v>9.9920650000000002</v>
      </c>
      <c r="K82">
        <v>-84.245470999999995</v>
      </c>
      <c r="L82" t="s">
        <v>26</v>
      </c>
      <c r="M82" t="s">
        <v>54</v>
      </c>
      <c r="N82" t="s">
        <v>55</v>
      </c>
      <c r="O82" t="s">
        <v>56</v>
      </c>
      <c r="P82">
        <v>8</v>
      </c>
      <c r="Q82" t="s">
        <v>97</v>
      </c>
      <c r="S82" t="str">
        <f>_xlfn.XLOOKUP(UNIVERSO[[#This Row],[Ruta]],'[1]CUOTA RUTA'!A:A,'[1]CUOTA RUTA'!D:D)</f>
        <v>Cargar</v>
      </c>
    </row>
    <row r="83" spans="1:19" x14ac:dyDescent="0.25">
      <c r="A83">
        <v>1500061445</v>
      </c>
      <c r="B83" t="s">
        <v>300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58</v>
      </c>
      <c r="I83" t="s">
        <v>301</v>
      </c>
      <c r="J83">
        <v>9.9868199999999998</v>
      </c>
      <c r="K83">
        <v>-84.244399999999999</v>
      </c>
      <c r="L83" t="s">
        <v>26</v>
      </c>
      <c r="M83" t="s">
        <v>54</v>
      </c>
      <c r="N83" t="s">
        <v>55</v>
      </c>
      <c r="O83" t="s">
        <v>56</v>
      </c>
      <c r="P83">
        <v>5</v>
      </c>
      <c r="Q83" t="s">
        <v>117</v>
      </c>
      <c r="S83" t="str">
        <f>_xlfn.XLOOKUP(UNIVERSO[[#This Row],[Ruta]],'[1]CUOTA RUTA'!A:A,'[1]CUOTA RUTA'!D:D)</f>
        <v>Cargar</v>
      </c>
    </row>
    <row r="84" spans="1:19" x14ac:dyDescent="0.25">
      <c r="A84">
        <v>1500061446</v>
      </c>
      <c r="B84" t="s">
        <v>302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303</v>
      </c>
      <c r="I84" t="s">
        <v>304</v>
      </c>
      <c r="J84">
        <v>9.9871241000000008</v>
      </c>
      <c r="K84">
        <v>-84.244621699999996</v>
      </c>
      <c r="L84" t="s">
        <v>26</v>
      </c>
      <c r="M84" t="s">
        <v>54</v>
      </c>
      <c r="N84" t="s">
        <v>55</v>
      </c>
      <c r="O84" t="s">
        <v>56</v>
      </c>
      <c r="P84">
        <v>5</v>
      </c>
      <c r="Q84" t="s">
        <v>117</v>
      </c>
      <c r="S84" t="str">
        <f>_xlfn.XLOOKUP(UNIVERSO[[#This Row],[Ruta]],'[1]CUOTA RUTA'!A:A,'[1]CUOTA RUTA'!D:D)</f>
        <v>Cargar</v>
      </c>
    </row>
    <row r="85" spans="1:19" x14ac:dyDescent="0.25">
      <c r="A85">
        <v>1500061645</v>
      </c>
      <c r="B85" t="s">
        <v>305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250</v>
      </c>
      <c r="I85" t="s">
        <v>306</v>
      </c>
      <c r="J85">
        <v>10.014713</v>
      </c>
      <c r="K85">
        <v>-84.242733000000001</v>
      </c>
      <c r="L85" t="s">
        <v>26</v>
      </c>
      <c r="M85" t="s">
        <v>46</v>
      </c>
      <c r="N85" t="s">
        <v>47</v>
      </c>
      <c r="O85" t="s">
        <v>48</v>
      </c>
      <c r="P85">
        <v>3</v>
      </c>
      <c r="Q85" t="s">
        <v>101</v>
      </c>
      <c r="S85" t="str">
        <f>_xlfn.XLOOKUP(UNIVERSO[[#This Row],[Ruta]],'[1]CUOTA RUTA'!A:A,'[1]CUOTA RUTA'!D:D)</f>
        <v>Cargar</v>
      </c>
    </row>
    <row r="86" spans="1:19" x14ac:dyDescent="0.25">
      <c r="A86">
        <v>1500062250</v>
      </c>
      <c r="B86" t="s">
        <v>307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 t="s">
        <v>308</v>
      </c>
      <c r="I86" t="s">
        <v>309</v>
      </c>
      <c r="J86">
        <v>9.8385200000000008</v>
      </c>
      <c r="K86">
        <v>-84.204849999999993</v>
      </c>
      <c r="L86" t="s">
        <v>26</v>
      </c>
      <c r="M86" t="s">
        <v>54</v>
      </c>
      <c r="N86" t="s">
        <v>55</v>
      </c>
      <c r="O86" t="s">
        <v>56</v>
      </c>
      <c r="P86">
        <v>23</v>
      </c>
      <c r="Q86" t="s">
        <v>125</v>
      </c>
      <c r="S86" t="str">
        <f>_xlfn.XLOOKUP(UNIVERSO[[#This Row],[Ruta]],'[1]CUOTA RUTA'!A:A,'[1]CUOTA RUTA'!D:D)</f>
        <v>Cargar</v>
      </c>
    </row>
    <row r="87" spans="1:19" x14ac:dyDescent="0.25">
      <c r="A87">
        <v>1500062869</v>
      </c>
      <c r="B87" t="s">
        <v>310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311</v>
      </c>
      <c r="I87" t="s">
        <v>312</v>
      </c>
      <c r="J87">
        <v>9.9752799999999997</v>
      </c>
      <c r="K87">
        <v>-84.202449999999999</v>
      </c>
      <c r="L87" t="s">
        <v>26</v>
      </c>
      <c r="M87" t="s">
        <v>54</v>
      </c>
      <c r="N87" t="s">
        <v>55</v>
      </c>
      <c r="O87" t="s">
        <v>56</v>
      </c>
      <c r="P87">
        <v>14</v>
      </c>
      <c r="Q87" t="s">
        <v>181</v>
      </c>
      <c r="S87" t="str">
        <f>_xlfn.XLOOKUP(UNIVERSO[[#This Row],[Ruta]],'[1]CUOTA RUTA'!A:A,'[1]CUOTA RUTA'!D:D)</f>
        <v>Cargar</v>
      </c>
    </row>
    <row r="88" spans="1:19" x14ac:dyDescent="0.25">
      <c r="A88">
        <v>1500064264</v>
      </c>
      <c r="B88" t="s">
        <v>313</v>
      </c>
      <c r="C88" t="s">
        <v>19</v>
      </c>
      <c r="D88" t="s">
        <v>266</v>
      </c>
      <c r="E88" t="s">
        <v>21</v>
      </c>
      <c r="F88" t="s">
        <v>22</v>
      </c>
      <c r="G88" t="s">
        <v>23</v>
      </c>
      <c r="H88" t="s">
        <v>314</v>
      </c>
      <c r="I88" t="s">
        <v>315</v>
      </c>
      <c r="J88">
        <v>9.8820420000000002</v>
      </c>
      <c r="K88">
        <v>-83.936184999999995</v>
      </c>
      <c r="L88" t="s">
        <v>26</v>
      </c>
      <c r="M88" t="s">
        <v>36</v>
      </c>
      <c r="N88" t="s">
        <v>316</v>
      </c>
      <c r="O88" t="s">
        <v>317</v>
      </c>
      <c r="P88">
        <v>21</v>
      </c>
      <c r="Q88" t="s">
        <v>239</v>
      </c>
      <c r="S88" t="str">
        <f>_xlfn.XLOOKUP(UNIVERSO[[#This Row],[Ruta]],'[1]CUOTA RUTA'!A:A,'[1]CUOTA RUTA'!D:D)</f>
        <v>Cargar</v>
      </c>
    </row>
    <row r="89" spans="1:19" x14ac:dyDescent="0.25">
      <c r="A89">
        <v>1500064288</v>
      </c>
      <c r="B89" t="s">
        <v>318</v>
      </c>
      <c r="C89" t="s">
        <v>19</v>
      </c>
      <c r="D89" t="s">
        <v>266</v>
      </c>
      <c r="E89" t="s">
        <v>21</v>
      </c>
      <c r="F89" t="s">
        <v>22</v>
      </c>
      <c r="G89" t="s">
        <v>33</v>
      </c>
      <c r="H89" t="s">
        <v>314</v>
      </c>
      <c r="I89" t="s">
        <v>319</v>
      </c>
      <c r="J89">
        <v>9.8819882999999997</v>
      </c>
      <c r="K89">
        <v>-83.934296799999998</v>
      </c>
      <c r="L89" t="s">
        <v>26</v>
      </c>
      <c r="M89" t="s">
        <v>36</v>
      </c>
      <c r="N89" t="s">
        <v>316</v>
      </c>
      <c r="O89" t="s">
        <v>317</v>
      </c>
      <c r="P89">
        <v>21</v>
      </c>
      <c r="Q89" t="s">
        <v>239</v>
      </c>
      <c r="S89" t="str">
        <f>_xlfn.XLOOKUP(UNIVERSO[[#This Row],[Ruta]],'[1]CUOTA RUTA'!A:A,'[1]CUOTA RUTA'!D:D)</f>
        <v>Cargar</v>
      </c>
    </row>
    <row r="90" spans="1:19" x14ac:dyDescent="0.25">
      <c r="A90">
        <v>1500064967</v>
      </c>
      <c r="B90" t="s">
        <v>320</v>
      </c>
      <c r="C90" t="s">
        <v>19</v>
      </c>
      <c r="D90" t="s">
        <v>266</v>
      </c>
      <c r="E90" t="s">
        <v>21</v>
      </c>
      <c r="F90" t="s">
        <v>22</v>
      </c>
      <c r="G90" t="s">
        <v>33</v>
      </c>
      <c r="H90" t="s">
        <v>321</v>
      </c>
      <c r="I90" t="s">
        <v>322</v>
      </c>
      <c r="J90">
        <v>9.7721988999999994</v>
      </c>
      <c r="K90">
        <v>-84.031980899999994</v>
      </c>
      <c r="L90" t="s">
        <v>26</v>
      </c>
      <c r="M90" t="s">
        <v>54</v>
      </c>
      <c r="N90" t="s">
        <v>274</v>
      </c>
      <c r="O90" t="s">
        <v>275</v>
      </c>
      <c r="P90">
        <v>23</v>
      </c>
      <c r="Q90" t="s">
        <v>125</v>
      </c>
      <c r="S90" t="str">
        <f>_xlfn.XLOOKUP(UNIVERSO[[#This Row],[Ruta]],'[1]CUOTA RUTA'!A:A,'[1]CUOTA RUTA'!D:D)</f>
        <v>Cargar</v>
      </c>
    </row>
    <row r="91" spans="1:19" x14ac:dyDescent="0.25">
      <c r="A91">
        <v>1500065870</v>
      </c>
      <c r="B91" t="s">
        <v>323</v>
      </c>
      <c r="C91" t="s">
        <v>19</v>
      </c>
      <c r="D91" t="s">
        <v>324</v>
      </c>
      <c r="E91" t="s">
        <v>21</v>
      </c>
      <c r="F91" t="s">
        <v>22</v>
      </c>
      <c r="G91" t="s">
        <v>33</v>
      </c>
      <c r="H91" t="s">
        <v>325</v>
      </c>
      <c r="I91" t="s">
        <v>326</v>
      </c>
      <c r="J91">
        <v>10.3538</v>
      </c>
      <c r="K91">
        <v>-84.570279999999997</v>
      </c>
      <c r="L91" t="s">
        <v>26</v>
      </c>
      <c r="M91" t="s">
        <v>327</v>
      </c>
      <c r="N91" t="s">
        <v>328</v>
      </c>
      <c r="O91" t="s">
        <v>329</v>
      </c>
      <c r="P91">
        <v>14</v>
      </c>
      <c r="Q91" t="s">
        <v>181</v>
      </c>
      <c r="S91" t="str">
        <f>_xlfn.XLOOKUP(UNIVERSO[[#This Row],[Ruta]],'[1]CUOTA RUTA'!A:A,'[1]CUOTA RUTA'!D:D)</f>
        <v>Cargar</v>
      </c>
    </row>
    <row r="92" spans="1:19" x14ac:dyDescent="0.25">
      <c r="A92">
        <v>1500066914</v>
      </c>
      <c r="B92" t="s">
        <v>330</v>
      </c>
      <c r="C92" t="s">
        <v>19</v>
      </c>
      <c r="D92" t="s">
        <v>324</v>
      </c>
      <c r="E92" t="s">
        <v>21</v>
      </c>
      <c r="F92" t="s">
        <v>51</v>
      </c>
      <c r="G92" t="s">
        <v>23</v>
      </c>
      <c r="H92" t="s">
        <v>331</v>
      </c>
      <c r="I92" t="s">
        <v>332</v>
      </c>
      <c r="J92">
        <v>10.4008</v>
      </c>
      <c r="K92">
        <v>-84.337339999999998</v>
      </c>
      <c r="L92" t="s">
        <v>26</v>
      </c>
      <c r="M92" t="s">
        <v>327</v>
      </c>
      <c r="N92" t="s">
        <v>328</v>
      </c>
      <c r="O92" t="s">
        <v>329</v>
      </c>
      <c r="P92">
        <v>18</v>
      </c>
      <c r="Q92" t="s">
        <v>84</v>
      </c>
      <c r="S92" t="str">
        <f>_xlfn.XLOOKUP(UNIVERSO[[#This Row],[Ruta]],'[1]CUOTA RUTA'!A:A,'[1]CUOTA RUTA'!D:D)</f>
        <v>Cargar</v>
      </c>
    </row>
    <row r="93" spans="1:19" x14ac:dyDescent="0.25">
      <c r="A93">
        <v>1500068863</v>
      </c>
      <c r="B93" t="s">
        <v>333</v>
      </c>
      <c r="C93" t="s">
        <v>19</v>
      </c>
      <c r="D93" t="s">
        <v>201</v>
      </c>
      <c r="E93" t="s">
        <v>21</v>
      </c>
      <c r="F93" t="s">
        <v>22</v>
      </c>
      <c r="G93" t="s">
        <v>23</v>
      </c>
      <c r="H93" t="s">
        <v>334</v>
      </c>
      <c r="I93" t="s">
        <v>335</v>
      </c>
      <c r="J93">
        <v>9.9905931999999993</v>
      </c>
      <c r="K93">
        <v>-84.666739500000006</v>
      </c>
      <c r="L93" t="s">
        <v>26</v>
      </c>
      <c r="M93" t="s">
        <v>204</v>
      </c>
      <c r="N93" t="s">
        <v>205</v>
      </c>
      <c r="O93" t="s">
        <v>206</v>
      </c>
      <c r="P93">
        <v>13</v>
      </c>
      <c r="Q93" t="s">
        <v>161</v>
      </c>
      <c r="S93" t="str">
        <f>_xlfn.XLOOKUP(UNIVERSO[[#This Row],[Ruta]],'[1]CUOTA RUTA'!A:A,'[1]CUOTA RUTA'!D:D)</f>
        <v>Cargar</v>
      </c>
    </row>
    <row r="94" spans="1:19" x14ac:dyDescent="0.25">
      <c r="A94">
        <v>1500086199</v>
      </c>
      <c r="B94" t="s">
        <v>336</v>
      </c>
      <c r="C94" t="s">
        <v>19</v>
      </c>
      <c r="D94" t="s">
        <v>337</v>
      </c>
      <c r="E94" t="s">
        <v>21</v>
      </c>
      <c r="F94" t="s">
        <v>22</v>
      </c>
      <c r="G94" t="s">
        <v>33</v>
      </c>
      <c r="H94" t="s">
        <v>338</v>
      </c>
      <c r="I94" t="s">
        <v>339</v>
      </c>
      <c r="J94">
        <v>10.43593547</v>
      </c>
      <c r="K94">
        <v>-85.096419030000007</v>
      </c>
      <c r="L94" t="s">
        <v>26</v>
      </c>
      <c r="M94" t="s">
        <v>327</v>
      </c>
      <c r="N94" t="s">
        <v>340</v>
      </c>
      <c r="O94" t="s">
        <v>341</v>
      </c>
      <c r="P94">
        <v>22</v>
      </c>
      <c r="Q94" t="s">
        <v>30</v>
      </c>
      <c r="S94" t="str">
        <f>_xlfn.XLOOKUP(UNIVERSO[[#This Row],[Ruta]],'[1]CUOTA RUTA'!A:A,'[1]CUOTA RUTA'!D:D)</f>
        <v>Cargar</v>
      </c>
    </row>
    <row r="95" spans="1:19" x14ac:dyDescent="0.25">
      <c r="A95">
        <v>1500086226</v>
      </c>
      <c r="B95" t="s">
        <v>342</v>
      </c>
      <c r="C95" t="s">
        <v>19</v>
      </c>
      <c r="D95" t="s">
        <v>337</v>
      </c>
      <c r="E95" t="s">
        <v>21</v>
      </c>
      <c r="F95" t="s">
        <v>22</v>
      </c>
      <c r="G95" t="s">
        <v>33</v>
      </c>
      <c r="H95" t="s">
        <v>343</v>
      </c>
      <c r="I95" t="s">
        <v>344</v>
      </c>
      <c r="J95">
        <v>10.424955000000001</v>
      </c>
      <c r="K95">
        <v>-85.087810000000005</v>
      </c>
      <c r="L95" t="s">
        <v>26</v>
      </c>
      <c r="M95" t="s">
        <v>327</v>
      </c>
      <c r="N95" t="s">
        <v>340</v>
      </c>
      <c r="O95" t="s">
        <v>341</v>
      </c>
      <c r="P95">
        <v>21</v>
      </c>
      <c r="Q95" t="s">
        <v>239</v>
      </c>
      <c r="S95" t="str">
        <f>_xlfn.XLOOKUP(UNIVERSO[[#This Row],[Ruta]],'[1]CUOTA RUTA'!A:A,'[1]CUOTA RUTA'!D:D)</f>
        <v>Cargar</v>
      </c>
    </row>
    <row r="96" spans="1:19" x14ac:dyDescent="0.25">
      <c r="A96">
        <v>1500087315</v>
      </c>
      <c r="B96" t="s">
        <v>345</v>
      </c>
      <c r="C96" t="s">
        <v>19</v>
      </c>
      <c r="D96" t="s">
        <v>337</v>
      </c>
      <c r="E96" t="s">
        <v>62</v>
      </c>
      <c r="F96" t="s">
        <v>63</v>
      </c>
      <c r="G96" t="s">
        <v>33</v>
      </c>
      <c r="H96" t="s">
        <v>346</v>
      </c>
      <c r="I96" t="s">
        <v>347</v>
      </c>
      <c r="J96">
        <v>10.527362330000001</v>
      </c>
      <c r="K96">
        <v>-85.254094409999993</v>
      </c>
      <c r="L96" t="s">
        <v>26</v>
      </c>
      <c r="M96" t="s">
        <v>327</v>
      </c>
      <c r="N96" t="s">
        <v>340</v>
      </c>
      <c r="O96" t="s">
        <v>341</v>
      </c>
      <c r="P96">
        <v>20</v>
      </c>
      <c r="Q96" t="s">
        <v>74</v>
      </c>
      <c r="S96" t="str">
        <f>_xlfn.XLOOKUP(UNIVERSO[[#This Row],[Ruta]],'[1]CUOTA RUTA'!A:A,'[1]CUOTA RUTA'!D:D)</f>
        <v>Cargar</v>
      </c>
    </row>
    <row r="97" spans="1:19" x14ac:dyDescent="0.25">
      <c r="A97">
        <v>1500088383</v>
      </c>
      <c r="B97" t="s">
        <v>348</v>
      </c>
      <c r="C97" t="s">
        <v>19</v>
      </c>
      <c r="D97" t="s">
        <v>349</v>
      </c>
      <c r="E97" t="s">
        <v>21</v>
      </c>
      <c r="F97" t="s">
        <v>22</v>
      </c>
      <c r="G97" t="s">
        <v>23</v>
      </c>
      <c r="H97" t="s">
        <v>350</v>
      </c>
      <c r="I97" t="s">
        <v>351</v>
      </c>
      <c r="J97">
        <v>10.259144060000001</v>
      </c>
      <c r="K97">
        <v>-85.582745489999994</v>
      </c>
      <c r="L97" t="s">
        <v>26</v>
      </c>
      <c r="M97" t="s">
        <v>352</v>
      </c>
      <c r="N97" t="s">
        <v>353</v>
      </c>
      <c r="O97" t="s">
        <v>354</v>
      </c>
      <c r="P97">
        <v>1</v>
      </c>
      <c r="Q97" t="s">
        <v>155</v>
      </c>
      <c r="S97" t="str">
        <f>_xlfn.XLOOKUP(UNIVERSO[[#This Row],[Ruta]],'[1]CUOTA RUTA'!A:A,'[1]CUOTA RUTA'!D:D)</f>
        <v>Cargar</v>
      </c>
    </row>
    <row r="98" spans="1:19" x14ac:dyDescent="0.25">
      <c r="A98">
        <v>1500088391</v>
      </c>
      <c r="B98" t="s">
        <v>355</v>
      </c>
      <c r="C98" t="s">
        <v>19</v>
      </c>
      <c r="D98" t="s">
        <v>349</v>
      </c>
      <c r="E98" t="s">
        <v>21</v>
      </c>
      <c r="F98" t="s">
        <v>22</v>
      </c>
      <c r="G98" t="s">
        <v>23</v>
      </c>
      <c r="H98" t="s">
        <v>356</v>
      </c>
      <c r="I98" t="s">
        <v>357</v>
      </c>
      <c r="J98">
        <v>10.260841694837</v>
      </c>
      <c r="K98">
        <v>-85.587440186500004</v>
      </c>
      <c r="L98" t="s">
        <v>26</v>
      </c>
      <c r="M98" t="s">
        <v>352</v>
      </c>
      <c r="N98" t="s">
        <v>353</v>
      </c>
      <c r="O98" t="s">
        <v>354</v>
      </c>
      <c r="P98">
        <v>1</v>
      </c>
      <c r="Q98" t="s">
        <v>155</v>
      </c>
      <c r="S98" t="str">
        <f>_xlfn.XLOOKUP(UNIVERSO[[#This Row],[Ruta]],'[1]CUOTA RUTA'!A:A,'[1]CUOTA RUTA'!D:D)</f>
        <v>Cargar</v>
      </c>
    </row>
    <row r="99" spans="1:19" x14ac:dyDescent="0.25">
      <c r="A99">
        <v>1500088421</v>
      </c>
      <c r="B99" t="s">
        <v>358</v>
      </c>
      <c r="C99" t="s">
        <v>19</v>
      </c>
      <c r="D99" t="s">
        <v>349</v>
      </c>
      <c r="E99" t="s">
        <v>62</v>
      </c>
      <c r="F99" t="s">
        <v>63</v>
      </c>
      <c r="G99" t="s">
        <v>64</v>
      </c>
      <c r="H99" t="s">
        <v>359</v>
      </c>
      <c r="I99" t="s">
        <v>360</v>
      </c>
      <c r="J99">
        <v>10.141313</v>
      </c>
      <c r="K99">
        <v>-85.451093</v>
      </c>
      <c r="L99" t="s">
        <v>26</v>
      </c>
      <c r="M99" t="s">
        <v>352</v>
      </c>
      <c r="N99" t="s">
        <v>353</v>
      </c>
      <c r="O99" t="s">
        <v>354</v>
      </c>
      <c r="P99">
        <v>12</v>
      </c>
      <c r="Q99" t="s">
        <v>42</v>
      </c>
      <c r="S99" t="str">
        <f>_xlfn.XLOOKUP(UNIVERSO[[#This Row],[Ruta]],'[1]CUOTA RUTA'!A:A,'[1]CUOTA RUTA'!D:D)</f>
        <v>Cargar</v>
      </c>
    </row>
    <row r="100" spans="1:19" x14ac:dyDescent="0.25">
      <c r="A100">
        <v>1500088518</v>
      </c>
      <c r="B100" t="s">
        <v>361</v>
      </c>
      <c r="C100" t="s">
        <v>19</v>
      </c>
      <c r="D100" t="s">
        <v>349</v>
      </c>
      <c r="E100" t="s">
        <v>21</v>
      </c>
      <c r="F100" t="s">
        <v>22</v>
      </c>
      <c r="G100" t="s">
        <v>23</v>
      </c>
      <c r="H100" t="s">
        <v>359</v>
      </c>
      <c r="I100" t="s">
        <v>362</v>
      </c>
      <c r="J100">
        <v>10.139315</v>
      </c>
      <c r="K100">
        <v>-85.449421000000001</v>
      </c>
      <c r="L100" t="s">
        <v>26</v>
      </c>
      <c r="M100" t="s">
        <v>352</v>
      </c>
      <c r="N100" t="s">
        <v>353</v>
      </c>
      <c r="O100" t="s">
        <v>354</v>
      </c>
      <c r="P100">
        <v>12</v>
      </c>
      <c r="Q100" t="s">
        <v>42</v>
      </c>
      <c r="S100" t="str">
        <f>_xlfn.XLOOKUP(UNIVERSO[[#This Row],[Ruta]],'[1]CUOTA RUTA'!A:A,'[1]CUOTA RUTA'!D:D)</f>
        <v>Cargar</v>
      </c>
    </row>
    <row r="101" spans="1:19" x14ac:dyDescent="0.25">
      <c r="A101">
        <v>1500089592</v>
      </c>
      <c r="B101" t="s">
        <v>363</v>
      </c>
      <c r="C101" t="s">
        <v>19</v>
      </c>
      <c r="D101" t="s">
        <v>32</v>
      </c>
      <c r="E101" t="s">
        <v>21</v>
      </c>
      <c r="F101" t="s">
        <v>22</v>
      </c>
      <c r="G101" t="s">
        <v>33</v>
      </c>
      <c r="H101" t="s">
        <v>99</v>
      </c>
      <c r="I101" t="s">
        <v>364</v>
      </c>
      <c r="J101">
        <v>9.9357678000000007</v>
      </c>
      <c r="K101">
        <v>-84.080339499999994</v>
      </c>
      <c r="L101" t="s">
        <v>26</v>
      </c>
      <c r="M101" t="s">
        <v>71</v>
      </c>
      <c r="N101" t="s">
        <v>72</v>
      </c>
      <c r="O101" t="s">
        <v>73</v>
      </c>
      <c r="P101">
        <v>2</v>
      </c>
      <c r="Q101" t="s">
        <v>150</v>
      </c>
      <c r="S101" t="str">
        <f>_xlfn.XLOOKUP(UNIVERSO[[#This Row],[Ruta]],'[1]CUOTA RUTA'!A:A,'[1]CUOTA RUTA'!D:D)</f>
        <v>Cargar</v>
      </c>
    </row>
    <row r="102" spans="1:19" x14ac:dyDescent="0.25">
      <c r="A102">
        <v>1500091227</v>
      </c>
      <c r="B102" t="s">
        <v>365</v>
      </c>
      <c r="C102" t="s">
        <v>19</v>
      </c>
      <c r="D102" t="s">
        <v>266</v>
      </c>
      <c r="E102" t="s">
        <v>21</v>
      </c>
      <c r="F102" t="s">
        <v>22</v>
      </c>
      <c r="G102" t="s">
        <v>23</v>
      </c>
      <c r="H102" t="s">
        <v>366</v>
      </c>
      <c r="I102" t="s">
        <v>367</v>
      </c>
      <c r="J102">
        <v>9.8455133333330007</v>
      </c>
      <c r="K102">
        <v>-83.924390000000002</v>
      </c>
      <c r="L102" t="s">
        <v>26</v>
      </c>
      <c r="M102" t="s">
        <v>36</v>
      </c>
      <c r="N102" t="s">
        <v>316</v>
      </c>
      <c r="O102" t="s">
        <v>317</v>
      </c>
      <c r="P102">
        <v>17</v>
      </c>
      <c r="Q102" t="s">
        <v>287</v>
      </c>
      <c r="S102" t="str">
        <f>_xlfn.XLOOKUP(UNIVERSO[[#This Row],[Ruta]],'[1]CUOTA RUTA'!A:A,'[1]CUOTA RUTA'!D:D)</f>
        <v>Cargar</v>
      </c>
    </row>
    <row r="103" spans="1:19" x14ac:dyDescent="0.25">
      <c r="A103">
        <v>1500092495</v>
      </c>
      <c r="B103" t="s">
        <v>368</v>
      </c>
      <c r="C103" t="s">
        <v>19</v>
      </c>
      <c r="D103" t="s">
        <v>20</v>
      </c>
      <c r="E103" t="s">
        <v>21</v>
      </c>
      <c r="F103" t="s">
        <v>22</v>
      </c>
      <c r="G103" t="s">
        <v>64</v>
      </c>
      <c r="H103" t="s">
        <v>369</v>
      </c>
      <c r="I103" t="s">
        <v>370</v>
      </c>
      <c r="J103">
        <v>10.018217419999999</v>
      </c>
      <c r="K103">
        <v>-84.103024570000002</v>
      </c>
      <c r="L103" t="s">
        <v>26</v>
      </c>
      <c r="M103" t="s">
        <v>27</v>
      </c>
      <c r="N103" t="s">
        <v>28</v>
      </c>
      <c r="O103" t="s">
        <v>29</v>
      </c>
      <c r="P103">
        <v>17</v>
      </c>
      <c r="Q103" t="s">
        <v>287</v>
      </c>
      <c r="S103" t="str">
        <f>_xlfn.XLOOKUP(UNIVERSO[[#This Row],[Ruta]],'[1]CUOTA RUTA'!A:A,'[1]CUOTA RUTA'!D:D)</f>
        <v>Cargar</v>
      </c>
    </row>
    <row r="104" spans="1:19" x14ac:dyDescent="0.25">
      <c r="A104">
        <v>1500096750</v>
      </c>
      <c r="B104" t="s">
        <v>371</v>
      </c>
      <c r="C104" t="s">
        <v>19</v>
      </c>
      <c r="D104" t="s">
        <v>266</v>
      </c>
      <c r="E104" t="s">
        <v>21</v>
      </c>
      <c r="F104" t="s">
        <v>22</v>
      </c>
      <c r="G104" t="s">
        <v>33</v>
      </c>
      <c r="H104" t="s">
        <v>372</v>
      </c>
      <c r="I104" t="s">
        <v>373</v>
      </c>
      <c r="J104">
        <v>9.9074416799999998</v>
      </c>
      <c r="K104">
        <v>-83.686260399999995</v>
      </c>
      <c r="L104" t="s">
        <v>26</v>
      </c>
      <c r="M104" t="s">
        <v>189</v>
      </c>
      <c r="N104" t="s">
        <v>269</v>
      </c>
      <c r="O104" t="s">
        <v>270</v>
      </c>
      <c r="P104">
        <v>20</v>
      </c>
      <c r="Q104" t="s">
        <v>74</v>
      </c>
      <c r="S104" t="str">
        <f>_xlfn.XLOOKUP(UNIVERSO[[#This Row],[Ruta]],'[1]CUOTA RUTA'!A:A,'[1]CUOTA RUTA'!D:D)</f>
        <v>Cargar</v>
      </c>
    </row>
    <row r="105" spans="1:19" x14ac:dyDescent="0.25">
      <c r="A105">
        <v>1500099312</v>
      </c>
      <c r="B105" t="s">
        <v>374</v>
      </c>
      <c r="C105" t="s">
        <v>19</v>
      </c>
      <c r="D105" t="s">
        <v>20</v>
      </c>
      <c r="E105" t="s">
        <v>21</v>
      </c>
      <c r="F105" t="s">
        <v>22</v>
      </c>
      <c r="G105" t="s">
        <v>33</v>
      </c>
      <c r="H105" t="s">
        <v>52</v>
      </c>
      <c r="I105" t="s">
        <v>375</v>
      </c>
      <c r="J105">
        <v>9.9199705999999992</v>
      </c>
      <c r="K105">
        <v>-84.132866199999995</v>
      </c>
      <c r="L105" t="s">
        <v>26</v>
      </c>
      <c r="M105" t="s">
        <v>54</v>
      </c>
      <c r="N105" t="s">
        <v>55</v>
      </c>
      <c r="O105" t="s">
        <v>56</v>
      </c>
      <c r="P105">
        <v>13</v>
      </c>
      <c r="Q105" t="s">
        <v>161</v>
      </c>
      <c r="S105" t="str">
        <f>_xlfn.XLOOKUP(UNIVERSO[[#This Row],[Ruta]],'[1]CUOTA RUTA'!A:A,'[1]CUOTA RUTA'!D:D)</f>
        <v>Cargar</v>
      </c>
    </row>
    <row r="106" spans="1:19" x14ac:dyDescent="0.25">
      <c r="A106">
        <v>1500099900</v>
      </c>
      <c r="B106" t="s">
        <v>376</v>
      </c>
      <c r="C106" t="s">
        <v>19</v>
      </c>
      <c r="D106" t="s">
        <v>32</v>
      </c>
      <c r="E106" t="s">
        <v>21</v>
      </c>
      <c r="F106" t="s">
        <v>51</v>
      </c>
      <c r="G106" t="s">
        <v>23</v>
      </c>
      <c r="H106" t="s">
        <v>86</v>
      </c>
      <c r="I106" t="s">
        <v>377</v>
      </c>
      <c r="J106">
        <v>9.9010233333330007</v>
      </c>
      <c r="K106">
        <v>-84.082909999999998</v>
      </c>
      <c r="L106" t="s">
        <v>26</v>
      </c>
      <c r="M106" t="s">
        <v>71</v>
      </c>
      <c r="N106" t="s">
        <v>72</v>
      </c>
      <c r="O106" t="s">
        <v>73</v>
      </c>
      <c r="P106">
        <v>6</v>
      </c>
      <c r="Q106" t="s">
        <v>49</v>
      </c>
      <c r="S106" t="str">
        <f>_xlfn.XLOOKUP(UNIVERSO[[#This Row],[Ruta]],'[1]CUOTA RUTA'!A:A,'[1]CUOTA RUTA'!D:D)</f>
        <v>Cargar</v>
      </c>
    </row>
    <row r="107" spans="1:19" x14ac:dyDescent="0.25">
      <c r="A107">
        <v>1500101272</v>
      </c>
      <c r="B107" t="s">
        <v>378</v>
      </c>
      <c r="C107" t="s">
        <v>19</v>
      </c>
      <c r="D107" t="s">
        <v>32</v>
      </c>
      <c r="E107" t="s">
        <v>21</v>
      </c>
      <c r="F107" t="s">
        <v>22</v>
      </c>
      <c r="G107" t="s">
        <v>33</v>
      </c>
      <c r="H107" t="s">
        <v>82</v>
      </c>
      <c r="I107" t="s">
        <v>379</v>
      </c>
      <c r="J107">
        <v>9.8999520000000008</v>
      </c>
      <c r="K107">
        <v>-84.062848000000002</v>
      </c>
      <c r="L107" t="s">
        <v>26</v>
      </c>
      <c r="M107" t="s">
        <v>71</v>
      </c>
      <c r="N107" t="s">
        <v>72</v>
      </c>
      <c r="O107" t="s">
        <v>73</v>
      </c>
      <c r="P107">
        <v>18</v>
      </c>
      <c r="Q107" t="s">
        <v>84</v>
      </c>
      <c r="S107" t="str">
        <f>_xlfn.XLOOKUP(UNIVERSO[[#This Row],[Ruta]],'[1]CUOTA RUTA'!A:A,'[1]CUOTA RUTA'!D:D)</f>
        <v>Cargar</v>
      </c>
    </row>
    <row r="108" spans="1:19" x14ac:dyDescent="0.25">
      <c r="A108">
        <v>1500101349</v>
      </c>
      <c r="B108" t="s">
        <v>380</v>
      </c>
      <c r="C108" t="s">
        <v>19</v>
      </c>
      <c r="D108" t="s">
        <v>32</v>
      </c>
      <c r="E108" t="s">
        <v>21</v>
      </c>
      <c r="F108" t="s">
        <v>22</v>
      </c>
      <c r="G108" t="s">
        <v>23</v>
      </c>
      <c r="H108" t="s">
        <v>179</v>
      </c>
      <c r="I108" t="s">
        <v>381</v>
      </c>
      <c r="J108">
        <v>9.8925850000000004</v>
      </c>
      <c r="K108">
        <v>-84.049323000000001</v>
      </c>
      <c r="L108" t="s">
        <v>26</v>
      </c>
      <c r="M108" t="s">
        <v>36</v>
      </c>
      <c r="N108" t="s">
        <v>37</v>
      </c>
      <c r="O108" t="s">
        <v>38</v>
      </c>
      <c r="P108">
        <v>13</v>
      </c>
      <c r="Q108" t="s">
        <v>161</v>
      </c>
      <c r="S108" t="str">
        <f>_xlfn.XLOOKUP(UNIVERSO[[#This Row],[Ruta]],'[1]CUOTA RUTA'!A:A,'[1]CUOTA RUTA'!D:D)</f>
        <v>Cargar</v>
      </c>
    </row>
    <row r="109" spans="1:19" x14ac:dyDescent="0.25">
      <c r="A109">
        <v>1500101650</v>
      </c>
      <c r="B109" t="s">
        <v>382</v>
      </c>
      <c r="C109" t="s">
        <v>19</v>
      </c>
      <c r="D109" t="s">
        <v>201</v>
      </c>
      <c r="E109" t="s">
        <v>21</v>
      </c>
      <c r="F109" t="s">
        <v>22</v>
      </c>
      <c r="G109" t="s">
        <v>23</v>
      </c>
      <c r="H109" t="s">
        <v>383</v>
      </c>
      <c r="I109" t="s">
        <v>384</v>
      </c>
      <c r="J109">
        <v>9.9778231000000002</v>
      </c>
      <c r="K109">
        <v>-84.837911899999995</v>
      </c>
      <c r="L109" t="s">
        <v>26</v>
      </c>
      <c r="M109" t="s">
        <v>204</v>
      </c>
      <c r="N109" t="s">
        <v>205</v>
      </c>
      <c r="O109" t="s">
        <v>206</v>
      </c>
      <c r="P109">
        <v>11</v>
      </c>
      <c r="Q109" t="s">
        <v>108</v>
      </c>
      <c r="S109" t="str">
        <f>_xlfn.XLOOKUP(UNIVERSO[[#This Row],[Ruta]],'[1]CUOTA RUTA'!A:A,'[1]CUOTA RUTA'!D:D)</f>
        <v>Cargar</v>
      </c>
    </row>
    <row r="110" spans="1:19" x14ac:dyDescent="0.25">
      <c r="A110">
        <v>1500101914</v>
      </c>
      <c r="B110" t="s">
        <v>385</v>
      </c>
      <c r="C110" t="s">
        <v>19</v>
      </c>
      <c r="D110" t="s">
        <v>201</v>
      </c>
      <c r="E110" t="s">
        <v>21</v>
      </c>
      <c r="F110" t="s">
        <v>22</v>
      </c>
      <c r="G110" t="s">
        <v>33</v>
      </c>
      <c r="H110" t="s">
        <v>334</v>
      </c>
      <c r="I110" t="s">
        <v>386</v>
      </c>
      <c r="J110">
        <v>9.9951538000000006</v>
      </c>
      <c r="K110">
        <v>-84.666249300000004</v>
      </c>
      <c r="L110" t="s">
        <v>26</v>
      </c>
      <c r="M110" t="s">
        <v>204</v>
      </c>
      <c r="N110" t="s">
        <v>205</v>
      </c>
      <c r="O110" t="s">
        <v>206</v>
      </c>
      <c r="P110">
        <v>13</v>
      </c>
      <c r="Q110" t="s">
        <v>161</v>
      </c>
      <c r="S110" t="str">
        <f>_xlfn.XLOOKUP(UNIVERSO[[#This Row],[Ruta]],'[1]CUOTA RUTA'!A:A,'[1]CUOTA RUTA'!D:D)</f>
        <v>Cargar</v>
      </c>
    </row>
    <row r="111" spans="1:19" x14ac:dyDescent="0.25">
      <c r="A111">
        <v>1500102566</v>
      </c>
      <c r="B111" t="s">
        <v>387</v>
      </c>
      <c r="C111" t="s">
        <v>19</v>
      </c>
      <c r="D111" t="s">
        <v>20</v>
      </c>
      <c r="E111" t="s">
        <v>21</v>
      </c>
      <c r="F111" t="s">
        <v>22</v>
      </c>
      <c r="G111" t="s">
        <v>64</v>
      </c>
      <c r="H111" t="s">
        <v>44</v>
      </c>
      <c r="I111" t="s">
        <v>388</v>
      </c>
      <c r="J111">
        <v>10.0655596</v>
      </c>
      <c r="K111">
        <v>-84.396609499999997</v>
      </c>
      <c r="L111" t="s">
        <v>26</v>
      </c>
      <c r="M111" t="s">
        <v>46</v>
      </c>
      <c r="N111" t="s">
        <v>47</v>
      </c>
      <c r="O111" t="s">
        <v>48</v>
      </c>
      <c r="P111">
        <v>9</v>
      </c>
      <c r="Q111" t="s">
        <v>80</v>
      </c>
      <c r="S111" t="str">
        <f>_xlfn.XLOOKUP(UNIVERSO[[#This Row],[Ruta]],'[1]CUOTA RUTA'!A:A,'[1]CUOTA RUTA'!D:D)</f>
        <v>Cargar</v>
      </c>
    </row>
    <row r="112" spans="1:19" x14ac:dyDescent="0.25">
      <c r="A112">
        <v>1500108743</v>
      </c>
      <c r="B112" t="s">
        <v>389</v>
      </c>
      <c r="C112" t="s">
        <v>19</v>
      </c>
      <c r="D112" t="s">
        <v>324</v>
      </c>
      <c r="E112" t="s">
        <v>21</v>
      </c>
      <c r="F112" t="s">
        <v>22</v>
      </c>
      <c r="G112" t="s">
        <v>33</v>
      </c>
      <c r="H112" t="s">
        <v>390</v>
      </c>
      <c r="I112" t="s">
        <v>391</v>
      </c>
      <c r="J112">
        <v>10.280788100000001</v>
      </c>
      <c r="K112">
        <v>-84.430115400000005</v>
      </c>
      <c r="L112" t="s">
        <v>26</v>
      </c>
      <c r="M112" t="s">
        <v>327</v>
      </c>
      <c r="N112" t="s">
        <v>328</v>
      </c>
      <c r="O112" t="s">
        <v>329</v>
      </c>
      <c r="P112">
        <v>23</v>
      </c>
      <c r="Q112" t="s">
        <v>125</v>
      </c>
      <c r="S112" t="str">
        <f>_xlfn.XLOOKUP(UNIVERSO[[#This Row],[Ruta]],'[1]CUOTA RUTA'!A:A,'[1]CUOTA RUTA'!D:D)</f>
        <v>Cargar</v>
      </c>
    </row>
    <row r="113" spans="1:19" x14ac:dyDescent="0.25">
      <c r="A113">
        <v>1500108998</v>
      </c>
      <c r="B113" t="s">
        <v>392</v>
      </c>
      <c r="C113" t="s">
        <v>19</v>
      </c>
      <c r="D113" t="s">
        <v>324</v>
      </c>
      <c r="E113" t="s">
        <v>21</v>
      </c>
      <c r="F113" t="s">
        <v>51</v>
      </c>
      <c r="G113" t="s">
        <v>23</v>
      </c>
      <c r="H113" t="s">
        <v>393</v>
      </c>
      <c r="I113" t="s">
        <v>394</v>
      </c>
      <c r="J113">
        <v>10.3552</v>
      </c>
      <c r="K113">
        <v>-84.437629999999999</v>
      </c>
      <c r="L113" t="s">
        <v>26</v>
      </c>
      <c r="M113" t="s">
        <v>327</v>
      </c>
      <c r="N113" t="s">
        <v>328</v>
      </c>
      <c r="O113" t="s">
        <v>329</v>
      </c>
      <c r="P113">
        <v>15</v>
      </c>
      <c r="Q113" t="s">
        <v>231</v>
      </c>
      <c r="S113" t="str">
        <f>_xlfn.XLOOKUP(UNIVERSO[[#This Row],[Ruta]],'[1]CUOTA RUTA'!A:A,'[1]CUOTA RUTA'!D:D)</f>
        <v>Cargar</v>
      </c>
    </row>
    <row r="114" spans="1:19" x14ac:dyDescent="0.25">
      <c r="A114">
        <v>1500109231</v>
      </c>
      <c r="B114" t="s">
        <v>395</v>
      </c>
      <c r="C114" t="s">
        <v>19</v>
      </c>
      <c r="D114" t="s">
        <v>324</v>
      </c>
      <c r="E114" t="s">
        <v>21</v>
      </c>
      <c r="F114" t="s">
        <v>51</v>
      </c>
      <c r="G114" t="s">
        <v>23</v>
      </c>
      <c r="H114" t="s">
        <v>396</v>
      </c>
      <c r="I114" t="s">
        <v>397</v>
      </c>
      <c r="J114">
        <v>10.4061</v>
      </c>
      <c r="K114">
        <v>-84.33663</v>
      </c>
      <c r="L114" t="s">
        <v>26</v>
      </c>
      <c r="M114" t="s">
        <v>327</v>
      </c>
      <c r="N114" t="s">
        <v>328</v>
      </c>
      <c r="O114" t="s">
        <v>329</v>
      </c>
      <c r="P114">
        <v>18</v>
      </c>
      <c r="Q114" t="s">
        <v>84</v>
      </c>
      <c r="S114" t="str">
        <f>_xlfn.XLOOKUP(UNIVERSO[[#This Row],[Ruta]],'[1]CUOTA RUTA'!A:A,'[1]CUOTA RUTA'!D:D)</f>
        <v>Cargar</v>
      </c>
    </row>
    <row r="115" spans="1:19" x14ac:dyDescent="0.25">
      <c r="A115">
        <v>1500109254</v>
      </c>
      <c r="B115" t="s">
        <v>398</v>
      </c>
      <c r="C115" t="s">
        <v>19</v>
      </c>
      <c r="D115" t="s">
        <v>324</v>
      </c>
      <c r="E115" t="s">
        <v>21</v>
      </c>
      <c r="F115" t="s">
        <v>51</v>
      </c>
      <c r="G115" t="s">
        <v>23</v>
      </c>
      <c r="H115" t="s">
        <v>396</v>
      </c>
      <c r="I115" t="s">
        <v>399</v>
      </c>
      <c r="J115">
        <v>10.3804</v>
      </c>
      <c r="K115">
        <v>-84.578760000000003</v>
      </c>
      <c r="L115" t="s">
        <v>26</v>
      </c>
      <c r="M115" t="s">
        <v>327</v>
      </c>
      <c r="N115" t="s">
        <v>328</v>
      </c>
      <c r="O115" t="s">
        <v>329</v>
      </c>
      <c r="P115">
        <v>13</v>
      </c>
      <c r="Q115" t="s">
        <v>161</v>
      </c>
      <c r="S115" t="str">
        <f>_xlfn.XLOOKUP(UNIVERSO[[#This Row],[Ruta]],'[1]CUOTA RUTA'!A:A,'[1]CUOTA RUTA'!D:D)</f>
        <v>Cargar</v>
      </c>
    </row>
    <row r="116" spans="1:19" x14ac:dyDescent="0.25">
      <c r="A116">
        <v>1500114407</v>
      </c>
      <c r="B116" t="s">
        <v>400</v>
      </c>
      <c r="C116" t="s">
        <v>19</v>
      </c>
      <c r="D116" t="s">
        <v>337</v>
      </c>
      <c r="E116" t="s">
        <v>21</v>
      </c>
      <c r="F116" t="s">
        <v>22</v>
      </c>
      <c r="G116" t="s">
        <v>23</v>
      </c>
      <c r="H116" t="s">
        <v>401</v>
      </c>
      <c r="I116" t="s">
        <v>402</v>
      </c>
      <c r="J116">
        <v>10.63218736</v>
      </c>
      <c r="K116">
        <v>-85.434098750000004</v>
      </c>
      <c r="L116" t="s">
        <v>26</v>
      </c>
      <c r="M116" t="s">
        <v>327</v>
      </c>
      <c r="N116" t="s">
        <v>340</v>
      </c>
      <c r="O116" t="s">
        <v>341</v>
      </c>
      <c r="P116">
        <v>13</v>
      </c>
      <c r="Q116" t="s">
        <v>161</v>
      </c>
      <c r="S116" t="str">
        <f>_xlfn.XLOOKUP(UNIVERSO[[#This Row],[Ruta]],'[1]CUOTA RUTA'!A:A,'[1]CUOTA RUTA'!D:D)</f>
        <v>Cargar</v>
      </c>
    </row>
    <row r="117" spans="1:19" x14ac:dyDescent="0.25">
      <c r="A117">
        <v>1500116512</v>
      </c>
      <c r="B117" t="s">
        <v>403</v>
      </c>
      <c r="C117" t="s">
        <v>19</v>
      </c>
      <c r="D117" t="s">
        <v>266</v>
      </c>
      <c r="E117" t="s">
        <v>21</v>
      </c>
      <c r="F117" t="s">
        <v>22</v>
      </c>
      <c r="G117" t="s">
        <v>33</v>
      </c>
      <c r="H117" t="s">
        <v>404</v>
      </c>
      <c r="I117" t="s">
        <v>405</v>
      </c>
      <c r="J117">
        <v>9.8413799999999991</v>
      </c>
      <c r="K117">
        <v>-83.883437999999998</v>
      </c>
      <c r="L117" t="s">
        <v>26</v>
      </c>
      <c r="M117" t="s">
        <v>36</v>
      </c>
      <c r="N117" t="s">
        <v>316</v>
      </c>
      <c r="O117" t="s">
        <v>317</v>
      </c>
      <c r="P117">
        <v>22</v>
      </c>
      <c r="Q117" t="s">
        <v>30</v>
      </c>
      <c r="S117" t="str">
        <f>_xlfn.XLOOKUP(UNIVERSO[[#This Row],[Ruta]],'[1]CUOTA RUTA'!A:A,'[1]CUOTA RUTA'!D:D)</f>
        <v>Cargar</v>
      </c>
    </row>
    <row r="118" spans="1:19" x14ac:dyDescent="0.25">
      <c r="A118">
        <v>1500116614</v>
      </c>
      <c r="B118" t="s">
        <v>406</v>
      </c>
      <c r="C118" t="s">
        <v>19</v>
      </c>
      <c r="D118" t="s">
        <v>266</v>
      </c>
      <c r="E118" t="s">
        <v>21</v>
      </c>
      <c r="F118" t="s">
        <v>22</v>
      </c>
      <c r="G118" t="s">
        <v>33</v>
      </c>
      <c r="H118" t="s">
        <v>407</v>
      </c>
      <c r="I118" t="s">
        <v>408</v>
      </c>
      <c r="J118">
        <v>9.6430349999999994</v>
      </c>
      <c r="K118">
        <v>-84.030461000000003</v>
      </c>
      <c r="L118" t="s">
        <v>26</v>
      </c>
      <c r="M118" t="s">
        <v>409</v>
      </c>
      <c r="N118" t="s">
        <v>410</v>
      </c>
      <c r="O118" t="s">
        <v>411</v>
      </c>
      <c r="P118">
        <v>22</v>
      </c>
      <c r="Q118" t="s">
        <v>30</v>
      </c>
      <c r="S118" t="str">
        <f>_xlfn.XLOOKUP(UNIVERSO[[#This Row],[Ruta]],'[1]CUOTA RUTA'!A:A,'[1]CUOTA RUTA'!D:D)</f>
        <v>Cargar</v>
      </c>
    </row>
    <row r="119" spans="1:19" x14ac:dyDescent="0.25">
      <c r="A119">
        <v>1500119984</v>
      </c>
      <c r="B119" t="s">
        <v>412</v>
      </c>
      <c r="C119" t="s">
        <v>19</v>
      </c>
      <c r="D119" t="s">
        <v>20</v>
      </c>
      <c r="E119" t="s">
        <v>21</v>
      </c>
      <c r="F119" t="s">
        <v>51</v>
      </c>
      <c r="G119" t="s">
        <v>23</v>
      </c>
      <c r="H119" t="s">
        <v>193</v>
      </c>
      <c r="I119" t="s">
        <v>413</v>
      </c>
      <c r="J119">
        <v>10.0044133</v>
      </c>
      <c r="K119">
        <v>-84.251003299999994</v>
      </c>
      <c r="L119" t="s">
        <v>26</v>
      </c>
      <c r="M119" t="s">
        <v>54</v>
      </c>
      <c r="N119" t="s">
        <v>55</v>
      </c>
      <c r="O119" t="s">
        <v>56</v>
      </c>
      <c r="P119">
        <v>7</v>
      </c>
      <c r="Q119" t="s">
        <v>39</v>
      </c>
      <c r="S119" t="str">
        <f>_xlfn.XLOOKUP(UNIVERSO[[#This Row],[Ruta]],'[1]CUOTA RUTA'!A:A,'[1]CUOTA RUTA'!D:D)</f>
        <v>Cargar</v>
      </c>
    </row>
    <row r="120" spans="1:19" x14ac:dyDescent="0.25">
      <c r="A120">
        <v>1500121534</v>
      </c>
      <c r="B120" t="s">
        <v>414</v>
      </c>
      <c r="C120" t="s">
        <v>19</v>
      </c>
      <c r="D120" t="s">
        <v>20</v>
      </c>
      <c r="E120" t="s">
        <v>21</v>
      </c>
      <c r="F120" t="s">
        <v>22</v>
      </c>
      <c r="G120" t="s">
        <v>23</v>
      </c>
      <c r="H120" t="s">
        <v>24</v>
      </c>
      <c r="I120" t="s">
        <v>415</v>
      </c>
      <c r="J120">
        <v>9.9544619999999995</v>
      </c>
      <c r="K120">
        <v>-84.127467999999993</v>
      </c>
      <c r="L120" t="s">
        <v>26</v>
      </c>
      <c r="M120" t="s">
        <v>27</v>
      </c>
      <c r="N120" t="s">
        <v>28</v>
      </c>
      <c r="O120" t="s">
        <v>29</v>
      </c>
      <c r="P120">
        <v>8</v>
      </c>
      <c r="Q120" t="s">
        <v>97</v>
      </c>
      <c r="S120" t="str">
        <f>_xlfn.XLOOKUP(UNIVERSO[[#This Row],[Ruta]],'[1]CUOTA RUTA'!A:A,'[1]CUOTA RUTA'!D:D)</f>
        <v>Cargar</v>
      </c>
    </row>
    <row r="121" spans="1:19" x14ac:dyDescent="0.25">
      <c r="A121">
        <v>1500121971</v>
      </c>
      <c r="B121" t="s">
        <v>416</v>
      </c>
      <c r="C121" t="s">
        <v>19</v>
      </c>
      <c r="D121" t="s">
        <v>208</v>
      </c>
      <c r="E121" t="s">
        <v>21</v>
      </c>
      <c r="F121" t="s">
        <v>22</v>
      </c>
      <c r="G121" t="s">
        <v>23</v>
      </c>
      <c r="H121" t="s">
        <v>417</v>
      </c>
      <c r="I121" t="s">
        <v>418</v>
      </c>
      <c r="J121">
        <v>10.32023</v>
      </c>
      <c r="K121">
        <v>-83.903019999999998</v>
      </c>
      <c r="L121" t="s">
        <v>26</v>
      </c>
      <c r="M121" t="s">
        <v>189</v>
      </c>
      <c r="N121" t="s">
        <v>211</v>
      </c>
      <c r="O121" t="s">
        <v>212</v>
      </c>
      <c r="P121">
        <v>3</v>
      </c>
      <c r="Q121" t="s">
        <v>101</v>
      </c>
      <c r="S121" t="str">
        <f>_xlfn.XLOOKUP(UNIVERSO[[#This Row],[Ruta]],'[1]CUOTA RUTA'!A:A,'[1]CUOTA RUTA'!D:D)</f>
        <v>Cargar</v>
      </c>
    </row>
    <row r="122" spans="1:19" x14ac:dyDescent="0.25">
      <c r="A122">
        <v>1500122251</v>
      </c>
      <c r="B122" t="s">
        <v>419</v>
      </c>
      <c r="C122" t="s">
        <v>19</v>
      </c>
      <c r="D122" t="s">
        <v>186</v>
      </c>
      <c r="E122" t="s">
        <v>62</v>
      </c>
      <c r="F122" t="s">
        <v>63</v>
      </c>
      <c r="G122" t="s">
        <v>64</v>
      </c>
      <c r="H122" t="s">
        <v>420</v>
      </c>
      <c r="I122" t="s">
        <v>421</v>
      </c>
      <c r="J122">
        <v>9.9765599999999992</v>
      </c>
      <c r="K122">
        <v>-83.062759999999997</v>
      </c>
      <c r="L122" t="s">
        <v>26</v>
      </c>
      <c r="M122" t="s">
        <v>189</v>
      </c>
      <c r="N122" t="s">
        <v>190</v>
      </c>
      <c r="O122" t="s">
        <v>191</v>
      </c>
      <c r="P122">
        <v>16</v>
      </c>
      <c r="Q122" t="s">
        <v>60</v>
      </c>
      <c r="S122" t="str">
        <f>_xlfn.XLOOKUP(UNIVERSO[[#This Row],[Ruta]],'[1]CUOTA RUTA'!A:A,'[1]CUOTA RUTA'!D:D)</f>
        <v>Cargar</v>
      </c>
    </row>
    <row r="123" spans="1:19" x14ac:dyDescent="0.25">
      <c r="A123">
        <v>1500131117</v>
      </c>
      <c r="B123" t="s">
        <v>422</v>
      </c>
      <c r="C123" t="s">
        <v>19</v>
      </c>
      <c r="D123" t="s">
        <v>32</v>
      </c>
      <c r="E123" t="s">
        <v>21</v>
      </c>
      <c r="F123" t="s">
        <v>22</v>
      </c>
      <c r="G123" t="s">
        <v>23</v>
      </c>
      <c r="H123" t="s">
        <v>34</v>
      </c>
      <c r="I123" t="s">
        <v>423</v>
      </c>
      <c r="J123">
        <v>9.9819216999999991</v>
      </c>
      <c r="K123">
        <v>-84.088883300000006</v>
      </c>
      <c r="L123" t="s">
        <v>26</v>
      </c>
      <c r="M123" t="s">
        <v>36</v>
      </c>
      <c r="N123" t="s">
        <v>37</v>
      </c>
      <c r="O123" t="s">
        <v>38</v>
      </c>
      <c r="P123">
        <v>1</v>
      </c>
      <c r="Q123" t="s">
        <v>155</v>
      </c>
      <c r="S123" t="str">
        <f>_xlfn.XLOOKUP(UNIVERSO[[#This Row],[Ruta]],'[1]CUOTA RUTA'!A:A,'[1]CUOTA RUTA'!D:D)</f>
        <v>Cargar</v>
      </c>
    </row>
    <row r="124" spans="1:19" x14ac:dyDescent="0.25">
      <c r="A124">
        <v>1500131174</v>
      </c>
      <c r="B124" t="s">
        <v>424</v>
      </c>
      <c r="C124" t="s">
        <v>19</v>
      </c>
      <c r="D124" t="s">
        <v>32</v>
      </c>
      <c r="E124" t="s">
        <v>21</v>
      </c>
      <c r="F124" t="s">
        <v>22</v>
      </c>
      <c r="G124" t="s">
        <v>64</v>
      </c>
      <c r="H124" t="s">
        <v>425</v>
      </c>
      <c r="I124" t="s">
        <v>426</v>
      </c>
      <c r="J124">
        <v>9.8768460000000005</v>
      </c>
      <c r="K124">
        <v>-84.088347999999996</v>
      </c>
      <c r="L124" t="s">
        <v>26</v>
      </c>
      <c r="M124" t="s">
        <v>71</v>
      </c>
      <c r="N124" t="s">
        <v>72</v>
      </c>
      <c r="O124" t="s">
        <v>73</v>
      </c>
      <c r="P124">
        <v>17</v>
      </c>
      <c r="Q124" t="s">
        <v>287</v>
      </c>
      <c r="S124" t="str">
        <f>_xlfn.XLOOKUP(UNIVERSO[[#This Row],[Ruta]],'[1]CUOTA RUTA'!A:A,'[1]CUOTA RUTA'!D:D)</f>
        <v>Cargar</v>
      </c>
    </row>
    <row r="125" spans="1:19" x14ac:dyDescent="0.25">
      <c r="A125">
        <v>1500132506</v>
      </c>
      <c r="B125" t="s">
        <v>427</v>
      </c>
      <c r="C125" t="s">
        <v>19</v>
      </c>
      <c r="D125" t="s">
        <v>32</v>
      </c>
      <c r="E125" t="s">
        <v>21</v>
      </c>
      <c r="F125" t="s">
        <v>22</v>
      </c>
      <c r="G125" t="s">
        <v>23</v>
      </c>
      <c r="H125" t="s">
        <v>103</v>
      </c>
      <c r="I125" t="s">
        <v>428</v>
      </c>
      <c r="J125">
        <v>9.9354600000000008</v>
      </c>
      <c r="K125">
        <v>-84.082300000000004</v>
      </c>
      <c r="L125" t="s">
        <v>26</v>
      </c>
      <c r="M125" t="s">
        <v>71</v>
      </c>
      <c r="N125" t="s">
        <v>72</v>
      </c>
      <c r="O125" t="s">
        <v>73</v>
      </c>
      <c r="P125">
        <v>2</v>
      </c>
      <c r="Q125" t="s">
        <v>150</v>
      </c>
      <c r="S125" t="str">
        <f>_xlfn.XLOOKUP(UNIVERSO[[#This Row],[Ruta]],'[1]CUOTA RUTA'!A:A,'[1]CUOTA RUTA'!D:D)</f>
        <v>Cargar</v>
      </c>
    </row>
    <row r="126" spans="1:19" x14ac:dyDescent="0.25">
      <c r="A126">
        <v>1500132870</v>
      </c>
      <c r="B126" t="s">
        <v>429</v>
      </c>
      <c r="C126" t="s">
        <v>19</v>
      </c>
      <c r="D126" t="s">
        <v>32</v>
      </c>
      <c r="E126" t="s">
        <v>21</v>
      </c>
      <c r="F126" t="s">
        <v>22</v>
      </c>
      <c r="G126" t="s">
        <v>23</v>
      </c>
      <c r="H126" t="s">
        <v>34</v>
      </c>
      <c r="I126" t="s">
        <v>430</v>
      </c>
      <c r="J126">
        <v>9.9277289999999994</v>
      </c>
      <c r="K126">
        <v>-84.001968000000005</v>
      </c>
      <c r="L126" t="s">
        <v>26</v>
      </c>
      <c r="M126" t="s">
        <v>36</v>
      </c>
      <c r="N126" t="s">
        <v>37</v>
      </c>
      <c r="O126" t="s">
        <v>38</v>
      </c>
      <c r="P126">
        <v>20</v>
      </c>
      <c r="Q126" t="s">
        <v>74</v>
      </c>
      <c r="S126" t="str">
        <f>_xlfn.XLOOKUP(UNIVERSO[[#This Row],[Ruta]],'[1]CUOTA RUTA'!A:A,'[1]CUOTA RUTA'!D:D)</f>
        <v>Cargar</v>
      </c>
    </row>
    <row r="127" spans="1:19" x14ac:dyDescent="0.25">
      <c r="A127">
        <v>1500134273</v>
      </c>
      <c r="B127" t="s">
        <v>431</v>
      </c>
      <c r="C127" t="s">
        <v>19</v>
      </c>
      <c r="D127" t="s">
        <v>20</v>
      </c>
      <c r="E127" t="s">
        <v>21</v>
      </c>
      <c r="F127" t="s">
        <v>51</v>
      </c>
      <c r="G127" t="s">
        <v>23</v>
      </c>
      <c r="H127" t="s">
        <v>24</v>
      </c>
      <c r="I127" t="s">
        <v>432</v>
      </c>
      <c r="J127">
        <v>9.9798240000000007</v>
      </c>
      <c r="K127">
        <v>-84.116135999999997</v>
      </c>
      <c r="L127" t="s">
        <v>26</v>
      </c>
      <c r="M127" t="s">
        <v>27</v>
      </c>
      <c r="N127" t="s">
        <v>28</v>
      </c>
      <c r="O127" t="s">
        <v>29</v>
      </c>
      <c r="P127">
        <v>6</v>
      </c>
      <c r="Q127" t="s">
        <v>49</v>
      </c>
      <c r="S127" t="str">
        <f>_xlfn.XLOOKUP(UNIVERSO[[#This Row],[Ruta]],'[1]CUOTA RUTA'!A:A,'[1]CUOTA RUTA'!D:D)</f>
        <v>Cargar</v>
      </c>
    </row>
    <row r="128" spans="1:19" x14ac:dyDescent="0.25">
      <c r="A128">
        <v>1500134603</v>
      </c>
      <c r="B128" t="s">
        <v>433</v>
      </c>
      <c r="C128" t="s">
        <v>19</v>
      </c>
      <c r="D128" t="s">
        <v>208</v>
      </c>
      <c r="E128" t="s">
        <v>21</v>
      </c>
      <c r="F128" t="s">
        <v>22</v>
      </c>
      <c r="G128" t="s">
        <v>64</v>
      </c>
      <c r="H128" t="s">
        <v>221</v>
      </c>
      <c r="I128" t="s">
        <v>434</v>
      </c>
      <c r="J128">
        <v>10.314579999999999</v>
      </c>
      <c r="K128">
        <v>-83.762</v>
      </c>
      <c r="L128" t="s">
        <v>26</v>
      </c>
      <c r="M128" t="s">
        <v>189</v>
      </c>
      <c r="N128" t="s">
        <v>211</v>
      </c>
      <c r="O128" t="s">
        <v>212</v>
      </c>
      <c r="P128">
        <v>1</v>
      </c>
      <c r="Q128" t="s">
        <v>155</v>
      </c>
      <c r="S128" t="str">
        <f>_xlfn.XLOOKUP(UNIVERSO[[#This Row],[Ruta]],'[1]CUOTA RUTA'!A:A,'[1]CUOTA RUTA'!D:D)</f>
        <v>Cargar</v>
      </c>
    </row>
    <row r="129" spans="1:19" x14ac:dyDescent="0.25">
      <c r="A129">
        <v>1500136449</v>
      </c>
      <c r="B129" t="s">
        <v>435</v>
      </c>
      <c r="C129" t="s">
        <v>19</v>
      </c>
      <c r="D129" t="s">
        <v>244</v>
      </c>
      <c r="E129" t="s">
        <v>21</v>
      </c>
      <c r="F129" t="s">
        <v>51</v>
      </c>
      <c r="G129" t="s">
        <v>23</v>
      </c>
      <c r="H129" t="s">
        <v>436</v>
      </c>
      <c r="I129" t="s">
        <v>437</v>
      </c>
      <c r="J129">
        <v>9.4481099999999998</v>
      </c>
      <c r="K129">
        <v>-84.139799999999994</v>
      </c>
      <c r="L129" t="s">
        <v>26</v>
      </c>
      <c r="M129" t="s">
        <v>46</v>
      </c>
      <c r="N129" t="s">
        <v>247</v>
      </c>
      <c r="O129" t="s">
        <v>248</v>
      </c>
      <c r="P129">
        <v>20</v>
      </c>
      <c r="Q129" t="s">
        <v>74</v>
      </c>
      <c r="S129" t="str">
        <f>_xlfn.XLOOKUP(UNIVERSO[[#This Row],[Ruta]],'[1]CUOTA RUTA'!A:A,'[1]CUOTA RUTA'!D:D)</f>
        <v>Cargar</v>
      </c>
    </row>
    <row r="130" spans="1:19" x14ac:dyDescent="0.25">
      <c r="A130">
        <v>1500137085</v>
      </c>
      <c r="B130" t="s">
        <v>438</v>
      </c>
      <c r="C130" t="s">
        <v>19</v>
      </c>
      <c r="D130" t="s">
        <v>32</v>
      </c>
      <c r="E130" t="s">
        <v>21</v>
      </c>
      <c r="F130" t="s">
        <v>22</v>
      </c>
      <c r="G130" t="s">
        <v>23</v>
      </c>
      <c r="H130" t="s">
        <v>103</v>
      </c>
      <c r="I130" t="s">
        <v>439</v>
      </c>
      <c r="J130">
        <v>9.9173170000000006</v>
      </c>
      <c r="K130">
        <v>-84.113883999999999</v>
      </c>
      <c r="L130" t="s">
        <v>26</v>
      </c>
      <c r="M130" t="s">
        <v>71</v>
      </c>
      <c r="N130" t="s">
        <v>72</v>
      </c>
      <c r="O130" t="s">
        <v>73</v>
      </c>
      <c r="P130">
        <v>11</v>
      </c>
      <c r="Q130" t="s">
        <v>108</v>
      </c>
      <c r="S130" t="str">
        <f>_xlfn.XLOOKUP(UNIVERSO[[#This Row],[Ruta]],'[1]CUOTA RUTA'!A:A,'[1]CUOTA RUTA'!D:D)</f>
        <v>Cargar</v>
      </c>
    </row>
    <row r="131" spans="1:19" x14ac:dyDescent="0.25">
      <c r="A131">
        <v>1500137440</v>
      </c>
      <c r="B131" t="s">
        <v>440</v>
      </c>
      <c r="C131" t="s">
        <v>19</v>
      </c>
      <c r="D131" t="s">
        <v>32</v>
      </c>
      <c r="E131" t="s">
        <v>21</v>
      </c>
      <c r="F131" t="s">
        <v>51</v>
      </c>
      <c r="G131" t="s">
        <v>23</v>
      </c>
      <c r="H131" t="s">
        <v>441</v>
      </c>
      <c r="I131" t="s">
        <v>442</v>
      </c>
      <c r="J131">
        <v>9.8942816666670002</v>
      </c>
      <c r="K131">
        <v>-84.087855000000005</v>
      </c>
      <c r="L131" t="s">
        <v>26</v>
      </c>
      <c r="M131" t="s">
        <v>71</v>
      </c>
      <c r="N131" t="s">
        <v>72</v>
      </c>
      <c r="O131" t="s">
        <v>73</v>
      </c>
      <c r="P131">
        <v>8</v>
      </c>
      <c r="Q131" t="s">
        <v>97</v>
      </c>
      <c r="S131" t="str">
        <f>_xlfn.XLOOKUP(UNIVERSO[[#This Row],[Ruta]],'[1]CUOTA RUTA'!A:A,'[1]CUOTA RUTA'!D:D)</f>
        <v>Cargar</v>
      </c>
    </row>
    <row r="132" spans="1:19" x14ac:dyDescent="0.25">
      <c r="A132">
        <v>1500139032</v>
      </c>
      <c r="B132" t="s">
        <v>443</v>
      </c>
      <c r="C132" t="s">
        <v>19</v>
      </c>
      <c r="D132" t="s">
        <v>32</v>
      </c>
      <c r="E132" t="s">
        <v>62</v>
      </c>
      <c r="F132" t="s">
        <v>63</v>
      </c>
      <c r="G132" t="s">
        <v>33</v>
      </c>
      <c r="H132" t="s">
        <v>179</v>
      </c>
      <c r="I132" t="s">
        <v>444</v>
      </c>
      <c r="J132">
        <v>9.9099889999999995</v>
      </c>
      <c r="K132">
        <v>-84.057001999999997</v>
      </c>
      <c r="L132" t="s">
        <v>26</v>
      </c>
      <c r="M132" t="s">
        <v>36</v>
      </c>
      <c r="N132" t="s">
        <v>37</v>
      </c>
      <c r="O132" t="s">
        <v>38</v>
      </c>
      <c r="P132">
        <v>11</v>
      </c>
      <c r="Q132" t="s">
        <v>108</v>
      </c>
      <c r="S132" t="str">
        <f>_xlfn.XLOOKUP(UNIVERSO[[#This Row],[Ruta]],'[1]CUOTA RUTA'!A:A,'[1]CUOTA RUTA'!D:D)</f>
        <v>Cargar</v>
      </c>
    </row>
    <row r="133" spans="1:19" x14ac:dyDescent="0.25">
      <c r="A133">
        <v>1500140164</v>
      </c>
      <c r="B133" t="s">
        <v>445</v>
      </c>
      <c r="C133" t="s">
        <v>19</v>
      </c>
      <c r="D133" t="s">
        <v>32</v>
      </c>
      <c r="E133" t="s">
        <v>21</v>
      </c>
      <c r="F133" t="s">
        <v>22</v>
      </c>
      <c r="G133" t="s">
        <v>33</v>
      </c>
      <c r="H133" t="s">
        <v>138</v>
      </c>
      <c r="I133" t="s">
        <v>446</v>
      </c>
      <c r="J133">
        <v>9.9559490000000004</v>
      </c>
      <c r="K133">
        <v>-84.028419</v>
      </c>
      <c r="L133" t="s">
        <v>26</v>
      </c>
      <c r="M133" t="s">
        <v>36</v>
      </c>
      <c r="N133" t="s">
        <v>37</v>
      </c>
      <c r="O133" t="s">
        <v>38</v>
      </c>
      <c r="P133">
        <v>21</v>
      </c>
      <c r="Q133" t="s">
        <v>239</v>
      </c>
      <c r="S133" t="str">
        <f>_xlfn.XLOOKUP(UNIVERSO[[#This Row],[Ruta]],'[1]CUOTA RUTA'!A:A,'[1]CUOTA RUTA'!D:D)</f>
        <v>Cargar</v>
      </c>
    </row>
    <row r="134" spans="1:19" x14ac:dyDescent="0.25">
      <c r="A134">
        <v>1500142187</v>
      </c>
      <c r="B134" t="s">
        <v>447</v>
      </c>
      <c r="C134" t="s">
        <v>19</v>
      </c>
      <c r="D134" t="s">
        <v>349</v>
      </c>
      <c r="E134" t="s">
        <v>21</v>
      </c>
      <c r="F134" t="s">
        <v>22</v>
      </c>
      <c r="G134" t="s">
        <v>64</v>
      </c>
      <c r="H134" t="s">
        <v>448</v>
      </c>
      <c r="I134" t="s">
        <v>449</v>
      </c>
      <c r="J134">
        <v>10.281091</v>
      </c>
      <c r="K134">
        <v>-85.525833000000006</v>
      </c>
      <c r="L134" t="s">
        <v>26</v>
      </c>
      <c r="M134" t="s">
        <v>352</v>
      </c>
      <c r="N134" t="s">
        <v>353</v>
      </c>
      <c r="O134" t="s">
        <v>354</v>
      </c>
      <c r="P134">
        <v>3</v>
      </c>
      <c r="Q134" t="s">
        <v>101</v>
      </c>
      <c r="S134" t="str">
        <f>_xlfn.XLOOKUP(UNIVERSO[[#This Row],[Ruta]],'[1]CUOTA RUTA'!A:A,'[1]CUOTA RUTA'!D:D)</f>
        <v>Cargar</v>
      </c>
    </row>
    <row r="135" spans="1:19" x14ac:dyDescent="0.25">
      <c r="A135">
        <v>1500143910</v>
      </c>
      <c r="B135" t="s">
        <v>450</v>
      </c>
      <c r="C135" t="s">
        <v>19</v>
      </c>
      <c r="D135" t="s">
        <v>337</v>
      </c>
      <c r="E135" t="s">
        <v>62</v>
      </c>
      <c r="F135" t="s">
        <v>63</v>
      </c>
      <c r="G135" t="s">
        <v>64</v>
      </c>
      <c r="H135" t="s">
        <v>451</v>
      </c>
      <c r="I135" t="s">
        <v>452</v>
      </c>
      <c r="J135">
        <v>10.639609999999999</v>
      </c>
      <c r="K135">
        <v>-85.431799999999996</v>
      </c>
      <c r="L135" t="s">
        <v>26</v>
      </c>
      <c r="M135" t="s">
        <v>327</v>
      </c>
      <c r="N135" t="s">
        <v>340</v>
      </c>
      <c r="O135" t="s">
        <v>341</v>
      </c>
      <c r="P135">
        <v>12</v>
      </c>
      <c r="Q135" t="s">
        <v>42</v>
      </c>
      <c r="S135" t="str">
        <f>_xlfn.XLOOKUP(UNIVERSO[[#This Row],[Ruta]],'[1]CUOTA RUTA'!A:A,'[1]CUOTA RUTA'!D:D)</f>
        <v>Cargar</v>
      </c>
    </row>
    <row r="136" spans="1:19" x14ac:dyDescent="0.25">
      <c r="A136">
        <v>1500143954</v>
      </c>
      <c r="B136" t="s">
        <v>453</v>
      </c>
      <c r="C136" t="s">
        <v>19</v>
      </c>
      <c r="D136" t="s">
        <v>337</v>
      </c>
      <c r="E136" t="s">
        <v>21</v>
      </c>
      <c r="F136" t="s">
        <v>22</v>
      </c>
      <c r="G136" t="s">
        <v>33</v>
      </c>
      <c r="H136" t="s">
        <v>451</v>
      </c>
      <c r="I136" t="s">
        <v>454</v>
      </c>
      <c r="J136">
        <v>10.6403649</v>
      </c>
      <c r="K136">
        <v>-85.444611940000001</v>
      </c>
      <c r="L136" t="s">
        <v>26</v>
      </c>
      <c r="M136" t="s">
        <v>327</v>
      </c>
      <c r="N136" t="s">
        <v>340</v>
      </c>
      <c r="O136" t="s">
        <v>341</v>
      </c>
      <c r="P136">
        <v>13</v>
      </c>
      <c r="Q136" t="s">
        <v>161</v>
      </c>
      <c r="S136" t="str">
        <f>_xlfn.XLOOKUP(UNIVERSO[[#This Row],[Ruta]],'[1]CUOTA RUTA'!A:A,'[1]CUOTA RUTA'!D:D)</f>
        <v>Cargar</v>
      </c>
    </row>
    <row r="137" spans="1:19" x14ac:dyDescent="0.25">
      <c r="A137">
        <v>1500144061</v>
      </c>
      <c r="B137" t="s">
        <v>455</v>
      </c>
      <c r="C137" t="s">
        <v>19</v>
      </c>
      <c r="D137" t="s">
        <v>32</v>
      </c>
      <c r="E137" t="s">
        <v>21</v>
      </c>
      <c r="F137" t="s">
        <v>22</v>
      </c>
      <c r="G137" t="s">
        <v>23</v>
      </c>
      <c r="H137" t="s">
        <v>86</v>
      </c>
      <c r="I137" t="s">
        <v>456</v>
      </c>
      <c r="J137">
        <v>9.8981300000000001</v>
      </c>
      <c r="K137">
        <v>-84.094899999999996</v>
      </c>
      <c r="L137" t="s">
        <v>26</v>
      </c>
      <c r="M137" t="s">
        <v>71</v>
      </c>
      <c r="N137" t="s">
        <v>72</v>
      </c>
      <c r="O137" t="s">
        <v>73</v>
      </c>
      <c r="P137">
        <v>8</v>
      </c>
      <c r="Q137" t="s">
        <v>97</v>
      </c>
      <c r="S137" t="str">
        <f>_xlfn.XLOOKUP(UNIVERSO[[#This Row],[Ruta]],'[1]CUOTA RUTA'!A:A,'[1]CUOTA RUTA'!D:D)</f>
        <v>Cargar</v>
      </c>
    </row>
    <row r="138" spans="1:19" x14ac:dyDescent="0.25">
      <c r="A138">
        <v>1500144360</v>
      </c>
      <c r="B138" t="s">
        <v>457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H138" t="s">
        <v>458</v>
      </c>
      <c r="I138" t="s">
        <v>459</v>
      </c>
      <c r="J138">
        <v>9.9580699999999993</v>
      </c>
      <c r="K138">
        <v>-84.264920000000004</v>
      </c>
      <c r="L138" t="s">
        <v>26</v>
      </c>
      <c r="M138" t="s">
        <v>54</v>
      </c>
      <c r="N138" t="s">
        <v>55</v>
      </c>
      <c r="O138" t="s">
        <v>56</v>
      </c>
      <c r="P138">
        <v>6</v>
      </c>
      <c r="Q138" t="s">
        <v>49</v>
      </c>
      <c r="S138" t="str">
        <f>_xlfn.XLOOKUP(UNIVERSO[[#This Row],[Ruta]],'[1]CUOTA RUTA'!A:A,'[1]CUOTA RUTA'!D:D)</f>
        <v>Cargar</v>
      </c>
    </row>
    <row r="139" spans="1:19" x14ac:dyDescent="0.25">
      <c r="A139">
        <v>1500144547</v>
      </c>
      <c r="B139" t="s">
        <v>460</v>
      </c>
      <c r="C139" t="s">
        <v>19</v>
      </c>
      <c r="D139" t="s">
        <v>32</v>
      </c>
      <c r="E139" t="s">
        <v>21</v>
      </c>
      <c r="F139" t="s">
        <v>22</v>
      </c>
      <c r="G139" t="s">
        <v>33</v>
      </c>
      <c r="H139" t="s">
        <v>106</v>
      </c>
      <c r="I139" t="s">
        <v>461</v>
      </c>
      <c r="J139">
        <v>9.9242650000000001</v>
      </c>
      <c r="K139">
        <v>-84.110820000000004</v>
      </c>
      <c r="L139" t="s">
        <v>26</v>
      </c>
      <c r="M139" t="s">
        <v>71</v>
      </c>
      <c r="N139" t="s">
        <v>72</v>
      </c>
      <c r="O139" t="s">
        <v>73</v>
      </c>
      <c r="P139">
        <v>12</v>
      </c>
      <c r="Q139" t="s">
        <v>42</v>
      </c>
      <c r="S139" t="str">
        <f>_xlfn.XLOOKUP(UNIVERSO[[#This Row],[Ruta]],'[1]CUOTA RUTA'!A:A,'[1]CUOTA RUTA'!D:D)</f>
        <v>Cargar</v>
      </c>
    </row>
    <row r="140" spans="1:19" x14ac:dyDescent="0.25">
      <c r="A140">
        <v>1500144837</v>
      </c>
      <c r="B140" t="s">
        <v>462</v>
      </c>
      <c r="C140" t="s">
        <v>19</v>
      </c>
      <c r="D140" t="s">
        <v>32</v>
      </c>
      <c r="E140" t="s">
        <v>21</v>
      </c>
      <c r="F140" t="s">
        <v>51</v>
      </c>
      <c r="G140" t="s">
        <v>23</v>
      </c>
      <c r="H140" t="s">
        <v>86</v>
      </c>
      <c r="I140" t="s">
        <v>463</v>
      </c>
      <c r="J140">
        <v>9.9014030000000002</v>
      </c>
      <c r="K140">
        <v>-84.106001000000006</v>
      </c>
      <c r="L140" t="s">
        <v>26</v>
      </c>
      <c r="M140" t="s">
        <v>71</v>
      </c>
      <c r="N140" t="s">
        <v>72</v>
      </c>
      <c r="O140" t="s">
        <v>73</v>
      </c>
      <c r="P140">
        <v>13</v>
      </c>
      <c r="Q140" t="s">
        <v>161</v>
      </c>
      <c r="S140" t="str">
        <f>_xlfn.XLOOKUP(UNIVERSO[[#This Row],[Ruta]],'[1]CUOTA RUTA'!A:A,'[1]CUOTA RUTA'!D:D)</f>
        <v>Cargar</v>
      </c>
    </row>
    <row r="141" spans="1:19" x14ac:dyDescent="0.25">
      <c r="A141">
        <v>1500147352</v>
      </c>
      <c r="B141" t="s">
        <v>464</v>
      </c>
      <c r="C141" t="s">
        <v>19</v>
      </c>
      <c r="D141" t="s">
        <v>32</v>
      </c>
      <c r="E141" t="s">
        <v>62</v>
      </c>
      <c r="F141" t="s">
        <v>63</v>
      </c>
      <c r="G141" t="s">
        <v>64</v>
      </c>
      <c r="H141" t="s">
        <v>179</v>
      </c>
      <c r="I141" t="s">
        <v>465</v>
      </c>
      <c r="J141">
        <v>9.9048890000000007</v>
      </c>
      <c r="K141">
        <v>-84.056391000000005</v>
      </c>
      <c r="L141" t="s">
        <v>26</v>
      </c>
      <c r="M141" t="s">
        <v>36</v>
      </c>
      <c r="N141" t="s">
        <v>37</v>
      </c>
      <c r="O141" t="s">
        <v>38</v>
      </c>
      <c r="P141">
        <v>12</v>
      </c>
      <c r="Q141" t="s">
        <v>42</v>
      </c>
      <c r="S141" t="str">
        <f>_xlfn.XLOOKUP(UNIVERSO[[#This Row],[Ruta]],'[1]CUOTA RUTA'!A:A,'[1]CUOTA RUTA'!D:D)</f>
        <v>Cargar</v>
      </c>
    </row>
    <row r="142" spans="1:19" x14ac:dyDescent="0.25">
      <c r="A142">
        <v>1500149062</v>
      </c>
      <c r="B142" t="s">
        <v>466</v>
      </c>
      <c r="C142" t="s">
        <v>19</v>
      </c>
      <c r="D142" t="s">
        <v>201</v>
      </c>
      <c r="E142" t="s">
        <v>21</v>
      </c>
      <c r="F142" t="s">
        <v>22</v>
      </c>
      <c r="G142" t="s">
        <v>23</v>
      </c>
      <c r="H142" t="s">
        <v>334</v>
      </c>
      <c r="I142" t="s">
        <v>467</v>
      </c>
      <c r="J142">
        <v>10.002682800000001</v>
      </c>
      <c r="K142">
        <v>-84.657656799999998</v>
      </c>
      <c r="L142" t="s">
        <v>26</v>
      </c>
      <c r="M142" t="s">
        <v>204</v>
      </c>
      <c r="N142" t="s">
        <v>205</v>
      </c>
      <c r="O142" t="s">
        <v>206</v>
      </c>
      <c r="P142">
        <v>14</v>
      </c>
      <c r="Q142" t="s">
        <v>181</v>
      </c>
      <c r="S142" t="str">
        <f>_xlfn.XLOOKUP(UNIVERSO[[#This Row],[Ruta]],'[1]CUOTA RUTA'!A:A,'[1]CUOTA RUTA'!D:D)</f>
        <v>Cargar</v>
      </c>
    </row>
    <row r="143" spans="1:19" x14ac:dyDescent="0.25">
      <c r="A143">
        <v>1500151070</v>
      </c>
      <c r="B143" t="s">
        <v>468</v>
      </c>
      <c r="C143" t="s">
        <v>19</v>
      </c>
      <c r="D143" t="s">
        <v>186</v>
      </c>
      <c r="E143" t="s">
        <v>21</v>
      </c>
      <c r="F143" t="s">
        <v>22</v>
      </c>
      <c r="G143" t="s">
        <v>33</v>
      </c>
      <c r="H143" t="s">
        <v>241</v>
      </c>
      <c r="I143" t="s">
        <v>469</v>
      </c>
      <c r="J143">
        <v>9.9924999999999997</v>
      </c>
      <c r="K143">
        <v>-83.148099999999999</v>
      </c>
      <c r="L143" t="s">
        <v>26</v>
      </c>
      <c r="M143" t="s">
        <v>189</v>
      </c>
      <c r="N143" t="s">
        <v>190</v>
      </c>
      <c r="O143" t="s">
        <v>191</v>
      </c>
      <c r="P143">
        <v>19</v>
      </c>
      <c r="Q143" t="s">
        <v>67</v>
      </c>
      <c r="S143" t="str">
        <f>_xlfn.XLOOKUP(UNIVERSO[[#This Row],[Ruta]],'[1]CUOTA RUTA'!A:A,'[1]CUOTA RUTA'!D:D)</f>
        <v>Cargar</v>
      </c>
    </row>
    <row r="144" spans="1:19" x14ac:dyDescent="0.25">
      <c r="A144">
        <v>1500151630</v>
      </c>
      <c r="B144" t="s">
        <v>470</v>
      </c>
      <c r="C144" t="s">
        <v>19</v>
      </c>
      <c r="D144" t="s">
        <v>186</v>
      </c>
      <c r="E144" t="s">
        <v>21</v>
      </c>
      <c r="F144" t="s">
        <v>22</v>
      </c>
      <c r="G144" t="s">
        <v>23</v>
      </c>
      <c r="H144" t="s">
        <v>420</v>
      </c>
      <c r="I144" t="s">
        <v>471</v>
      </c>
      <c r="J144">
        <v>9.917859</v>
      </c>
      <c r="K144">
        <v>-83.018559999999994</v>
      </c>
      <c r="L144" t="s">
        <v>26</v>
      </c>
      <c r="M144" t="s">
        <v>189</v>
      </c>
      <c r="N144" t="s">
        <v>190</v>
      </c>
      <c r="O144" t="s">
        <v>191</v>
      </c>
      <c r="P144">
        <v>16</v>
      </c>
      <c r="Q144" t="s">
        <v>60</v>
      </c>
      <c r="S144" t="str">
        <f>_xlfn.XLOOKUP(UNIVERSO[[#This Row],[Ruta]],'[1]CUOTA RUTA'!A:A,'[1]CUOTA RUTA'!D:D)</f>
        <v>Cargar</v>
      </c>
    </row>
    <row r="145" spans="1:19" x14ac:dyDescent="0.25">
      <c r="A145">
        <v>1500151990</v>
      </c>
      <c r="B145" t="s">
        <v>472</v>
      </c>
      <c r="C145" t="s">
        <v>19</v>
      </c>
      <c r="D145" t="s">
        <v>186</v>
      </c>
      <c r="E145" t="s">
        <v>21</v>
      </c>
      <c r="F145" t="s">
        <v>22</v>
      </c>
      <c r="G145" t="s">
        <v>23</v>
      </c>
      <c r="H145" t="s">
        <v>187</v>
      </c>
      <c r="I145" t="s">
        <v>473</v>
      </c>
      <c r="J145">
        <v>9.9967089999999992</v>
      </c>
      <c r="K145">
        <v>-83.043785</v>
      </c>
      <c r="L145" t="s">
        <v>26</v>
      </c>
      <c r="M145" t="s">
        <v>189</v>
      </c>
      <c r="N145" t="s">
        <v>190</v>
      </c>
      <c r="O145" t="s">
        <v>191</v>
      </c>
      <c r="P145">
        <v>13</v>
      </c>
      <c r="Q145" t="s">
        <v>161</v>
      </c>
      <c r="S145" t="str">
        <f>_xlfn.XLOOKUP(UNIVERSO[[#This Row],[Ruta]],'[1]CUOTA RUTA'!A:A,'[1]CUOTA RUTA'!D:D)</f>
        <v>Cargar</v>
      </c>
    </row>
    <row r="146" spans="1:19" x14ac:dyDescent="0.25">
      <c r="A146">
        <v>1500152180</v>
      </c>
      <c r="B146" t="s">
        <v>474</v>
      </c>
      <c r="C146" t="s">
        <v>19</v>
      </c>
      <c r="D146" t="s">
        <v>20</v>
      </c>
      <c r="E146" t="s">
        <v>21</v>
      </c>
      <c r="F146" t="s">
        <v>51</v>
      </c>
      <c r="G146" t="s">
        <v>23</v>
      </c>
      <c r="H146" t="s">
        <v>24</v>
      </c>
      <c r="I146" t="s">
        <v>475</v>
      </c>
      <c r="J146">
        <v>9.9418260000000007</v>
      </c>
      <c r="K146">
        <v>-84.131472000000002</v>
      </c>
      <c r="L146" t="s">
        <v>26</v>
      </c>
      <c r="M146" t="s">
        <v>27</v>
      </c>
      <c r="N146" t="s">
        <v>28</v>
      </c>
      <c r="O146" t="s">
        <v>29</v>
      </c>
      <c r="P146">
        <v>22</v>
      </c>
      <c r="Q146" t="s">
        <v>30</v>
      </c>
      <c r="S146" t="str">
        <f>_xlfn.XLOOKUP(UNIVERSO[[#This Row],[Ruta]],'[1]CUOTA RUTA'!A:A,'[1]CUOTA RUTA'!D:D)</f>
        <v>Cargar</v>
      </c>
    </row>
    <row r="147" spans="1:19" x14ac:dyDescent="0.25">
      <c r="A147">
        <v>1500152561</v>
      </c>
      <c r="B147" t="s">
        <v>476</v>
      </c>
      <c r="C147" t="s">
        <v>19</v>
      </c>
      <c r="D147" t="s">
        <v>32</v>
      </c>
      <c r="E147" t="s">
        <v>21</v>
      </c>
      <c r="F147" t="s">
        <v>22</v>
      </c>
      <c r="G147" t="s">
        <v>33</v>
      </c>
      <c r="H147" t="s">
        <v>159</v>
      </c>
      <c r="I147" t="s">
        <v>477</v>
      </c>
      <c r="J147">
        <v>9.9000319999999995</v>
      </c>
      <c r="K147">
        <v>-84.097328000000005</v>
      </c>
      <c r="L147" t="s">
        <v>26</v>
      </c>
      <c r="M147" t="s">
        <v>71</v>
      </c>
      <c r="N147" t="s">
        <v>72</v>
      </c>
      <c r="O147" t="s">
        <v>73</v>
      </c>
      <c r="P147">
        <v>9</v>
      </c>
      <c r="Q147" t="s">
        <v>80</v>
      </c>
      <c r="S147" t="str">
        <f>_xlfn.XLOOKUP(UNIVERSO[[#This Row],[Ruta]],'[1]CUOTA RUTA'!A:A,'[1]CUOTA RUTA'!D:D)</f>
        <v>Cargar</v>
      </c>
    </row>
    <row r="148" spans="1:19" x14ac:dyDescent="0.25">
      <c r="A148">
        <v>1500155570</v>
      </c>
      <c r="B148" t="s">
        <v>478</v>
      </c>
      <c r="C148" t="s">
        <v>19</v>
      </c>
      <c r="D148" t="s">
        <v>32</v>
      </c>
      <c r="E148" t="s">
        <v>21</v>
      </c>
      <c r="F148" t="s">
        <v>51</v>
      </c>
      <c r="G148" t="s">
        <v>23</v>
      </c>
      <c r="H148" t="s">
        <v>441</v>
      </c>
      <c r="I148" t="s">
        <v>479</v>
      </c>
      <c r="J148">
        <v>9.8809716666669996</v>
      </c>
      <c r="K148">
        <v>-84.033384999999996</v>
      </c>
      <c r="L148" t="s">
        <v>26</v>
      </c>
      <c r="M148" t="s">
        <v>71</v>
      </c>
      <c r="N148" t="s">
        <v>72</v>
      </c>
      <c r="O148" t="s">
        <v>73</v>
      </c>
      <c r="P148">
        <v>23</v>
      </c>
      <c r="Q148" t="s">
        <v>125</v>
      </c>
      <c r="S148" t="str">
        <f>_xlfn.XLOOKUP(UNIVERSO[[#This Row],[Ruta]],'[1]CUOTA RUTA'!A:A,'[1]CUOTA RUTA'!D:D)</f>
        <v>Cargar</v>
      </c>
    </row>
    <row r="149" spans="1:19" x14ac:dyDescent="0.25">
      <c r="A149">
        <v>1500155936</v>
      </c>
      <c r="B149" t="s">
        <v>480</v>
      </c>
      <c r="C149" t="s">
        <v>19</v>
      </c>
      <c r="D149" t="s">
        <v>32</v>
      </c>
      <c r="E149" t="s">
        <v>21</v>
      </c>
      <c r="F149" t="s">
        <v>22</v>
      </c>
      <c r="G149" t="s">
        <v>23</v>
      </c>
      <c r="H149" t="s">
        <v>134</v>
      </c>
      <c r="I149" t="s">
        <v>481</v>
      </c>
      <c r="J149">
        <v>9.9649599999999996</v>
      </c>
      <c r="K149">
        <v>-84.043000000000006</v>
      </c>
      <c r="L149" t="s">
        <v>26</v>
      </c>
      <c r="M149" t="s">
        <v>94</v>
      </c>
      <c r="N149" t="s">
        <v>95</v>
      </c>
      <c r="O149" t="s">
        <v>96</v>
      </c>
      <c r="P149">
        <v>7</v>
      </c>
      <c r="Q149" t="s">
        <v>39</v>
      </c>
      <c r="S149" t="str">
        <f>_xlfn.XLOOKUP(UNIVERSO[[#This Row],[Ruta]],'[1]CUOTA RUTA'!A:A,'[1]CUOTA RUTA'!D:D)</f>
        <v>Cargar</v>
      </c>
    </row>
    <row r="150" spans="1:19" x14ac:dyDescent="0.25">
      <c r="A150">
        <v>1500157657</v>
      </c>
      <c r="B150" t="s">
        <v>482</v>
      </c>
      <c r="C150" t="s">
        <v>19</v>
      </c>
      <c r="D150" t="s">
        <v>337</v>
      </c>
      <c r="E150" t="s">
        <v>21</v>
      </c>
      <c r="F150" t="s">
        <v>22</v>
      </c>
      <c r="G150" t="s">
        <v>23</v>
      </c>
      <c r="H150" t="s">
        <v>483</v>
      </c>
      <c r="I150" t="s">
        <v>484</v>
      </c>
      <c r="J150">
        <v>10.433824299999999</v>
      </c>
      <c r="K150">
        <v>-85.075916250000006</v>
      </c>
      <c r="L150" t="s">
        <v>26</v>
      </c>
      <c r="M150" t="s">
        <v>327</v>
      </c>
      <c r="N150" t="s">
        <v>340</v>
      </c>
      <c r="O150" t="s">
        <v>341</v>
      </c>
      <c r="P150">
        <v>22</v>
      </c>
      <c r="Q150" t="s">
        <v>30</v>
      </c>
      <c r="S150" t="str">
        <f>_xlfn.XLOOKUP(UNIVERSO[[#This Row],[Ruta]],'[1]CUOTA RUTA'!A:A,'[1]CUOTA RUTA'!D:D)</f>
        <v>Cargar</v>
      </c>
    </row>
    <row r="151" spans="1:19" x14ac:dyDescent="0.25">
      <c r="A151">
        <v>1500158349</v>
      </c>
      <c r="B151" t="s">
        <v>485</v>
      </c>
      <c r="C151" t="s">
        <v>19</v>
      </c>
      <c r="D151" t="s">
        <v>337</v>
      </c>
      <c r="E151" t="s">
        <v>21</v>
      </c>
      <c r="F151" t="s">
        <v>22</v>
      </c>
      <c r="G151" t="s">
        <v>23</v>
      </c>
      <c r="H151" t="s">
        <v>401</v>
      </c>
      <c r="I151" t="s">
        <v>486</v>
      </c>
      <c r="J151">
        <v>10.63383</v>
      </c>
      <c r="K151">
        <v>-85.429519999999997</v>
      </c>
      <c r="L151" t="s">
        <v>26</v>
      </c>
      <c r="M151" t="s">
        <v>327</v>
      </c>
      <c r="N151" t="s">
        <v>340</v>
      </c>
      <c r="O151" t="s">
        <v>341</v>
      </c>
      <c r="P151">
        <v>13</v>
      </c>
      <c r="Q151" t="s">
        <v>161</v>
      </c>
      <c r="S151" t="str">
        <f>_xlfn.XLOOKUP(UNIVERSO[[#This Row],[Ruta]],'[1]CUOTA RUTA'!A:A,'[1]CUOTA RUTA'!D:D)</f>
        <v>Cargar</v>
      </c>
    </row>
    <row r="152" spans="1:19" x14ac:dyDescent="0.25">
      <c r="A152">
        <v>1500159007</v>
      </c>
      <c r="B152" t="s">
        <v>487</v>
      </c>
      <c r="C152" t="s">
        <v>19</v>
      </c>
      <c r="D152" t="s">
        <v>201</v>
      </c>
      <c r="E152" t="s">
        <v>21</v>
      </c>
      <c r="F152" t="s">
        <v>22</v>
      </c>
      <c r="G152" t="s">
        <v>33</v>
      </c>
      <c r="H152" t="s">
        <v>488</v>
      </c>
      <c r="I152" t="s">
        <v>489</v>
      </c>
      <c r="J152">
        <v>10.0814317</v>
      </c>
      <c r="K152">
        <v>-84.732846699999996</v>
      </c>
      <c r="L152" t="s">
        <v>26</v>
      </c>
      <c r="M152" t="s">
        <v>204</v>
      </c>
      <c r="N152" t="s">
        <v>205</v>
      </c>
      <c r="O152" t="s">
        <v>206</v>
      </c>
      <c r="P152">
        <v>13</v>
      </c>
      <c r="Q152" t="s">
        <v>161</v>
      </c>
      <c r="S152" t="str">
        <f>_xlfn.XLOOKUP(UNIVERSO[[#This Row],[Ruta]],'[1]CUOTA RUTA'!A:A,'[1]CUOTA RUTA'!D:D)</f>
        <v>Cargar</v>
      </c>
    </row>
    <row r="153" spans="1:19" x14ac:dyDescent="0.25">
      <c r="A153">
        <v>1500159465</v>
      </c>
      <c r="B153" t="s">
        <v>490</v>
      </c>
      <c r="C153" t="s">
        <v>19</v>
      </c>
      <c r="D153" t="s">
        <v>201</v>
      </c>
      <c r="E153" t="s">
        <v>21</v>
      </c>
      <c r="F153" t="s">
        <v>22</v>
      </c>
      <c r="G153" t="s">
        <v>23</v>
      </c>
      <c r="H153" t="s">
        <v>491</v>
      </c>
      <c r="I153" t="s">
        <v>492</v>
      </c>
      <c r="J153">
        <v>9.7170593000000007</v>
      </c>
      <c r="K153">
        <v>-84.631927399999995</v>
      </c>
      <c r="L153" t="s">
        <v>26</v>
      </c>
      <c r="M153" t="s">
        <v>204</v>
      </c>
      <c r="N153" t="s">
        <v>205</v>
      </c>
      <c r="O153" t="s">
        <v>206</v>
      </c>
      <c r="P153">
        <v>4</v>
      </c>
      <c r="Q153" t="s">
        <v>120</v>
      </c>
      <c r="S153" t="str">
        <f>_xlfn.XLOOKUP(UNIVERSO[[#This Row],[Ruta]],'[1]CUOTA RUTA'!A:A,'[1]CUOTA RUTA'!D:D)</f>
        <v>Cargar</v>
      </c>
    </row>
    <row r="154" spans="1:19" x14ac:dyDescent="0.25">
      <c r="A154">
        <v>1500160070</v>
      </c>
      <c r="B154" t="s">
        <v>493</v>
      </c>
      <c r="C154" t="s">
        <v>19</v>
      </c>
      <c r="D154" t="s">
        <v>201</v>
      </c>
      <c r="E154" t="s">
        <v>21</v>
      </c>
      <c r="F154" t="s">
        <v>22</v>
      </c>
      <c r="G154" t="s">
        <v>64</v>
      </c>
      <c r="H154" t="s">
        <v>202</v>
      </c>
      <c r="I154" t="s">
        <v>494</v>
      </c>
      <c r="J154">
        <v>9.9844799999999996</v>
      </c>
      <c r="K154">
        <v>-84.731629999999996</v>
      </c>
      <c r="L154" t="s">
        <v>26</v>
      </c>
      <c r="M154" t="s">
        <v>204</v>
      </c>
      <c r="N154" t="s">
        <v>205</v>
      </c>
      <c r="O154" t="s">
        <v>206</v>
      </c>
      <c r="P154">
        <v>8</v>
      </c>
      <c r="Q154" t="s">
        <v>97</v>
      </c>
      <c r="S154" t="str">
        <f>_xlfn.XLOOKUP(UNIVERSO[[#This Row],[Ruta]],'[1]CUOTA RUTA'!A:A,'[1]CUOTA RUTA'!D:D)</f>
        <v>Cargar</v>
      </c>
    </row>
    <row r="155" spans="1:19" x14ac:dyDescent="0.25">
      <c r="A155">
        <v>1500160509</v>
      </c>
      <c r="B155" t="s">
        <v>495</v>
      </c>
      <c r="C155" t="s">
        <v>19</v>
      </c>
      <c r="D155" t="s">
        <v>349</v>
      </c>
      <c r="E155" t="s">
        <v>21</v>
      </c>
      <c r="F155" t="s">
        <v>22</v>
      </c>
      <c r="G155" t="s">
        <v>23</v>
      </c>
      <c r="H155" t="s">
        <v>496</v>
      </c>
      <c r="I155" t="s">
        <v>497</v>
      </c>
      <c r="J155">
        <v>10.145174000000001</v>
      </c>
      <c r="K155">
        <v>-85.450709000000003</v>
      </c>
      <c r="L155" t="s">
        <v>26</v>
      </c>
      <c r="M155" t="s">
        <v>352</v>
      </c>
      <c r="N155" t="s">
        <v>353</v>
      </c>
      <c r="O155" t="s">
        <v>354</v>
      </c>
      <c r="P155">
        <v>12</v>
      </c>
      <c r="Q155" t="s">
        <v>42</v>
      </c>
      <c r="S155" t="str">
        <f>_xlfn.XLOOKUP(UNIVERSO[[#This Row],[Ruta]],'[1]CUOTA RUTA'!A:A,'[1]CUOTA RUTA'!D:D)</f>
        <v>Cargar</v>
      </c>
    </row>
    <row r="156" spans="1:19" x14ac:dyDescent="0.25">
      <c r="A156">
        <v>1500160557</v>
      </c>
      <c r="B156" t="s">
        <v>498</v>
      </c>
      <c r="C156" t="s">
        <v>19</v>
      </c>
      <c r="D156" t="s">
        <v>201</v>
      </c>
      <c r="E156" t="s">
        <v>62</v>
      </c>
      <c r="F156" t="s">
        <v>63</v>
      </c>
      <c r="G156" t="s">
        <v>64</v>
      </c>
      <c r="H156" t="s">
        <v>499</v>
      </c>
      <c r="I156" t="s">
        <v>500</v>
      </c>
      <c r="J156">
        <v>9.9078497999999993</v>
      </c>
      <c r="K156">
        <v>-84.665877399999999</v>
      </c>
      <c r="L156" t="s">
        <v>26</v>
      </c>
      <c r="M156" t="s">
        <v>204</v>
      </c>
      <c r="N156" t="s">
        <v>205</v>
      </c>
      <c r="O156" t="s">
        <v>206</v>
      </c>
      <c r="P156">
        <v>6</v>
      </c>
      <c r="Q156" t="s">
        <v>49</v>
      </c>
      <c r="S156" t="str">
        <f>_xlfn.XLOOKUP(UNIVERSO[[#This Row],[Ruta]],'[1]CUOTA RUTA'!A:A,'[1]CUOTA RUTA'!D:D)</f>
        <v>Cargar</v>
      </c>
    </row>
    <row r="157" spans="1:19" x14ac:dyDescent="0.25">
      <c r="A157">
        <v>1500161335</v>
      </c>
      <c r="B157" t="s">
        <v>501</v>
      </c>
      <c r="C157" t="s">
        <v>19</v>
      </c>
      <c r="D157" t="s">
        <v>208</v>
      </c>
      <c r="E157" t="s">
        <v>21</v>
      </c>
      <c r="F157" t="s">
        <v>22</v>
      </c>
      <c r="G157" t="s">
        <v>33</v>
      </c>
      <c r="H157" t="s">
        <v>502</v>
      </c>
      <c r="I157" t="s">
        <v>503</v>
      </c>
      <c r="J157">
        <v>10.28036174</v>
      </c>
      <c r="K157">
        <v>-83.615446939999998</v>
      </c>
      <c r="L157" t="s">
        <v>26</v>
      </c>
      <c r="M157" t="s">
        <v>189</v>
      </c>
      <c r="N157" t="s">
        <v>211</v>
      </c>
      <c r="O157" t="s">
        <v>212</v>
      </c>
      <c r="P157">
        <v>6</v>
      </c>
      <c r="Q157" t="s">
        <v>49</v>
      </c>
      <c r="S157" t="str">
        <f>_xlfn.XLOOKUP(UNIVERSO[[#This Row],[Ruta]],'[1]CUOTA RUTA'!A:A,'[1]CUOTA RUTA'!D:D)</f>
        <v>Cargar</v>
      </c>
    </row>
    <row r="158" spans="1:19" x14ac:dyDescent="0.25">
      <c r="A158">
        <v>1500163850</v>
      </c>
      <c r="B158" t="s">
        <v>504</v>
      </c>
      <c r="C158" t="s">
        <v>19</v>
      </c>
      <c r="D158" t="s">
        <v>32</v>
      </c>
      <c r="E158" t="s">
        <v>21</v>
      </c>
      <c r="F158" t="s">
        <v>22</v>
      </c>
      <c r="G158" t="s">
        <v>33</v>
      </c>
      <c r="H158" t="s">
        <v>69</v>
      </c>
      <c r="I158" t="s">
        <v>505</v>
      </c>
      <c r="J158">
        <v>9.8565950000000004</v>
      </c>
      <c r="K158">
        <v>-84.064573333330003</v>
      </c>
      <c r="L158" t="s">
        <v>26</v>
      </c>
      <c r="M158" t="s">
        <v>71</v>
      </c>
      <c r="N158" t="s">
        <v>72</v>
      </c>
      <c r="O158" t="s">
        <v>73</v>
      </c>
      <c r="P158">
        <v>22</v>
      </c>
      <c r="Q158" t="s">
        <v>30</v>
      </c>
      <c r="S158" t="str">
        <f>_xlfn.XLOOKUP(UNIVERSO[[#This Row],[Ruta]],'[1]CUOTA RUTA'!A:A,'[1]CUOTA RUTA'!D:D)</f>
        <v>Cargar</v>
      </c>
    </row>
    <row r="159" spans="1:19" x14ac:dyDescent="0.25">
      <c r="A159">
        <v>1500164227</v>
      </c>
      <c r="B159" t="s">
        <v>506</v>
      </c>
      <c r="C159" t="s">
        <v>19</v>
      </c>
      <c r="D159" t="s">
        <v>208</v>
      </c>
      <c r="E159" t="s">
        <v>21</v>
      </c>
      <c r="F159" t="s">
        <v>22</v>
      </c>
      <c r="G159" t="s">
        <v>23</v>
      </c>
      <c r="H159" t="s">
        <v>417</v>
      </c>
      <c r="I159" t="s">
        <v>507</v>
      </c>
      <c r="J159">
        <v>10.216067000000001</v>
      </c>
      <c r="K159">
        <v>-83.794296000000003</v>
      </c>
      <c r="L159" t="s">
        <v>26</v>
      </c>
      <c r="M159" t="s">
        <v>189</v>
      </c>
      <c r="N159" t="s">
        <v>211</v>
      </c>
      <c r="O159" t="s">
        <v>212</v>
      </c>
      <c r="P159">
        <v>4</v>
      </c>
      <c r="Q159" t="s">
        <v>120</v>
      </c>
      <c r="S159" t="str">
        <f>_xlfn.XLOOKUP(UNIVERSO[[#This Row],[Ruta]],'[1]CUOTA RUTA'!A:A,'[1]CUOTA RUTA'!D:D)</f>
        <v>Cargar</v>
      </c>
    </row>
    <row r="160" spans="1:19" x14ac:dyDescent="0.25">
      <c r="A160">
        <v>1500164519</v>
      </c>
      <c r="B160" t="s">
        <v>508</v>
      </c>
      <c r="C160" t="s">
        <v>19</v>
      </c>
      <c r="D160" t="s">
        <v>32</v>
      </c>
      <c r="E160" t="s">
        <v>21</v>
      </c>
      <c r="F160" t="s">
        <v>22</v>
      </c>
      <c r="G160" t="s">
        <v>64</v>
      </c>
      <c r="H160" t="s">
        <v>115</v>
      </c>
      <c r="I160" t="s">
        <v>509</v>
      </c>
      <c r="J160">
        <v>9.9483599999999992</v>
      </c>
      <c r="K160">
        <v>-84.0792</v>
      </c>
      <c r="L160" t="s">
        <v>26</v>
      </c>
      <c r="M160" t="s">
        <v>36</v>
      </c>
      <c r="N160" t="s">
        <v>37</v>
      </c>
      <c r="O160" t="s">
        <v>38</v>
      </c>
      <c r="P160">
        <v>5</v>
      </c>
      <c r="Q160" t="s">
        <v>117</v>
      </c>
      <c r="S160" t="str">
        <f>_xlfn.XLOOKUP(UNIVERSO[[#This Row],[Ruta]],'[1]CUOTA RUTA'!A:A,'[1]CUOTA RUTA'!D:D)</f>
        <v>Cargar</v>
      </c>
    </row>
    <row r="161" spans="1:19" x14ac:dyDescent="0.25">
      <c r="A161">
        <v>1500165346</v>
      </c>
      <c r="B161" t="s">
        <v>510</v>
      </c>
      <c r="C161" t="s">
        <v>19</v>
      </c>
      <c r="D161" t="s">
        <v>324</v>
      </c>
      <c r="E161" t="s">
        <v>62</v>
      </c>
      <c r="F161" t="s">
        <v>63</v>
      </c>
      <c r="G161" t="s">
        <v>64</v>
      </c>
      <c r="H161" t="s">
        <v>511</v>
      </c>
      <c r="I161" t="s">
        <v>512</v>
      </c>
      <c r="J161">
        <v>10.4076</v>
      </c>
      <c r="K161">
        <v>-84.598519999999994</v>
      </c>
      <c r="L161" t="s">
        <v>26</v>
      </c>
      <c r="M161" t="s">
        <v>327</v>
      </c>
      <c r="N161" t="s">
        <v>328</v>
      </c>
      <c r="O161" t="s">
        <v>329</v>
      </c>
      <c r="P161">
        <v>12</v>
      </c>
      <c r="Q161" t="s">
        <v>42</v>
      </c>
      <c r="S161" t="str">
        <f>_xlfn.XLOOKUP(UNIVERSO[[#This Row],[Ruta]],'[1]CUOTA RUTA'!A:A,'[1]CUOTA RUTA'!D:D)</f>
        <v>Cargar</v>
      </c>
    </row>
    <row r="162" spans="1:19" x14ac:dyDescent="0.25">
      <c r="A162">
        <v>1500166721</v>
      </c>
      <c r="B162" t="s">
        <v>513</v>
      </c>
      <c r="C162" t="s">
        <v>19</v>
      </c>
      <c r="D162" t="s">
        <v>20</v>
      </c>
      <c r="E162" t="s">
        <v>21</v>
      </c>
      <c r="F162" t="s">
        <v>22</v>
      </c>
      <c r="G162" t="s">
        <v>23</v>
      </c>
      <c r="H162" t="s">
        <v>311</v>
      </c>
      <c r="I162" t="s">
        <v>514</v>
      </c>
      <c r="J162">
        <v>9.9749700000000008</v>
      </c>
      <c r="K162">
        <v>-84.203469999999996</v>
      </c>
      <c r="L162" t="s">
        <v>26</v>
      </c>
      <c r="M162" t="s">
        <v>54</v>
      </c>
      <c r="N162" t="s">
        <v>55</v>
      </c>
      <c r="O162" t="s">
        <v>56</v>
      </c>
      <c r="P162">
        <v>14</v>
      </c>
      <c r="Q162" t="s">
        <v>181</v>
      </c>
      <c r="S162" t="str">
        <f>_xlfn.XLOOKUP(UNIVERSO[[#This Row],[Ruta]],'[1]CUOTA RUTA'!A:A,'[1]CUOTA RUTA'!D:D)</f>
        <v>Cargar</v>
      </c>
    </row>
    <row r="163" spans="1:19" x14ac:dyDescent="0.25">
      <c r="A163">
        <v>1500168028</v>
      </c>
      <c r="B163" t="s">
        <v>515</v>
      </c>
      <c r="C163" t="s">
        <v>19</v>
      </c>
      <c r="D163" t="s">
        <v>32</v>
      </c>
      <c r="E163" t="s">
        <v>21</v>
      </c>
      <c r="F163" t="s">
        <v>22</v>
      </c>
      <c r="G163" t="s">
        <v>33</v>
      </c>
      <c r="H163" t="s">
        <v>106</v>
      </c>
      <c r="I163" t="s">
        <v>516</v>
      </c>
      <c r="J163">
        <v>9.9162610000000004</v>
      </c>
      <c r="K163">
        <v>-84.104607000000001</v>
      </c>
      <c r="L163" t="s">
        <v>26</v>
      </c>
      <c r="M163" t="s">
        <v>71</v>
      </c>
      <c r="N163" t="s">
        <v>72</v>
      </c>
      <c r="O163" t="s">
        <v>73</v>
      </c>
      <c r="P163">
        <v>10</v>
      </c>
      <c r="Q163" t="s">
        <v>136</v>
      </c>
      <c r="S163" t="str">
        <f>_xlfn.XLOOKUP(UNIVERSO[[#This Row],[Ruta]],'[1]CUOTA RUTA'!A:A,'[1]CUOTA RUTA'!D:D)</f>
        <v>Cargar</v>
      </c>
    </row>
    <row r="164" spans="1:19" x14ac:dyDescent="0.25">
      <c r="A164">
        <v>1500168785</v>
      </c>
      <c r="B164" t="s">
        <v>517</v>
      </c>
      <c r="C164" t="s">
        <v>19</v>
      </c>
      <c r="D164" t="s">
        <v>20</v>
      </c>
      <c r="E164" t="s">
        <v>21</v>
      </c>
      <c r="F164" t="s">
        <v>51</v>
      </c>
      <c r="G164" t="s">
        <v>23</v>
      </c>
      <c r="H164" t="s">
        <v>518</v>
      </c>
      <c r="I164" t="s">
        <v>519</v>
      </c>
      <c r="J164">
        <v>9.9943469999999994</v>
      </c>
      <c r="K164">
        <v>-84.163113999999993</v>
      </c>
      <c r="L164" t="s">
        <v>26</v>
      </c>
      <c r="M164" t="s">
        <v>27</v>
      </c>
      <c r="N164" t="s">
        <v>28</v>
      </c>
      <c r="O164" t="s">
        <v>29</v>
      </c>
      <c r="P164">
        <v>3</v>
      </c>
      <c r="Q164" t="s">
        <v>101</v>
      </c>
      <c r="S164" t="str">
        <f>_xlfn.XLOOKUP(UNIVERSO[[#This Row],[Ruta]],'[1]CUOTA RUTA'!A:A,'[1]CUOTA RUTA'!D:D)</f>
        <v>Cargar</v>
      </c>
    </row>
    <row r="165" spans="1:19" x14ac:dyDescent="0.25">
      <c r="A165">
        <v>1500169342</v>
      </c>
      <c r="B165" t="s">
        <v>520</v>
      </c>
      <c r="C165" t="s">
        <v>19</v>
      </c>
      <c r="D165" t="s">
        <v>20</v>
      </c>
      <c r="E165" t="s">
        <v>21</v>
      </c>
      <c r="F165" t="s">
        <v>22</v>
      </c>
      <c r="G165" t="s">
        <v>33</v>
      </c>
      <c r="H165" t="s">
        <v>198</v>
      </c>
      <c r="I165" t="s">
        <v>521</v>
      </c>
      <c r="J165">
        <v>9.9312093000000008</v>
      </c>
      <c r="K165">
        <v>-84.184731799999994</v>
      </c>
      <c r="L165" t="s">
        <v>26</v>
      </c>
      <c r="M165" t="s">
        <v>54</v>
      </c>
      <c r="N165" t="s">
        <v>55</v>
      </c>
      <c r="O165" t="s">
        <v>56</v>
      </c>
      <c r="P165">
        <v>11</v>
      </c>
      <c r="Q165" t="s">
        <v>108</v>
      </c>
      <c r="S165" t="str">
        <f>_xlfn.XLOOKUP(UNIVERSO[[#This Row],[Ruta]],'[1]CUOTA RUTA'!A:A,'[1]CUOTA RUTA'!D:D)</f>
        <v>Cargar</v>
      </c>
    </row>
    <row r="166" spans="1:19" x14ac:dyDescent="0.25">
      <c r="A166">
        <v>1500169714</v>
      </c>
      <c r="B166" t="s">
        <v>522</v>
      </c>
      <c r="C166" t="s">
        <v>19</v>
      </c>
      <c r="D166" t="s">
        <v>20</v>
      </c>
      <c r="E166" t="s">
        <v>21</v>
      </c>
      <c r="F166" t="s">
        <v>51</v>
      </c>
      <c r="G166" t="s">
        <v>23</v>
      </c>
      <c r="H166" t="s">
        <v>277</v>
      </c>
      <c r="I166" t="s">
        <v>523</v>
      </c>
      <c r="J166">
        <v>9.9866200000000003</v>
      </c>
      <c r="K166">
        <v>-84.182225000000003</v>
      </c>
      <c r="L166" t="s">
        <v>26</v>
      </c>
      <c r="M166" t="s">
        <v>54</v>
      </c>
      <c r="N166" t="s">
        <v>55</v>
      </c>
      <c r="O166" t="s">
        <v>56</v>
      </c>
      <c r="P166">
        <v>15</v>
      </c>
      <c r="Q166" t="s">
        <v>231</v>
      </c>
      <c r="S166" t="str">
        <f>_xlfn.XLOOKUP(UNIVERSO[[#This Row],[Ruta]],'[1]CUOTA RUTA'!A:A,'[1]CUOTA RUTA'!D:D)</f>
        <v>Cargar</v>
      </c>
    </row>
    <row r="167" spans="1:19" x14ac:dyDescent="0.25">
      <c r="A167">
        <v>1500170755</v>
      </c>
      <c r="B167" t="s">
        <v>524</v>
      </c>
      <c r="C167" t="s">
        <v>19</v>
      </c>
      <c r="D167" t="s">
        <v>244</v>
      </c>
      <c r="E167" t="s">
        <v>21</v>
      </c>
      <c r="F167" t="s">
        <v>22</v>
      </c>
      <c r="G167" t="s">
        <v>23</v>
      </c>
      <c r="H167" t="s">
        <v>525</v>
      </c>
      <c r="I167" t="s">
        <v>526</v>
      </c>
      <c r="J167">
        <v>9.53613</v>
      </c>
      <c r="K167">
        <v>-84.398899999999998</v>
      </c>
      <c r="L167" t="s">
        <v>26</v>
      </c>
      <c r="M167" t="s">
        <v>46</v>
      </c>
      <c r="N167" t="s">
        <v>247</v>
      </c>
      <c r="O167" t="s">
        <v>248</v>
      </c>
      <c r="P167">
        <v>23</v>
      </c>
      <c r="Q167" t="s">
        <v>125</v>
      </c>
      <c r="S167" t="str">
        <f>_xlfn.XLOOKUP(UNIVERSO[[#This Row],[Ruta]],'[1]CUOTA RUTA'!A:A,'[1]CUOTA RUTA'!D:D)</f>
        <v>Cargar</v>
      </c>
    </row>
    <row r="168" spans="1:19" x14ac:dyDescent="0.25">
      <c r="A168">
        <v>1500172206</v>
      </c>
      <c r="B168" t="s">
        <v>527</v>
      </c>
      <c r="C168" t="s">
        <v>19</v>
      </c>
      <c r="D168" t="s">
        <v>201</v>
      </c>
      <c r="E168" t="s">
        <v>21</v>
      </c>
      <c r="F168" t="s">
        <v>22</v>
      </c>
      <c r="G168" t="s">
        <v>23</v>
      </c>
      <c r="H168" t="s">
        <v>528</v>
      </c>
      <c r="I168" t="s">
        <v>529</v>
      </c>
      <c r="J168">
        <v>10.229189999999999</v>
      </c>
      <c r="K168">
        <v>-85.111564999999999</v>
      </c>
      <c r="L168" t="s">
        <v>26</v>
      </c>
      <c r="M168" t="s">
        <v>327</v>
      </c>
      <c r="N168" t="s">
        <v>530</v>
      </c>
      <c r="O168" t="s">
        <v>531</v>
      </c>
      <c r="P168">
        <v>2</v>
      </c>
      <c r="Q168" t="s">
        <v>150</v>
      </c>
      <c r="S168" t="str">
        <f>_xlfn.XLOOKUP(UNIVERSO[[#This Row],[Ruta]],'[1]CUOTA RUTA'!A:A,'[1]CUOTA RUTA'!D:D)</f>
        <v>Cargar</v>
      </c>
    </row>
    <row r="169" spans="1:19" x14ac:dyDescent="0.25">
      <c r="A169">
        <v>1500173645</v>
      </c>
      <c r="B169" t="s">
        <v>532</v>
      </c>
      <c r="C169" t="s">
        <v>19</v>
      </c>
      <c r="D169" t="s">
        <v>201</v>
      </c>
      <c r="E169" t="s">
        <v>62</v>
      </c>
      <c r="F169" t="s">
        <v>63</v>
      </c>
      <c r="G169" t="s">
        <v>64</v>
      </c>
      <c r="H169" t="s">
        <v>533</v>
      </c>
      <c r="I169" t="s">
        <v>534</v>
      </c>
      <c r="J169">
        <v>9.9125334865770007</v>
      </c>
      <c r="K169">
        <v>-84.519510724339995</v>
      </c>
      <c r="L169" t="s">
        <v>26</v>
      </c>
      <c r="M169" t="s">
        <v>204</v>
      </c>
      <c r="N169" t="s">
        <v>205</v>
      </c>
      <c r="O169" t="s">
        <v>206</v>
      </c>
      <c r="P169">
        <v>1</v>
      </c>
      <c r="Q169" t="s">
        <v>155</v>
      </c>
      <c r="S169" t="str">
        <f>_xlfn.XLOOKUP(UNIVERSO[[#This Row],[Ruta]],'[1]CUOTA RUTA'!A:A,'[1]CUOTA RUTA'!D:D)</f>
        <v>Cargar</v>
      </c>
    </row>
    <row r="170" spans="1:19" x14ac:dyDescent="0.25">
      <c r="A170">
        <v>1500183459</v>
      </c>
      <c r="B170" t="s">
        <v>535</v>
      </c>
      <c r="C170" t="s">
        <v>19</v>
      </c>
      <c r="D170" t="s">
        <v>266</v>
      </c>
      <c r="E170" t="s">
        <v>21</v>
      </c>
      <c r="F170" t="s">
        <v>22</v>
      </c>
      <c r="G170" t="s">
        <v>33</v>
      </c>
      <c r="H170" t="s">
        <v>314</v>
      </c>
      <c r="I170" t="s">
        <v>536</v>
      </c>
      <c r="J170">
        <v>9.8733985000000004</v>
      </c>
      <c r="K170">
        <v>-83.920608299999998</v>
      </c>
      <c r="L170" t="s">
        <v>26</v>
      </c>
      <c r="M170" t="s">
        <v>36</v>
      </c>
      <c r="N170" t="s">
        <v>316</v>
      </c>
      <c r="O170" t="s">
        <v>317</v>
      </c>
      <c r="P170">
        <v>16</v>
      </c>
      <c r="Q170" t="s">
        <v>60</v>
      </c>
      <c r="S170" t="str">
        <f>_xlfn.XLOOKUP(UNIVERSO[[#This Row],[Ruta]],'[1]CUOTA RUTA'!A:A,'[1]CUOTA RUTA'!D:D)</f>
        <v>Cargar</v>
      </c>
    </row>
    <row r="171" spans="1:19" x14ac:dyDescent="0.25">
      <c r="A171">
        <v>1500184516</v>
      </c>
      <c r="B171" t="s">
        <v>537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H171" t="s">
        <v>44</v>
      </c>
      <c r="I171" t="s">
        <v>538</v>
      </c>
      <c r="J171">
        <v>10.074920000000001</v>
      </c>
      <c r="K171">
        <v>-84.400720000000007</v>
      </c>
      <c r="L171" t="s">
        <v>26</v>
      </c>
      <c r="M171" t="s">
        <v>46</v>
      </c>
      <c r="N171" t="s">
        <v>47</v>
      </c>
      <c r="O171" t="s">
        <v>48</v>
      </c>
      <c r="P171">
        <v>6</v>
      </c>
      <c r="Q171" t="s">
        <v>49</v>
      </c>
      <c r="S171" t="str">
        <f>_xlfn.XLOOKUP(UNIVERSO[[#This Row],[Ruta]],'[1]CUOTA RUTA'!A:A,'[1]CUOTA RUTA'!D:D)</f>
        <v>Cargar</v>
      </c>
    </row>
    <row r="172" spans="1:19" x14ac:dyDescent="0.25">
      <c r="A172">
        <v>1500184541</v>
      </c>
      <c r="B172" t="s">
        <v>539</v>
      </c>
      <c r="C172" t="s">
        <v>19</v>
      </c>
      <c r="D172" t="s">
        <v>20</v>
      </c>
      <c r="E172" t="s">
        <v>21</v>
      </c>
      <c r="F172" t="s">
        <v>22</v>
      </c>
      <c r="G172" t="s">
        <v>23</v>
      </c>
      <c r="H172" t="s">
        <v>58</v>
      </c>
      <c r="I172" t="s">
        <v>540</v>
      </c>
      <c r="J172">
        <v>9.9889569999999992</v>
      </c>
      <c r="K172">
        <v>-84.240798999999996</v>
      </c>
      <c r="L172" t="s">
        <v>26</v>
      </c>
      <c r="M172" t="s">
        <v>54</v>
      </c>
      <c r="N172" t="s">
        <v>55</v>
      </c>
      <c r="O172" t="s">
        <v>56</v>
      </c>
      <c r="P172">
        <v>5</v>
      </c>
      <c r="Q172" t="s">
        <v>117</v>
      </c>
      <c r="S172" t="str">
        <f>_xlfn.XLOOKUP(UNIVERSO[[#This Row],[Ruta]],'[1]CUOTA RUTA'!A:A,'[1]CUOTA RUTA'!D:D)</f>
        <v>Cargar</v>
      </c>
    </row>
    <row r="173" spans="1:19" x14ac:dyDescent="0.25">
      <c r="A173">
        <v>1500187411</v>
      </c>
      <c r="B173" t="s">
        <v>541</v>
      </c>
      <c r="C173" t="s">
        <v>19</v>
      </c>
      <c r="D173" t="s">
        <v>32</v>
      </c>
      <c r="E173" t="s">
        <v>21</v>
      </c>
      <c r="F173" t="s">
        <v>22</v>
      </c>
      <c r="G173" t="s">
        <v>23</v>
      </c>
      <c r="H173" t="s">
        <v>34</v>
      </c>
      <c r="I173" t="s">
        <v>542</v>
      </c>
      <c r="J173">
        <v>9.9832666999999997</v>
      </c>
      <c r="K173">
        <v>-84.088483299999993</v>
      </c>
      <c r="L173" t="s">
        <v>26</v>
      </c>
      <c r="M173" t="s">
        <v>36</v>
      </c>
      <c r="N173" t="s">
        <v>37</v>
      </c>
      <c r="O173" t="s">
        <v>38</v>
      </c>
      <c r="P173">
        <v>1</v>
      </c>
      <c r="Q173" t="s">
        <v>155</v>
      </c>
      <c r="S173" t="str">
        <f>_xlfn.XLOOKUP(UNIVERSO[[#This Row],[Ruta]],'[1]CUOTA RUTA'!A:A,'[1]CUOTA RUTA'!D:D)</f>
        <v>Cargar</v>
      </c>
    </row>
    <row r="174" spans="1:19" x14ac:dyDescent="0.25">
      <c r="A174">
        <v>1500187627</v>
      </c>
      <c r="B174" t="s">
        <v>543</v>
      </c>
      <c r="C174" t="s">
        <v>19</v>
      </c>
      <c r="D174" t="s">
        <v>32</v>
      </c>
      <c r="E174" t="s">
        <v>21</v>
      </c>
      <c r="F174" t="s">
        <v>51</v>
      </c>
      <c r="G174" t="s">
        <v>23</v>
      </c>
      <c r="H174" t="s">
        <v>441</v>
      </c>
      <c r="I174" t="s">
        <v>544</v>
      </c>
      <c r="J174">
        <v>9.8932599999999997</v>
      </c>
      <c r="K174">
        <v>-84.091800000000006</v>
      </c>
      <c r="L174" t="s">
        <v>26</v>
      </c>
      <c r="M174" t="s">
        <v>71</v>
      </c>
      <c r="N174" t="s">
        <v>72</v>
      </c>
      <c r="O174" t="s">
        <v>73</v>
      </c>
      <c r="P174">
        <v>8</v>
      </c>
      <c r="Q174" t="s">
        <v>97</v>
      </c>
      <c r="S174" t="str">
        <f>_xlfn.XLOOKUP(UNIVERSO[[#This Row],[Ruta]],'[1]CUOTA RUTA'!A:A,'[1]CUOTA RUTA'!D:D)</f>
        <v>Cargar</v>
      </c>
    </row>
    <row r="175" spans="1:19" x14ac:dyDescent="0.25">
      <c r="A175">
        <v>1500188157</v>
      </c>
      <c r="B175" t="s">
        <v>545</v>
      </c>
      <c r="C175" t="s">
        <v>19</v>
      </c>
      <c r="D175" t="s">
        <v>186</v>
      </c>
      <c r="E175" t="s">
        <v>21</v>
      </c>
      <c r="F175" t="s">
        <v>22</v>
      </c>
      <c r="G175" t="s">
        <v>23</v>
      </c>
      <c r="H175" t="s">
        <v>241</v>
      </c>
      <c r="I175" t="s">
        <v>546</v>
      </c>
      <c r="J175">
        <v>10.061070000000001</v>
      </c>
      <c r="K175">
        <v>-83.279610000000005</v>
      </c>
      <c r="L175" t="s">
        <v>26</v>
      </c>
      <c r="M175" t="s">
        <v>189</v>
      </c>
      <c r="N175" t="s">
        <v>190</v>
      </c>
      <c r="O175" t="s">
        <v>191</v>
      </c>
      <c r="P175">
        <v>20</v>
      </c>
      <c r="Q175" t="s">
        <v>74</v>
      </c>
      <c r="S175" t="str">
        <f>_xlfn.XLOOKUP(UNIVERSO[[#This Row],[Ruta]],'[1]CUOTA RUTA'!A:A,'[1]CUOTA RUTA'!D:D)</f>
        <v>Cargar</v>
      </c>
    </row>
    <row r="176" spans="1:19" x14ac:dyDescent="0.25">
      <c r="A176">
        <v>1500188375</v>
      </c>
      <c r="B176" t="s">
        <v>547</v>
      </c>
      <c r="C176" t="s">
        <v>19</v>
      </c>
      <c r="D176" t="s">
        <v>186</v>
      </c>
      <c r="E176" t="s">
        <v>21</v>
      </c>
      <c r="F176" t="s">
        <v>22</v>
      </c>
      <c r="G176" t="s">
        <v>23</v>
      </c>
      <c r="H176" t="s">
        <v>241</v>
      </c>
      <c r="I176" t="s">
        <v>548</v>
      </c>
      <c r="J176">
        <v>10.02416</v>
      </c>
      <c r="K176">
        <v>-83.223690000000005</v>
      </c>
      <c r="L176" t="s">
        <v>26</v>
      </c>
      <c r="M176" t="s">
        <v>189</v>
      </c>
      <c r="N176" t="s">
        <v>190</v>
      </c>
      <c r="O176" t="s">
        <v>191</v>
      </c>
      <c r="P176">
        <v>19</v>
      </c>
      <c r="Q176" t="s">
        <v>67</v>
      </c>
      <c r="S176" t="str">
        <f>_xlfn.XLOOKUP(UNIVERSO[[#This Row],[Ruta]],'[1]CUOTA RUTA'!A:A,'[1]CUOTA RUTA'!D:D)</f>
        <v>Cargar</v>
      </c>
    </row>
    <row r="177" spans="1:19" x14ac:dyDescent="0.25">
      <c r="A177">
        <v>1500189884</v>
      </c>
      <c r="B177" t="s">
        <v>549</v>
      </c>
      <c r="C177" t="s">
        <v>19</v>
      </c>
      <c r="D177" t="s">
        <v>20</v>
      </c>
      <c r="E177" t="s">
        <v>21</v>
      </c>
      <c r="F177" t="s">
        <v>22</v>
      </c>
      <c r="G177" t="s">
        <v>33</v>
      </c>
      <c r="H177" t="s">
        <v>518</v>
      </c>
      <c r="I177" t="s">
        <v>550</v>
      </c>
      <c r="J177">
        <v>10.005071600000001</v>
      </c>
      <c r="K177">
        <v>-84.087987400000003</v>
      </c>
      <c r="L177" t="s">
        <v>26</v>
      </c>
      <c r="M177" t="s">
        <v>27</v>
      </c>
      <c r="N177" t="s">
        <v>28</v>
      </c>
      <c r="O177" t="s">
        <v>29</v>
      </c>
      <c r="P177">
        <v>22</v>
      </c>
      <c r="Q177" t="s">
        <v>30</v>
      </c>
      <c r="S177" t="str">
        <f>_xlfn.XLOOKUP(UNIVERSO[[#This Row],[Ruta]],'[1]CUOTA RUTA'!A:A,'[1]CUOTA RUTA'!D:D)</f>
        <v>Cargar</v>
      </c>
    </row>
    <row r="178" spans="1:19" x14ac:dyDescent="0.25">
      <c r="A178">
        <v>1500190953</v>
      </c>
      <c r="B178" t="s">
        <v>551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52</v>
      </c>
      <c r="I178" t="s">
        <v>552</v>
      </c>
      <c r="J178">
        <v>9.9163656000000007</v>
      </c>
      <c r="K178">
        <v>-84.143371900000005</v>
      </c>
      <c r="L178" t="s">
        <v>26</v>
      </c>
      <c r="M178" t="s">
        <v>54</v>
      </c>
      <c r="N178" t="s">
        <v>55</v>
      </c>
      <c r="O178" t="s">
        <v>56</v>
      </c>
      <c r="P178">
        <v>12</v>
      </c>
      <c r="Q178" t="s">
        <v>42</v>
      </c>
      <c r="S178" t="str">
        <f>_xlfn.XLOOKUP(UNIVERSO[[#This Row],[Ruta]],'[1]CUOTA RUTA'!A:A,'[1]CUOTA RUTA'!D:D)</f>
        <v>Cargar</v>
      </c>
    </row>
    <row r="179" spans="1:19" x14ac:dyDescent="0.25">
      <c r="A179">
        <v>1500191972</v>
      </c>
      <c r="B179" t="s">
        <v>553</v>
      </c>
      <c r="C179" t="s">
        <v>19</v>
      </c>
      <c r="D179" t="s">
        <v>20</v>
      </c>
      <c r="E179" t="s">
        <v>21</v>
      </c>
      <c r="F179" t="s">
        <v>51</v>
      </c>
      <c r="G179" t="s">
        <v>23</v>
      </c>
      <c r="H179" t="s">
        <v>554</v>
      </c>
      <c r="I179" t="s">
        <v>555</v>
      </c>
      <c r="J179">
        <v>9.9990232999999993</v>
      </c>
      <c r="K179">
        <v>-84.154098300000001</v>
      </c>
      <c r="L179" t="s">
        <v>26</v>
      </c>
      <c r="M179" t="s">
        <v>27</v>
      </c>
      <c r="N179" t="s">
        <v>28</v>
      </c>
      <c r="O179" t="s">
        <v>29</v>
      </c>
      <c r="P179">
        <v>3</v>
      </c>
      <c r="Q179" t="s">
        <v>101</v>
      </c>
      <c r="S179" t="str">
        <f>_xlfn.XLOOKUP(UNIVERSO[[#This Row],[Ruta]],'[1]CUOTA RUTA'!A:A,'[1]CUOTA RUTA'!D:D)</f>
        <v>Cargar</v>
      </c>
    </row>
    <row r="180" spans="1:19" x14ac:dyDescent="0.25">
      <c r="A180">
        <v>1500194013</v>
      </c>
      <c r="B180" t="s">
        <v>556</v>
      </c>
      <c r="C180" t="s">
        <v>19</v>
      </c>
      <c r="D180" t="s">
        <v>324</v>
      </c>
      <c r="E180" t="s">
        <v>21</v>
      </c>
      <c r="F180" t="s">
        <v>51</v>
      </c>
      <c r="G180" t="s">
        <v>23</v>
      </c>
      <c r="H180" t="s">
        <v>557</v>
      </c>
      <c r="I180" t="s">
        <v>558</v>
      </c>
      <c r="J180">
        <v>10.4709</v>
      </c>
      <c r="K180">
        <v>-84.646720000000002</v>
      </c>
      <c r="L180" t="s">
        <v>26</v>
      </c>
      <c r="M180" t="s">
        <v>327</v>
      </c>
      <c r="N180" t="s">
        <v>328</v>
      </c>
      <c r="O180" t="s">
        <v>329</v>
      </c>
      <c r="P180">
        <v>21</v>
      </c>
      <c r="Q180" t="s">
        <v>239</v>
      </c>
      <c r="S180" t="str">
        <f>_xlfn.XLOOKUP(UNIVERSO[[#This Row],[Ruta]],'[1]CUOTA RUTA'!A:A,'[1]CUOTA RUTA'!D:D)</f>
        <v>Cargar</v>
      </c>
    </row>
    <row r="181" spans="1:19" x14ac:dyDescent="0.25">
      <c r="A181">
        <v>1500194803</v>
      </c>
      <c r="B181" t="s">
        <v>559</v>
      </c>
      <c r="C181" t="s">
        <v>19</v>
      </c>
      <c r="D181" t="s">
        <v>324</v>
      </c>
      <c r="E181" t="s">
        <v>21</v>
      </c>
      <c r="F181" t="s">
        <v>51</v>
      </c>
      <c r="G181" t="s">
        <v>23</v>
      </c>
      <c r="H181" t="s">
        <v>396</v>
      </c>
      <c r="I181" t="s">
        <v>560</v>
      </c>
      <c r="J181">
        <v>10.347185400000001</v>
      </c>
      <c r="K181">
        <v>-84.4019586</v>
      </c>
      <c r="L181" t="s">
        <v>26</v>
      </c>
      <c r="M181" t="s">
        <v>327</v>
      </c>
      <c r="N181" t="s">
        <v>328</v>
      </c>
      <c r="O181" t="s">
        <v>329</v>
      </c>
      <c r="P181">
        <v>15</v>
      </c>
      <c r="Q181" t="s">
        <v>231</v>
      </c>
      <c r="S181" t="str">
        <f>_xlfn.XLOOKUP(UNIVERSO[[#This Row],[Ruta]],'[1]CUOTA RUTA'!A:A,'[1]CUOTA RUTA'!D:D)</f>
        <v>Cargar</v>
      </c>
    </row>
    <row r="182" spans="1:19" x14ac:dyDescent="0.25">
      <c r="A182">
        <v>1500197499</v>
      </c>
      <c r="B182" t="s">
        <v>561</v>
      </c>
      <c r="C182" t="s">
        <v>19</v>
      </c>
      <c r="D182" t="s">
        <v>32</v>
      </c>
      <c r="E182" t="s">
        <v>62</v>
      </c>
      <c r="F182" t="s">
        <v>63</v>
      </c>
      <c r="G182" t="s">
        <v>64</v>
      </c>
      <c r="H182" t="s">
        <v>99</v>
      </c>
      <c r="I182" t="s">
        <v>562</v>
      </c>
      <c r="J182">
        <v>9.9298070000000003</v>
      </c>
      <c r="K182">
        <v>-84.083190000000002</v>
      </c>
      <c r="L182" t="s">
        <v>26</v>
      </c>
      <c r="M182" t="s">
        <v>71</v>
      </c>
      <c r="N182" t="s">
        <v>72</v>
      </c>
      <c r="O182" t="s">
        <v>73</v>
      </c>
      <c r="P182">
        <v>5</v>
      </c>
      <c r="Q182" t="s">
        <v>117</v>
      </c>
      <c r="S182" t="str">
        <f>_xlfn.XLOOKUP(UNIVERSO[[#This Row],[Ruta]],'[1]CUOTA RUTA'!A:A,'[1]CUOTA RUTA'!D:D)</f>
        <v>Cargar</v>
      </c>
    </row>
    <row r="183" spans="1:19" x14ac:dyDescent="0.25">
      <c r="A183">
        <v>1500199594</v>
      </c>
      <c r="B183" t="s">
        <v>563</v>
      </c>
      <c r="C183" t="s">
        <v>19</v>
      </c>
      <c r="D183" t="s">
        <v>32</v>
      </c>
      <c r="E183" t="s">
        <v>21</v>
      </c>
      <c r="F183" t="s">
        <v>22</v>
      </c>
      <c r="G183" t="s">
        <v>33</v>
      </c>
      <c r="H183" t="s">
        <v>115</v>
      </c>
      <c r="I183" t="s">
        <v>564</v>
      </c>
      <c r="J183">
        <v>9.9449210000000008</v>
      </c>
      <c r="K183">
        <v>-84.079716000000005</v>
      </c>
      <c r="L183" t="s">
        <v>26</v>
      </c>
      <c r="M183" t="s">
        <v>36</v>
      </c>
      <c r="N183" t="s">
        <v>37</v>
      </c>
      <c r="O183" t="s">
        <v>38</v>
      </c>
      <c r="P183">
        <v>4</v>
      </c>
      <c r="Q183" t="s">
        <v>120</v>
      </c>
      <c r="S183" t="str">
        <f>_xlfn.XLOOKUP(UNIVERSO[[#This Row],[Ruta]],'[1]CUOTA RUTA'!A:A,'[1]CUOTA RUTA'!D:D)</f>
        <v>Cargar</v>
      </c>
    </row>
    <row r="184" spans="1:19" x14ac:dyDescent="0.25">
      <c r="A184">
        <v>1500200028</v>
      </c>
      <c r="B184" t="s">
        <v>565</v>
      </c>
      <c r="C184" t="s">
        <v>19</v>
      </c>
      <c r="D184" t="s">
        <v>244</v>
      </c>
      <c r="E184" t="s">
        <v>21</v>
      </c>
      <c r="F184" t="s">
        <v>22</v>
      </c>
      <c r="G184" t="s">
        <v>23</v>
      </c>
      <c r="H184" t="s">
        <v>566</v>
      </c>
      <c r="I184" t="s">
        <v>567</v>
      </c>
      <c r="J184">
        <v>9.17260673</v>
      </c>
      <c r="K184">
        <v>-83.322833099999997</v>
      </c>
      <c r="L184" t="s">
        <v>26</v>
      </c>
      <c r="M184" t="s">
        <v>46</v>
      </c>
      <c r="N184" t="s">
        <v>247</v>
      </c>
      <c r="O184" t="s">
        <v>248</v>
      </c>
      <c r="P184">
        <v>12</v>
      </c>
      <c r="Q184" t="s">
        <v>42</v>
      </c>
      <c r="S184" t="str">
        <f>_xlfn.XLOOKUP(UNIVERSO[[#This Row],[Ruta]],'[1]CUOTA RUTA'!A:A,'[1]CUOTA RUTA'!D:D)</f>
        <v>Cargar</v>
      </c>
    </row>
    <row r="185" spans="1:19" x14ac:dyDescent="0.25">
      <c r="A185">
        <v>1500201060</v>
      </c>
      <c r="B185" t="s">
        <v>568</v>
      </c>
      <c r="C185" t="s">
        <v>19</v>
      </c>
      <c r="D185" t="s">
        <v>569</v>
      </c>
      <c r="E185" t="s">
        <v>21</v>
      </c>
      <c r="F185" t="s">
        <v>22</v>
      </c>
      <c r="G185" t="s">
        <v>33</v>
      </c>
      <c r="H185" t="s">
        <v>570</v>
      </c>
      <c r="I185" t="s">
        <v>571</v>
      </c>
      <c r="J185">
        <v>8.9607810000000008</v>
      </c>
      <c r="K185">
        <v>-83.452472999999998</v>
      </c>
      <c r="L185" t="s">
        <v>26</v>
      </c>
      <c r="M185" t="s">
        <v>572</v>
      </c>
      <c r="N185" t="s">
        <v>573</v>
      </c>
      <c r="O185" t="s">
        <v>574</v>
      </c>
      <c r="P185">
        <v>21</v>
      </c>
      <c r="Q185" t="s">
        <v>239</v>
      </c>
      <c r="S185" t="str">
        <f>_xlfn.XLOOKUP(UNIVERSO[[#This Row],[Ruta]],'[1]CUOTA RUTA'!A:A,'[1]CUOTA RUTA'!D:D)</f>
        <v>Cargar</v>
      </c>
    </row>
    <row r="186" spans="1:19" x14ac:dyDescent="0.25">
      <c r="A186">
        <v>1500300632</v>
      </c>
      <c r="B186" t="s">
        <v>575</v>
      </c>
      <c r="C186" t="s">
        <v>19</v>
      </c>
      <c r="D186" t="s">
        <v>337</v>
      </c>
      <c r="E186" t="s">
        <v>21</v>
      </c>
      <c r="F186" t="s">
        <v>22</v>
      </c>
      <c r="G186" t="s">
        <v>23</v>
      </c>
      <c r="H186" t="s">
        <v>576</v>
      </c>
      <c r="I186" t="s">
        <v>577</v>
      </c>
      <c r="J186">
        <v>10.637447999999999</v>
      </c>
      <c r="K186">
        <v>-85.435965999999993</v>
      </c>
      <c r="L186" t="s">
        <v>26</v>
      </c>
      <c r="M186" t="s">
        <v>327</v>
      </c>
      <c r="N186" t="s">
        <v>340</v>
      </c>
      <c r="O186" t="s">
        <v>341</v>
      </c>
      <c r="P186">
        <v>12</v>
      </c>
      <c r="Q186" t="s">
        <v>42</v>
      </c>
      <c r="S186" t="str">
        <f>_xlfn.XLOOKUP(UNIVERSO[[#This Row],[Ruta]],'[1]CUOTA RUTA'!A:A,'[1]CUOTA RUTA'!D:D)</f>
        <v>Cargar</v>
      </c>
    </row>
    <row r="187" spans="1:19" x14ac:dyDescent="0.25">
      <c r="A187">
        <v>1500400013</v>
      </c>
      <c r="B187" t="s">
        <v>578</v>
      </c>
      <c r="C187" t="s">
        <v>19</v>
      </c>
      <c r="D187" t="s">
        <v>20</v>
      </c>
      <c r="E187" t="s">
        <v>62</v>
      </c>
      <c r="F187" t="s">
        <v>63</v>
      </c>
      <c r="G187" t="s">
        <v>33</v>
      </c>
      <c r="H187" t="s">
        <v>280</v>
      </c>
      <c r="I187" t="s">
        <v>579</v>
      </c>
      <c r="J187">
        <v>10.01708</v>
      </c>
      <c r="K187">
        <v>-84.21678</v>
      </c>
      <c r="L187" t="s">
        <v>26</v>
      </c>
      <c r="M187" t="s">
        <v>54</v>
      </c>
      <c r="N187" t="s">
        <v>55</v>
      </c>
      <c r="O187" t="s">
        <v>56</v>
      </c>
      <c r="P187">
        <v>1</v>
      </c>
      <c r="Q187" t="s">
        <v>155</v>
      </c>
      <c r="S187" t="str">
        <f>_xlfn.XLOOKUP(UNIVERSO[[#This Row],[Ruta]],'[1]CUOTA RUTA'!A:A,'[1]CUOTA RUTA'!D:D)</f>
        <v>Cargar</v>
      </c>
    </row>
    <row r="188" spans="1:19" x14ac:dyDescent="0.25">
      <c r="A188">
        <v>1500614527</v>
      </c>
      <c r="B188" t="s">
        <v>580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 t="s">
        <v>193</v>
      </c>
      <c r="I188" t="s">
        <v>581</v>
      </c>
      <c r="J188">
        <v>10.008369999999999</v>
      </c>
      <c r="K188">
        <v>-84.235050000000001</v>
      </c>
      <c r="L188" t="s">
        <v>26</v>
      </c>
      <c r="M188" t="s">
        <v>54</v>
      </c>
      <c r="N188" t="s">
        <v>55</v>
      </c>
      <c r="O188" t="s">
        <v>56</v>
      </c>
      <c r="P188">
        <v>19</v>
      </c>
      <c r="Q188" t="s">
        <v>67</v>
      </c>
      <c r="S188" t="str">
        <f>_xlfn.XLOOKUP(UNIVERSO[[#This Row],[Ruta]],'[1]CUOTA RUTA'!A:A,'[1]CUOTA RUTA'!D:D)</f>
        <v>Cargar</v>
      </c>
    </row>
    <row r="189" spans="1:19" x14ac:dyDescent="0.25">
      <c r="A189">
        <v>1500614552</v>
      </c>
      <c r="B189" t="s">
        <v>582</v>
      </c>
      <c r="C189" t="s">
        <v>19</v>
      </c>
      <c r="D189" t="s">
        <v>20</v>
      </c>
      <c r="E189" t="s">
        <v>21</v>
      </c>
      <c r="F189" t="s">
        <v>22</v>
      </c>
      <c r="G189" t="s">
        <v>23</v>
      </c>
      <c r="H189" t="s">
        <v>458</v>
      </c>
      <c r="I189" t="s">
        <v>583</v>
      </c>
      <c r="J189">
        <v>9.9466000000000001</v>
      </c>
      <c r="K189">
        <v>-84.290880000000001</v>
      </c>
      <c r="L189" t="s">
        <v>26</v>
      </c>
      <c r="M189" t="s">
        <v>54</v>
      </c>
      <c r="N189" t="s">
        <v>55</v>
      </c>
      <c r="O189" t="s">
        <v>56</v>
      </c>
      <c r="P189">
        <v>6</v>
      </c>
      <c r="Q189" t="s">
        <v>49</v>
      </c>
      <c r="S189" t="str">
        <f>_xlfn.XLOOKUP(UNIVERSO[[#This Row],[Ruta]],'[1]CUOTA RUTA'!A:A,'[1]CUOTA RUTA'!D:D)</f>
        <v>Cargar</v>
      </c>
    </row>
    <row r="190" spans="1:19" x14ac:dyDescent="0.25">
      <c r="A190">
        <v>1500614623</v>
      </c>
      <c r="B190" t="s">
        <v>584</v>
      </c>
      <c r="C190" t="s">
        <v>19</v>
      </c>
      <c r="D190" t="s">
        <v>20</v>
      </c>
      <c r="E190" t="s">
        <v>21</v>
      </c>
      <c r="F190" t="s">
        <v>22</v>
      </c>
      <c r="G190" t="s">
        <v>64</v>
      </c>
      <c r="H190" t="s">
        <v>303</v>
      </c>
      <c r="I190" t="s">
        <v>585</v>
      </c>
      <c r="J190">
        <v>9.9936799999999995</v>
      </c>
      <c r="K190">
        <v>-84.230729999999994</v>
      </c>
      <c r="L190" t="s">
        <v>26</v>
      </c>
      <c r="M190" t="s">
        <v>54</v>
      </c>
      <c r="N190" t="s">
        <v>55</v>
      </c>
      <c r="O190" t="s">
        <v>56</v>
      </c>
      <c r="P190">
        <v>5</v>
      </c>
      <c r="Q190" t="s">
        <v>117</v>
      </c>
      <c r="S190" t="str">
        <f>_xlfn.XLOOKUP(UNIVERSO[[#This Row],[Ruta]],'[1]CUOTA RUTA'!A:A,'[1]CUOTA RUTA'!D:D)</f>
        <v>Cargar</v>
      </c>
    </row>
    <row r="191" spans="1:19" x14ac:dyDescent="0.25">
      <c r="A191">
        <v>1500700190</v>
      </c>
      <c r="B191" t="s">
        <v>586</v>
      </c>
      <c r="C191" t="s">
        <v>19</v>
      </c>
      <c r="D191" t="s">
        <v>32</v>
      </c>
      <c r="E191" t="s">
        <v>62</v>
      </c>
      <c r="F191" t="s">
        <v>63</v>
      </c>
      <c r="G191" t="s">
        <v>23</v>
      </c>
      <c r="H191" t="s">
        <v>425</v>
      </c>
      <c r="I191" t="s">
        <v>587</v>
      </c>
      <c r="J191">
        <v>9.8638999999999992</v>
      </c>
      <c r="K191">
        <v>-84.093329999999995</v>
      </c>
      <c r="L191" t="s">
        <v>26</v>
      </c>
      <c r="M191" t="s">
        <v>71</v>
      </c>
      <c r="N191" t="s">
        <v>72</v>
      </c>
      <c r="O191" t="s">
        <v>73</v>
      </c>
      <c r="P191">
        <v>15</v>
      </c>
      <c r="Q191" t="s">
        <v>231</v>
      </c>
      <c r="S191" t="str">
        <f>_xlfn.XLOOKUP(UNIVERSO[[#This Row],[Ruta]],'[1]CUOTA RUTA'!A:A,'[1]CUOTA RUTA'!D:D)</f>
        <v>Cargar</v>
      </c>
    </row>
    <row r="192" spans="1:19" x14ac:dyDescent="0.25">
      <c r="A192">
        <v>1500700229</v>
      </c>
      <c r="B192" t="s">
        <v>588</v>
      </c>
      <c r="C192" t="s">
        <v>19</v>
      </c>
      <c r="D192" t="s">
        <v>266</v>
      </c>
      <c r="E192" t="s">
        <v>21</v>
      </c>
      <c r="F192" t="s">
        <v>22</v>
      </c>
      <c r="G192" t="s">
        <v>23</v>
      </c>
      <c r="H192" t="s">
        <v>314</v>
      </c>
      <c r="I192" t="s">
        <v>589</v>
      </c>
      <c r="J192">
        <v>9.8706221000000003</v>
      </c>
      <c r="K192">
        <v>-83.927575899999994</v>
      </c>
      <c r="L192" t="s">
        <v>26</v>
      </c>
      <c r="M192" t="s">
        <v>36</v>
      </c>
      <c r="N192" t="s">
        <v>316</v>
      </c>
      <c r="O192" t="s">
        <v>317</v>
      </c>
      <c r="P192">
        <v>16</v>
      </c>
      <c r="Q192" t="s">
        <v>60</v>
      </c>
      <c r="S192" t="str">
        <f>_xlfn.XLOOKUP(UNIVERSO[[#This Row],[Ruta]],'[1]CUOTA RUTA'!A:A,'[1]CUOTA RUTA'!D:D)</f>
        <v>Cargar</v>
      </c>
    </row>
    <row r="193" spans="1:19" x14ac:dyDescent="0.25">
      <c r="A193">
        <v>1500701357</v>
      </c>
      <c r="B193" t="s">
        <v>590</v>
      </c>
      <c r="C193" t="s">
        <v>19</v>
      </c>
      <c r="D193" t="s">
        <v>324</v>
      </c>
      <c r="E193" t="s">
        <v>21</v>
      </c>
      <c r="F193" t="s">
        <v>22</v>
      </c>
      <c r="G193" t="s">
        <v>33</v>
      </c>
      <c r="H193" t="s">
        <v>390</v>
      </c>
      <c r="I193" t="s">
        <v>591</v>
      </c>
      <c r="J193">
        <v>10.2812687</v>
      </c>
      <c r="K193">
        <v>-84.430499999999995</v>
      </c>
      <c r="L193" t="s">
        <v>26</v>
      </c>
      <c r="M193" t="s">
        <v>327</v>
      </c>
      <c r="N193" t="s">
        <v>328</v>
      </c>
      <c r="O193" t="s">
        <v>329</v>
      </c>
      <c r="P193">
        <v>23</v>
      </c>
      <c r="Q193" t="s">
        <v>125</v>
      </c>
      <c r="S193" t="str">
        <f>_xlfn.XLOOKUP(UNIVERSO[[#This Row],[Ruta]],'[1]CUOTA RUTA'!A:A,'[1]CUOTA RUTA'!D:D)</f>
        <v>Cargar</v>
      </c>
    </row>
    <row r="194" spans="1:19" x14ac:dyDescent="0.25">
      <c r="A194">
        <v>1500703646</v>
      </c>
      <c r="B194" t="s">
        <v>592</v>
      </c>
      <c r="C194" t="s">
        <v>19</v>
      </c>
      <c r="D194" t="s">
        <v>201</v>
      </c>
      <c r="E194" t="s">
        <v>21</v>
      </c>
      <c r="F194" t="s">
        <v>51</v>
      </c>
      <c r="G194" t="s">
        <v>23</v>
      </c>
      <c r="H194" t="s">
        <v>593</v>
      </c>
      <c r="I194" t="s">
        <v>594</v>
      </c>
      <c r="J194">
        <v>9.9858884000000003</v>
      </c>
      <c r="K194">
        <v>-84.760010899999997</v>
      </c>
      <c r="L194" t="s">
        <v>26</v>
      </c>
      <c r="M194" t="s">
        <v>204</v>
      </c>
      <c r="N194" t="s">
        <v>205</v>
      </c>
      <c r="O194" t="s">
        <v>206</v>
      </c>
      <c r="P194">
        <v>10</v>
      </c>
      <c r="Q194" t="s">
        <v>136</v>
      </c>
      <c r="S194" t="str">
        <f>_xlfn.XLOOKUP(UNIVERSO[[#This Row],[Ruta]],'[1]CUOTA RUTA'!A:A,'[1]CUOTA RUTA'!D:D)</f>
        <v>Cargar</v>
      </c>
    </row>
    <row r="195" spans="1:19" x14ac:dyDescent="0.25">
      <c r="A195">
        <v>1500704126</v>
      </c>
      <c r="B195" t="s">
        <v>595</v>
      </c>
      <c r="C195" t="s">
        <v>19</v>
      </c>
      <c r="D195" t="s">
        <v>324</v>
      </c>
      <c r="E195" t="s">
        <v>21</v>
      </c>
      <c r="F195" t="s">
        <v>51</v>
      </c>
      <c r="G195" t="s">
        <v>23</v>
      </c>
      <c r="H195" t="s">
        <v>396</v>
      </c>
      <c r="I195" t="s">
        <v>596</v>
      </c>
      <c r="J195">
        <v>10.536273</v>
      </c>
      <c r="K195">
        <v>-84.482515000000006</v>
      </c>
      <c r="L195" t="s">
        <v>26</v>
      </c>
      <c r="M195" t="s">
        <v>327</v>
      </c>
      <c r="N195" t="s">
        <v>328</v>
      </c>
      <c r="O195" t="s">
        <v>329</v>
      </c>
      <c r="P195">
        <v>20</v>
      </c>
      <c r="Q195" t="s">
        <v>74</v>
      </c>
      <c r="S195" t="str">
        <f>_xlfn.XLOOKUP(UNIVERSO[[#This Row],[Ruta]],'[1]CUOTA RUTA'!A:A,'[1]CUOTA RUTA'!D:D)</f>
        <v>Cargar</v>
      </c>
    </row>
    <row r="196" spans="1:19" x14ac:dyDescent="0.25">
      <c r="A196">
        <v>1500704197</v>
      </c>
      <c r="B196" t="s">
        <v>597</v>
      </c>
      <c r="C196" t="s">
        <v>19</v>
      </c>
      <c r="D196" t="s">
        <v>201</v>
      </c>
      <c r="E196" t="s">
        <v>21</v>
      </c>
      <c r="F196" t="s">
        <v>51</v>
      </c>
      <c r="G196" t="s">
        <v>23</v>
      </c>
      <c r="H196" t="s">
        <v>202</v>
      </c>
      <c r="I196" t="s">
        <v>598</v>
      </c>
      <c r="J196">
        <v>9.9715450000000008</v>
      </c>
      <c r="K196">
        <v>-84.727780999999993</v>
      </c>
      <c r="L196" t="s">
        <v>26</v>
      </c>
      <c r="M196" t="s">
        <v>204</v>
      </c>
      <c r="N196" t="s">
        <v>205</v>
      </c>
      <c r="O196" t="s">
        <v>206</v>
      </c>
      <c r="P196">
        <v>7</v>
      </c>
      <c r="Q196" t="s">
        <v>39</v>
      </c>
      <c r="S196" t="str">
        <f>_xlfn.XLOOKUP(UNIVERSO[[#This Row],[Ruta]],'[1]CUOTA RUTA'!A:A,'[1]CUOTA RUTA'!D:D)</f>
        <v>Cargar</v>
      </c>
    </row>
    <row r="197" spans="1:19" x14ac:dyDescent="0.25">
      <c r="A197">
        <v>1500705480</v>
      </c>
      <c r="B197" t="s">
        <v>599</v>
      </c>
      <c r="C197" t="s">
        <v>19</v>
      </c>
      <c r="D197" t="s">
        <v>208</v>
      </c>
      <c r="E197" t="s">
        <v>62</v>
      </c>
      <c r="F197" t="s">
        <v>63</v>
      </c>
      <c r="G197" t="s">
        <v>64</v>
      </c>
      <c r="H197" t="s">
        <v>502</v>
      </c>
      <c r="I197" t="s">
        <v>600</v>
      </c>
      <c r="J197">
        <v>10.415381350000001</v>
      </c>
      <c r="K197">
        <v>-83.653233589999999</v>
      </c>
      <c r="L197" t="s">
        <v>26</v>
      </c>
      <c r="M197" t="s">
        <v>189</v>
      </c>
      <c r="N197" t="s">
        <v>211</v>
      </c>
      <c r="O197" t="s">
        <v>212</v>
      </c>
      <c r="P197">
        <v>7</v>
      </c>
      <c r="Q197" t="s">
        <v>39</v>
      </c>
      <c r="S197" t="str">
        <f>_xlfn.XLOOKUP(UNIVERSO[[#This Row],[Ruta]],'[1]CUOTA RUTA'!A:A,'[1]CUOTA RUTA'!D:D)</f>
        <v>Cargar</v>
      </c>
    </row>
    <row r="198" spans="1:19" x14ac:dyDescent="0.25">
      <c r="A198">
        <v>1500705676</v>
      </c>
      <c r="B198" t="s">
        <v>601</v>
      </c>
      <c r="C198" t="s">
        <v>19</v>
      </c>
      <c r="D198" t="s">
        <v>32</v>
      </c>
      <c r="E198" t="s">
        <v>21</v>
      </c>
      <c r="F198" t="s">
        <v>51</v>
      </c>
      <c r="G198" t="s">
        <v>23</v>
      </c>
      <c r="H198" t="s">
        <v>86</v>
      </c>
      <c r="I198" t="s">
        <v>602</v>
      </c>
      <c r="J198">
        <v>9.9027700000000003</v>
      </c>
      <c r="K198">
        <v>-84.0745</v>
      </c>
      <c r="L198" t="s">
        <v>26</v>
      </c>
      <c r="M198" t="s">
        <v>71</v>
      </c>
      <c r="N198" t="s">
        <v>72</v>
      </c>
      <c r="O198" t="s">
        <v>73</v>
      </c>
      <c r="P198">
        <v>7</v>
      </c>
      <c r="Q198" t="s">
        <v>39</v>
      </c>
      <c r="S198" t="str">
        <f>_xlfn.XLOOKUP(UNIVERSO[[#This Row],[Ruta]],'[1]CUOTA RUTA'!A:A,'[1]CUOTA RUTA'!D:D)</f>
        <v>Cargar</v>
      </c>
    </row>
    <row r="199" spans="1:19" x14ac:dyDescent="0.25">
      <c r="A199">
        <v>1500706709</v>
      </c>
      <c r="B199" t="s">
        <v>603</v>
      </c>
      <c r="C199" t="s">
        <v>19</v>
      </c>
      <c r="D199" t="s">
        <v>20</v>
      </c>
      <c r="E199" t="s">
        <v>21</v>
      </c>
      <c r="F199" t="s">
        <v>22</v>
      </c>
      <c r="G199" t="s">
        <v>23</v>
      </c>
      <c r="H199" t="s">
        <v>458</v>
      </c>
      <c r="I199" t="s">
        <v>604</v>
      </c>
      <c r="J199">
        <v>9.9521800000000002</v>
      </c>
      <c r="K199">
        <v>-84.280889999999999</v>
      </c>
      <c r="L199" t="s">
        <v>26</v>
      </c>
      <c r="M199" t="s">
        <v>54</v>
      </c>
      <c r="N199" t="s">
        <v>55</v>
      </c>
      <c r="O199" t="s">
        <v>56</v>
      </c>
      <c r="P199">
        <v>6</v>
      </c>
      <c r="Q199" t="s">
        <v>49</v>
      </c>
      <c r="S199" t="str">
        <f>_xlfn.XLOOKUP(UNIVERSO[[#This Row],[Ruta]],'[1]CUOTA RUTA'!A:A,'[1]CUOTA RUTA'!D:D)</f>
        <v>Cargar</v>
      </c>
    </row>
    <row r="200" spans="1:19" x14ac:dyDescent="0.25">
      <c r="A200">
        <v>1500707417</v>
      </c>
      <c r="B200" t="s">
        <v>605</v>
      </c>
      <c r="C200" t="s">
        <v>19</v>
      </c>
      <c r="D200" t="s">
        <v>32</v>
      </c>
      <c r="E200" t="s">
        <v>21</v>
      </c>
      <c r="F200" t="s">
        <v>22</v>
      </c>
      <c r="G200" t="s">
        <v>23</v>
      </c>
      <c r="H200" t="s">
        <v>103</v>
      </c>
      <c r="I200" t="s">
        <v>606</v>
      </c>
      <c r="J200">
        <v>9.9370949999999993</v>
      </c>
      <c r="K200">
        <v>-84.082344000000006</v>
      </c>
      <c r="L200" t="s">
        <v>26</v>
      </c>
      <c r="M200" t="s">
        <v>71</v>
      </c>
      <c r="N200" t="s">
        <v>72</v>
      </c>
      <c r="O200" t="s">
        <v>73</v>
      </c>
      <c r="P200">
        <v>2</v>
      </c>
      <c r="Q200" t="s">
        <v>150</v>
      </c>
      <c r="S200" t="str">
        <f>_xlfn.XLOOKUP(UNIVERSO[[#This Row],[Ruta]],'[1]CUOTA RUTA'!A:A,'[1]CUOTA RUTA'!D:D)</f>
        <v>Cargar</v>
      </c>
    </row>
    <row r="201" spans="1:19" x14ac:dyDescent="0.25">
      <c r="A201">
        <v>1500708094</v>
      </c>
      <c r="B201" t="s">
        <v>607</v>
      </c>
      <c r="C201" t="s">
        <v>19</v>
      </c>
      <c r="D201" t="s">
        <v>186</v>
      </c>
      <c r="E201" t="s">
        <v>21</v>
      </c>
      <c r="F201" t="s">
        <v>22</v>
      </c>
      <c r="G201" t="s">
        <v>23</v>
      </c>
      <c r="H201" t="s">
        <v>420</v>
      </c>
      <c r="I201" t="s">
        <v>608</v>
      </c>
      <c r="J201">
        <v>9.9181869999999996</v>
      </c>
      <c r="K201">
        <v>-83.019486000000001</v>
      </c>
      <c r="L201" t="s">
        <v>26</v>
      </c>
      <c r="M201" t="s">
        <v>189</v>
      </c>
      <c r="N201" t="s">
        <v>190</v>
      </c>
      <c r="O201" t="s">
        <v>191</v>
      </c>
      <c r="P201">
        <v>16</v>
      </c>
      <c r="Q201" t="s">
        <v>60</v>
      </c>
      <c r="S201" t="str">
        <f>_xlfn.XLOOKUP(UNIVERSO[[#This Row],[Ruta]],'[1]CUOTA RUTA'!A:A,'[1]CUOTA RUTA'!D:D)</f>
        <v>Cargar</v>
      </c>
    </row>
    <row r="202" spans="1:19" x14ac:dyDescent="0.25">
      <c r="A202">
        <v>1500708247</v>
      </c>
      <c r="B202" t="s">
        <v>609</v>
      </c>
      <c r="C202" t="s">
        <v>19</v>
      </c>
      <c r="D202" t="s">
        <v>20</v>
      </c>
      <c r="E202" t="s">
        <v>21</v>
      </c>
      <c r="F202" t="s">
        <v>22</v>
      </c>
      <c r="G202" t="s">
        <v>23</v>
      </c>
      <c r="H202" t="s">
        <v>143</v>
      </c>
      <c r="I202" t="s">
        <v>610</v>
      </c>
      <c r="J202">
        <v>9.9461627999999997</v>
      </c>
      <c r="K202">
        <v>-84.1338595</v>
      </c>
      <c r="L202" t="s">
        <v>26</v>
      </c>
      <c r="M202" t="s">
        <v>27</v>
      </c>
      <c r="N202" t="s">
        <v>28</v>
      </c>
      <c r="O202" t="s">
        <v>29</v>
      </c>
      <c r="P202">
        <v>8</v>
      </c>
      <c r="Q202" t="s">
        <v>97</v>
      </c>
      <c r="S202" t="str">
        <f>_xlfn.XLOOKUP(UNIVERSO[[#This Row],[Ruta]],'[1]CUOTA RUTA'!A:A,'[1]CUOTA RUTA'!D:D)</f>
        <v>Cargar</v>
      </c>
    </row>
    <row r="203" spans="1:19" x14ac:dyDescent="0.25">
      <c r="A203">
        <v>1500708659</v>
      </c>
      <c r="B203" t="s">
        <v>611</v>
      </c>
      <c r="C203" t="s">
        <v>19</v>
      </c>
      <c r="D203" t="s">
        <v>266</v>
      </c>
      <c r="E203" t="s">
        <v>21</v>
      </c>
      <c r="F203" t="s">
        <v>22</v>
      </c>
      <c r="G203" t="s">
        <v>23</v>
      </c>
      <c r="H203" t="s">
        <v>267</v>
      </c>
      <c r="I203" t="s">
        <v>612</v>
      </c>
      <c r="J203">
        <v>9.9087685800000003</v>
      </c>
      <c r="K203">
        <v>-83.67561062</v>
      </c>
      <c r="L203" t="s">
        <v>26</v>
      </c>
      <c r="M203" t="s">
        <v>189</v>
      </c>
      <c r="N203" t="s">
        <v>269</v>
      </c>
      <c r="O203" t="s">
        <v>270</v>
      </c>
      <c r="P203">
        <v>21</v>
      </c>
      <c r="Q203" t="s">
        <v>239</v>
      </c>
      <c r="S203" t="str">
        <f>_xlfn.XLOOKUP(UNIVERSO[[#This Row],[Ruta]],'[1]CUOTA RUTA'!A:A,'[1]CUOTA RUTA'!D:D)</f>
        <v>Cargar</v>
      </c>
    </row>
    <row r="204" spans="1:19" x14ac:dyDescent="0.25">
      <c r="A204">
        <v>1500709241</v>
      </c>
      <c r="B204" t="s">
        <v>613</v>
      </c>
      <c r="C204" t="s">
        <v>19</v>
      </c>
      <c r="D204" t="s">
        <v>208</v>
      </c>
      <c r="E204" t="s">
        <v>62</v>
      </c>
      <c r="F204" t="s">
        <v>63</v>
      </c>
      <c r="G204" t="s">
        <v>64</v>
      </c>
      <c r="H204" t="s">
        <v>502</v>
      </c>
      <c r="I204" t="s">
        <v>614</v>
      </c>
      <c r="J204">
        <v>10.4974776</v>
      </c>
      <c r="K204">
        <v>-83.616701899999995</v>
      </c>
      <c r="L204" t="s">
        <v>26</v>
      </c>
      <c r="M204" t="s">
        <v>189</v>
      </c>
      <c r="N204" t="s">
        <v>211</v>
      </c>
      <c r="O204" t="s">
        <v>212</v>
      </c>
      <c r="P204">
        <v>7</v>
      </c>
      <c r="Q204" t="s">
        <v>39</v>
      </c>
      <c r="S204" t="str">
        <f>_xlfn.XLOOKUP(UNIVERSO[[#This Row],[Ruta]],'[1]CUOTA RUTA'!A:A,'[1]CUOTA RUTA'!D:D)</f>
        <v>Cargar</v>
      </c>
    </row>
    <row r="205" spans="1:19" x14ac:dyDescent="0.25">
      <c r="A205">
        <v>1500709347</v>
      </c>
      <c r="B205" t="s">
        <v>615</v>
      </c>
      <c r="C205" t="s">
        <v>19</v>
      </c>
      <c r="D205" t="s">
        <v>208</v>
      </c>
      <c r="E205" t="s">
        <v>21</v>
      </c>
      <c r="F205" t="s">
        <v>22</v>
      </c>
      <c r="G205" t="s">
        <v>23</v>
      </c>
      <c r="H205" t="s">
        <v>616</v>
      </c>
      <c r="I205" t="s">
        <v>617</v>
      </c>
      <c r="J205">
        <v>10.44802</v>
      </c>
      <c r="K205">
        <v>-84.004800000000003</v>
      </c>
      <c r="L205" t="s">
        <v>26</v>
      </c>
      <c r="M205" t="s">
        <v>189</v>
      </c>
      <c r="N205" t="s">
        <v>211</v>
      </c>
      <c r="O205" t="s">
        <v>212</v>
      </c>
      <c r="P205">
        <v>10</v>
      </c>
      <c r="Q205" t="s">
        <v>136</v>
      </c>
      <c r="S205" t="str">
        <f>_xlfn.XLOOKUP(UNIVERSO[[#This Row],[Ruta]],'[1]CUOTA RUTA'!A:A,'[1]CUOTA RUTA'!D:D)</f>
        <v>Cargar</v>
      </c>
    </row>
    <row r="206" spans="1:19" x14ac:dyDescent="0.25">
      <c r="A206">
        <v>1500709469</v>
      </c>
      <c r="B206" t="s">
        <v>618</v>
      </c>
      <c r="C206" t="s">
        <v>19</v>
      </c>
      <c r="D206" t="s">
        <v>186</v>
      </c>
      <c r="E206" t="s">
        <v>21</v>
      </c>
      <c r="F206" t="s">
        <v>22</v>
      </c>
      <c r="G206" t="s">
        <v>23</v>
      </c>
      <c r="H206" t="s">
        <v>237</v>
      </c>
      <c r="I206" t="s">
        <v>619</v>
      </c>
      <c r="J206">
        <v>10.073804000000001</v>
      </c>
      <c r="K206">
        <v>-83.228588000000002</v>
      </c>
      <c r="L206" t="s">
        <v>26</v>
      </c>
      <c r="M206" t="s">
        <v>189</v>
      </c>
      <c r="N206" t="s">
        <v>190</v>
      </c>
      <c r="O206" t="s">
        <v>191</v>
      </c>
      <c r="P206">
        <v>22</v>
      </c>
      <c r="Q206" t="s">
        <v>30</v>
      </c>
      <c r="S206" t="str">
        <f>_xlfn.XLOOKUP(UNIVERSO[[#This Row],[Ruta]],'[1]CUOTA RUTA'!A:A,'[1]CUOTA RUTA'!D:D)</f>
        <v>Cargar</v>
      </c>
    </row>
    <row r="207" spans="1:19" x14ac:dyDescent="0.25">
      <c r="A207">
        <v>1500709743</v>
      </c>
      <c r="B207" t="s">
        <v>620</v>
      </c>
      <c r="C207" t="s">
        <v>19</v>
      </c>
      <c r="D207" t="s">
        <v>186</v>
      </c>
      <c r="E207" t="s">
        <v>21</v>
      </c>
      <c r="F207" t="s">
        <v>22</v>
      </c>
      <c r="G207" t="s">
        <v>23</v>
      </c>
      <c r="H207" t="s">
        <v>241</v>
      </c>
      <c r="I207" t="s">
        <v>621</v>
      </c>
      <c r="J207">
        <v>10.025461</v>
      </c>
      <c r="K207">
        <v>-83.233175000000003</v>
      </c>
      <c r="L207" t="s">
        <v>26</v>
      </c>
      <c r="M207" t="s">
        <v>189</v>
      </c>
      <c r="N207" t="s">
        <v>190</v>
      </c>
      <c r="O207" t="s">
        <v>191</v>
      </c>
      <c r="P207">
        <v>19</v>
      </c>
      <c r="Q207" t="s">
        <v>67</v>
      </c>
      <c r="S207" t="str">
        <f>_xlfn.XLOOKUP(UNIVERSO[[#This Row],[Ruta]],'[1]CUOTA RUTA'!A:A,'[1]CUOTA RUTA'!D:D)</f>
        <v>Cargar</v>
      </c>
    </row>
    <row r="208" spans="1:19" x14ac:dyDescent="0.25">
      <c r="A208">
        <v>1500710583</v>
      </c>
      <c r="B208" t="s">
        <v>622</v>
      </c>
      <c r="C208" t="s">
        <v>19</v>
      </c>
      <c r="D208" t="s">
        <v>208</v>
      </c>
      <c r="E208" t="s">
        <v>21</v>
      </c>
      <c r="F208" t="s">
        <v>22</v>
      </c>
      <c r="G208" t="s">
        <v>33</v>
      </c>
      <c r="H208" t="s">
        <v>502</v>
      </c>
      <c r="I208" t="s">
        <v>623</v>
      </c>
      <c r="J208">
        <v>10.25268</v>
      </c>
      <c r="K208">
        <v>-83.681600000000003</v>
      </c>
      <c r="L208" t="s">
        <v>26</v>
      </c>
      <c r="M208" t="s">
        <v>189</v>
      </c>
      <c r="N208" t="s">
        <v>211</v>
      </c>
      <c r="O208" t="s">
        <v>212</v>
      </c>
      <c r="P208">
        <v>6</v>
      </c>
      <c r="Q208" t="s">
        <v>49</v>
      </c>
      <c r="S208" t="str">
        <f>_xlfn.XLOOKUP(UNIVERSO[[#This Row],[Ruta]],'[1]CUOTA RUTA'!A:A,'[1]CUOTA RUTA'!D:D)</f>
        <v>Cargar</v>
      </c>
    </row>
    <row r="209" spans="1:19" x14ac:dyDescent="0.25">
      <c r="A209">
        <v>1500711032</v>
      </c>
      <c r="B209" t="s">
        <v>624</v>
      </c>
      <c r="C209" t="s">
        <v>19</v>
      </c>
      <c r="D209" t="s">
        <v>32</v>
      </c>
      <c r="E209" t="s">
        <v>21</v>
      </c>
      <c r="F209" t="s">
        <v>22</v>
      </c>
      <c r="G209" t="s">
        <v>33</v>
      </c>
      <c r="H209" t="s">
        <v>625</v>
      </c>
      <c r="I209" t="s">
        <v>626</v>
      </c>
      <c r="J209">
        <v>9.9900916666670003</v>
      </c>
      <c r="K209">
        <v>-84.040999999999997</v>
      </c>
      <c r="L209" t="s">
        <v>26</v>
      </c>
      <c r="M209" t="s">
        <v>94</v>
      </c>
      <c r="N209" t="s">
        <v>95</v>
      </c>
      <c r="O209" t="s">
        <v>96</v>
      </c>
      <c r="P209">
        <v>6</v>
      </c>
      <c r="Q209" t="s">
        <v>49</v>
      </c>
      <c r="S209" t="str">
        <f>_xlfn.XLOOKUP(UNIVERSO[[#This Row],[Ruta]],'[1]CUOTA RUTA'!A:A,'[1]CUOTA RUTA'!D:D)</f>
        <v>Cargar</v>
      </c>
    </row>
    <row r="210" spans="1:19" x14ac:dyDescent="0.25">
      <c r="A210">
        <v>1500711247</v>
      </c>
      <c r="B210" t="s">
        <v>627</v>
      </c>
      <c r="C210" t="s">
        <v>19</v>
      </c>
      <c r="D210" t="s">
        <v>32</v>
      </c>
      <c r="E210" t="s">
        <v>21</v>
      </c>
      <c r="F210" t="s">
        <v>22</v>
      </c>
      <c r="G210" t="s">
        <v>23</v>
      </c>
      <c r="H210" t="s">
        <v>106</v>
      </c>
      <c r="I210" t="s">
        <v>628</v>
      </c>
      <c r="J210">
        <v>9.9190120000000004</v>
      </c>
      <c r="K210">
        <v>-84.107726999999997</v>
      </c>
      <c r="L210" t="s">
        <v>26</v>
      </c>
      <c r="M210" t="s">
        <v>71</v>
      </c>
      <c r="N210" t="s">
        <v>72</v>
      </c>
      <c r="O210" t="s">
        <v>73</v>
      </c>
      <c r="P210">
        <v>10</v>
      </c>
      <c r="Q210" t="s">
        <v>136</v>
      </c>
      <c r="S210" t="str">
        <f>_xlfn.XLOOKUP(UNIVERSO[[#This Row],[Ruta]],'[1]CUOTA RUTA'!A:A,'[1]CUOTA RUTA'!D:D)</f>
        <v>Cargar</v>
      </c>
    </row>
    <row r="211" spans="1:19" x14ac:dyDescent="0.25">
      <c r="A211">
        <v>1500711379</v>
      </c>
      <c r="B211" t="s">
        <v>307</v>
      </c>
      <c r="C211" t="s">
        <v>19</v>
      </c>
      <c r="D211" t="s">
        <v>20</v>
      </c>
      <c r="E211" t="s">
        <v>21</v>
      </c>
      <c r="F211" t="s">
        <v>22</v>
      </c>
      <c r="G211" t="s">
        <v>23</v>
      </c>
      <c r="H211" t="s">
        <v>58</v>
      </c>
      <c r="I211" t="s">
        <v>629</v>
      </c>
      <c r="J211">
        <v>10.01868</v>
      </c>
      <c r="K211">
        <v>-84.209379999999996</v>
      </c>
      <c r="L211" t="s">
        <v>26</v>
      </c>
      <c r="M211" t="s">
        <v>54</v>
      </c>
      <c r="N211" t="s">
        <v>55</v>
      </c>
      <c r="O211" t="s">
        <v>56</v>
      </c>
      <c r="P211">
        <v>1</v>
      </c>
      <c r="Q211" t="s">
        <v>155</v>
      </c>
      <c r="S211" t="str">
        <f>_xlfn.XLOOKUP(UNIVERSO[[#This Row],[Ruta]],'[1]CUOTA RUTA'!A:A,'[1]CUOTA RUTA'!D:D)</f>
        <v>Cargar</v>
      </c>
    </row>
    <row r="212" spans="1:19" x14ac:dyDescent="0.25">
      <c r="A212">
        <v>1500712089</v>
      </c>
      <c r="B212" t="s">
        <v>630</v>
      </c>
      <c r="C212" t="s">
        <v>19</v>
      </c>
      <c r="D212" t="s">
        <v>208</v>
      </c>
      <c r="E212" t="s">
        <v>21</v>
      </c>
      <c r="F212" t="s">
        <v>22</v>
      </c>
      <c r="G212" t="s">
        <v>23</v>
      </c>
      <c r="H212" t="s">
        <v>631</v>
      </c>
      <c r="I212" t="s">
        <v>632</v>
      </c>
      <c r="J212">
        <v>10.281560000000001</v>
      </c>
      <c r="K212">
        <v>-83.723500000000001</v>
      </c>
      <c r="L212" t="s">
        <v>26</v>
      </c>
      <c r="M212" t="s">
        <v>189</v>
      </c>
      <c r="N212" t="s">
        <v>211</v>
      </c>
      <c r="O212" t="s">
        <v>212</v>
      </c>
      <c r="P212">
        <v>7</v>
      </c>
      <c r="Q212" t="s">
        <v>39</v>
      </c>
      <c r="S212" t="str">
        <f>_xlfn.XLOOKUP(UNIVERSO[[#This Row],[Ruta]],'[1]CUOTA RUTA'!A:A,'[1]CUOTA RUTA'!D:D)</f>
        <v>Cargar</v>
      </c>
    </row>
    <row r="213" spans="1:19" x14ac:dyDescent="0.25">
      <c r="A213">
        <v>1500712295</v>
      </c>
      <c r="B213" t="s">
        <v>633</v>
      </c>
      <c r="C213" t="s">
        <v>19</v>
      </c>
      <c r="D213" t="s">
        <v>20</v>
      </c>
      <c r="E213" t="s">
        <v>21</v>
      </c>
      <c r="F213" t="s">
        <v>51</v>
      </c>
      <c r="G213" t="s">
        <v>23</v>
      </c>
      <c r="H213" t="s">
        <v>193</v>
      </c>
      <c r="I213" t="s">
        <v>634</v>
      </c>
      <c r="J213">
        <v>10.0064498</v>
      </c>
      <c r="K213">
        <v>-84.235572899999994</v>
      </c>
      <c r="L213" t="s">
        <v>26</v>
      </c>
      <c r="M213" t="s">
        <v>54</v>
      </c>
      <c r="N213" t="s">
        <v>55</v>
      </c>
      <c r="O213" t="s">
        <v>56</v>
      </c>
      <c r="P213">
        <v>19</v>
      </c>
      <c r="Q213" t="s">
        <v>67</v>
      </c>
      <c r="S213" t="str">
        <f>_xlfn.XLOOKUP(UNIVERSO[[#This Row],[Ruta]],'[1]CUOTA RUTA'!A:A,'[1]CUOTA RUTA'!D:D)</f>
        <v>Cargar</v>
      </c>
    </row>
    <row r="214" spans="1:19" x14ac:dyDescent="0.25">
      <c r="A214">
        <v>1500712739</v>
      </c>
      <c r="B214" t="s">
        <v>635</v>
      </c>
      <c r="C214" t="s">
        <v>19</v>
      </c>
      <c r="D214" t="s">
        <v>186</v>
      </c>
      <c r="E214" t="s">
        <v>21</v>
      </c>
      <c r="F214" t="s">
        <v>51</v>
      </c>
      <c r="G214" t="s">
        <v>23</v>
      </c>
      <c r="H214" t="s">
        <v>241</v>
      </c>
      <c r="I214" t="s">
        <v>636</v>
      </c>
      <c r="J214">
        <v>10.02444</v>
      </c>
      <c r="K214">
        <v>-83.230648000000002</v>
      </c>
      <c r="L214" t="s">
        <v>26</v>
      </c>
      <c r="M214" t="s">
        <v>189</v>
      </c>
      <c r="N214" t="s">
        <v>190</v>
      </c>
      <c r="O214" t="s">
        <v>191</v>
      </c>
      <c r="P214">
        <v>19</v>
      </c>
      <c r="Q214" t="s">
        <v>67</v>
      </c>
      <c r="S214" t="str">
        <f>_xlfn.XLOOKUP(UNIVERSO[[#This Row],[Ruta]],'[1]CUOTA RUTA'!A:A,'[1]CUOTA RUTA'!D:D)</f>
        <v>Cargar</v>
      </c>
    </row>
    <row r="215" spans="1:19" x14ac:dyDescent="0.25">
      <c r="A215">
        <v>1500713146</v>
      </c>
      <c r="B215" t="s">
        <v>637</v>
      </c>
      <c r="C215" t="s">
        <v>19</v>
      </c>
      <c r="D215" t="s">
        <v>20</v>
      </c>
      <c r="E215" t="s">
        <v>21</v>
      </c>
      <c r="F215" t="s">
        <v>22</v>
      </c>
      <c r="G215" t="s">
        <v>23</v>
      </c>
      <c r="H215" t="s">
        <v>638</v>
      </c>
      <c r="I215" t="s">
        <v>639</v>
      </c>
      <c r="J215">
        <v>10.00243</v>
      </c>
      <c r="K215">
        <v>-84.213520000000003</v>
      </c>
      <c r="L215" t="s">
        <v>26</v>
      </c>
      <c r="M215" t="s">
        <v>54</v>
      </c>
      <c r="N215" t="s">
        <v>55</v>
      </c>
      <c r="O215" t="s">
        <v>56</v>
      </c>
      <c r="P215">
        <v>3</v>
      </c>
      <c r="Q215" t="s">
        <v>101</v>
      </c>
      <c r="S215" t="str">
        <f>_xlfn.XLOOKUP(UNIVERSO[[#This Row],[Ruta]],'[1]CUOTA RUTA'!A:A,'[1]CUOTA RUTA'!D:D)</f>
        <v>Cargar</v>
      </c>
    </row>
    <row r="216" spans="1:19" x14ac:dyDescent="0.25">
      <c r="A216">
        <v>1500713204</v>
      </c>
      <c r="B216" t="s">
        <v>640</v>
      </c>
      <c r="C216" t="s">
        <v>19</v>
      </c>
      <c r="D216" t="s">
        <v>266</v>
      </c>
      <c r="E216" t="s">
        <v>21</v>
      </c>
      <c r="F216" t="s">
        <v>22</v>
      </c>
      <c r="G216" t="s">
        <v>33</v>
      </c>
      <c r="H216" t="s">
        <v>314</v>
      </c>
      <c r="I216" t="s">
        <v>641</v>
      </c>
      <c r="J216">
        <v>9.8695033333330002</v>
      </c>
      <c r="K216">
        <v>-83.907319999999999</v>
      </c>
      <c r="L216" t="s">
        <v>26</v>
      </c>
      <c r="M216" t="s">
        <v>36</v>
      </c>
      <c r="N216" t="s">
        <v>316</v>
      </c>
      <c r="O216" t="s">
        <v>317</v>
      </c>
      <c r="P216">
        <v>16</v>
      </c>
      <c r="Q216" t="s">
        <v>60</v>
      </c>
      <c r="S216" t="str">
        <f>_xlfn.XLOOKUP(UNIVERSO[[#This Row],[Ruta]],'[1]CUOTA RUTA'!A:A,'[1]CUOTA RUTA'!D:D)</f>
        <v>Cargar</v>
      </c>
    </row>
    <row r="217" spans="1:19" x14ac:dyDescent="0.25">
      <c r="A217">
        <v>1500713596</v>
      </c>
      <c r="B217" t="s">
        <v>642</v>
      </c>
      <c r="C217" t="s">
        <v>19</v>
      </c>
      <c r="D217" t="s">
        <v>201</v>
      </c>
      <c r="E217" t="s">
        <v>21</v>
      </c>
      <c r="F217" t="s">
        <v>51</v>
      </c>
      <c r="G217" t="s">
        <v>23</v>
      </c>
      <c r="H217" t="s">
        <v>383</v>
      </c>
      <c r="I217" t="s">
        <v>643</v>
      </c>
      <c r="J217">
        <v>9.9841292999999993</v>
      </c>
      <c r="K217">
        <v>-84.7342285</v>
      </c>
      <c r="L217" t="s">
        <v>26</v>
      </c>
      <c r="M217" t="s">
        <v>204</v>
      </c>
      <c r="N217" t="s">
        <v>205</v>
      </c>
      <c r="O217" t="s">
        <v>206</v>
      </c>
      <c r="P217">
        <v>9</v>
      </c>
      <c r="Q217" t="s">
        <v>80</v>
      </c>
      <c r="S217" t="str">
        <f>_xlfn.XLOOKUP(UNIVERSO[[#This Row],[Ruta]],'[1]CUOTA RUTA'!A:A,'[1]CUOTA RUTA'!D:D)</f>
        <v>Cargar</v>
      </c>
    </row>
    <row r="218" spans="1:19" x14ac:dyDescent="0.25">
      <c r="A218">
        <v>1500713845</v>
      </c>
      <c r="B218" t="s">
        <v>644</v>
      </c>
      <c r="C218" t="s">
        <v>19</v>
      </c>
      <c r="D218" t="s">
        <v>266</v>
      </c>
      <c r="E218" t="s">
        <v>21</v>
      </c>
      <c r="F218" t="s">
        <v>22</v>
      </c>
      <c r="G218" t="s">
        <v>23</v>
      </c>
      <c r="H218" t="s">
        <v>314</v>
      </c>
      <c r="I218" t="s">
        <v>645</v>
      </c>
      <c r="J218">
        <v>9.8727245999999997</v>
      </c>
      <c r="K218">
        <v>-83.917039599999995</v>
      </c>
      <c r="L218" t="s">
        <v>26</v>
      </c>
      <c r="M218" t="s">
        <v>36</v>
      </c>
      <c r="N218" t="s">
        <v>316</v>
      </c>
      <c r="O218" t="s">
        <v>317</v>
      </c>
      <c r="P218">
        <v>16</v>
      </c>
      <c r="Q218" t="s">
        <v>60</v>
      </c>
      <c r="S218" t="str">
        <f>_xlfn.XLOOKUP(UNIVERSO[[#This Row],[Ruta]],'[1]CUOTA RUTA'!A:A,'[1]CUOTA RUTA'!D:D)</f>
        <v>Cargar</v>
      </c>
    </row>
    <row r="219" spans="1:19" x14ac:dyDescent="0.25">
      <c r="A219">
        <v>1500714522</v>
      </c>
      <c r="B219" t="s">
        <v>646</v>
      </c>
      <c r="C219" t="s">
        <v>19</v>
      </c>
      <c r="D219" t="s">
        <v>324</v>
      </c>
      <c r="E219" t="s">
        <v>21</v>
      </c>
      <c r="F219" t="s">
        <v>22</v>
      </c>
      <c r="G219" t="s">
        <v>33</v>
      </c>
      <c r="H219" t="s">
        <v>390</v>
      </c>
      <c r="I219" t="s">
        <v>647</v>
      </c>
      <c r="J219">
        <v>10.353478000000001</v>
      </c>
      <c r="K219">
        <v>-84.420314000000005</v>
      </c>
      <c r="L219" t="s">
        <v>26</v>
      </c>
      <c r="M219" t="s">
        <v>327</v>
      </c>
      <c r="N219" t="s">
        <v>328</v>
      </c>
      <c r="O219" t="s">
        <v>329</v>
      </c>
      <c r="P219">
        <v>15</v>
      </c>
      <c r="Q219" t="s">
        <v>231</v>
      </c>
      <c r="S219" t="str">
        <f>_xlfn.XLOOKUP(UNIVERSO[[#This Row],[Ruta]],'[1]CUOTA RUTA'!A:A,'[1]CUOTA RUTA'!D:D)</f>
        <v>Cargar</v>
      </c>
    </row>
    <row r="220" spans="1:19" x14ac:dyDescent="0.25">
      <c r="A220">
        <v>1500714950</v>
      </c>
      <c r="B220" t="s">
        <v>648</v>
      </c>
      <c r="C220" t="s">
        <v>19</v>
      </c>
      <c r="D220" t="s">
        <v>20</v>
      </c>
      <c r="E220" t="s">
        <v>21</v>
      </c>
      <c r="F220" t="s">
        <v>22</v>
      </c>
      <c r="G220" t="s">
        <v>23</v>
      </c>
      <c r="H220" t="s">
        <v>255</v>
      </c>
      <c r="I220" t="s">
        <v>649</v>
      </c>
      <c r="J220">
        <v>10.0414417</v>
      </c>
      <c r="K220">
        <v>-84.432109999999994</v>
      </c>
      <c r="L220" t="s">
        <v>26</v>
      </c>
      <c r="M220" t="s">
        <v>46</v>
      </c>
      <c r="N220" t="s">
        <v>47</v>
      </c>
      <c r="O220" t="s">
        <v>48</v>
      </c>
      <c r="P220">
        <v>7</v>
      </c>
      <c r="Q220" t="s">
        <v>39</v>
      </c>
      <c r="S220" t="str">
        <f>_xlfn.XLOOKUP(UNIVERSO[[#This Row],[Ruta]],'[1]CUOTA RUTA'!A:A,'[1]CUOTA RUTA'!D:D)</f>
        <v>Cargar</v>
      </c>
    </row>
    <row r="221" spans="1:19" x14ac:dyDescent="0.25">
      <c r="A221">
        <v>1500715056</v>
      </c>
      <c r="B221" t="s">
        <v>387</v>
      </c>
      <c r="C221" t="s">
        <v>19</v>
      </c>
      <c r="D221" t="s">
        <v>201</v>
      </c>
      <c r="E221" t="s">
        <v>21</v>
      </c>
      <c r="F221" t="s">
        <v>51</v>
      </c>
      <c r="G221" t="s">
        <v>23</v>
      </c>
      <c r="H221" t="s">
        <v>488</v>
      </c>
      <c r="I221" t="s">
        <v>650</v>
      </c>
      <c r="J221">
        <v>10.0829778</v>
      </c>
      <c r="K221">
        <v>-84.726675499999999</v>
      </c>
      <c r="L221" t="s">
        <v>26</v>
      </c>
      <c r="M221" t="s">
        <v>204</v>
      </c>
      <c r="N221" t="s">
        <v>205</v>
      </c>
      <c r="O221" t="s">
        <v>206</v>
      </c>
      <c r="P221">
        <v>13</v>
      </c>
      <c r="Q221" t="s">
        <v>161</v>
      </c>
      <c r="S221" t="str">
        <f>_xlfn.XLOOKUP(UNIVERSO[[#This Row],[Ruta]],'[1]CUOTA RUTA'!A:A,'[1]CUOTA RUTA'!D:D)</f>
        <v>Cargar</v>
      </c>
    </row>
    <row r="222" spans="1:19" x14ac:dyDescent="0.25">
      <c r="A222">
        <v>1500715295</v>
      </c>
      <c r="B222" t="s">
        <v>651</v>
      </c>
      <c r="C222" t="s">
        <v>19</v>
      </c>
      <c r="D222" t="s">
        <v>32</v>
      </c>
      <c r="E222" t="s">
        <v>21</v>
      </c>
      <c r="F222" t="s">
        <v>22</v>
      </c>
      <c r="G222" t="s">
        <v>33</v>
      </c>
      <c r="H222" t="s">
        <v>425</v>
      </c>
      <c r="I222" t="s">
        <v>652</v>
      </c>
      <c r="J222">
        <v>9.8683261000000009</v>
      </c>
      <c r="K222">
        <v>-84.084925839999997</v>
      </c>
      <c r="L222" t="s">
        <v>26</v>
      </c>
      <c r="M222" t="s">
        <v>71</v>
      </c>
      <c r="N222" t="s">
        <v>72</v>
      </c>
      <c r="O222" t="s">
        <v>73</v>
      </c>
      <c r="P222">
        <v>15</v>
      </c>
      <c r="Q222" t="s">
        <v>231</v>
      </c>
      <c r="S222" t="str">
        <f>_xlfn.XLOOKUP(UNIVERSO[[#This Row],[Ruta]],'[1]CUOTA RUTA'!A:A,'[1]CUOTA RUTA'!D:D)</f>
        <v>Cargar</v>
      </c>
    </row>
    <row r="223" spans="1:19" x14ac:dyDescent="0.25">
      <c r="A223">
        <v>1500715740</v>
      </c>
      <c r="B223" t="s">
        <v>653</v>
      </c>
      <c r="C223" t="s">
        <v>19</v>
      </c>
      <c r="D223" t="s">
        <v>244</v>
      </c>
      <c r="E223" t="s">
        <v>21</v>
      </c>
      <c r="F223" t="s">
        <v>22</v>
      </c>
      <c r="G223" t="s">
        <v>64</v>
      </c>
      <c r="H223" t="s">
        <v>566</v>
      </c>
      <c r="I223" t="s">
        <v>654</v>
      </c>
      <c r="J223">
        <v>9.3704999999999998</v>
      </c>
      <c r="K223">
        <v>-83.694000000000003</v>
      </c>
      <c r="L223" t="s">
        <v>26</v>
      </c>
      <c r="M223" t="s">
        <v>46</v>
      </c>
      <c r="N223" t="s">
        <v>247</v>
      </c>
      <c r="O223" t="s">
        <v>248</v>
      </c>
      <c r="P223">
        <v>15</v>
      </c>
      <c r="Q223" t="s">
        <v>231</v>
      </c>
      <c r="S223" t="str">
        <f>_xlfn.XLOOKUP(UNIVERSO[[#This Row],[Ruta]],'[1]CUOTA RUTA'!A:A,'[1]CUOTA RUTA'!D:D)</f>
        <v>Cargar</v>
      </c>
    </row>
    <row r="224" spans="1:19" x14ac:dyDescent="0.25">
      <c r="A224">
        <v>1500716354</v>
      </c>
      <c r="B224" t="s">
        <v>655</v>
      </c>
      <c r="C224" t="s">
        <v>19</v>
      </c>
      <c r="D224" t="s">
        <v>266</v>
      </c>
      <c r="E224" t="s">
        <v>21</v>
      </c>
      <c r="F224" t="s">
        <v>22</v>
      </c>
      <c r="G224" t="s">
        <v>33</v>
      </c>
      <c r="H224" t="s">
        <v>321</v>
      </c>
      <c r="I224" t="s">
        <v>656</v>
      </c>
      <c r="J224">
        <v>9.8269249999999992</v>
      </c>
      <c r="K224">
        <v>-83.951696666659998</v>
      </c>
      <c r="L224" t="s">
        <v>26</v>
      </c>
      <c r="M224" t="s">
        <v>54</v>
      </c>
      <c r="N224" t="s">
        <v>274</v>
      </c>
      <c r="O224" t="s">
        <v>275</v>
      </c>
      <c r="P224">
        <v>23</v>
      </c>
      <c r="Q224" t="s">
        <v>125</v>
      </c>
      <c r="S224" t="str">
        <f>_xlfn.XLOOKUP(UNIVERSO[[#This Row],[Ruta]],'[1]CUOTA RUTA'!A:A,'[1]CUOTA RUTA'!D:D)</f>
        <v>Cargar</v>
      </c>
    </row>
    <row r="225" spans="1:19" x14ac:dyDescent="0.25">
      <c r="A225">
        <v>1500716435</v>
      </c>
      <c r="B225" t="s">
        <v>657</v>
      </c>
      <c r="C225" t="s">
        <v>19</v>
      </c>
      <c r="D225" t="s">
        <v>20</v>
      </c>
      <c r="E225" t="s">
        <v>21</v>
      </c>
      <c r="F225" t="s">
        <v>22</v>
      </c>
      <c r="G225" t="s">
        <v>23</v>
      </c>
      <c r="H225" t="s">
        <v>255</v>
      </c>
      <c r="I225" t="s">
        <v>658</v>
      </c>
      <c r="J225">
        <v>10.023529999999999</v>
      </c>
      <c r="K225">
        <v>-84.245350000000002</v>
      </c>
      <c r="L225" t="s">
        <v>26</v>
      </c>
      <c r="M225" t="s">
        <v>46</v>
      </c>
      <c r="N225" t="s">
        <v>47</v>
      </c>
      <c r="O225" t="s">
        <v>48</v>
      </c>
      <c r="P225">
        <v>3</v>
      </c>
      <c r="Q225" t="s">
        <v>101</v>
      </c>
      <c r="S225" t="str">
        <f>_xlfn.XLOOKUP(UNIVERSO[[#This Row],[Ruta]],'[1]CUOTA RUTA'!A:A,'[1]CUOTA RUTA'!D:D)</f>
        <v>Cargar</v>
      </c>
    </row>
    <row r="226" spans="1:19" x14ac:dyDescent="0.25">
      <c r="A226">
        <v>1500716502</v>
      </c>
      <c r="B226" t="s">
        <v>659</v>
      </c>
      <c r="C226" t="s">
        <v>19</v>
      </c>
      <c r="D226" t="s">
        <v>208</v>
      </c>
      <c r="E226" t="s">
        <v>21</v>
      </c>
      <c r="F226" t="s">
        <v>22</v>
      </c>
      <c r="G226" t="s">
        <v>33</v>
      </c>
      <c r="H226" t="s">
        <v>502</v>
      </c>
      <c r="I226" t="s">
        <v>660</v>
      </c>
      <c r="J226">
        <v>10.244260000000001</v>
      </c>
      <c r="K226">
        <v>-83.662000000000006</v>
      </c>
      <c r="L226" t="s">
        <v>26</v>
      </c>
      <c r="M226" t="s">
        <v>189</v>
      </c>
      <c r="N226" t="s">
        <v>211</v>
      </c>
      <c r="O226" t="s">
        <v>212</v>
      </c>
      <c r="P226">
        <v>6</v>
      </c>
      <c r="Q226" t="s">
        <v>49</v>
      </c>
      <c r="S226" t="str">
        <f>_xlfn.XLOOKUP(UNIVERSO[[#This Row],[Ruta]],'[1]CUOTA RUTA'!A:A,'[1]CUOTA RUTA'!D:D)</f>
        <v>Cargar</v>
      </c>
    </row>
    <row r="227" spans="1:19" x14ac:dyDescent="0.25">
      <c r="A227">
        <v>1500717197</v>
      </c>
      <c r="B227" t="s">
        <v>661</v>
      </c>
      <c r="C227" t="s">
        <v>19</v>
      </c>
      <c r="D227" t="s">
        <v>20</v>
      </c>
      <c r="E227" t="s">
        <v>21</v>
      </c>
      <c r="F227" t="s">
        <v>22</v>
      </c>
      <c r="G227" t="s">
        <v>23</v>
      </c>
      <c r="H227" t="s">
        <v>311</v>
      </c>
      <c r="I227" t="s">
        <v>662</v>
      </c>
      <c r="J227">
        <v>9.9711254999999994</v>
      </c>
      <c r="K227">
        <v>-84.2441295</v>
      </c>
      <c r="L227" t="s">
        <v>26</v>
      </c>
      <c r="M227" t="s">
        <v>54</v>
      </c>
      <c r="N227" t="s">
        <v>55</v>
      </c>
      <c r="O227" t="s">
        <v>56</v>
      </c>
      <c r="P227">
        <v>9</v>
      </c>
      <c r="Q227" t="s">
        <v>80</v>
      </c>
      <c r="S227" t="str">
        <f>_xlfn.XLOOKUP(UNIVERSO[[#This Row],[Ruta]],'[1]CUOTA RUTA'!A:A,'[1]CUOTA RUTA'!D:D)</f>
        <v>Cargar</v>
      </c>
    </row>
    <row r="228" spans="1:19" x14ac:dyDescent="0.25">
      <c r="A228">
        <v>1500717659</v>
      </c>
      <c r="B228" t="s">
        <v>663</v>
      </c>
      <c r="C228" t="s">
        <v>19</v>
      </c>
      <c r="D228" t="s">
        <v>208</v>
      </c>
      <c r="E228" t="s">
        <v>21</v>
      </c>
      <c r="F228" t="s">
        <v>22</v>
      </c>
      <c r="G228" t="s">
        <v>33</v>
      </c>
      <c r="H228" t="s">
        <v>221</v>
      </c>
      <c r="I228" t="s">
        <v>664</v>
      </c>
      <c r="J228">
        <v>10.307090000000001</v>
      </c>
      <c r="K228">
        <v>-83.760900000000007</v>
      </c>
      <c r="L228" t="s">
        <v>26</v>
      </c>
      <c r="M228" t="s">
        <v>189</v>
      </c>
      <c r="N228" t="s">
        <v>211</v>
      </c>
      <c r="O228" t="s">
        <v>212</v>
      </c>
      <c r="P228">
        <v>1</v>
      </c>
      <c r="Q228" t="s">
        <v>155</v>
      </c>
      <c r="S228" t="str">
        <f>_xlfn.XLOOKUP(UNIVERSO[[#This Row],[Ruta]],'[1]CUOTA RUTA'!A:A,'[1]CUOTA RUTA'!D:D)</f>
        <v>Cargar</v>
      </c>
    </row>
    <row r="229" spans="1:19" x14ac:dyDescent="0.25">
      <c r="A229">
        <v>1500718950</v>
      </c>
      <c r="B229" t="s">
        <v>665</v>
      </c>
      <c r="C229" t="s">
        <v>19</v>
      </c>
      <c r="D229" t="s">
        <v>20</v>
      </c>
      <c r="E229" t="s">
        <v>21</v>
      </c>
      <c r="F229" t="s">
        <v>51</v>
      </c>
      <c r="G229" t="s">
        <v>23</v>
      </c>
      <c r="H229" t="s">
        <v>193</v>
      </c>
      <c r="I229" t="s">
        <v>666</v>
      </c>
      <c r="J229">
        <v>9.9796768999999994</v>
      </c>
      <c r="K229">
        <v>-84.2362605</v>
      </c>
      <c r="L229" t="s">
        <v>26</v>
      </c>
      <c r="M229" t="s">
        <v>54</v>
      </c>
      <c r="N229" t="s">
        <v>55</v>
      </c>
      <c r="O229" t="s">
        <v>56</v>
      </c>
      <c r="P229">
        <v>8</v>
      </c>
      <c r="Q229" t="s">
        <v>97</v>
      </c>
      <c r="S229" t="str">
        <f>_xlfn.XLOOKUP(UNIVERSO[[#This Row],[Ruta]],'[1]CUOTA RUTA'!A:A,'[1]CUOTA RUTA'!D:D)</f>
        <v>Cargar</v>
      </c>
    </row>
    <row r="230" spans="1:19" x14ac:dyDescent="0.25">
      <c r="A230">
        <v>1500719209</v>
      </c>
      <c r="B230" t="s">
        <v>667</v>
      </c>
      <c r="C230" t="s">
        <v>19</v>
      </c>
      <c r="D230" t="s">
        <v>266</v>
      </c>
      <c r="E230" t="s">
        <v>21</v>
      </c>
      <c r="F230" t="s">
        <v>22</v>
      </c>
      <c r="G230" t="s">
        <v>23</v>
      </c>
      <c r="H230" t="s">
        <v>407</v>
      </c>
      <c r="I230" t="s">
        <v>668</v>
      </c>
      <c r="J230">
        <v>9.6508939999999992</v>
      </c>
      <c r="K230">
        <v>-84.028326399999997</v>
      </c>
      <c r="L230" t="s">
        <v>26</v>
      </c>
      <c r="M230" t="s">
        <v>409</v>
      </c>
      <c r="N230" t="s">
        <v>410</v>
      </c>
      <c r="O230" t="s">
        <v>411</v>
      </c>
      <c r="P230">
        <v>22</v>
      </c>
      <c r="Q230" t="s">
        <v>30</v>
      </c>
      <c r="S230" t="str">
        <f>_xlfn.XLOOKUP(UNIVERSO[[#This Row],[Ruta]],'[1]CUOTA RUTA'!A:A,'[1]CUOTA RUTA'!D:D)</f>
        <v>Cargar</v>
      </c>
    </row>
    <row r="231" spans="1:19" x14ac:dyDescent="0.25">
      <c r="A231">
        <v>1500719628</v>
      </c>
      <c r="B231" t="s">
        <v>669</v>
      </c>
      <c r="C231" t="s">
        <v>19</v>
      </c>
      <c r="D231" t="s">
        <v>324</v>
      </c>
      <c r="E231" t="s">
        <v>21</v>
      </c>
      <c r="F231" t="s">
        <v>51</v>
      </c>
      <c r="G231" t="s">
        <v>23</v>
      </c>
      <c r="H231" t="s">
        <v>396</v>
      </c>
      <c r="I231" t="s">
        <v>670</v>
      </c>
      <c r="J231">
        <v>10.419</v>
      </c>
      <c r="K231">
        <v>-84.519880000000001</v>
      </c>
      <c r="L231" t="s">
        <v>26</v>
      </c>
      <c r="M231" t="s">
        <v>327</v>
      </c>
      <c r="N231" t="s">
        <v>328</v>
      </c>
      <c r="O231" t="s">
        <v>329</v>
      </c>
      <c r="P231">
        <v>20</v>
      </c>
      <c r="Q231" t="s">
        <v>74</v>
      </c>
      <c r="S231" t="str">
        <f>_xlfn.XLOOKUP(UNIVERSO[[#This Row],[Ruta]],'[1]CUOTA RUTA'!A:A,'[1]CUOTA RUTA'!D:D)</f>
        <v>Cargar</v>
      </c>
    </row>
    <row r="232" spans="1:19" x14ac:dyDescent="0.25">
      <c r="A232">
        <v>1500719703</v>
      </c>
      <c r="B232" t="s">
        <v>671</v>
      </c>
      <c r="C232" t="s">
        <v>19</v>
      </c>
      <c r="D232" t="s">
        <v>32</v>
      </c>
      <c r="E232" t="s">
        <v>21</v>
      </c>
      <c r="F232" t="s">
        <v>51</v>
      </c>
      <c r="G232" t="s">
        <v>23</v>
      </c>
      <c r="H232" t="s">
        <v>441</v>
      </c>
      <c r="I232" t="s">
        <v>672</v>
      </c>
      <c r="J232">
        <v>9.8770083333330003</v>
      </c>
      <c r="K232">
        <v>-84.060433333329996</v>
      </c>
      <c r="L232" t="s">
        <v>26</v>
      </c>
      <c r="M232" t="s">
        <v>71</v>
      </c>
      <c r="N232" t="s">
        <v>72</v>
      </c>
      <c r="O232" t="s">
        <v>73</v>
      </c>
      <c r="P232">
        <v>19</v>
      </c>
      <c r="Q232" t="s">
        <v>67</v>
      </c>
      <c r="S232" t="str">
        <f>_xlfn.XLOOKUP(UNIVERSO[[#This Row],[Ruta]],'[1]CUOTA RUTA'!A:A,'[1]CUOTA RUTA'!D:D)</f>
        <v>Cargar</v>
      </c>
    </row>
    <row r="233" spans="1:19" x14ac:dyDescent="0.25">
      <c r="A233">
        <v>1500719848</v>
      </c>
      <c r="B233" t="s">
        <v>673</v>
      </c>
      <c r="C233" t="s">
        <v>19</v>
      </c>
      <c r="D233" t="s">
        <v>20</v>
      </c>
      <c r="E233" t="s">
        <v>21</v>
      </c>
      <c r="F233" t="s">
        <v>22</v>
      </c>
      <c r="G233" t="s">
        <v>23</v>
      </c>
      <c r="H233" t="s">
        <v>674</v>
      </c>
      <c r="I233" t="s">
        <v>675</v>
      </c>
      <c r="J233">
        <v>10.217426856579999</v>
      </c>
      <c r="K233">
        <v>-84.400410194659997</v>
      </c>
      <c r="L233" t="s">
        <v>26</v>
      </c>
      <c r="M233" t="s">
        <v>46</v>
      </c>
      <c r="N233" t="s">
        <v>47</v>
      </c>
      <c r="O233" t="s">
        <v>48</v>
      </c>
      <c r="P233">
        <v>1</v>
      </c>
      <c r="Q233" t="s">
        <v>155</v>
      </c>
      <c r="S233" t="str">
        <f>_xlfn.XLOOKUP(UNIVERSO[[#This Row],[Ruta]],'[1]CUOTA RUTA'!A:A,'[1]CUOTA RUTA'!D:D)</f>
        <v>Cargar</v>
      </c>
    </row>
    <row r="234" spans="1:19" x14ac:dyDescent="0.25">
      <c r="A234">
        <v>1500719856</v>
      </c>
      <c r="B234" t="s">
        <v>676</v>
      </c>
      <c r="C234" t="s">
        <v>19</v>
      </c>
      <c r="D234" t="s">
        <v>20</v>
      </c>
      <c r="E234" t="s">
        <v>21</v>
      </c>
      <c r="F234" t="s">
        <v>22</v>
      </c>
      <c r="G234" t="s">
        <v>23</v>
      </c>
      <c r="H234" t="s">
        <v>52</v>
      </c>
      <c r="I234" t="s">
        <v>677</v>
      </c>
      <c r="J234">
        <v>9.9204939999999997</v>
      </c>
      <c r="K234">
        <v>-84.1437265</v>
      </c>
      <c r="L234" t="s">
        <v>26</v>
      </c>
      <c r="M234" t="s">
        <v>54</v>
      </c>
      <c r="N234" t="s">
        <v>55</v>
      </c>
      <c r="O234" t="s">
        <v>56</v>
      </c>
      <c r="P234">
        <v>13</v>
      </c>
      <c r="Q234" t="s">
        <v>161</v>
      </c>
      <c r="S234" t="str">
        <f>_xlfn.XLOOKUP(UNIVERSO[[#This Row],[Ruta]],'[1]CUOTA RUTA'!A:A,'[1]CUOTA RUTA'!D:D)</f>
        <v>Cargar</v>
      </c>
    </row>
    <row r="235" spans="1:19" x14ac:dyDescent="0.25">
      <c r="A235">
        <v>1500721415</v>
      </c>
      <c r="B235" t="s">
        <v>678</v>
      </c>
      <c r="C235" t="s">
        <v>19</v>
      </c>
      <c r="D235" t="s">
        <v>186</v>
      </c>
      <c r="E235" t="s">
        <v>21</v>
      </c>
      <c r="F235" t="s">
        <v>22</v>
      </c>
      <c r="G235" t="s">
        <v>23</v>
      </c>
      <c r="H235" t="s">
        <v>187</v>
      </c>
      <c r="I235" t="s">
        <v>679</v>
      </c>
      <c r="J235">
        <v>9.9855809999999998</v>
      </c>
      <c r="K235">
        <v>-83.051925999999995</v>
      </c>
      <c r="L235" t="s">
        <v>26</v>
      </c>
      <c r="M235" t="s">
        <v>189</v>
      </c>
      <c r="N235" t="s">
        <v>190</v>
      </c>
      <c r="O235" t="s">
        <v>191</v>
      </c>
      <c r="P235">
        <v>13</v>
      </c>
      <c r="Q235" t="s">
        <v>161</v>
      </c>
      <c r="S235" t="str">
        <f>_xlfn.XLOOKUP(UNIVERSO[[#This Row],[Ruta]],'[1]CUOTA RUTA'!A:A,'[1]CUOTA RUTA'!D:D)</f>
        <v>Cargar</v>
      </c>
    </row>
    <row r="236" spans="1:19" x14ac:dyDescent="0.25">
      <c r="A236">
        <v>1500722076</v>
      </c>
      <c r="B236" t="s">
        <v>680</v>
      </c>
      <c r="C236" t="s">
        <v>19</v>
      </c>
      <c r="D236" t="s">
        <v>201</v>
      </c>
      <c r="E236" t="s">
        <v>21</v>
      </c>
      <c r="F236" t="s">
        <v>51</v>
      </c>
      <c r="G236" t="s">
        <v>23</v>
      </c>
      <c r="H236" t="s">
        <v>383</v>
      </c>
      <c r="I236" t="s">
        <v>681</v>
      </c>
      <c r="J236">
        <v>9.9810379999999999</v>
      </c>
      <c r="K236">
        <v>-84.757475400000004</v>
      </c>
      <c r="L236" t="s">
        <v>26</v>
      </c>
      <c r="M236" t="s">
        <v>204</v>
      </c>
      <c r="N236" t="s">
        <v>205</v>
      </c>
      <c r="O236" t="s">
        <v>206</v>
      </c>
      <c r="P236">
        <v>10</v>
      </c>
      <c r="Q236" t="s">
        <v>136</v>
      </c>
      <c r="S236" t="str">
        <f>_xlfn.XLOOKUP(UNIVERSO[[#This Row],[Ruta]],'[1]CUOTA RUTA'!A:A,'[1]CUOTA RUTA'!D:D)</f>
        <v>Cargar</v>
      </c>
    </row>
    <row r="237" spans="1:19" x14ac:dyDescent="0.25">
      <c r="A237">
        <v>1500722562</v>
      </c>
      <c r="B237" t="s">
        <v>682</v>
      </c>
      <c r="C237" t="s">
        <v>19</v>
      </c>
      <c r="D237" t="s">
        <v>32</v>
      </c>
      <c r="E237" t="s">
        <v>21</v>
      </c>
      <c r="F237" t="s">
        <v>22</v>
      </c>
      <c r="G237" t="s">
        <v>23</v>
      </c>
      <c r="H237" t="s">
        <v>683</v>
      </c>
      <c r="I237" t="s">
        <v>684</v>
      </c>
      <c r="J237">
        <v>9.9288500000000006</v>
      </c>
      <c r="K237">
        <v>-84.099900000000005</v>
      </c>
      <c r="L237" t="s">
        <v>26</v>
      </c>
      <c r="M237" t="s">
        <v>71</v>
      </c>
      <c r="N237" t="s">
        <v>72</v>
      </c>
      <c r="O237" t="s">
        <v>73</v>
      </c>
      <c r="P237">
        <v>4</v>
      </c>
      <c r="Q237" t="s">
        <v>120</v>
      </c>
      <c r="S237" t="str">
        <f>_xlfn.XLOOKUP(UNIVERSO[[#This Row],[Ruta]],'[1]CUOTA RUTA'!A:A,'[1]CUOTA RUTA'!D:D)</f>
        <v>Cargar</v>
      </c>
    </row>
    <row r="238" spans="1:19" x14ac:dyDescent="0.25">
      <c r="A238">
        <v>1500722625</v>
      </c>
      <c r="B238" t="s">
        <v>685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311</v>
      </c>
      <c r="I238" t="s">
        <v>686</v>
      </c>
      <c r="J238">
        <v>9.9695540000000005</v>
      </c>
      <c r="K238">
        <v>-84.2280947</v>
      </c>
      <c r="L238" t="s">
        <v>26</v>
      </c>
      <c r="M238" t="s">
        <v>54</v>
      </c>
      <c r="N238" t="s">
        <v>55</v>
      </c>
      <c r="O238" t="s">
        <v>56</v>
      </c>
      <c r="P238">
        <v>8</v>
      </c>
      <c r="Q238" t="s">
        <v>97</v>
      </c>
      <c r="S238" t="str">
        <f>_xlfn.XLOOKUP(UNIVERSO[[#This Row],[Ruta]],'[1]CUOTA RUTA'!A:A,'[1]CUOTA RUTA'!D:D)</f>
        <v>Cargar</v>
      </c>
    </row>
    <row r="239" spans="1:19" x14ac:dyDescent="0.25">
      <c r="A239">
        <v>1500722800</v>
      </c>
      <c r="B239" t="s">
        <v>687</v>
      </c>
      <c r="C239" t="s">
        <v>19</v>
      </c>
      <c r="D239" t="s">
        <v>32</v>
      </c>
      <c r="E239" t="s">
        <v>21</v>
      </c>
      <c r="F239" t="s">
        <v>22</v>
      </c>
      <c r="G239" t="s">
        <v>23</v>
      </c>
      <c r="H239" t="s">
        <v>89</v>
      </c>
      <c r="I239" t="s">
        <v>688</v>
      </c>
      <c r="J239">
        <v>9.890136</v>
      </c>
      <c r="K239">
        <v>-84.082950999999994</v>
      </c>
      <c r="L239" t="s">
        <v>26</v>
      </c>
      <c r="M239" t="s">
        <v>71</v>
      </c>
      <c r="N239" t="s">
        <v>72</v>
      </c>
      <c r="O239" t="s">
        <v>73</v>
      </c>
      <c r="P239">
        <v>8</v>
      </c>
      <c r="Q239" t="s">
        <v>97</v>
      </c>
      <c r="S239" t="str">
        <f>_xlfn.XLOOKUP(UNIVERSO[[#This Row],[Ruta]],'[1]CUOTA RUTA'!A:A,'[1]CUOTA RUTA'!D:D)</f>
        <v>Cargar</v>
      </c>
    </row>
    <row r="240" spans="1:19" x14ac:dyDescent="0.25">
      <c r="A240">
        <v>1500722989</v>
      </c>
      <c r="B240" t="s">
        <v>689</v>
      </c>
      <c r="C240" t="s">
        <v>19</v>
      </c>
      <c r="D240" t="s">
        <v>324</v>
      </c>
      <c r="E240" t="s">
        <v>21</v>
      </c>
      <c r="F240" t="s">
        <v>22</v>
      </c>
      <c r="G240" t="s">
        <v>33</v>
      </c>
      <c r="H240" t="s">
        <v>331</v>
      </c>
      <c r="I240" t="s">
        <v>690</v>
      </c>
      <c r="J240">
        <v>10.4513</v>
      </c>
      <c r="K240">
        <v>-84.273449999999997</v>
      </c>
      <c r="L240" t="s">
        <v>26</v>
      </c>
      <c r="M240" t="s">
        <v>327</v>
      </c>
      <c r="N240" t="s">
        <v>328</v>
      </c>
      <c r="O240" t="s">
        <v>329</v>
      </c>
      <c r="P240">
        <v>17</v>
      </c>
      <c r="Q240" t="s">
        <v>287</v>
      </c>
      <c r="S240" t="str">
        <f>_xlfn.XLOOKUP(UNIVERSO[[#This Row],[Ruta]],'[1]CUOTA RUTA'!A:A,'[1]CUOTA RUTA'!D:D)</f>
        <v>Cargar</v>
      </c>
    </row>
    <row r="241" spans="1:19" x14ac:dyDescent="0.25">
      <c r="A241">
        <v>1500723398</v>
      </c>
      <c r="B241" t="s">
        <v>691</v>
      </c>
      <c r="C241" t="s">
        <v>19</v>
      </c>
      <c r="D241" t="s">
        <v>32</v>
      </c>
      <c r="E241" t="s">
        <v>21</v>
      </c>
      <c r="F241" t="s">
        <v>22</v>
      </c>
      <c r="G241" t="s">
        <v>23</v>
      </c>
      <c r="H241" t="s">
        <v>34</v>
      </c>
      <c r="I241" t="s">
        <v>692</v>
      </c>
      <c r="J241">
        <v>9.9234000000000009</v>
      </c>
      <c r="K241">
        <v>-84.054000000000002</v>
      </c>
      <c r="L241" t="s">
        <v>26</v>
      </c>
      <c r="M241" t="s">
        <v>36</v>
      </c>
      <c r="N241" t="s">
        <v>37</v>
      </c>
      <c r="O241" t="s">
        <v>38</v>
      </c>
      <c r="P241">
        <v>7</v>
      </c>
      <c r="Q241" t="s">
        <v>39</v>
      </c>
      <c r="S241" t="str">
        <f>_xlfn.XLOOKUP(UNIVERSO[[#This Row],[Ruta]],'[1]CUOTA RUTA'!A:A,'[1]CUOTA RUTA'!D:D)</f>
        <v>Cargar</v>
      </c>
    </row>
    <row r="242" spans="1:19" x14ac:dyDescent="0.25">
      <c r="A242">
        <v>1500723555</v>
      </c>
      <c r="B242" t="s">
        <v>693</v>
      </c>
      <c r="C242" t="s">
        <v>19</v>
      </c>
      <c r="D242" t="s">
        <v>20</v>
      </c>
      <c r="E242" t="s">
        <v>21</v>
      </c>
      <c r="F242" t="s">
        <v>51</v>
      </c>
      <c r="G242" t="s">
        <v>23</v>
      </c>
      <c r="H242" t="s">
        <v>554</v>
      </c>
      <c r="I242" t="s">
        <v>694</v>
      </c>
      <c r="J242">
        <v>10.007987</v>
      </c>
      <c r="K242">
        <v>-84.130324000000002</v>
      </c>
      <c r="L242" t="s">
        <v>26</v>
      </c>
      <c r="M242" t="s">
        <v>27</v>
      </c>
      <c r="N242" t="s">
        <v>28</v>
      </c>
      <c r="O242" t="s">
        <v>29</v>
      </c>
      <c r="P242">
        <v>16</v>
      </c>
      <c r="Q242" t="s">
        <v>60</v>
      </c>
      <c r="S242" t="str">
        <f>_xlfn.XLOOKUP(UNIVERSO[[#This Row],[Ruta]],'[1]CUOTA RUTA'!A:A,'[1]CUOTA RUTA'!D:D)</f>
        <v>Cargar</v>
      </c>
    </row>
    <row r="243" spans="1:19" x14ac:dyDescent="0.25">
      <c r="A243">
        <v>1500723579</v>
      </c>
      <c r="B243" t="s">
        <v>695</v>
      </c>
      <c r="C243" t="s">
        <v>19</v>
      </c>
      <c r="D243" t="s">
        <v>201</v>
      </c>
      <c r="E243" t="s">
        <v>21</v>
      </c>
      <c r="F243" t="s">
        <v>22</v>
      </c>
      <c r="G243" t="s">
        <v>23</v>
      </c>
      <c r="H243" t="s">
        <v>593</v>
      </c>
      <c r="I243" t="s">
        <v>696</v>
      </c>
      <c r="J243">
        <v>9.9762608000000004</v>
      </c>
      <c r="K243">
        <v>-84.8447709</v>
      </c>
      <c r="L243" t="s">
        <v>26</v>
      </c>
      <c r="M243" t="s">
        <v>204</v>
      </c>
      <c r="N243" t="s">
        <v>205</v>
      </c>
      <c r="O243" t="s">
        <v>206</v>
      </c>
      <c r="P243">
        <v>11</v>
      </c>
      <c r="Q243" t="s">
        <v>108</v>
      </c>
      <c r="S243" t="str">
        <f>_xlfn.XLOOKUP(UNIVERSO[[#This Row],[Ruta]],'[1]CUOTA RUTA'!A:A,'[1]CUOTA RUTA'!D:D)</f>
        <v>Cargar</v>
      </c>
    </row>
    <row r="244" spans="1:19" x14ac:dyDescent="0.25">
      <c r="A244">
        <v>1500723699</v>
      </c>
      <c r="B244" t="s">
        <v>697</v>
      </c>
      <c r="C244" t="s">
        <v>19</v>
      </c>
      <c r="D244" t="s">
        <v>32</v>
      </c>
      <c r="E244" t="s">
        <v>21</v>
      </c>
      <c r="F244" t="s">
        <v>22</v>
      </c>
      <c r="G244" t="s">
        <v>33</v>
      </c>
      <c r="H244" t="s">
        <v>698</v>
      </c>
      <c r="I244" t="s">
        <v>699</v>
      </c>
      <c r="J244">
        <v>9.9547559999999997</v>
      </c>
      <c r="K244">
        <v>-84.040150999999994</v>
      </c>
      <c r="L244" t="s">
        <v>26</v>
      </c>
      <c r="M244" t="s">
        <v>94</v>
      </c>
      <c r="N244" t="s">
        <v>95</v>
      </c>
      <c r="O244" t="s">
        <v>96</v>
      </c>
      <c r="P244">
        <v>7</v>
      </c>
      <c r="Q244" t="s">
        <v>39</v>
      </c>
      <c r="S244" t="str">
        <f>_xlfn.XLOOKUP(UNIVERSO[[#This Row],[Ruta]],'[1]CUOTA RUTA'!A:A,'[1]CUOTA RUTA'!D:D)</f>
        <v>Cargar</v>
      </c>
    </row>
    <row r="245" spans="1:19" x14ac:dyDescent="0.25">
      <c r="A245">
        <v>1500724916</v>
      </c>
      <c r="B245" t="s">
        <v>700</v>
      </c>
      <c r="C245" t="s">
        <v>19</v>
      </c>
      <c r="D245" t="s">
        <v>32</v>
      </c>
      <c r="E245" t="s">
        <v>21</v>
      </c>
      <c r="F245" t="s">
        <v>22</v>
      </c>
      <c r="G245" t="s">
        <v>23</v>
      </c>
      <c r="H245" t="s">
        <v>138</v>
      </c>
      <c r="I245" t="s">
        <v>701</v>
      </c>
      <c r="J245">
        <v>9.9559300000000004</v>
      </c>
      <c r="K245">
        <v>-84.035899999999998</v>
      </c>
      <c r="L245" t="s">
        <v>26</v>
      </c>
      <c r="M245" t="s">
        <v>36</v>
      </c>
      <c r="N245" t="s">
        <v>37</v>
      </c>
      <c r="O245" t="s">
        <v>38</v>
      </c>
      <c r="P245">
        <v>21</v>
      </c>
      <c r="Q245" t="s">
        <v>239</v>
      </c>
      <c r="S245" t="str">
        <f>_xlfn.XLOOKUP(UNIVERSO[[#This Row],[Ruta]],'[1]CUOTA RUTA'!A:A,'[1]CUOTA RUTA'!D:D)</f>
        <v>Cargar</v>
      </c>
    </row>
    <row r="246" spans="1:19" x14ac:dyDescent="0.25">
      <c r="A246">
        <v>1500725704</v>
      </c>
      <c r="B246" t="s">
        <v>702</v>
      </c>
      <c r="C246" t="s">
        <v>19</v>
      </c>
      <c r="D246" t="s">
        <v>266</v>
      </c>
      <c r="E246" t="s">
        <v>21</v>
      </c>
      <c r="F246" t="s">
        <v>22</v>
      </c>
      <c r="G246" t="s">
        <v>64</v>
      </c>
      <c r="H246" t="s">
        <v>703</v>
      </c>
      <c r="I246" t="s">
        <v>704</v>
      </c>
      <c r="J246">
        <v>9.8384149999999995</v>
      </c>
      <c r="K246">
        <v>-83.990004999999996</v>
      </c>
      <c r="L246" t="s">
        <v>26</v>
      </c>
      <c r="M246" t="s">
        <v>36</v>
      </c>
      <c r="N246" t="s">
        <v>316</v>
      </c>
      <c r="O246" t="s">
        <v>317</v>
      </c>
      <c r="P246">
        <v>20</v>
      </c>
      <c r="Q246" t="s">
        <v>74</v>
      </c>
      <c r="S246" t="str">
        <f>_xlfn.XLOOKUP(UNIVERSO[[#This Row],[Ruta]],'[1]CUOTA RUTA'!A:A,'[1]CUOTA RUTA'!D:D)</f>
        <v>Cargar</v>
      </c>
    </row>
    <row r="247" spans="1:19" x14ac:dyDescent="0.25">
      <c r="A247">
        <v>1500725777</v>
      </c>
      <c r="B247" t="s">
        <v>705</v>
      </c>
      <c r="C247" t="s">
        <v>19</v>
      </c>
      <c r="D247" t="s">
        <v>266</v>
      </c>
      <c r="E247" t="s">
        <v>21</v>
      </c>
      <c r="F247" t="s">
        <v>22</v>
      </c>
      <c r="G247" t="s">
        <v>23</v>
      </c>
      <c r="H247" t="s">
        <v>706</v>
      </c>
      <c r="I247" t="s">
        <v>707</v>
      </c>
      <c r="J247">
        <v>9.8620780000000003</v>
      </c>
      <c r="K247">
        <v>-83.938591000000002</v>
      </c>
      <c r="L247" t="s">
        <v>26</v>
      </c>
      <c r="M247" t="s">
        <v>36</v>
      </c>
      <c r="N247" t="s">
        <v>316</v>
      </c>
      <c r="O247" t="s">
        <v>317</v>
      </c>
      <c r="P247">
        <v>18</v>
      </c>
      <c r="Q247" t="s">
        <v>84</v>
      </c>
      <c r="S247" t="str">
        <f>_xlfn.XLOOKUP(UNIVERSO[[#This Row],[Ruta]],'[1]CUOTA RUTA'!A:A,'[1]CUOTA RUTA'!D:D)</f>
        <v>Cargar</v>
      </c>
    </row>
    <row r="248" spans="1:19" x14ac:dyDescent="0.25">
      <c r="A248">
        <v>1500726486</v>
      </c>
      <c r="B248" t="s">
        <v>708</v>
      </c>
      <c r="C248" t="s">
        <v>19</v>
      </c>
      <c r="D248" t="s">
        <v>32</v>
      </c>
      <c r="E248" t="s">
        <v>21</v>
      </c>
      <c r="F248" t="s">
        <v>22</v>
      </c>
      <c r="G248" t="s">
        <v>33</v>
      </c>
      <c r="H248" t="s">
        <v>134</v>
      </c>
      <c r="I248" t="s">
        <v>709</v>
      </c>
      <c r="J248">
        <v>9.9633950000000002</v>
      </c>
      <c r="K248">
        <v>-84.041550000000001</v>
      </c>
      <c r="L248" t="s">
        <v>26</v>
      </c>
      <c r="M248" t="s">
        <v>94</v>
      </c>
      <c r="N248" t="s">
        <v>95</v>
      </c>
      <c r="O248" t="s">
        <v>96</v>
      </c>
      <c r="P248">
        <v>7</v>
      </c>
      <c r="Q248" t="s">
        <v>39</v>
      </c>
      <c r="S248" t="str">
        <f>_xlfn.XLOOKUP(UNIVERSO[[#This Row],[Ruta]],'[1]CUOTA RUTA'!A:A,'[1]CUOTA RUTA'!D:D)</f>
        <v>Cargar</v>
      </c>
    </row>
    <row r="249" spans="1:19" x14ac:dyDescent="0.25">
      <c r="A249">
        <v>1500727403</v>
      </c>
      <c r="B249" t="s">
        <v>710</v>
      </c>
      <c r="C249" t="s">
        <v>19</v>
      </c>
      <c r="D249" t="s">
        <v>349</v>
      </c>
      <c r="E249" t="s">
        <v>21</v>
      </c>
      <c r="F249" t="s">
        <v>22</v>
      </c>
      <c r="G249" t="s">
        <v>23</v>
      </c>
      <c r="H249" t="s">
        <v>711</v>
      </c>
      <c r="I249" t="s">
        <v>712</v>
      </c>
      <c r="J249">
        <v>10.2744</v>
      </c>
      <c r="K249">
        <v>-85.344965000000002</v>
      </c>
      <c r="L249" t="s">
        <v>26</v>
      </c>
      <c r="M249" t="s">
        <v>352</v>
      </c>
      <c r="N249" t="s">
        <v>353</v>
      </c>
      <c r="O249" t="s">
        <v>354</v>
      </c>
      <c r="P249">
        <v>16</v>
      </c>
      <c r="Q249" t="s">
        <v>60</v>
      </c>
      <c r="S249" t="str">
        <f>_xlfn.XLOOKUP(UNIVERSO[[#This Row],[Ruta]],'[1]CUOTA RUTA'!A:A,'[1]CUOTA RUTA'!D:D)</f>
        <v>Cargar</v>
      </c>
    </row>
    <row r="250" spans="1:19" x14ac:dyDescent="0.25">
      <c r="A250">
        <v>1500728311</v>
      </c>
      <c r="B250" t="s">
        <v>713</v>
      </c>
      <c r="C250" t="s">
        <v>19</v>
      </c>
      <c r="D250" t="s">
        <v>337</v>
      </c>
      <c r="E250" t="s">
        <v>21</v>
      </c>
      <c r="F250" t="s">
        <v>22</v>
      </c>
      <c r="G250" t="s">
        <v>23</v>
      </c>
      <c r="H250" t="s">
        <v>338</v>
      </c>
      <c r="I250" t="s">
        <v>714</v>
      </c>
      <c r="J250">
        <v>10.36745067</v>
      </c>
      <c r="K250">
        <v>-85.787374049999997</v>
      </c>
      <c r="L250" t="s">
        <v>26</v>
      </c>
      <c r="M250" t="s">
        <v>327</v>
      </c>
      <c r="N250" t="s">
        <v>340</v>
      </c>
      <c r="O250" t="s">
        <v>341</v>
      </c>
      <c r="P250">
        <v>17</v>
      </c>
      <c r="Q250" t="s">
        <v>287</v>
      </c>
      <c r="S250" t="str">
        <f>_xlfn.XLOOKUP(UNIVERSO[[#This Row],[Ruta]],'[1]CUOTA RUTA'!A:A,'[1]CUOTA RUTA'!D:D)</f>
        <v>Cargar</v>
      </c>
    </row>
    <row r="251" spans="1:19" x14ac:dyDescent="0.25">
      <c r="A251">
        <v>1500728418</v>
      </c>
      <c r="B251" t="s">
        <v>715</v>
      </c>
      <c r="C251" t="s">
        <v>19</v>
      </c>
      <c r="D251" t="s">
        <v>32</v>
      </c>
      <c r="E251" t="s">
        <v>62</v>
      </c>
      <c r="F251" t="s">
        <v>63</v>
      </c>
      <c r="G251" t="s">
        <v>64</v>
      </c>
      <c r="H251" t="s">
        <v>716</v>
      </c>
      <c r="I251" t="s">
        <v>717</v>
      </c>
      <c r="J251">
        <v>9.9132116099999994</v>
      </c>
      <c r="K251">
        <v>-84.040278319999999</v>
      </c>
      <c r="L251" t="s">
        <v>26</v>
      </c>
      <c r="M251" t="s">
        <v>36</v>
      </c>
      <c r="N251" t="s">
        <v>37</v>
      </c>
      <c r="O251" t="s">
        <v>38</v>
      </c>
      <c r="P251">
        <v>10</v>
      </c>
      <c r="Q251" t="s">
        <v>136</v>
      </c>
      <c r="S251" t="str">
        <f>_xlfn.XLOOKUP(UNIVERSO[[#This Row],[Ruta]],'[1]CUOTA RUTA'!A:A,'[1]CUOTA RUTA'!D:D)</f>
        <v>Cargar</v>
      </c>
    </row>
    <row r="252" spans="1:19" x14ac:dyDescent="0.25">
      <c r="A252">
        <v>1500729502</v>
      </c>
      <c r="B252" t="s">
        <v>718</v>
      </c>
      <c r="C252" t="s">
        <v>19</v>
      </c>
      <c r="D252" t="s">
        <v>208</v>
      </c>
      <c r="E252" t="s">
        <v>21</v>
      </c>
      <c r="F252" t="s">
        <v>22</v>
      </c>
      <c r="G252" t="s">
        <v>33</v>
      </c>
      <c r="H252" t="s">
        <v>719</v>
      </c>
      <c r="I252" t="s">
        <v>720</v>
      </c>
      <c r="J252">
        <v>10.3714949</v>
      </c>
      <c r="K252">
        <v>-83.739367119999997</v>
      </c>
      <c r="L252" t="s">
        <v>26</v>
      </c>
      <c r="M252" t="s">
        <v>189</v>
      </c>
      <c r="N252" t="s">
        <v>211</v>
      </c>
      <c r="O252" t="s">
        <v>212</v>
      </c>
      <c r="P252">
        <v>1</v>
      </c>
      <c r="Q252" t="s">
        <v>155</v>
      </c>
      <c r="S252" t="str">
        <f>_xlfn.XLOOKUP(UNIVERSO[[#This Row],[Ruta]],'[1]CUOTA RUTA'!A:A,'[1]CUOTA RUTA'!D:D)</f>
        <v>Cargar</v>
      </c>
    </row>
    <row r="253" spans="1:19" x14ac:dyDescent="0.25">
      <c r="A253">
        <v>1500729750</v>
      </c>
      <c r="B253" t="s">
        <v>721</v>
      </c>
      <c r="C253" t="s">
        <v>19</v>
      </c>
      <c r="D253" t="s">
        <v>20</v>
      </c>
      <c r="E253" t="s">
        <v>21</v>
      </c>
      <c r="F253" t="s">
        <v>22</v>
      </c>
      <c r="G253" t="s">
        <v>23</v>
      </c>
      <c r="H253" t="s">
        <v>722</v>
      </c>
      <c r="I253" t="s">
        <v>723</v>
      </c>
      <c r="J253">
        <v>9.9538700000000002</v>
      </c>
      <c r="K253">
        <v>-84.166899999999998</v>
      </c>
      <c r="L253" t="s">
        <v>26</v>
      </c>
      <c r="M253" t="s">
        <v>27</v>
      </c>
      <c r="N253" t="s">
        <v>28</v>
      </c>
      <c r="O253" t="s">
        <v>29</v>
      </c>
      <c r="P253">
        <v>23</v>
      </c>
      <c r="Q253" t="s">
        <v>125</v>
      </c>
      <c r="S253" t="str">
        <f>_xlfn.XLOOKUP(UNIVERSO[[#This Row],[Ruta]],'[1]CUOTA RUTA'!A:A,'[1]CUOTA RUTA'!D:D)</f>
        <v>Cargar</v>
      </c>
    </row>
    <row r="254" spans="1:19" x14ac:dyDescent="0.25">
      <c r="A254">
        <v>1500729980</v>
      </c>
      <c r="B254" t="s">
        <v>724</v>
      </c>
      <c r="C254" t="s">
        <v>19</v>
      </c>
      <c r="D254" t="s">
        <v>201</v>
      </c>
      <c r="E254" t="s">
        <v>21</v>
      </c>
      <c r="F254" t="s">
        <v>51</v>
      </c>
      <c r="G254" t="s">
        <v>23</v>
      </c>
      <c r="H254" t="s">
        <v>528</v>
      </c>
      <c r="I254" t="s">
        <v>725</v>
      </c>
      <c r="J254">
        <v>10.186210000000001</v>
      </c>
      <c r="K254">
        <v>-85.108860000000007</v>
      </c>
      <c r="L254" t="s">
        <v>26</v>
      </c>
      <c r="M254" t="s">
        <v>327</v>
      </c>
      <c r="N254" t="s">
        <v>530</v>
      </c>
      <c r="O254" t="s">
        <v>531</v>
      </c>
      <c r="P254">
        <v>2</v>
      </c>
      <c r="Q254" t="s">
        <v>150</v>
      </c>
      <c r="S254" t="str">
        <f>_xlfn.XLOOKUP(UNIVERSO[[#This Row],[Ruta]],'[1]CUOTA RUTA'!A:A,'[1]CUOTA RUTA'!D:D)</f>
        <v>Cargar</v>
      </c>
    </row>
    <row r="255" spans="1:19" x14ac:dyDescent="0.25">
      <c r="A255">
        <v>1500730640</v>
      </c>
      <c r="B255" t="s">
        <v>726</v>
      </c>
      <c r="C255" t="s">
        <v>19</v>
      </c>
      <c r="D255" t="s">
        <v>201</v>
      </c>
      <c r="E255" t="s">
        <v>21</v>
      </c>
      <c r="F255" t="s">
        <v>51</v>
      </c>
      <c r="G255" t="s">
        <v>23</v>
      </c>
      <c r="H255" t="s">
        <v>488</v>
      </c>
      <c r="I255" t="s">
        <v>727</v>
      </c>
      <c r="J255">
        <v>10.0942828</v>
      </c>
      <c r="K255">
        <v>-84.730468700000003</v>
      </c>
      <c r="L255" t="s">
        <v>26</v>
      </c>
      <c r="M255" t="s">
        <v>204</v>
      </c>
      <c r="N255" t="s">
        <v>205</v>
      </c>
      <c r="O255" t="s">
        <v>206</v>
      </c>
      <c r="P255">
        <v>13</v>
      </c>
      <c r="Q255" t="s">
        <v>161</v>
      </c>
      <c r="S255" t="str">
        <f>_xlfn.XLOOKUP(UNIVERSO[[#This Row],[Ruta]],'[1]CUOTA RUTA'!A:A,'[1]CUOTA RUTA'!D:D)</f>
        <v>Cargar</v>
      </c>
    </row>
    <row r="256" spans="1:19" x14ac:dyDescent="0.25">
      <c r="A256">
        <v>1500731067</v>
      </c>
      <c r="B256" t="s">
        <v>728</v>
      </c>
      <c r="C256" t="s">
        <v>19</v>
      </c>
      <c r="D256" t="s">
        <v>208</v>
      </c>
      <c r="E256" t="s">
        <v>21</v>
      </c>
      <c r="F256" t="s">
        <v>22</v>
      </c>
      <c r="G256" t="s">
        <v>33</v>
      </c>
      <c r="H256" t="s">
        <v>719</v>
      </c>
      <c r="I256" t="s">
        <v>729</v>
      </c>
      <c r="J256">
        <v>10.106168719999999</v>
      </c>
      <c r="K256">
        <v>-83.499523499999995</v>
      </c>
      <c r="L256" t="s">
        <v>26</v>
      </c>
      <c r="M256" t="s">
        <v>189</v>
      </c>
      <c r="N256" t="s">
        <v>211</v>
      </c>
      <c r="O256" t="s">
        <v>212</v>
      </c>
      <c r="P256">
        <v>8</v>
      </c>
      <c r="Q256" t="s">
        <v>97</v>
      </c>
      <c r="S256" t="str">
        <f>_xlfn.XLOOKUP(UNIVERSO[[#This Row],[Ruta]],'[1]CUOTA RUTA'!A:A,'[1]CUOTA RUTA'!D:D)</f>
        <v>Cargar</v>
      </c>
    </row>
    <row r="257" spans="1:19" x14ac:dyDescent="0.25">
      <c r="A257">
        <v>1500731147</v>
      </c>
      <c r="B257" t="s">
        <v>730</v>
      </c>
      <c r="C257" t="s">
        <v>19</v>
      </c>
      <c r="D257" t="s">
        <v>266</v>
      </c>
      <c r="E257" t="s">
        <v>21</v>
      </c>
      <c r="F257" t="s">
        <v>22</v>
      </c>
      <c r="G257" t="s">
        <v>33</v>
      </c>
      <c r="H257" t="s">
        <v>366</v>
      </c>
      <c r="I257" t="s">
        <v>731</v>
      </c>
      <c r="J257">
        <v>9.8451316666669992</v>
      </c>
      <c r="K257">
        <v>-83.935891666659998</v>
      </c>
      <c r="L257" t="s">
        <v>26</v>
      </c>
      <c r="M257" t="s">
        <v>36</v>
      </c>
      <c r="N257" t="s">
        <v>316</v>
      </c>
      <c r="O257" t="s">
        <v>317</v>
      </c>
      <c r="P257">
        <v>17</v>
      </c>
      <c r="Q257" t="s">
        <v>287</v>
      </c>
      <c r="S257" t="str">
        <f>_xlfn.XLOOKUP(UNIVERSO[[#This Row],[Ruta]],'[1]CUOTA RUTA'!A:A,'[1]CUOTA RUTA'!D:D)</f>
        <v>Cargar</v>
      </c>
    </row>
    <row r="258" spans="1:19" x14ac:dyDescent="0.25">
      <c r="A258">
        <v>1500731192</v>
      </c>
      <c r="B258" t="s">
        <v>732</v>
      </c>
      <c r="C258" t="s">
        <v>19</v>
      </c>
      <c r="D258" t="s">
        <v>32</v>
      </c>
      <c r="E258" t="s">
        <v>21</v>
      </c>
      <c r="F258" t="s">
        <v>51</v>
      </c>
      <c r="G258" t="s">
        <v>23</v>
      </c>
      <c r="H258" t="s">
        <v>441</v>
      </c>
      <c r="I258" t="s">
        <v>733</v>
      </c>
      <c r="J258">
        <v>9.8903633333329992</v>
      </c>
      <c r="K258">
        <v>-84.071520000000007</v>
      </c>
      <c r="L258" t="s">
        <v>26</v>
      </c>
      <c r="M258" t="s">
        <v>71</v>
      </c>
      <c r="N258" t="s">
        <v>72</v>
      </c>
      <c r="O258" t="s">
        <v>73</v>
      </c>
      <c r="P258">
        <v>7</v>
      </c>
      <c r="Q258" t="s">
        <v>39</v>
      </c>
      <c r="S258" t="str">
        <f>_xlfn.XLOOKUP(UNIVERSO[[#This Row],[Ruta]],'[1]CUOTA RUTA'!A:A,'[1]CUOTA RUTA'!D:D)</f>
        <v>Cargar</v>
      </c>
    </row>
    <row r="259" spans="1:19" x14ac:dyDescent="0.25">
      <c r="A259">
        <v>1500731403</v>
      </c>
      <c r="B259" t="s">
        <v>734</v>
      </c>
      <c r="C259" t="s">
        <v>19</v>
      </c>
      <c r="D259" t="s">
        <v>349</v>
      </c>
      <c r="E259" t="s">
        <v>21</v>
      </c>
      <c r="F259" t="s">
        <v>22</v>
      </c>
      <c r="G259" t="s">
        <v>33</v>
      </c>
      <c r="H259" t="s">
        <v>356</v>
      </c>
      <c r="I259" t="s">
        <v>735</v>
      </c>
      <c r="J259">
        <v>10.155760000000001</v>
      </c>
      <c r="K259">
        <v>-85.451189999999997</v>
      </c>
      <c r="L259" t="s">
        <v>26</v>
      </c>
      <c r="M259" t="s">
        <v>352</v>
      </c>
      <c r="N259" t="s">
        <v>353</v>
      </c>
      <c r="O259" t="s">
        <v>354</v>
      </c>
      <c r="P259">
        <v>13</v>
      </c>
      <c r="Q259" t="s">
        <v>161</v>
      </c>
      <c r="S259" t="str">
        <f>_xlfn.XLOOKUP(UNIVERSO[[#This Row],[Ruta]],'[1]CUOTA RUTA'!A:A,'[1]CUOTA RUTA'!D:D)</f>
        <v>Cargar</v>
      </c>
    </row>
    <row r="260" spans="1:19" x14ac:dyDescent="0.25">
      <c r="A260">
        <v>1500731441</v>
      </c>
      <c r="B260" t="s">
        <v>736</v>
      </c>
      <c r="C260" t="s">
        <v>19</v>
      </c>
      <c r="D260" t="s">
        <v>208</v>
      </c>
      <c r="E260" t="s">
        <v>62</v>
      </c>
      <c r="F260" t="s">
        <v>63</v>
      </c>
      <c r="G260" t="s">
        <v>33</v>
      </c>
      <c r="H260" t="s">
        <v>631</v>
      </c>
      <c r="I260" t="s">
        <v>737</v>
      </c>
      <c r="J260">
        <v>10.504905839999999</v>
      </c>
      <c r="K260">
        <v>-83.993158129999998</v>
      </c>
      <c r="L260" t="s">
        <v>26</v>
      </c>
      <c r="M260" t="s">
        <v>189</v>
      </c>
      <c r="N260" t="s">
        <v>211</v>
      </c>
      <c r="O260" t="s">
        <v>212</v>
      </c>
      <c r="P260">
        <v>10</v>
      </c>
      <c r="Q260" t="s">
        <v>136</v>
      </c>
      <c r="S260" t="str">
        <f>_xlfn.XLOOKUP(UNIVERSO[[#This Row],[Ruta]],'[1]CUOTA RUTA'!A:A,'[1]CUOTA RUTA'!D:D)</f>
        <v>Cargar</v>
      </c>
    </row>
    <row r="261" spans="1:19" x14ac:dyDescent="0.25">
      <c r="A261">
        <v>1500731746</v>
      </c>
      <c r="B261" t="s">
        <v>738</v>
      </c>
      <c r="C261" t="s">
        <v>19</v>
      </c>
      <c r="D261" t="s">
        <v>208</v>
      </c>
      <c r="E261" t="s">
        <v>62</v>
      </c>
      <c r="F261" t="s">
        <v>63</v>
      </c>
      <c r="G261" t="s">
        <v>64</v>
      </c>
      <c r="H261" t="s">
        <v>631</v>
      </c>
      <c r="I261" t="s">
        <v>739</v>
      </c>
      <c r="J261">
        <v>10.486026839999999</v>
      </c>
      <c r="K261">
        <v>-83.955236380000002</v>
      </c>
      <c r="L261" t="s">
        <v>26</v>
      </c>
      <c r="M261" t="s">
        <v>189</v>
      </c>
      <c r="N261" t="s">
        <v>211</v>
      </c>
      <c r="O261" t="s">
        <v>212</v>
      </c>
      <c r="P261">
        <v>10</v>
      </c>
      <c r="Q261" t="s">
        <v>136</v>
      </c>
      <c r="S261" t="str">
        <f>_xlfn.XLOOKUP(UNIVERSO[[#This Row],[Ruta]],'[1]CUOTA RUTA'!A:A,'[1]CUOTA RUTA'!D:D)</f>
        <v>Cargar</v>
      </c>
    </row>
    <row r="262" spans="1:19" x14ac:dyDescent="0.25">
      <c r="A262">
        <v>1500732103</v>
      </c>
      <c r="B262" t="s">
        <v>740</v>
      </c>
      <c r="C262" t="s">
        <v>19</v>
      </c>
      <c r="D262" t="s">
        <v>20</v>
      </c>
      <c r="E262" t="s">
        <v>21</v>
      </c>
      <c r="F262" t="s">
        <v>22</v>
      </c>
      <c r="G262" t="s">
        <v>23</v>
      </c>
      <c r="H262" t="s">
        <v>193</v>
      </c>
      <c r="I262" t="s">
        <v>741</v>
      </c>
      <c r="J262">
        <v>10.00827</v>
      </c>
      <c r="K262">
        <v>-84.234729999999999</v>
      </c>
      <c r="L262" t="s">
        <v>26</v>
      </c>
      <c r="M262" t="s">
        <v>54</v>
      </c>
      <c r="N262" t="s">
        <v>55</v>
      </c>
      <c r="O262" t="s">
        <v>56</v>
      </c>
      <c r="P262">
        <v>19</v>
      </c>
      <c r="Q262" t="s">
        <v>67</v>
      </c>
      <c r="S262" t="str">
        <f>_xlfn.XLOOKUP(UNIVERSO[[#This Row],[Ruta]],'[1]CUOTA RUTA'!A:A,'[1]CUOTA RUTA'!D:D)</f>
        <v>Cargar</v>
      </c>
    </row>
    <row r="263" spans="1:19" x14ac:dyDescent="0.25">
      <c r="A263">
        <v>1500732790</v>
      </c>
      <c r="B263" t="s">
        <v>742</v>
      </c>
      <c r="C263" t="s">
        <v>19</v>
      </c>
      <c r="D263" t="s">
        <v>20</v>
      </c>
      <c r="E263" t="s">
        <v>21</v>
      </c>
      <c r="F263" t="s">
        <v>22</v>
      </c>
      <c r="G263" t="s">
        <v>23</v>
      </c>
      <c r="H263" t="s">
        <v>743</v>
      </c>
      <c r="I263" t="s">
        <v>744</v>
      </c>
      <c r="J263">
        <v>9.9887499999999996</v>
      </c>
      <c r="K263">
        <v>-84.410749999999993</v>
      </c>
      <c r="L263" t="s">
        <v>26</v>
      </c>
      <c r="M263" t="s">
        <v>46</v>
      </c>
      <c r="N263" t="s">
        <v>47</v>
      </c>
      <c r="O263" t="s">
        <v>48</v>
      </c>
      <c r="P263">
        <v>9</v>
      </c>
      <c r="Q263" t="s">
        <v>80</v>
      </c>
      <c r="S263" t="str">
        <f>_xlfn.XLOOKUP(UNIVERSO[[#This Row],[Ruta]],'[1]CUOTA RUTA'!A:A,'[1]CUOTA RUTA'!D:D)</f>
        <v>Cargar</v>
      </c>
    </row>
    <row r="264" spans="1:19" x14ac:dyDescent="0.25">
      <c r="A264">
        <v>1500732800</v>
      </c>
      <c r="B264" t="s">
        <v>745</v>
      </c>
      <c r="C264" t="s">
        <v>19</v>
      </c>
      <c r="D264" t="s">
        <v>208</v>
      </c>
      <c r="E264" t="s">
        <v>21</v>
      </c>
      <c r="F264" t="s">
        <v>51</v>
      </c>
      <c r="G264" t="s">
        <v>23</v>
      </c>
      <c r="H264" t="s">
        <v>224</v>
      </c>
      <c r="I264" t="s">
        <v>746</v>
      </c>
      <c r="J264">
        <v>10.278790000000001</v>
      </c>
      <c r="K264">
        <v>-83.7851</v>
      </c>
      <c r="L264" t="s">
        <v>26</v>
      </c>
      <c r="M264" t="s">
        <v>189</v>
      </c>
      <c r="N264" t="s">
        <v>211</v>
      </c>
      <c r="O264" t="s">
        <v>212</v>
      </c>
      <c r="P264">
        <v>2</v>
      </c>
      <c r="Q264" t="s">
        <v>150</v>
      </c>
      <c r="S264" t="str">
        <f>_xlfn.XLOOKUP(UNIVERSO[[#This Row],[Ruta]],'[1]CUOTA RUTA'!A:A,'[1]CUOTA RUTA'!D:D)</f>
        <v>Cargar</v>
      </c>
    </row>
    <row r="265" spans="1:19" x14ac:dyDescent="0.25">
      <c r="A265">
        <v>1500733854</v>
      </c>
      <c r="B265" t="s">
        <v>747</v>
      </c>
      <c r="C265" t="s">
        <v>19</v>
      </c>
      <c r="D265" t="s">
        <v>208</v>
      </c>
      <c r="E265" t="s">
        <v>21</v>
      </c>
      <c r="F265" t="s">
        <v>51</v>
      </c>
      <c r="G265" t="s">
        <v>23</v>
      </c>
      <c r="H265" t="s">
        <v>224</v>
      </c>
      <c r="I265" t="s">
        <v>748</v>
      </c>
      <c r="J265">
        <v>10.115489999999999</v>
      </c>
      <c r="K265">
        <v>-83.542559999999995</v>
      </c>
      <c r="L265" t="s">
        <v>26</v>
      </c>
      <c r="M265" t="s">
        <v>189</v>
      </c>
      <c r="N265" t="s">
        <v>211</v>
      </c>
      <c r="O265" t="s">
        <v>212</v>
      </c>
      <c r="P265">
        <v>8</v>
      </c>
      <c r="Q265" t="s">
        <v>97</v>
      </c>
      <c r="S265" t="str">
        <f>_xlfn.XLOOKUP(UNIVERSO[[#This Row],[Ruta]],'[1]CUOTA RUTA'!A:A,'[1]CUOTA RUTA'!D:D)</f>
        <v>Cargar</v>
      </c>
    </row>
    <row r="266" spans="1:19" x14ac:dyDescent="0.25">
      <c r="A266">
        <v>1500734075</v>
      </c>
      <c r="B266" t="s">
        <v>749</v>
      </c>
      <c r="C266" t="s">
        <v>19</v>
      </c>
      <c r="D266" t="s">
        <v>244</v>
      </c>
      <c r="E266" t="s">
        <v>21</v>
      </c>
      <c r="F266" t="s">
        <v>22</v>
      </c>
      <c r="G266" t="s">
        <v>23</v>
      </c>
      <c r="H266" t="s">
        <v>566</v>
      </c>
      <c r="I266" t="s">
        <v>750</v>
      </c>
      <c r="J266">
        <v>9.3730969999999996</v>
      </c>
      <c r="K266">
        <v>-83.701840000000004</v>
      </c>
      <c r="L266" t="s">
        <v>26</v>
      </c>
      <c r="M266" t="s">
        <v>46</v>
      </c>
      <c r="N266" t="s">
        <v>247</v>
      </c>
      <c r="O266" t="s">
        <v>248</v>
      </c>
      <c r="P266">
        <v>14</v>
      </c>
      <c r="Q266" t="s">
        <v>181</v>
      </c>
      <c r="S266" t="str">
        <f>_xlfn.XLOOKUP(UNIVERSO[[#This Row],[Ruta]],'[1]CUOTA RUTA'!A:A,'[1]CUOTA RUTA'!D:D)</f>
        <v>Cargar</v>
      </c>
    </row>
    <row r="267" spans="1:19" x14ac:dyDescent="0.25">
      <c r="A267">
        <v>1500734340</v>
      </c>
      <c r="B267" t="s">
        <v>751</v>
      </c>
      <c r="C267" t="s">
        <v>19</v>
      </c>
      <c r="D267" t="s">
        <v>186</v>
      </c>
      <c r="E267" t="s">
        <v>62</v>
      </c>
      <c r="F267" t="s">
        <v>63</v>
      </c>
      <c r="G267" t="s">
        <v>64</v>
      </c>
      <c r="H267" t="s">
        <v>241</v>
      </c>
      <c r="I267" t="s">
        <v>752</v>
      </c>
      <c r="J267">
        <v>10.034655000000001</v>
      </c>
      <c r="K267">
        <v>-83.265314000000004</v>
      </c>
      <c r="L267" t="s">
        <v>26</v>
      </c>
      <c r="M267" t="s">
        <v>189</v>
      </c>
      <c r="N267" t="s">
        <v>190</v>
      </c>
      <c r="O267" t="s">
        <v>191</v>
      </c>
      <c r="P267">
        <v>20</v>
      </c>
      <c r="Q267" t="s">
        <v>74</v>
      </c>
      <c r="S267" t="str">
        <f>_xlfn.XLOOKUP(UNIVERSO[[#This Row],[Ruta]],'[1]CUOTA RUTA'!A:A,'[1]CUOTA RUTA'!D:D)</f>
        <v>Cargar</v>
      </c>
    </row>
    <row r="268" spans="1:19" x14ac:dyDescent="0.25">
      <c r="A268">
        <v>1500735916</v>
      </c>
      <c r="B268" t="s">
        <v>460</v>
      </c>
      <c r="C268" t="s">
        <v>19</v>
      </c>
      <c r="D268" t="s">
        <v>266</v>
      </c>
      <c r="E268" t="s">
        <v>21</v>
      </c>
      <c r="F268" t="s">
        <v>22</v>
      </c>
      <c r="G268" t="s">
        <v>23</v>
      </c>
      <c r="H268" t="s">
        <v>706</v>
      </c>
      <c r="I268" t="s">
        <v>753</v>
      </c>
      <c r="J268">
        <v>9.8554349999999999</v>
      </c>
      <c r="K268">
        <v>-83.937034999999995</v>
      </c>
      <c r="L268" t="s">
        <v>26</v>
      </c>
      <c r="M268" t="s">
        <v>36</v>
      </c>
      <c r="N268" t="s">
        <v>316</v>
      </c>
      <c r="O268" t="s">
        <v>317</v>
      </c>
      <c r="P268">
        <v>18</v>
      </c>
      <c r="Q268" t="s">
        <v>84</v>
      </c>
      <c r="S268" t="str">
        <f>_xlfn.XLOOKUP(UNIVERSO[[#This Row],[Ruta]],'[1]CUOTA RUTA'!A:A,'[1]CUOTA RUTA'!D:D)</f>
        <v>Cargar</v>
      </c>
    </row>
    <row r="269" spans="1:19" x14ac:dyDescent="0.25">
      <c r="A269">
        <v>1500737551</v>
      </c>
      <c r="B269" t="s">
        <v>754</v>
      </c>
      <c r="C269" t="s">
        <v>19</v>
      </c>
      <c r="D269" t="s">
        <v>324</v>
      </c>
      <c r="E269" t="s">
        <v>21</v>
      </c>
      <c r="F269" t="s">
        <v>22</v>
      </c>
      <c r="G269" t="s">
        <v>23</v>
      </c>
      <c r="H269" t="s">
        <v>325</v>
      </c>
      <c r="I269" t="s">
        <v>755</v>
      </c>
      <c r="J269">
        <v>10.332857000000001</v>
      </c>
      <c r="K269">
        <v>-84.550912999999994</v>
      </c>
      <c r="L269" t="s">
        <v>26</v>
      </c>
      <c r="M269" t="s">
        <v>327</v>
      </c>
      <c r="N269" t="s">
        <v>328</v>
      </c>
      <c r="O269" t="s">
        <v>329</v>
      </c>
      <c r="P269">
        <v>14</v>
      </c>
      <c r="Q269" t="s">
        <v>181</v>
      </c>
      <c r="S269" t="str">
        <f>_xlfn.XLOOKUP(UNIVERSO[[#This Row],[Ruta]],'[1]CUOTA RUTA'!A:A,'[1]CUOTA RUTA'!D:D)</f>
        <v>Cargar</v>
      </c>
    </row>
    <row r="270" spans="1:19" x14ac:dyDescent="0.25">
      <c r="A270">
        <v>1500738747</v>
      </c>
      <c r="B270" t="s">
        <v>756</v>
      </c>
      <c r="C270" t="s">
        <v>19</v>
      </c>
      <c r="D270" t="s">
        <v>266</v>
      </c>
      <c r="E270" t="s">
        <v>21</v>
      </c>
      <c r="F270" t="s">
        <v>22</v>
      </c>
      <c r="G270" t="s">
        <v>33</v>
      </c>
      <c r="H270" t="s">
        <v>314</v>
      </c>
      <c r="I270" t="s">
        <v>757</v>
      </c>
      <c r="J270">
        <v>9.8799671999999994</v>
      </c>
      <c r="K270">
        <v>-83.927705500000002</v>
      </c>
      <c r="L270" t="s">
        <v>26</v>
      </c>
      <c r="M270" t="s">
        <v>36</v>
      </c>
      <c r="N270" t="s">
        <v>316</v>
      </c>
      <c r="O270" t="s">
        <v>317</v>
      </c>
      <c r="P270">
        <v>21</v>
      </c>
      <c r="Q270" t="s">
        <v>239</v>
      </c>
      <c r="S270" t="str">
        <f>_xlfn.XLOOKUP(UNIVERSO[[#This Row],[Ruta]],'[1]CUOTA RUTA'!A:A,'[1]CUOTA RUTA'!D:D)</f>
        <v>Cargar</v>
      </c>
    </row>
    <row r="271" spans="1:19" x14ac:dyDescent="0.25">
      <c r="A271">
        <v>1500739117</v>
      </c>
      <c r="B271" t="s">
        <v>758</v>
      </c>
      <c r="C271" t="s">
        <v>19</v>
      </c>
      <c r="D271" t="s">
        <v>32</v>
      </c>
      <c r="E271" t="s">
        <v>21</v>
      </c>
      <c r="F271" t="s">
        <v>22</v>
      </c>
      <c r="G271" t="s">
        <v>33</v>
      </c>
      <c r="H271" t="s">
        <v>698</v>
      </c>
      <c r="I271" t="s">
        <v>759</v>
      </c>
      <c r="J271">
        <v>9.9524899999999992</v>
      </c>
      <c r="K271">
        <v>-84.04504</v>
      </c>
      <c r="L271" t="s">
        <v>26</v>
      </c>
      <c r="M271" t="s">
        <v>94</v>
      </c>
      <c r="N271" t="s">
        <v>95</v>
      </c>
      <c r="O271" t="s">
        <v>96</v>
      </c>
      <c r="P271">
        <v>9</v>
      </c>
      <c r="Q271" t="s">
        <v>80</v>
      </c>
      <c r="S271" t="str">
        <f>_xlfn.XLOOKUP(UNIVERSO[[#This Row],[Ruta]],'[1]CUOTA RUTA'!A:A,'[1]CUOTA RUTA'!D:D)</f>
        <v>Cargar</v>
      </c>
    </row>
    <row r="272" spans="1:19" x14ac:dyDescent="0.25">
      <c r="A272">
        <v>1500739375</v>
      </c>
      <c r="B272" t="s">
        <v>760</v>
      </c>
      <c r="C272" t="s">
        <v>19</v>
      </c>
      <c r="D272" t="s">
        <v>20</v>
      </c>
      <c r="E272" t="s">
        <v>21</v>
      </c>
      <c r="F272" t="s">
        <v>22</v>
      </c>
      <c r="G272" t="s">
        <v>23</v>
      </c>
      <c r="H272" t="s">
        <v>743</v>
      </c>
      <c r="I272" t="s">
        <v>761</v>
      </c>
      <c r="J272">
        <v>10.006600000000001</v>
      </c>
      <c r="K272">
        <v>-84.372730000000004</v>
      </c>
      <c r="L272" t="s">
        <v>26</v>
      </c>
      <c r="M272" t="s">
        <v>46</v>
      </c>
      <c r="N272" t="s">
        <v>47</v>
      </c>
      <c r="O272" t="s">
        <v>48</v>
      </c>
      <c r="P272">
        <v>10</v>
      </c>
      <c r="Q272" t="s">
        <v>136</v>
      </c>
      <c r="S272" t="str">
        <f>_xlfn.XLOOKUP(UNIVERSO[[#This Row],[Ruta]],'[1]CUOTA RUTA'!A:A,'[1]CUOTA RUTA'!D:D)</f>
        <v>Cargar</v>
      </c>
    </row>
    <row r="273" spans="1:19" x14ac:dyDescent="0.25">
      <c r="A273">
        <v>1500739401</v>
      </c>
      <c r="B273" t="s">
        <v>762</v>
      </c>
      <c r="C273" t="s">
        <v>19</v>
      </c>
      <c r="D273" t="s">
        <v>201</v>
      </c>
      <c r="E273" t="s">
        <v>21</v>
      </c>
      <c r="F273" t="s">
        <v>51</v>
      </c>
      <c r="G273" t="s">
        <v>23</v>
      </c>
      <c r="H273" t="s">
        <v>383</v>
      </c>
      <c r="I273" t="s">
        <v>763</v>
      </c>
      <c r="J273">
        <v>9.9895259000000003</v>
      </c>
      <c r="K273">
        <v>-84.712457599999993</v>
      </c>
      <c r="L273" t="s">
        <v>26</v>
      </c>
      <c r="M273" t="s">
        <v>204</v>
      </c>
      <c r="N273" t="s">
        <v>205</v>
      </c>
      <c r="O273" t="s">
        <v>206</v>
      </c>
      <c r="P273">
        <v>8</v>
      </c>
      <c r="Q273" t="s">
        <v>97</v>
      </c>
      <c r="S273" t="str">
        <f>_xlfn.XLOOKUP(UNIVERSO[[#This Row],[Ruta]],'[1]CUOTA RUTA'!A:A,'[1]CUOTA RUTA'!D:D)</f>
        <v>Cargar</v>
      </c>
    </row>
    <row r="274" spans="1:19" x14ac:dyDescent="0.25">
      <c r="A274">
        <v>1500739889</v>
      </c>
      <c r="B274" t="s">
        <v>764</v>
      </c>
      <c r="C274" t="s">
        <v>19</v>
      </c>
      <c r="D274" t="s">
        <v>337</v>
      </c>
      <c r="E274" t="s">
        <v>21</v>
      </c>
      <c r="F274" t="s">
        <v>22</v>
      </c>
      <c r="G274" t="s">
        <v>33</v>
      </c>
      <c r="H274" t="s">
        <v>343</v>
      </c>
      <c r="I274" t="s">
        <v>765</v>
      </c>
      <c r="J274">
        <v>10.372825000000001</v>
      </c>
      <c r="K274">
        <v>-85.185670999999999</v>
      </c>
      <c r="L274" t="s">
        <v>26</v>
      </c>
      <c r="M274" t="s">
        <v>327</v>
      </c>
      <c r="N274" t="s">
        <v>340</v>
      </c>
      <c r="O274" t="s">
        <v>341</v>
      </c>
      <c r="P274">
        <v>21</v>
      </c>
      <c r="Q274" t="s">
        <v>239</v>
      </c>
      <c r="S274" t="str">
        <f>_xlfn.XLOOKUP(UNIVERSO[[#This Row],[Ruta]],'[1]CUOTA RUTA'!A:A,'[1]CUOTA RUTA'!D:D)</f>
        <v>Cargar</v>
      </c>
    </row>
    <row r="275" spans="1:19" x14ac:dyDescent="0.25">
      <c r="A275">
        <v>1500741332</v>
      </c>
      <c r="B275" t="s">
        <v>766</v>
      </c>
      <c r="C275" t="s">
        <v>19</v>
      </c>
      <c r="D275" t="s">
        <v>244</v>
      </c>
      <c r="E275" t="s">
        <v>21</v>
      </c>
      <c r="F275" t="s">
        <v>22</v>
      </c>
      <c r="G275" t="s">
        <v>33</v>
      </c>
      <c r="H275" t="s">
        <v>767</v>
      </c>
      <c r="I275" t="s">
        <v>768</v>
      </c>
      <c r="J275">
        <v>9.3737782000000003</v>
      </c>
      <c r="K275">
        <v>-83.693941499999994</v>
      </c>
      <c r="L275" t="s">
        <v>26</v>
      </c>
      <c r="M275" t="s">
        <v>46</v>
      </c>
      <c r="N275" t="s">
        <v>247</v>
      </c>
      <c r="O275" t="s">
        <v>248</v>
      </c>
      <c r="P275">
        <v>15</v>
      </c>
      <c r="Q275" t="s">
        <v>231</v>
      </c>
      <c r="S275" t="str">
        <f>_xlfn.XLOOKUP(UNIVERSO[[#This Row],[Ruta]],'[1]CUOTA RUTA'!A:A,'[1]CUOTA RUTA'!D:D)</f>
        <v>Cargar</v>
      </c>
    </row>
    <row r="276" spans="1:19" x14ac:dyDescent="0.25">
      <c r="A276">
        <v>1540000446</v>
      </c>
      <c r="B276" t="s">
        <v>769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 t="s">
        <v>458</v>
      </c>
      <c r="I276" t="s">
        <v>770</v>
      </c>
      <c r="J276">
        <v>9.9856795999999992</v>
      </c>
      <c r="K276">
        <v>-84.2526826</v>
      </c>
      <c r="L276" t="s">
        <v>26</v>
      </c>
      <c r="M276" t="s">
        <v>54</v>
      </c>
      <c r="N276" t="s">
        <v>55</v>
      </c>
      <c r="O276" t="s">
        <v>56</v>
      </c>
      <c r="P276">
        <v>5</v>
      </c>
      <c r="Q276" t="s">
        <v>117</v>
      </c>
      <c r="S276" t="str">
        <f>_xlfn.XLOOKUP(UNIVERSO[[#This Row],[Ruta]],'[1]CUOTA RUTA'!A:A,'[1]CUOTA RUTA'!D:D)</f>
        <v>Cargar</v>
      </c>
    </row>
    <row r="277" spans="1:19" x14ac:dyDescent="0.25">
      <c r="A277">
        <v>1540000955</v>
      </c>
      <c r="B277" t="s">
        <v>771</v>
      </c>
      <c r="C277" t="s">
        <v>19</v>
      </c>
      <c r="D277" t="s">
        <v>186</v>
      </c>
      <c r="E277" t="s">
        <v>62</v>
      </c>
      <c r="F277" t="s">
        <v>63</v>
      </c>
      <c r="G277" t="s">
        <v>23</v>
      </c>
      <c r="H277" t="s">
        <v>241</v>
      </c>
      <c r="I277" t="s">
        <v>772</v>
      </c>
      <c r="J277">
        <v>9.985951</v>
      </c>
      <c r="K277">
        <v>-83.092665999999994</v>
      </c>
      <c r="L277" t="s">
        <v>26</v>
      </c>
      <c r="M277" t="s">
        <v>189</v>
      </c>
      <c r="N277" t="s">
        <v>190</v>
      </c>
      <c r="O277" t="s">
        <v>191</v>
      </c>
      <c r="P277">
        <v>23</v>
      </c>
      <c r="Q277" t="s">
        <v>125</v>
      </c>
      <c r="S277" t="str">
        <f>_xlfn.XLOOKUP(UNIVERSO[[#This Row],[Ruta]],'[1]CUOTA RUTA'!A:A,'[1]CUOTA RUTA'!D:D)</f>
        <v>Cargar</v>
      </c>
    </row>
    <row r="278" spans="1:19" x14ac:dyDescent="0.25">
      <c r="A278">
        <v>1540001489</v>
      </c>
      <c r="B278" t="s">
        <v>773</v>
      </c>
      <c r="C278" t="s">
        <v>19</v>
      </c>
      <c r="D278" t="s">
        <v>20</v>
      </c>
      <c r="E278" t="s">
        <v>21</v>
      </c>
      <c r="F278" t="s">
        <v>22</v>
      </c>
      <c r="G278" t="s">
        <v>33</v>
      </c>
      <c r="H278" t="s">
        <v>774</v>
      </c>
      <c r="I278" t="s">
        <v>775</v>
      </c>
      <c r="J278">
        <v>9.9288617000000006</v>
      </c>
      <c r="K278">
        <v>-84.200684999999993</v>
      </c>
      <c r="L278" t="s">
        <v>26</v>
      </c>
      <c r="M278" t="s">
        <v>54</v>
      </c>
      <c r="N278" t="s">
        <v>55</v>
      </c>
      <c r="O278" t="s">
        <v>56</v>
      </c>
      <c r="P278">
        <v>11</v>
      </c>
      <c r="Q278" t="s">
        <v>108</v>
      </c>
      <c r="S278" t="str">
        <f>_xlfn.XLOOKUP(UNIVERSO[[#This Row],[Ruta]],'[1]CUOTA RUTA'!A:A,'[1]CUOTA RUTA'!D:D)</f>
        <v>Cargar</v>
      </c>
    </row>
    <row r="279" spans="1:19" x14ac:dyDescent="0.25">
      <c r="A279">
        <v>1540002450</v>
      </c>
      <c r="B279" t="s">
        <v>776</v>
      </c>
      <c r="C279" t="s">
        <v>19</v>
      </c>
      <c r="D279" t="s">
        <v>186</v>
      </c>
      <c r="E279" t="s">
        <v>62</v>
      </c>
      <c r="F279" t="s">
        <v>63</v>
      </c>
      <c r="G279" t="s">
        <v>64</v>
      </c>
      <c r="H279" t="s">
        <v>237</v>
      </c>
      <c r="I279" t="s">
        <v>777</v>
      </c>
      <c r="J279">
        <v>10.097447000000001</v>
      </c>
      <c r="K279">
        <v>-83.350970000000004</v>
      </c>
      <c r="L279" t="s">
        <v>26</v>
      </c>
      <c r="M279" t="s">
        <v>189</v>
      </c>
      <c r="N279" t="s">
        <v>190</v>
      </c>
      <c r="O279" t="s">
        <v>191</v>
      </c>
      <c r="P279">
        <v>21</v>
      </c>
      <c r="Q279" t="s">
        <v>239</v>
      </c>
      <c r="S279" t="str">
        <f>_xlfn.XLOOKUP(UNIVERSO[[#This Row],[Ruta]],'[1]CUOTA RUTA'!A:A,'[1]CUOTA RUTA'!D:D)</f>
        <v>Cargar</v>
      </c>
    </row>
    <row r="280" spans="1:19" x14ac:dyDescent="0.25">
      <c r="A280">
        <v>1540002692</v>
      </c>
      <c r="B280" t="s">
        <v>778</v>
      </c>
      <c r="C280" t="s">
        <v>19</v>
      </c>
      <c r="D280" t="s">
        <v>569</v>
      </c>
      <c r="E280" t="s">
        <v>21</v>
      </c>
      <c r="F280" t="s">
        <v>22</v>
      </c>
      <c r="G280" t="s">
        <v>23</v>
      </c>
      <c r="H280" t="s">
        <v>570</v>
      </c>
      <c r="I280" t="s">
        <v>779</v>
      </c>
      <c r="J280">
        <v>8.9608439999999998</v>
      </c>
      <c r="K280">
        <v>-83.459258000000005</v>
      </c>
      <c r="L280" t="s">
        <v>26</v>
      </c>
      <c r="M280" t="s">
        <v>572</v>
      </c>
      <c r="N280" t="s">
        <v>573</v>
      </c>
      <c r="O280" t="s">
        <v>574</v>
      </c>
      <c r="P280">
        <v>21</v>
      </c>
      <c r="Q280" t="s">
        <v>239</v>
      </c>
      <c r="S280" t="str">
        <f>_xlfn.XLOOKUP(UNIVERSO[[#This Row],[Ruta]],'[1]CUOTA RUTA'!A:A,'[1]CUOTA RUTA'!D:D)</f>
        <v>Cargar</v>
      </c>
    </row>
    <row r="281" spans="1:19" x14ac:dyDescent="0.25">
      <c r="A281">
        <v>1540002712</v>
      </c>
      <c r="B281" t="s">
        <v>780</v>
      </c>
      <c r="C281" t="s">
        <v>19</v>
      </c>
      <c r="D281" t="s">
        <v>266</v>
      </c>
      <c r="E281" t="s">
        <v>21</v>
      </c>
      <c r="F281" t="s">
        <v>51</v>
      </c>
      <c r="G281" t="s">
        <v>23</v>
      </c>
      <c r="H281" t="s">
        <v>703</v>
      </c>
      <c r="I281" t="s">
        <v>781</v>
      </c>
      <c r="J281">
        <v>9.842473</v>
      </c>
      <c r="K281">
        <v>-83.939875999999998</v>
      </c>
      <c r="L281" t="s">
        <v>26</v>
      </c>
      <c r="M281" t="s">
        <v>36</v>
      </c>
      <c r="N281" t="s">
        <v>316</v>
      </c>
      <c r="O281" t="s">
        <v>317</v>
      </c>
      <c r="P281">
        <v>19</v>
      </c>
      <c r="Q281" t="s">
        <v>67</v>
      </c>
      <c r="S281" t="str">
        <f>_xlfn.XLOOKUP(UNIVERSO[[#This Row],[Ruta]],'[1]CUOTA RUTA'!A:A,'[1]CUOTA RUTA'!D:D)</f>
        <v>Cargar</v>
      </c>
    </row>
    <row r="282" spans="1:19" x14ac:dyDescent="0.25">
      <c r="A282">
        <v>1540002773</v>
      </c>
      <c r="B282" t="s">
        <v>782</v>
      </c>
      <c r="C282" t="s">
        <v>19</v>
      </c>
      <c r="D282" t="s">
        <v>337</v>
      </c>
      <c r="E282" t="s">
        <v>21</v>
      </c>
      <c r="F282" t="s">
        <v>51</v>
      </c>
      <c r="G282" t="s">
        <v>23</v>
      </c>
      <c r="H282" t="s">
        <v>338</v>
      </c>
      <c r="I282" t="s">
        <v>783</v>
      </c>
      <c r="J282">
        <v>10.36213156</v>
      </c>
      <c r="K282">
        <v>-85.81068277</v>
      </c>
      <c r="L282" t="s">
        <v>26</v>
      </c>
      <c r="M282" t="s">
        <v>327</v>
      </c>
      <c r="N282" t="s">
        <v>340</v>
      </c>
      <c r="O282" t="s">
        <v>341</v>
      </c>
      <c r="P282">
        <v>19</v>
      </c>
      <c r="Q282" t="s">
        <v>67</v>
      </c>
      <c r="S282" t="str">
        <f>_xlfn.XLOOKUP(UNIVERSO[[#This Row],[Ruta]],'[1]CUOTA RUTA'!A:A,'[1]CUOTA RUTA'!D:D)</f>
        <v>Cargar</v>
      </c>
    </row>
    <row r="283" spans="1:19" x14ac:dyDescent="0.25">
      <c r="A283">
        <v>1540003362</v>
      </c>
      <c r="B283" t="s">
        <v>784</v>
      </c>
      <c r="C283" t="s">
        <v>19</v>
      </c>
      <c r="D283" t="s">
        <v>201</v>
      </c>
      <c r="E283" t="s">
        <v>21</v>
      </c>
      <c r="F283" t="s">
        <v>22</v>
      </c>
      <c r="G283" t="s">
        <v>23</v>
      </c>
      <c r="H283" t="s">
        <v>785</v>
      </c>
      <c r="I283" t="s">
        <v>786</v>
      </c>
      <c r="J283">
        <v>10.092544699999999</v>
      </c>
      <c r="K283">
        <v>-84.953010199999994</v>
      </c>
      <c r="L283" t="s">
        <v>26</v>
      </c>
      <c r="M283" t="s">
        <v>204</v>
      </c>
      <c r="N283" t="s">
        <v>205</v>
      </c>
      <c r="O283" t="s">
        <v>206</v>
      </c>
      <c r="P283">
        <v>12</v>
      </c>
      <c r="Q283" t="s">
        <v>42</v>
      </c>
      <c r="S283" t="str">
        <f>_xlfn.XLOOKUP(UNIVERSO[[#This Row],[Ruta]],'[1]CUOTA RUTA'!A:A,'[1]CUOTA RUTA'!D:D)</f>
        <v>Cargar</v>
      </c>
    </row>
    <row r="284" spans="1:19" x14ac:dyDescent="0.25">
      <c r="A284">
        <v>1540003376</v>
      </c>
      <c r="B284" t="s">
        <v>787</v>
      </c>
      <c r="C284" t="s">
        <v>19</v>
      </c>
      <c r="D284" t="s">
        <v>32</v>
      </c>
      <c r="E284" t="s">
        <v>21</v>
      </c>
      <c r="F284" t="s">
        <v>22</v>
      </c>
      <c r="G284" t="s">
        <v>23</v>
      </c>
      <c r="H284" t="s">
        <v>138</v>
      </c>
      <c r="I284" t="s">
        <v>788</v>
      </c>
      <c r="J284">
        <v>9.9657470000000004</v>
      </c>
      <c r="K284">
        <v>-84.01858</v>
      </c>
      <c r="L284" t="s">
        <v>26</v>
      </c>
      <c r="M284" t="s">
        <v>36</v>
      </c>
      <c r="N284" t="s">
        <v>37</v>
      </c>
      <c r="O284" t="s">
        <v>38</v>
      </c>
      <c r="P284">
        <v>21</v>
      </c>
      <c r="Q284" t="s">
        <v>239</v>
      </c>
      <c r="S284" t="str">
        <f>_xlfn.XLOOKUP(UNIVERSO[[#This Row],[Ruta]],'[1]CUOTA RUTA'!A:A,'[1]CUOTA RUTA'!D:D)</f>
        <v>Cargar</v>
      </c>
    </row>
    <row r="285" spans="1:19" x14ac:dyDescent="0.25">
      <c r="A285">
        <v>1540003583</v>
      </c>
      <c r="B285" t="s">
        <v>789</v>
      </c>
      <c r="C285" t="s">
        <v>19</v>
      </c>
      <c r="D285" t="s">
        <v>20</v>
      </c>
      <c r="E285" t="s">
        <v>21</v>
      </c>
      <c r="F285" t="s">
        <v>22</v>
      </c>
      <c r="G285" t="s">
        <v>23</v>
      </c>
      <c r="H285" t="s">
        <v>193</v>
      </c>
      <c r="I285" t="s">
        <v>790</v>
      </c>
      <c r="J285">
        <v>10.003215000000001</v>
      </c>
      <c r="K285">
        <v>-84.241731999999999</v>
      </c>
      <c r="L285" t="s">
        <v>26</v>
      </c>
      <c r="M285" t="s">
        <v>54</v>
      </c>
      <c r="N285" t="s">
        <v>55</v>
      </c>
      <c r="O285" t="s">
        <v>56</v>
      </c>
      <c r="P285">
        <v>7</v>
      </c>
      <c r="Q285" t="s">
        <v>39</v>
      </c>
      <c r="S285" t="str">
        <f>_xlfn.XLOOKUP(UNIVERSO[[#This Row],[Ruta]],'[1]CUOTA RUTA'!A:A,'[1]CUOTA RUTA'!D:D)</f>
        <v>Cargar</v>
      </c>
    </row>
    <row r="286" spans="1:19" x14ac:dyDescent="0.25">
      <c r="A286">
        <v>1540003773</v>
      </c>
      <c r="B286" t="s">
        <v>791</v>
      </c>
      <c r="C286" t="s">
        <v>19</v>
      </c>
      <c r="D286" t="s">
        <v>266</v>
      </c>
      <c r="E286" t="s">
        <v>21</v>
      </c>
      <c r="F286" t="s">
        <v>22</v>
      </c>
      <c r="G286" t="s">
        <v>33</v>
      </c>
      <c r="H286" t="s">
        <v>407</v>
      </c>
      <c r="I286" t="s">
        <v>792</v>
      </c>
      <c r="J286">
        <v>9.6607269999999996</v>
      </c>
      <c r="K286">
        <v>-84.021640000000005</v>
      </c>
      <c r="L286" t="s">
        <v>26</v>
      </c>
      <c r="M286" t="s">
        <v>409</v>
      </c>
      <c r="N286" t="s">
        <v>410</v>
      </c>
      <c r="O286" t="s">
        <v>411</v>
      </c>
      <c r="P286">
        <v>22</v>
      </c>
      <c r="Q286" t="s">
        <v>30</v>
      </c>
      <c r="S286" t="str">
        <f>_xlfn.XLOOKUP(UNIVERSO[[#This Row],[Ruta]],'[1]CUOTA RUTA'!A:A,'[1]CUOTA RUTA'!D:D)</f>
        <v>Cargar</v>
      </c>
    </row>
    <row r="287" spans="1:19" x14ac:dyDescent="0.25">
      <c r="A287">
        <v>1540004381</v>
      </c>
      <c r="B287" t="s">
        <v>793</v>
      </c>
      <c r="C287" t="s">
        <v>19</v>
      </c>
      <c r="D287" t="s">
        <v>201</v>
      </c>
      <c r="E287" t="s">
        <v>62</v>
      </c>
      <c r="F287" t="s">
        <v>63</v>
      </c>
      <c r="G287" t="s">
        <v>64</v>
      </c>
      <c r="H287" t="s">
        <v>794</v>
      </c>
      <c r="I287" t="s">
        <v>795</v>
      </c>
      <c r="J287">
        <v>9.6170266000000009</v>
      </c>
      <c r="K287">
        <v>-84.630559700000006</v>
      </c>
      <c r="L287" t="s">
        <v>26</v>
      </c>
      <c r="M287" t="s">
        <v>204</v>
      </c>
      <c r="N287" t="s">
        <v>205</v>
      </c>
      <c r="O287" t="s">
        <v>206</v>
      </c>
      <c r="P287">
        <v>5</v>
      </c>
      <c r="Q287" t="s">
        <v>117</v>
      </c>
      <c r="S287" t="str">
        <f>_xlfn.XLOOKUP(UNIVERSO[[#This Row],[Ruta]],'[1]CUOTA RUTA'!A:A,'[1]CUOTA RUTA'!D:D)</f>
        <v>Cargar</v>
      </c>
    </row>
    <row r="288" spans="1:19" x14ac:dyDescent="0.25">
      <c r="A288">
        <v>1540004417</v>
      </c>
      <c r="B288" t="s">
        <v>796</v>
      </c>
      <c r="C288" t="s">
        <v>19</v>
      </c>
      <c r="D288" t="s">
        <v>208</v>
      </c>
      <c r="E288" t="s">
        <v>21</v>
      </c>
      <c r="F288" t="s">
        <v>22</v>
      </c>
      <c r="G288" t="s">
        <v>23</v>
      </c>
      <c r="H288" t="s">
        <v>218</v>
      </c>
      <c r="I288" t="s">
        <v>797</v>
      </c>
      <c r="J288">
        <v>10.212187</v>
      </c>
      <c r="K288">
        <v>-83.687359000000001</v>
      </c>
      <c r="L288" t="s">
        <v>26</v>
      </c>
      <c r="M288" t="s">
        <v>189</v>
      </c>
      <c r="N288" t="s">
        <v>211</v>
      </c>
      <c r="O288" t="s">
        <v>212</v>
      </c>
      <c r="P288">
        <v>6</v>
      </c>
      <c r="Q288" t="s">
        <v>49</v>
      </c>
      <c r="S288" t="str">
        <f>_xlfn.XLOOKUP(UNIVERSO[[#This Row],[Ruta]],'[1]CUOTA RUTA'!A:A,'[1]CUOTA RUTA'!D:D)</f>
        <v>Cargar</v>
      </c>
    </row>
    <row r="289" spans="1:19" x14ac:dyDescent="0.25">
      <c r="A289">
        <v>1540004482</v>
      </c>
      <c r="B289" t="s">
        <v>798</v>
      </c>
      <c r="C289" t="s">
        <v>19</v>
      </c>
      <c r="D289" t="s">
        <v>201</v>
      </c>
      <c r="E289" t="s">
        <v>21</v>
      </c>
      <c r="F289" t="s">
        <v>51</v>
      </c>
      <c r="G289" t="s">
        <v>23</v>
      </c>
      <c r="H289" t="s">
        <v>383</v>
      </c>
      <c r="I289" t="s">
        <v>799</v>
      </c>
      <c r="J289">
        <v>9.9826443000000005</v>
      </c>
      <c r="K289">
        <v>-84.734343999999993</v>
      </c>
      <c r="L289" t="s">
        <v>26</v>
      </c>
      <c r="M289" t="s">
        <v>204</v>
      </c>
      <c r="N289" t="s">
        <v>205</v>
      </c>
      <c r="O289" t="s">
        <v>206</v>
      </c>
      <c r="P289">
        <v>9</v>
      </c>
      <c r="Q289" t="s">
        <v>80</v>
      </c>
      <c r="S289" t="str">
        <f>_xlfn.XLOOKUP(UNIVERSO[[#This Row],[Ruta]],'[1]CUOTA RUTA'!A:A,'[1]CUOTA RUTA'!D:D)</f>
        <v>Cargar</v>
      </c>
    </row>
    <row r="290" spans="1:19" x14ac:dyDescent="0.25">
      <c r="A290">
        <v>1540004598</v>
      </c>
      <c r="B290" t="s">
        <v>800</v>
      </c>
      <c r="C290" t="s">
        <v>19</v>
      </c>
      <c r="D290" t="s">
        <v>32</v>
      </c>
      <c r="E290" t="s">
        <v>21</v>
      </c>
      <c r="F290" t="s">
        <v>22</v>
      </c>
      <c r="G290" t="s">
        <v>33</v>
      </c>
      <c r="H290" t="s">
        <v>92</v>
      </c>
      <c r="I290" t="s">
        <v>801</v>
      </c>
      <c r="J290">
        <v>9.9778749999999992</v>
      </c>
      <c r="K290">
        <v>-84.011161999999999</v>
      </c>
      <c r="L290" t="s">
        <v>26</v>
      </c>
      <c r="M290" t="s">
        <v>94</v>
      </c>
      <c r="N290" t="s">
        <v>95</v>
      </c>
      <c r="O290" t="s">
        <v>96</v>
      </c>
      <c r="P290">
        <v>1</v>
      </c>
      <c r="Q290" t="s">
        <v>155</v>
      </c>
      <c r="S290" t="str">
        <f>_xlfn.XLOOKUP(UNIVERSO[[#This Row],[Ruta]],'[1]CUOTA RUTA'!A:A,'[1]CUOTA RUTA'!D:D)</f>
        <v>Cargar</v>
      </c>
    </row>
    <row r="291" spans="1:19" x14ac:dyDescent="0.25">
      <c r="A291">
        <v>1540006019</v>
      </c>
      <c r="B291" t="s">
        <v>802</v>
      </c>
      <c r="C291" t="s">
        <v>19</v>
      </c>
      <c r="D291" t="s">
        <v>201</v>
      </c>
      <c r="E291" t="s">
        <v>62</v>
      </c>
      <c r="F291" t="s">
        <v>63</v>
      </c>
      <c r="G291" t="s">
        <v>64</v>
      </c>
      <c r="H291" t="s">
        <v>499</v>
      </c>
      <c r="I291" t="s">
        <v>803</v>
      </c>
      <c r="J291">
        <v>9.9043486999999999</v>
      </c>
      <c r="K291">
        <v>-84.660250500000004</v>
      </c>
      <c r="L291" t="s">
        <v>26</v>
      </c>
      <c r="M291" t="s">
        <v>204</v>
      </c>
      <c r="N291" t="s">
        <v>205</v>
      </c>
      <c r="O291" t="s">
        <v>206</v>
      </c>
      <c r="P291">
        <v>6</v>
      </c>
      <c r="Q291" t="s">
        <v>49</v>
      </c>
      <c r="S291" t="str">
        <f>_xlfn.XLOOKUP(UNIVERSO[[#This Row],[Ruta]],'[1]CUOTA RUTA'!A:A,'[1]CUOTA RUTA'!D:D)</f>
        <v>Cargar</v>
      </c>
    </row>
    <row r="292" spans="1:19" x14ac:dyDescent="0.25">
      <c r="A292">
        <v>1540006632</v>
      </c>
      <c r="B292" t="s">
        <v>804</v>
      </c>
      <c r="C292" t="s">
        <v>19</v>
      </c>
      <c r="D292" t="s">
        <v>32</v>
      </c>
      <c r="E292" t="s">
        <v>21</v>
      </c>
      <c r="F292" t="s">
        <v>51</v>
      </c>
      <c r="G292" t="s">
        <v>23</v>
      </c>
      <c r="H292" t="s">
        <v>34</v>
      </c>
      <c r="I292" t="s">
        <v>805</v>
      </c>
      <c r="J292">
        <v>9.9161149999999996</v>
      </c>
      <c r="K292">
        <v>-84.057644999999994</v>
      </c>
      <c r="L292" t="s">
        <v>26</v>
      </c>
      <c r="M292" t="s">
        <v>36</v>
      </c>
      <c r="N292" t="s">
        <v>37</v>
      </c>
      <c r="O292" t="s">
        <v>38</v>
      </c>
      <c r="P292">
        <v>11</v>
      </c>
      <c r="Q292" t="s">
        <v>108</v>
      </c>
      <c r="S292" t="str">
        <f>_xlfn.XLOOKUP(UNIVERSO[[#This Row],[Ruta]],'[1]CUOTA RUTA'!A:A,'[1]CUOTA RUTA'!D:D)</f>
        <v>Cargar</v>
      </c>
    </row>
    <row r="293" spans="1:19" x14ac:dyDescent="0.25">
      <c r="A293">
        <v>1540006886</v>
      </c>
      <c r="B293" t="s">
        <v>806</v>
      </c>
      <c r="C293" t="s">
        <v>19</v>
      </c>
      <c r="D293" t="s">
        <v>20</v>
      </c>
      <c r="E293" t="s">
        <v>21</v>
      </c>
      <c r="F293" t="s">
        <v>51</v>
      </c>
      <c r="G293" t="s">
        <v>23</v>
      </c>
      <c r="H293" t="s">
        <v>277</v>
      </c>
      <c r="I293" t="s">
        <v>807</v>
      </c>
      <c r="J293">
        <v>9.9920600000000004</v>
      </c>
      <c r="K293">
        <v>-84.183019999999999</v>
      </c>
      <c r="L293" t="s">
        <v>26</v>
      </c>
      <c r="M293" t="s">
        <v>54</v>
      </c>
      <c r="N293" t="s">
        <v>55</v>
      </c>
      <c r="O293" t="s">
        <v>56</v>
      </c>
      <c r="P293">
        <v>15</v>
      </c>
      <c r="Q293" t="s">
        <v>231</v>
      </c>
      <c r="S293" t="str">
        <f>_xlfn.XLOOKUP(UNIVERSO[[#This Row],[Ruta]],'[1]CUOTA RUTA'!A:A,'[1]CUOTA RUTA'!D:D)</f>
        <v>Cargar</v>
      </c>
    </row>
    <row r="294" spans="1:19" x14ac:dyDescent="0.25">
      <c r="A294">
        <v>1540008132</v>
      </c>
      <c r="B294" t="s">
        <v>808</v>
      </c>
      <c r="C294" t="s">
        <v>19</v>
      </c>
      <c r="D294" t="s">
        <v>201</v>
      </c>
      <c r="E294" t="s">
        <v>21</v>
      </c>
      <c r="F294" t="s">
        <v>51</v>
      </c>
      <c r="G294" t="s">
        <v>23</v>
      </c>
      <c r="H294" t="s">
        <v>334</v>
      </c>
      <c r="I294" t="s">
        <v>809</v>
      </c>
      <c r="J294">
        <v>9.9967810000000004</v>
      </c>
      <c r="K294">
        <v>-84.659341800000007</v>
      </c>
      <c r="L294" t="s">
        <v>26</v>
      </c>
      <c r="M294" t="s">
        <v>204</v>
      </c>
      <c r="N294" t="s">
        <v>205</v>
      </c>
      <c r="O294" t="s">
        <v>206</v>
      </c>
      <c r="P294">
        <v>14</v>
      </c>
      <c r="Q294" t="s">
        <v>181</v>
      </c>
      <c r="S294" t="str">
        <f>_xlfn.XLOOKUP(UNIVERSO[[#This Row],[Ruta]],'[1]CUOTA RUTA'!A:A,'[1]CUOTA RUTA'!D:D)</f>
        <v>Cargar</v>
      </c>
    </row>
    <row r="295" spans="1:19" x14ac:dyDescent="0.25">
      <c r="A295">
        <v>1540008188</v>
      </c>
      <c r="B295" t="s">
        <v>810</v>
      </c>
      <c r="C295" t="s">
        <v>19</v>
      </c>
      <c r="D295" t="s">
        <v>337</v>
      </c>
      <c r="E295" t="s">
        <v>21</v>
      </c>
      <c r="F295" t="s">
        <v>22</v>
      </c>
      <c r="G295" t="s">
        <v>23</v>
      </c>
      <c r="H295" t="s">
        <v>483</v>
      </c>
      <c r="I295" t="s">
        <v>811</v>
      </c>
      <c r="J295">
        <v>10.5138297</v>
      </c>
      <c r="K295">
        <v>-85.647892720000002</v>
      </c>
      <c r="L295" t="s">
        <v>26</v>
      </c>
      <c r="M295" t="s">
        <v>327</v>
      </c>
      <c r="N295" t="s">
        <v>340</v>
      </c>
      <c r="O295" t="s">
        <v>341</v>
      </c>
      <c r="P295">
        <v>20</v>
      </c>
      <c r="Q295" t="s">
        <v>74</v>
      </c>
      <c r="S295" t="str">
        <f>_xlfn.XLOOKUP(UNIVERSO[[#This Row],[Ruta]],'[1]CUOTA RUTA'!A:A,'[1]CUOTA RUTA'!D:D)</f>
        <v>Cargar</v>
      </c>
    </row>
    <row r="296" spans="1:19" x14ac:dyDescent="0.25">
      <c r="A296">
        <v>1540010534</v>
      </c>
      <c r="B296" t="s">
        <v>812</v>
      </c>
      <c r="C296" t="s">
        <v>19</v>
      </c>
      <c r="D296" t="s">
        <v>349</v>
      </c>
      <c r="E296" t="s">
        <v>21</v>
      </c>
      <c r="F296" t="s">
        <v>22</v>
      </c>
      <c r="G296" t="s">
        <v>23</v>
      </c>
      <c r="H296" t="s">
        <v>711</v>
      </c>
      <c r="I296" t="s">
        <v>813</v>
      </c>
      <c r="J296">
        <v>10.239312</v>
      </c>
      <c r="K296">
        <v>-85.404031000000003</v>
      </c>
      <c r="L296" t="s">
        <v>26</v>
      </c>
      <c r="M296" t="s">
        <v>352</v>
      </c>
      <c r="N296" t="s">
        <v>353</v>
      </c>
      <c r="O296" t="s">
        <v>354</v>
      </c>
      <c r="P296">
        <v>16</v>
      </c>
      <c r="Q296" t="s">
        <v>60</v>
      </c>
      <c r="S296" t="str">
        <f>_xlfn.XLOOKUP(UNIVERSO[[#This Row],[Ruta]],'[1]CUOTA RUTA'!A:A,'[1]CUOTA RUTA'!D:D)</f>
        <v>Cargar</v>
      </c>
    </row>
    <row r="297" spans="1:19" x14ac:dyDescent="0.25">
      <c r="A297">
        <v>1540010607</v>
      </c>
      <c r="B297" t="s">
        <v>814</v>
      </c>
      <c r="C297" t="s">
        <v>19</v>
      </c>
      <c r="D297" t="s">
        <v>32</v>
      </c>
      <c r="E297" t="s">
        <v>21</v>
      </c>
      <c r="F297" t="s">
        <v>22</v>
      </c>
      <c r="G297" t="s">
        <v>33</v>
      </c>
      <c r="H297" t="s">
        <v>92</v>
      </c>
      <c r="I297" t="s">
        <v>815</v>
      </c>
      <c r="J297">
        <v>9.9776229999999995</v>
      </c>
      <c r="K297">
        <v>-84.009147999999996</v>
      </c>
      <c r="L297" t="s">
        <v>26</v>
      </c>
      <c r="M297" t="s">
        <v>94</v>
      </c>
      <c r="N297" t="s">
        <v>95</v>
      </c>
      <c r="O297" t="s">
        <v>96</v>
      </c>
      <c r="P297">
        <v>1</v>
      </c>
      <c r="Q297" t="s">
        <v>155</v>
      </c>
      <c r="S297" t="str">
        <f>_xlfn.XLOOKUP(UNIVERSO[[#This Row],[Ruta]],'[1]CUOTA RUTA'!A:A,'[1]CUOTA RUTA'!D:D)</f>
        <v>Cargar</v>
      </c>
    </row>
    <row r="298" spans="1:19" x14ac:dyDescent="0.25">
      <c r="A298">
        <v>1540010786</v>
      </c>
      <c r="B298" t="s">
        <v>816</v>
      </c>
      <c r="C298" t="s">
        <v>19</v>
      </c>
      <c r="D298" t="s">
        <v>186</v>
      </c>
      <c r="E298" t="s">
        <v>21</v>
      </c>
      <c r="F298" t="s">
        <v>51</v>
      </c>
      <c r="G298" t="s">
        <v>23</v>
      </c>
      <c r="H298" t="s">
        <v>420</v>
      </c>
      <c r="I298" t="s">
        <v>817</v>
      </c>
      <c r="J298">
        <v>9.7420539999999995</v>
      </c>
      <c r="K298">
        <v>-82.948262</v>
      </c>
      <c r="L298" t="s">
        <v>26</v>
      </c>
      <c r="M298" t="s">
        <v>189</v>
      </c>
      <c r="N298" t="s">
        <v>190</v>
      </c>
      <c r="O298" t="s">
        <v>191</v>
      </c>
      <c r="P298">
        <v>17</v>
      </c>
      <c r="Q298" t="s">
        <v>287</v>
      </c>
      <c r="S298" t="str">
        <f>_xlfn.XLOOKUP(UNIVERSO[[#This Row],[Ruta]],'[1]CUOTA RUTA'!A:A,'[1]CUOTA RUTA'!D:D)</f>
        <v>Cargar</v>
      </c>
    </row>
    <row r="299" spans="1:19" x14ac:dyDescent="0.25">
      <c r="A299">
        <v>1540011551</v>
      </c>
      <c r="B299" t="s">
        <v>818</v>
      </c>
      <c r="C299" t="s">
        <v>19</v>
      </c>
      <c r="D299" t="s">
        <v>244</v>
      </c>
      <c r="E299" t="s">
        <v>21</v>
      </c>
      <c r="F299" t="s">
        <v>22</v>
      </c>
      <c r="G299" t="s">
        <v>23</v>
      </c>
      <c r="H299" t="s">
        <v>819</v>
      </c>
      <c r="I299" t="s">
        <v>820</v>
      </c>
      <c r="J299">
        <v>9.5303260000000005</v>
      </c>
      <c r="K299">
        <v>-84.363258999999999</v>
      </c>
      <c r="L299" t="s">
        <v>26</v>
      </c>
      <c r="M299" t="s">
        <v>46</v>
      </c>
      <c r="N299" t="s">
        <v>247</v>
      </c>
      <c r="O299" t="s">
        <v>248</v>
      </c>
      <c r="P299">
        <v>23</v>
      </c>
      <c r="Q299" t="s">
        <v>125</v>
      </c>
      <c r="S299" t="str">
        <f>_xlfn.XLOOKUP(UNIVERSO[[#This Row],[Ruta]],'[1]CUOTA RUTA'!A:A,'[1]CUOTA RUTA'!D:D)</f>
        <v>Cargar</v>
      </c>
    </row>
    <row r="300" spans="1:19" x14ac:dyDescent="0.25">
      <c r="A300">
        <v>1540011856</v>
      </c>
      <c r="B300" t="s">
        <v>821</v>
      </c>
      <c r="C300" t="s">
        <v>19</v>
      </c>
      <c r="D300" t="s">
        <v>32</v>
      </c>
      <c r="E300" t="s">
        <v>21</v>
      </c>
      <c r="F300" t="s">
        <v>22</v>
      </c>
      <c r="G300" t="s">
        <v>23</v>
      </c>
      <c r="H300" t="s">
        <v>174</v>
      </c>
      <c r="I300" t="s">
        <v>822</v>
      </c>
      <c r="J300">
        <v>9.9415680000000002</v>
      </c>
      <c r="K300">
        <v>-84.085998000000004</v>
      </c>
      <c r="L300" t="s">
        <v>26</v>
      </c>
      <c r="M300" t="s">
        <v>71</v>
      </c>
      <c r="N300" t="s">
        <v>72</v>
      </c>
      <c r="O300" t="s">
        <v>73</v>
      </c>
      <c r="P300">
        <v>1</v>
      </c>
      <c r="Q300" t="s">
        <v>155</v>
      </c>
      <c r="S300" t="str">
        <f>_xlfn.XLOOKUP(UNIVERSO[[#This Row],[Ruta]],'[1]CUOTA RUTA'!A:A,'[1]CUOTA RUTA'!D:D)</f>
        <v>Cargar</v>
      </c>
    </row>
    <row r="301" spans="1:19" x14ac:dyDescent="0.25">
      <c r="A301">
        <v>1540012431</v>
      </c>
      <c r="B301" t="s">
        <v>823</v>
      </c>
      <c r="C301" t="s">
        <v>19</v>
      </c>
      <c r="D301" t="s">
        <v>337</v>
      </c>
      <c r="E301" t="s">
        <v>62</v>
      </c>
      <c r="F301" t="s">
        <v>63</v>
      </c>
      <c r="G301" t="s">
        <v>64</v>
      </c>
      <c r="H301" t="s">
        <v>824</v>
      </c>
      <c r="I301" t="s">
        <v>825</v>
      </c>
      <c r="J301">
        <v>10.426486560000001</v>
      </c>
      <c r="K301">
        <v>-85.092801190000003</v>
      </c>
      <c r="L301" t="s">
        <v>26</v>
      </c>
      <c r="M301" t="s">
        <v>327</v>
      </c>
      <c r="N301" t="s">
        <v>340</v>
      </c>
      <c r="O301" t="s">
        <v>341</v>
      </c>
      <c r="P301">
        <v>21</v>
      </c>
      <c r="Q301" t="s">
        <v>239</v>
      </c>
      <c r="S301" t="str">
        <f>_xlfn.XLOOKUP(UNIVERSO[[#This Row],[Ruta]],'[1]CUOTA RUTA'!A:A,'[1]CUOTA RUTA'!D:D)</f>
        <v>Cargar</v>
      </c>
    </row>
    <row r="302" spans="1:19" x14ac:dyDescent="0.25">
      <c r="A302">
        <v>1540012674</v>
      </c>
      <c r="B302" t="s">
        <v>826</v>
      </c>
      <c r="C302" t="s">
        <v>19</v>
      </c>
      <c r="D302" t="s">
        <v>201</v>
      </c>
      <c r="E302" t="s">
        <v>21</v>
      </c>
      <c r="F302" t="s">
        <v>22</v>
      </c>
      <c r="G302" t="s">
        <v>33</v>
      </c>
      <c r="H302" t="s">
        <v>202</v>
      </c>
      <c r="I302" t="s">
        <v>827</v>
      </c>
      <c r="J302">
        <v>9.9840870000000006</v>
      </c>
      <c r="K302">
        <v>-84.743093999999999</v>
      </c>
      <c r="L302" t="s">
        <v>26</v>
      </c>
      <c r="M302" t="s">
        <v>204</v>
      </c>
      <c r="N302" t="s">
        <v>205</v>
      </c>
      <c r="O302" t="s">
        <v>206</v>
      </c>
      <c r="P302">
        <v>9</v>
      </c>
      <c r="Q302" t="s">
        <v>80</v>
      </c>
      <c r="S302" t="str">
        <f>_xlfn.XLOOKUP(UNIVERSO[[#This Row],[Ruta]],'[1]CUOTA RUTA'!A:A,'[1]CUOTA RUTA'!D:D)</f>
        <v>Cargar</v>
      </c>
    </row>
    <row r="303" spans="1:19" x14ac:dyDescent="0.25">
      <c r="A303">
        <v>1540012760</v>
      </c>
      <c r="B303" t="s">
        <v>828</v>
      </c>
      <c r="C303" t="s">
        <v>19</v>
      </c>
      <c r="D303" t="s">
        <v>201</v>
      </c>
      <c r="E303" t="s">
        <v>21</v>
      </c>
      <c r="F303" t="s">
        <v>22</v>
      </c>
      <c r="G303" t="s">
        <v>23</v>
      </c>
      <c r="H303" t="s">
        <v>491</v>
      </c>
      <c r="I303" t="s">
        <v>829</v>
      </c>
      <c r="J303">
        <v>9.8382249000000002</v>
      </c>
      <c r="K303">
        <v>-84.588678200000004</v>
      </c>
      <c r="L303" t="s">
        <v>26</v>
      </c>
      <c r="M303" t="s">
        <v>204</v>
      </c>
      <c r="N303" t="s">
        <v>205</v>
      </c>
      <c r="O303" t="s">
        <v>206</v>
      </c>
      <c r="P303">
        <v>3</v>
      </c>
      <c r="Q303" t="s">
        <v>101</v>
      </c>
      <c r="S303" t="str">
        <f>_xlfn.XLOOKUP(UNIVERSO[[#This Row],[Ruta]],'[1]CUOTA RUTA'!A:A,'[1]CUOTA RUTA'!D:D)</f>
        <v>Cargar</v>
      </c>
    </row>
    <row r="304" spans="1:19" x14ac:dyDescent="0.25">
      <c r="A304">
        <v>1540012787</v>
      </c>
      <c r="B304" t="s">
        <v>830</v>
      </c>
      <c r="C304" t="s">
        <v>19</v>
      </c>
      <c r="D304" t="s">
        <v>244</v>
      </c>
      <c r="E304" t="s">
        <v>21</v>
      </c>
      <c r="F304" t="s">
        <v>22</v>
      </c>
      <c r="G304" t="s">
        <v>33</v>
      </c>
      <c r="H304" t="s">
        <v>566</v>
      </c>
      <c r="I304" t="s">
        <v>831</v>
      </c>
      <c r="J304">
        <v>9.3733254000000006</v>
      </c>
      <c r="K304">
        <v>-83.702388999999997</v>
      </c>
      <c r="L304" t="s">
        <v>26</v>
      </c>
      <c r="M304" t="s">
        <v>46</v>
      </c>
      <c r="N304" t="s">
        <v>247</v>
      </c>
      <c r="O304" t="s">
        <v>248</v>
      </c>
      <c r="P304">
        <v>14</v>
      </c>
      <c r="Q304" t="s">
        <v>181</v>
      </c>
      <c r="S304" t="str">
        <f>_xlfn.XLOOKUP(UNIVERSO[[#This Row],[Ruta]],'[1]CUOTA RUTA'!A:A,'[1]CUOTA RUTA'!D:D)</f>
        <v>Cargar</v>
      </c>
    </row>
    <row r="305" spans="1:19" x14ac:dyDescent="0.25">
      <c r="A305">
        <v>1540012967</v>
      </c>
      <c r="B305" t="s">
        <v>832</v>
      </c>
      <c r="C305" t="s">
        <v>19</v>
      </c>
      <c r="D305" t="s">
        <v>349</v>
      </c>
      <c r="E305" t="s">
        <v>21</v>
      </c>
      <c r="F305" t="s">
        <v>22</v>
      </c>
      <c r="G305" t="s">
        <v>23</v>
      </c>
      <c r="H305" t="s">
        <v>448</v>
      </c>
      <c r="I305" t="s">
        <v>833</v>
      </c>
      <c r="J305">
        <v>10.283694000000001</v>
      </c>
      <c r="K305">
        <v>-85.520695000000003</v>
      </c>
      <c r="L305" t="s">
        <v>26</v>
      </c>
      <c r="M305" t="s">
        <v>352</v>
      </c>
      <c r="N305" t="s">
        <v>353</v>
      </c>
      <c r="O305" t="s">
        <v>354</v>
      </c>
      <c r="P305">
        <v>3</v>
      </c>
      <c r="Q305" t="s">
        <v>101</v>
      </c>
      <c r="S305" t="str">
        <f>_xlfn.XLOOKUP(UNIVERSO[[#This Row],[Ruta]],'[1]CUOTA RUTA'!A:A,'[1]CUOTA RUTA'!D:D)</f>
        <v>Cargar</v>
      </c>
    </row>
    <row r="306" spans="1:19" x14ac:dyDescent="0.25">
      <c r="A306">
        <v>1540012998</v>
      </c>
      <c r="B306" t="s">
        <v>834</v>
      </c>
      <c r="C306" t="s">
        <v>19</v>
      </c>
      <c r="D306" t="s">
        <v>186</v>
      </c>
      <c r="E306" t="s">
        <v>62</v>
      </c>
      <c r="F306" t="s">
        <v>63</v>
      </c>
      <c r="G306" t="s">
        <v>64</v>
      </c>
      <c r="H306" t="s">
        <v>187</v>
      </c>
      <c r="I306" t="s">
        <v>835</v>
      </c>
      <c r="J306">
        <v>9.9992719999999995</v>
      </c>
      <c r="K306">
        <v>-83.044169999999994</v>
      </c>
      <c r="L306" t="s">
        <v>26</v>
      </c>
      <c r="M306" t="s">
        <v>189</v>
      </c>
      <c r="N306" t="s">
        <v>190</v>
      </c>
      <c r="O306" t="s">
        <v>191</v>
      </c>
      <c r="P306">
        <v>13</v>
      </c>
      <c r="Q306" t="s">
        <v>161</v>
      </c>
      <c r="S306" t="str">
        <f>_xlfn.XLOOKUP(UNIVERSO[[#This Row],[Ruta]],'[1]CUOTA RUTA'!A:A,'[1]CUOTA RUTA'!D:D)</f>
        <v>Cargar</v>
      </c>
    </row>
    <row r="307" spans="1:19" x14ac:dyDescent="0.25">
      <c r="A307">
        <v>1540013039</v>
      </c>
      <c r="B307" t="s">
        <v>836</v>
      </c>
      <c r="C307" t="s">
        <v>19</v>
      </c>
      <c r="D307" t="s">
        <v>20</v>
      </c>
      <c r="E307" t="s">
        <v>21</v>
      </c>
      <c r="F307" t="s">
        <v>22</v>
      </c>
      <c r="G307" t="s">
        <v>23</v>
      </c>
      <c r="H307" t="s">
        <v>638</v>
      </c>
      <c r="I307" t="s">
        <v>837</v>
      </c>
      <c r="J307">
        <v>10.007</v>
      </c>
      <c r="K307">
        <v>-84.218050000000005</v>
      </c>
      <c r="L307" t="s">
        <v>26</v>
      </c>
      <c r="M307" t="s">
        <v>54</v>
      </c>
      <c r="N307" t="s">
        <v>55</v>
      </c>
      <c r="O307" t="s">
        <v>56</v>
      </c>
      <c r="P307">
        <v>4</v>
      </c>
      <c r="Q307" t="s">
        <v>120</v>
      </c>
      <c r="S307" t="str">
        <f>_xlfn.XLOOKUP(UNIVERSO[[#This Row],[Ruta]],'[1]CUOTA RUTA'!A:A,'[1]CUOTA RUTA'!D:D)</f>
        <v>Cargar</v>
      </c>
    </row>
    <row r="308" spans="1:19" x14ac:dyDescent="0.25">
      <c r="A308">
        <v>1540013097</v>
      </c>
      <c r="B308" t="s">
        <v>838</v>
      </c>
      <c r="C308" t="s">
        <v>19</v>
      </c>
      <c r="D308" t="s">
        <v>32</v>
      </c>
      <c r="E308" t="s">
        <v>21</v>
      </c>
      <c r="F308" t="s">
        <v>22</v>
      </c>
      <c r="G308" t="s">
        <v>23</v>
      </c>
      <c r="H308" t="s">
        <v>103</v>
      </c>
      <c r="I308" t="s">
        <v>839</v>
      </c>
      <c r="J308">
        <v>9.9417670000000005</v>
      </c>
      <c r="K308">
        <v>-84.089479999999995</v>
      </c>
      <c r="L308" t="s">
        <v>26</v>
      </c>
      <c r="M308" t="s">
        <v>71</v>
      </c>
      <c r="N308" t="s">
        <v>72</v>
      </c>
      <c r="O308" t="s">
        <v>73</v>
      </c>
      <c r="P308">
        <v>1</v>
      </c>
      <c r="Q308" t="s">
        <v>155</v>
      </c>
      <c r="S308" t="str">
        <f>_xlfn.XLOOKUP(UNIVERSO[[#This Row],[Ruta]],'[1]CUOTA RUTA'!A:A,'[1]CUOTA RUTA'!D:D)</f>
        <v>Cargar</v>
      </c>
    </row>
    <row r="309" spans="1:19" x14ac:dyDescent="0.25">
      <c r="A309">
        <v>1540013138</v>
      </c>
      <c r="B309" t="s">
        <v>840</v>
      </c>
      <c r="C309" t="s">
        <v>19</v>
      </c>
      <c r="D309" t="s">
        <v>32</v>
      </c>
      <c r="E309" t="s">
        <v>21</v>
      </c>
      <c r="F309" t="s">
        <v>22</v>
      </c>
      <c r="G309" t="s">
        <v>23</v>
      </c>
      <c r="H309" t="s">
        <v>106</v>
      </c>
      <c r="I309" t="s">
        <v>841</v>
      </c>
      <c r="J309">
        <v>9.9147750000000006</v>
      </c>
      <c r="K309">
        <v>-84.107399999999998</v>
      </c>
      <c r="L309" t="s">
        <v>26</v>
      </c>
      <c r="M309" t="s">
        <v>71</v>
      </c>
      <c r="N309" t="s">
        <v>72</v>
      </c>
      <c r="O309" t="s">
        <v>73</v>
      </c>
      <c r="P309">
        <v>11</v>
      </c>
      <c r="Q309" t="s">
        <v>108</v>
      </c>
      <c r="S309" t="str">
        <f>_xlfn.XLOOKUP(UNIVERSO[[#This Row],[Ruta]],'[1]CUOTA RUTA'!A:A,'[1]CUOTA RUTA'!D:D)</f>
        <v>Cargar</v>
      </c>
    </row>
    <row r="310" spans="1:19" x14ac:dyDescent="0.25">
      <c r="A310">
        <v>1540013202</v>
      </c>
      <c r="B310" t="s">
        <v>842</v>
      </c>
      <c r="C310" t="s">
        <v>19</v>
      </c>
      <c r="D310" t="s">
        <v>20</v>
      </c>
      <c r="E310" t="s">
        <v>21</v>
      </c>
      <c r="F310" t="s">
        <v>22</v>
      </c>
      <c r="G310" t="s">
        <v>23</v>
      </c>
      <c r="H310" t="s">
        <v>255</v>
      </c>
      <c r="I310" t="s">
        <v>843</v>
      </c>
      <c r="J310">
        <v>10.069274697246</v>
      </c>
      <c r="K310">
        <v>-84.307302309139999</v>
      </c>
      <c r="L310" t="s">
        <v>26</v>
      </c>
      <c r="M310" t="s">
        <v>46</v>
      </c>
      <c r="N310" t="s">
        <v>47</v>
      </c>
      <c r="O310" t="s">
        <v>48</v>
      </c>
      <c r="P310">
        <v>5</v>
      </c>
      <c r="Q310" t="s">
        <v>117</v>
      </c>
      <c r="S310" t="str">
        <f>_xlfn.XLOOKUP(UNIVERSO[[#This Row],[Ruta]],'[1]CUOTA RUTA'!A:A,'[1]CUOTA RUTA'!D:D)</f>
        <v>Cargar</v>
      </c>
    </row>
    <row r="311" spans="1:19" x14ac:dyDescent="0.25">
      <c r="A311">
        <v>1540013393</v>
      </c>
      <c r="B311" t="s">
        <v>844</v>
      </c>
      <c r="C311" t="s">
        <v>19</v>
      </c>
      <c r="D311" t="s">
        <v>20</v>
      </c>
      <c r="E311" t="s">
        <v>21</v>
      </c>
      <c r="F311" t="s">
        <v>22</v>
      </c>
      <c r="G311" t="s">
        <v>23</v>
      </c>
      <c r="H311" t="s">
        <v>198</v>
      </c>
      <c r="I311" t="s">
        <v>845</v>
      </c>
      <c r="J311">
        <v>9.9368800000000004</v>
      </c>
      <c r="K311">
        <v>-84.183949999999996</v>
      </c>
      <c r="L311" t="s">
        <v>26</v>
      </c>
      <c r="M311" t="s">
        <v>54</v>
      </c>
      <c r="N311" t="s">
        <v>55</v>
      </c>
      <c r="O311" t="s">
        <v>56</v>
      </c>
      <c r="P311">
        <v>13</v>
      </c>
      <c r="Q311" t="s">
        <v>161</v>
      </c>
      <c r="S311" t="str">
        <f>_xlfn.XLOOKUP(UNIVERSO[[#This Row],[Ruta]],'[1]CUOTA RUTA'!A:A,'[1]CUOTA RUTA'!D:D)</f>
        <v>Cargar</v>
      </c>
    </row>
    <row r="312" spans="1:19" x14ac:dyDescent="0.25">
      <c r="A312">
        <v>1540013433</v>
      </c>
      <c r="B312" t="s">
        <v>846</v>
      </c>
      <c r="C312" t="s">
        <v>19</v>
      </c>
      <c r="D312" t="s">
        <v>20</v>
      </c>
      <c r="E312" t="s">
        <v>21</v>
      </c>
      <c r="F312" t="s">
        <v>22</v>
      </c>
      <c r="G312" t="s">
        <v>23</v>
      </c>
      <c r="H312" t="s">
        <v>193</v>
      </c>
      <c r="I312" t="s">
        <v>847</v>
      </c>
      <c r="J312">
        <v>10.002242000000001</v>
      </c>
      <c r="K312">
        <v>-84.242767999999998</v>
      </c>
      <c r="L312" t="s">
        <v>26</v>
      </c>
      <c r="M312" t="s">
        <v>54</v>
      </c>
      <c r="N312" t="s">
        <v>55</v>
      </c>
      <c r="O312" t="s">
        <v>56</v>
      </c>
      <c r="P312">
        <v>7</v>
      </c>
      <c r="Q312" t="s">
        <v>39</v>
      </c>
      <c r="S312" t="str">
        <f>_xlfn.XLOOKUP(UNIVERSO[[#This Row],[Ruta]],'[1]CUOTA RUTA'!A:A,'[1]CUOTA RUTA'!D:D)</f>
        <v>Cargar</v>
      </c>
    </row>
    <row r="313" spans="1:19" x14ac:dyDescent="0.25">
      <c r="A313">
        <v>1540013595</v>
      </c>
      <c r="B313" t="s">
        <v>848</v>
      </c>
      <c r="C313" t="s">
        <v>19</v>
      </c>
      <c r="D313" t="s">
        <v>20</v>
      </c>
      <c r="E313" t="s">
        <v>21</v>
      </c>
      <c r="F313" t="s">
        <v>22</v>
      </c>
      <c r="G313" t="s">
        <v>33</v>
      </c>
      <c r="H313" t="s">
        <v>303</v>
      </c>
      <c r="I313" t="s">
        <v>849</v>
      </c>
      <c r="J313">
        <v>10.0052</v>
      </c>
      <c r="K313">
        <v>-84.240809999999996</v>
      </c>
      <c r="L313" t="s">
        <v>26</v>
      </c>
      <c r="M313" t="s">
        <v>54</v>
      </c>
      <c r="N313" t="s">
        <v>55</v>
      </c>
      <c r="O313" t="s">
        <v>56</v>
      </c>
      <c r="P313">
        <v>7</v>
      </c>
      <c r="Q313" t="s">
        <v>39</v>
      </c>
      <c r="S313" t="str">
        <f>_xlfn.XLOOKUP(UNIVERSO[[#This Row],[Ruta]],'[1]CUOTA RUTA'!A:A,'[1]CUOTA RUTA'!D:D)</f>
        <v>Cargar</v>
      </c>
    </row>
    <row r="314" spans="1:19" x14ac:dyDescent="0.25">
      <c r="A314">
        <v>1540013788</v>
      </c>
      <c r="B314" t="s">
        <v>850</v>
      </c>
      <c r="C314" t="s">
        <v>19</v>
      </c>
      <c r="D314" t="s">
        <v>266</v>
      </c>
      <c r="E314" t="s">
        <v>21</v>
      </c>
      <c r="F314" t="s">
        <v>22</v>
      </c>
      <c r="G314" t="s">
        <v>33</v>
      </c>
      <c r="H314" t="s">
        <v>706</v>
      </c>
      <c r="I314" t="s">
        <v>851</v>
      </c>
      <c r="J314">
        <v>9.861504</v>
      </c>
      <c r="K314">
        <v>-83.935073000000003</v>
      </c>
      <c r="L314" t="s">
        <v>26</v>
      </c>
      <c r="M314" t="s">
        <v>36</v>
      </c>
      <c r="N314" t="s">
        <v>316</v>
      </c>
      <c r="O314" t="s">
        <v>317</v>
      </c>
      <c r="P314">
        <v>16</v>
      </c>
      <c r="Q314" t="s">
        <v>60</v>
      </c>
      <c r="S314" t="str">
        <f>_xlfn.XLOOKUP(UNIVERSO[[#This Row],[Ruta]],'[1]CUOTA RUTA'!A:A,'[1]CUOTA RUTA'!D:D)</f>
        <v>Cargar</v>
      </c>
    </row>
    <row r="315" spans="1:19" x14ac:dyDescent="0.25">
      <c r="A315">
        <v>1540013868</v>
      </c>
      <c r="B315" t="s">
        <v>852</v>
      </c>
      <c r="C315" t="s">
        <v>19</v>
      </c>
      <c r="D315" t="s">
        <v>20</v>
      </c>
      <c r="E315" t="s">
        <v>21</v>
      </c>
      <c r="F315" t="s">
        <v>51</v>
      </c>
      <c r="G315" t="s">
        <v>23</v>
      </c>
      <c r="H315" t="s">
        <v>285</v>
      </c>
      <c r="I315" t="s">
        <v>853</v>
      </c>
      <c r="J315">
        <v>10.002938</v>
      </c>
      <c r="K315">
        <v>-84.187082000000004</v>
      </c>
      <c r="L315" t="s">
        <v>26</v>
      </c>
      <c r="M315" t="s">
        <v>54</v>
      </c>
      <c r="N315" t="s">
        <v>55</v>
      </c>
      <c r="O315" t="s">
        <v>56</v>
      </c>
      <c r="P315">
        <v>15</v>
      </c>
      <c r="Q315" t="s">
        <v>231</v>
      </c>
      <c r="S315" t="str">
        <f>_xlfn.XLOOKUP(UNIVERSO[[#This Row],[Ruta]],'[1]CUOTA RUTA'!A:A,'[1]CUOTA RUTA'!D:D)</f>
        <v>Cargar</v>
      </c>
    </row>
    <row r="316" spans="1:19" x14ac:dyDescent="0.25">
      <c r="A316">
        <v>1540013947</v>
      </c>
      <c r="B316" t="s">
        <v>854</v>
      </c>
      <c r="C316" t="s">
        <v>19</v>
      </c>
      <c r="D316" t="s">
        <v>32</v>
      </c>
      <c r="E316" t="s">
        <v>21</v>
      </c>
      <c r="F316" t="s">
        <v>22</v>
      </c>
      <c r="G316" t="s">
        <v>23</v>
      </c>
      <c r="H316" t="s">
        <v>134</v>
      </c>
      <c r="I316" t="s">
        <v>855</v>
      </c>
      <c r="J316">
        <v>9.9489000000000001</v>
      </c>
      <c r="K316">
        <v>-84.066800000000001</v>
      </c>
      <c r="L316" t="s">
        <v>26</v>
      </c>
      <c r="M316" t="s">
        <v>94</v>
      </c>
      <c r="N316" t="s">
        <v>95</v>
      </c>
      <c r="O316" t="s">
        <v>96</v>
      </c>
      <c r="P316">
        <v>9</v>
      </c>
      <c r="Q316" t="s">
        <v>80</v>
      </c>
      <c r="S316" t="str">
        <f>_xlfn.XLOOKUP(UNIVERSO[[#This Row],[Ruta]],'[1]CUOTA RUTA'!A:A,'[1]CUOTA RUTA'!D:D)</f>
        <v>Cargar</v>
      </c>
    </row>
    <row r="317" spans="1:19" x14ac:dyDescent="0.25">
      <c r="A317">
        <v>1540014113</v>
      </c>
      <c r="B317" t="s">
        <v>856</v>
      </c>
      <c r="C317" t="s">
        <v>19</v>
      </c>
      <c r="D317" t="s">
        <v>244</v>
      </c>
      <c r="E317" t="s">
        <v>62</v>
      </c>
      <c r="F317" t="s">
        <v>63</v>
      </c>
      <c r="G317" t="s">
        <v>64</v>
      </c>
      <c r="H317" t="s">
        <v>857</v>
      </c>
      <c r="I317" t="s">
        <v>858</v>
      </c>
      <c r="J317">
        <v>9.3855389999999996</v>
      </c>
      <c r="K317">
        <v>-83.707447999999999</v>
      </c>
      <c r="L317" t="s">
        <v>26</v>
      </c>
      <c r="M317" t="s">
        <v>46</v>
      </c>
      <c r="N317" t="s">
        <v>247</v>
      </c>
      <c r="O317" t="s">
        <v>248</v>
      </c>
      <c r="P317">
        <v>15</v>
      </c>
      <c r="Q317" t="s">
        <v>231</v>
      </c>
      <c r="S317" t="str">
        <f>_xlfn.XLOOKUP(UNIVERSO[[#This Row],[Ruta]],'[1]CUOTA RUTA'!A:A,'[1]CUOTA RUTA'!D:D)</f>
        <v>Cargar</v>
      </c>
    </row>
    <row r="318" spans="1:19" x14ac:dyDescent="0.25">
      <c r="A318">
        <v>1540014119</v>
      </c>
      <c r="B318" t="s">
        <v>859</v>
      </c>
      <c r="C318" t="s">
        <v>19</v>
      </c>
      <c r="D318" t="s">
        <v>244</v>
      </c>
      <c r="E318" t="s">
        <v>21</v>
      </c>
      <c r="F318" t="s">
        <v>22</v>
      </c>
      <c r="G318" t="s">
        <v>33</v>
      </c>
      <c r="H318" t="s">
        <v>767</v>
      </c>
      <c r="I318" t="s">
        <v>860</v>
      </c>
      <c r="J318">
        <v>9.4214400000000005</v>
      </c>
      <c r="K318">
        <v>-83.659057399999995</v>
      </c>
      <c r="L318" t="s">
        <v>26</v>
      </c>
      <c r="M318" t="s">
        <v>46</v>
      </c>
      <c r="N318" t="s">
        <v>247</v>
      </c>
      <c r="O318" t="s">
        <v>248</v>
      </c>
      <c r="P318">
        <v>18</v>
      </c>
      <c r="Q318" t="s">
        <v>84</v>
      </c>
      <c r="S318" t="str">
        <f>_xlfn.XLOOKUP(UNIVERSO[[#This Row],[Ruta]],'[1]CUOTA RUTA'!A:A,'[1]CUOTA RUTA'!D:D)</f>
        <v>Cargar</v>
      </c>
    </row>
    <row r="319" spans="1:19" x14ac:dyDescent="0.25">
      <c r="A319">
        <v>1540014227</v>
      </c>
      <c r="B319" t="s">
        <v>861</v>
      </c>
      <c r="C319" t="s">
        <v>19</v>
      </c>
      <c r="D319" t="s">
        <v>20</v>
      </c>
      <c r="E319" t="s">
        <v>62</v>
      </c>
      <c r="F319" t="s">
        <v>63</v>
      </c>
      <c r="G319" t="s">
        <v>33</v>
      </c>
      <c r="H319" t="s">
        <v>862</v>
      </c>
      <c r="I319" t="s">
        <v>863</v>
      </c>
      <c r="J319">
        <v>9.9866325499999995</v>
      </c>
      <c r="K319">
        <v>-84.184074659999993</v>
      </c>
      <c r="L319" t="s">
        <v>26</v>
      </c>
      <c r="M319" t="s">
        <v>27</v>
      </c>
      <c r="N319" t="s">
        <v>28</v>
      </c>
      <c r="O319" t="s">
        <v>29</v>
      </c>
      <c r="P319">
        <v>23</v>
      </c>
      <c r="Q319" t="s">
        <v>125</v>
      </c>
      <c r="S319" t="str">
        <f>_xlfn.XLOOKUP(UNIVERSO[[#This Row],[Ruta]],'[1]CUOTA RUTA'!A:A,'[1]CUOTA RUTA'!D:D)</f>
        <v>Cargar</v>
      </c>
    </row>
    <row r="320" spans="1:19" x14ac:dyDescent="0.25">
      <c r="A320">
        <v>1540014451</v>
      </c>
      <c r="B320" t="s">
        <v>310</v>
      </c>
      <c r="C320" t="s">
        <v>19</v>
      </c>
      <c r="D320" t="s">
        <v>208</v>
      </c>
      <c r="E320" t="s">
        <v>21</v>
      </c>
      <c r="F320" t="s">
        <v>22</v>
      </c>
      <c r="G320" t="s">
        <v>23</v>
      </c>
      <c r="H320" t="s">
        <v>224</v>
      </c>
      <c r="I320" t="s">
        <v>864</v>
      </c>
      <c r="J320">
        <v>10.209669999999999</v>
      </c>
      <c r="K320">
        <v>-83.683350000000004</v>
      </c>
      <c r="L320" t="s">
        <v>26</v>
      </c>
      <c r="M320" t="s">
        <v>189</v>
      </c>
      <c r="N320" t="s">
        <v>211</v>
      </c>
      <c r="O320" t="s">
        <v>212</v>
      </c>
      <c r="P320">
        <v>6</v>
      </c>
      <c r="Q320" t="s">
        <v>49</v>
      </c>
      <c r="S320" t="str">
        <f>_xlfn.XLOOKUP(UNIVERSO[[#This Row],[Ruta]],'[1]CUOTA RUTA'!A:A,'[1]CUOTA RUTA'!D:D)</f>
        <v>Cargar</v>
      </c>
    </row>
    <row r="321" spans="1:19" x14ac:dyDescent="0.25">
      <c r="A321">
        <v>1540014467</v>
      </c>
      <c r="B321" t="s">
        <v>865</v>
      </c>
      <c r="C321" t="s">
        <v>19</v>
      </c>
      <c r="D321" t="s">
        <v>186</v>
      </c>
      <c r="E321" t="s">
        <v>21</v>
      </c>
      <c r="F321" t="s">
        <v>22</v>
      </c>
      <c r="G321" t="s">
        <v>23</v>
      </c>
      <c r="H321" t="s">
        <v>420</v>
      </c>
      <c r="I321" t="s">
        <v>866</v>
      </c>
      <c r="J321">
        <v>9.7736789999999996</v>
      </c>
      <c r="K321">
        <v>-82.907876000000002</v>
      </c>
      <c r="L321" t="s">
        <v>26</v>
      </c>
      <c r="M321" t="s">
        <v>189</v>
      </c>
      <c r="N321" t="s">
        <v>190</v>
      </c>
      <c r="O321" t="s">
        <v>191</v>
      </c>
      <c r="P321">
        <v>17</v>
      </c>
      <c r="Q321" t="s">
        <v>287</v>
      </c>
      <c r="S321" t="str">
        <f>_xlfn.XLOOKUP(UNIVERSO[[#This Row],[Ruta]],'[1]CUOTA RUTA'!A:A,'[1]CUOTA RUTA'!D:D)</f>
        <v>Cargar</v>
      </c>
    </row>
    <row r="322" spans="1:19" x14ac:dyDescent="0.25">
      <c r="A322">
        <v>1540014550</v>
      </c>
      <c r="B322" t="s">
        <v>867</v>
      </c>
      <c r="C322" t="s">
        <v>19</v>
      </c>
      <c r="D322" t="s">
        <v>186</v>
      </c>
      <c r="E322" t="s">
        <v>62</v>
      </c>
      <c r="F322" t="s">
        <v>63</v>
      </c>
      <c r="G322" t="s">
        <v>64</v>
      </c>
      <c r="H322" t="s">
        <v>868</v>
      </c>
      <c r="I322" t="s">
        <v>869</v>
      </c>
      <c r="J322">
        <v>9.9926890000000004</v>
      </c>
      <c r="K322">
        <v>-83.027771000000001</v>
      </c>
      <c r="L322" t="s">
        <v>26</v>
      </c>
      <c r="M322" t="s">
        <v>189</v>
      </c>
      <c r="N322" t="s">
        <v>190</v>
      </c>
      <c r="O322" t="s">
        <v>191</v>
      </c>
      <c r="P322">
        <v>12</v>
      </c>
      <c r="Q322" t="s">
        <v>42</v>
      </c>
      <c r="S322" t="str">
        <f>_xlfn.XLOOKUP(UNIVERSO[[#This Row],[Ruta]],'[1]CUOTA RUTA'!A:A,'[1]CUOTA RUTA'!D:D)</f>
        <v>Cargar</v>
      </c>
    </row>
    <row r="323" spans="1:19" x14ac:dyDescent="0.25">
      <c r="A323">
        <v>1540014697</v>
      </c>
      <c r="B323" t="s">
        <v>310</v>
      </c>
      <c r="C323" t="s">
        <v>19</v>
      </c>
      <c r="D323" t="s">
        <v>32</v>
      </c>
      <c r="E323" t="s">
        <v>21</v>
      </c>
      <c r="F323" t="s">
        <v>22</v>
      </c>
      <c r="G323" t="s">
        <v>23</v>
      </c>
      <c r="H323" t="s">
        <v>86</v>
      </c>
      <c r="I323" t="s">
        <v>870</v>
      </c>
      <c r="J323">
        <v>9.9011849999999999</v>
      </c>
      <c r="K323">
        <v>-84.064077999999995</v>
      </c>
      <c r="L323" t="s">
        <v>26</v>
      </c>
      <c r="M323" t="s">
        <v>71</v>
      </c>
      <c r="N323" t="s">
        <v>72</v>
      </c>
      <c r="O323" t="s">
        <v>73</v>
      </c>
      <c r="P323">
        <v>18</v>
      </c>
      <c r="Q323" t="s">
        <v>84</v>
      </c>
      <c r="S323" t="str">
        <f>_xlfn.XLOOKUP(UNIVERSO[[#This Row],[Ruta]],'[1]CUOTA RUTA'!A:A,'[1]CUOTA RUTA'!D:D)</f>
        <v>Cargar</v>
      </c>
    </row>
    <row r="324" spans="1:19" x14ac:dyDescent="0.25">
      <c r="A324">
        <v>1540014699</v>
      </c>
      <c r="B324" t="s">
        <v>871</v>
      </c>
      <c r="C324" t="s">
        <v>19</v>
      </c>
      <c r="D324" t="s">
        <v>32</v>
      </c>
      <c r="E324" t="s">
        <v>21</v>
      </c>
      <c r="F324" t="s">
        <v>51</v>
      </c>
      <c r="G324" t="s">
        <v>23</v>
      </c>
      <c r="H324" t="s">
        <v>441</v>
      </c>
      <c r="I324" t="s">
        <v>872</v>
      </c>
      <c r="J324">
        <v>9.9006509999999999</v>
      </c>
      <c r="K324">
        <v>-84.084704000000002</v>
      </c>
      <c r="L324" t="s">
        <v>26</v>
      </c>
      <c r="M324" t="s">
        <v>71</v>
      </c>
      <c r="N324" t="s">
        <v>72</v>
      </c>
      <c r="O324" t="s">
        <v>73</v>
      </c>
      <c r="P324">
        <v>6</v>
      </c>
      <c r="Q324" t="s">
        <v>49</v>
      </c>
      <c r="S324" t="str">
        <f>_xlfn.XLOOKUP(UNIVERSO[[#This Row],[Ruta]],'[1]CUOTA RUTA'!A:A,'[1]CUOTA RUTA'!D:D)</f>
        <v>Cargar</v>
      </c>
    </row>
    <row r="325" spans="1:19" x14ac:dyDescent="0.25">
      <c r="A325">
        <v>1540014744</v>
      </c>
      <c r="B325" t="s">
        <v>873</v>
      </c>
      <c r="C325" t="s">
        <v>19</v>
      </c>
      <c r="D325" t="s">
        <v>20</v>
      </c>
      <c r="E325" t="s">
        <v>62</v>
      </c>
      <c r="F325" t="s">
        <v>63</v>
      </c>
      <c r="G325" t="s">
        <v>64</v>
      </c>
      <c r="H325" t="s">
        <v>874</v>
      </c>
      <c r="I325" t="s">
        <v>875</v>
      </c>
      <c r="J325">
        <v>9.97865</v>
      </c>
      <c r="K325">
        <v>-84.118620000000007</v>
      </c>
      <c r="L325" t="s">
        <v>26</v>
      </c>
      <c r="M325" t="s">
        <v>27</v>
      </c>
      <c r="N325" t="s">
        <v>28</v>
      </c>
      <c r="O325" t="s">
        <v>29</v>
      </c>
      <c r="P325">
        <v>6</v>
      </c>
      <c r="Q325" t="s">
        <v>49</v>
      </c>
      <c r="S325" t="str">
        <f>_xlfn.XLOOKUP(UNIVERSO[[#This Row],[Ruta]],'[1]CUOTA RUTA'!A:A,'[1]CUOTA RUTA'!D:D)</f>
        <v>Cargar</v>
      </c>
    </row>
    <row r="326" spans="1:19" x14ac:dyDescent="0.25">
      <c r="A326">
        <v>1540014826</v>
      </c>
      <c r="B326" t="s">
        <v>876</v>
      </c>
      <c r="C326" t="s">
        <v>19</v>
      </c>
      <c r="D326" t="s">
        <v>186</v>
      </c>
      <c r="E326" t="s">
        <v>21</v>
      </c>
      <c r="F326" t="s">
        <v>22</v>
      </c>
      <c r="G326" t="s">
        <v>23</v>
      </c>
      <c r="H326" t="s">
        <v>420</v>
      </c>
      <c r="I326" t="s">
        <v>877</v>
      </c>
      <c r="J326">
        <v>9.7695319999999999</v>
      </c>
      <c r="K326">
        <v>-82.904542000000006</v>
      </c>
      <c r="L326" t="s">
        <v>26</v>
      </c>
      <c r="M326" t="s">
        <v>189</v>
      </c>
      <c r="N326" t="s">
        <v>190</v>
      </c>
      <c r="O326" t="s">
        <v>191</v>
      </c>
      <c r="P326">
        <v>17</v>
      </c>
      <c r="Q326" t="s">
        <v>287</v>
      </c>
      <c r="S326" t="str">
        <f>_xlfn.XLOOKUP(UNIVERSO[[#This Row],[Ruta]],'[1]CUOTA RUTA'!A:A,'[1]CUOTA RUTA'!D:D)</f>
        <v>Cargar</v>
      </c>
    </row>
    <row r="327" spans="1:19" x14ac:dyDescent="0.25">
      <c r="A327">
        <v>1540015200</v>
      </c>
      <c r="B327" t="s">
        <v>878</v>
      </c>
      <c r="C327" t="s">
        <v>19</v>
      </c>
      <c r="D327" t="s">
        <v>32</v>
      </c>
      <c r="E327" t="s">
        <v>21</v>
      </c>
      <c r="F327" t="s">
        <v>22</v>
      </c>
      <c r="G327" t="s">
        <v>23</v>
      </c>
      <c r="H327" t="s">
        <v>879</v>
      </c>
      <c r="I327" t="s">
        <v>880</v>
      </c>
      <c r="J327">
        <v>9.9186116666669992</v>
      </c>
      <c r="K327">
        <v>-84.079951666659994</v>
      </c>
      <c r="L327" t="s">
        <v>26</v>
      </c>
      <c r="M327" t="s">
        <v>71</v>
      </c>
      <c r="N327" t="s">
        <v>72</v>
      </c>
      <c r="O327" t="s">
        <v>73</v>
      </c>
      <c r="P327">
        <v>2</v>
      </c>
      <c r="Q327" t="s">
        <v>150</v>
      </c>
      <c r="S327" t="str">
        <f>_xlfn.XLOOKUP(UNIVERSO[[#This Row],[Ruta]],'[1]CUOTA RUTA'!A:A,'[1]CUOTA RUTA'!D:D)</f>
        <v>Cargar</v>
      </c>
    </row>
    <row r="328" spans="1:19" x14ac:dyDescent="0.25">
      <c r="A328">
        <v>1540015461</v>
      </c>
      <c r="B328" t="s">
        <v>881</v>
      </c>
      <c r="C328" t="s">
        <v>19</v>
      </c>
      <c r="D328" t="s">
        <v>20</v>
      </c>
      <c r="E328" t="s">
        <v>62</v>
      </c>
      <c r="F328" t="s">
        <v>63</v>
      </c>
      <c r="G328" t="s">
        <v>64</v>
      </c>
      <c r="H328" t="s">
        <v>143</v>
      </c>
      <c r="I328" t="s">
        <v>882</v>
      </c>
      <c r="J328">
        <v>9.9504319999999993</v>
      </c>
      <c r="K328">
        <v>-84.118212</v>
      </c>
      <c r="L328" t="s">
        <v>26</v>
      </c>
      <c r="M328" t="s">
        <v>27</v>
      </c>
      <c r="N328" t="s">
        <v>28</v>
      </c>
      <c r="O328" t="s">
        <v>29</v>
      </c>
      <c r="P328">
        <v>10</v>
      </c>
      <c r="Q328" t="s">
        <v>136</v>
      </c>
      <c r="S328" t="str">
        <f>_xlfn.XLOOKUP(UNIVERSO[[#This Row],[Ruta]],'[1]CUOTA RUTA'!A:A,'[1]CUOTA RUTA'!D:D)</f>
        <v>Cargar</v>
      </c>
    </row>
    <row r="329" spans="1:19" x14ac:dyDescent="0.25">
      <c r="A329">
        <v>1540015519</v>
      </c>
      <c r="B329" t="s">
        <v>883</v>
      </c>
      <c r="C329" t="s">
        <v>19</v>
      </c>
      <c r="D329" t="s">
        <v>32</v>
      </c>
      <c r="E329" t="s">
        <v>21</v>
      </c>
      <c r="F329" t="s">
        <v>22</v>
      </c>
      <c r="G329" t="s">
        <v>23</v>
      </c>
      <c r="H329" t="s">
        <v>134</v>
      </c>
      <c r="I329" t="s">
        <v>884</v>
      </c>
      <c r="J329">
        <v>9.9043167000000008</v>
      </c>
      <c r="K329">
        <v>-84.057145000000006</v>
      </c>
      <c r="L329" t="s">
        <v>26</v>
      </c>
      <c r="M329" t="s">
        <v>94</v>
      </c>
      <c r="N329" t="s">
        <v>95</v>
      </c>
      <c r="O329" t="s">
        <v>96</v>
      </c>
      <c r="P329">
        <v>12</v>
      </c>
      <c r="Q329" t="s">
        <v>42</v>
      </c>
      <c r="S329" t="str">
        <f>_xlfn.XLOOKUP(UNIVERSO[[#This Row],[Ruta]],'[1]CUOTA RUTA'!A:A,'[1]CUOTA RUTA'!D:D)</f>
        <v>Cargar</v>
      </c>
    </row>
    <row r="330" spans="1:19" x14ac:dyDescent="0.25">
      <c r="A330">
        <v>1540015576</v>
      </c>
      <c r="B330" t="s">
        <v>885</v>
      </c>
      <c r="C330" t="s">
        <v>19</v>
      </c>
      <c r="D330" t="s">
        <v>32</v>
      </c>
      <c r="E330" t="s">
        <v>21</v>
      </c>
      <c r="F330" t="s">
        <v>22</v>
      </c>
      <c r="G330" t="s">
        <v>33</v>
      </c>
      <c r="H330" t="s">
        <v>698</v>
      </c>
      <c r="I330" t="s">
        <v>886</v>
      </c>
      <c r="J330">
        <v>9.9599030000000006</v>
      </c>
      <c r="K330">
        <v>-84.0398</v>
      </c>
      <c r="L330" t="s">
        <v>26</v>
      </c>
      <c r="M330" t="s">
        <v>94</v>
      </c>
      <c r="N330" t="s">
        <v>95</v>
      </c>
      <c r="O330" t="s">
        <v>96</v>
      </c>
      <c r="P330">
        <v>7</v>
      </c>
      <c r="Q330" t="s">
        <v>39</v>
      </c>
      <c r="S330" t="str">
        <f>_xlfn.XLOOKUP(UNIVERSO[[#This Row],[Ruta]],'[1]CUOTA RUTA'!A:A,'[1]CUOTA RUTA'!D:D)</f>
        <v>Cargar</v>
      </c>
    </row>
    <row r="331" spans="1:19" x14ac:dyDescent="0.25">
      <c r="A331">
        <v>1540015831</v>
      </c>
      <c r="B331" t="s">
        <v>887</v>
      </c>
      <c r="C331" t="s">
        <v>19</v>
      </c>
      <c r="D331" t="s">
        <v>20</v>
      </c>
      <c r="E331" t="s">
        <v>21</v>
      </c>
      <c r="F331" t="s">
        <v>22</v>
      </c>
      <c r="G331" t="s">
        <v>64</v>
      </c>
      <c r="H331" t="s">
        <v>888</v>
      </c>
      <c r="I331" t="s">
        <v>889</v>
      </c>
      <c r="J331">
        <v>10.00301316</v>
      </c>
      <c r="K331">
        <v>-84.122860320000001</v>
      </c>
      <c r="L331" t="s">
        <v>26</v>
      </c>
      <c r="M331" t="s">
        <v>27</v>
      </c>
      <c r="N331" t="s">
        <v>28</v>
      </c>
      <c r="O331" t="s">
        <v>29</v>
      </c>
      <c r="P331">
        <v>12</v>
      </c>
      <c r="Q331" t="s">
        <v>42</v>
      </c>
      <c r="S331" t="str">
        <f>_xlfn.XLOOKUP(UNIVERSO[[#This Row],[Ruta]],'[1]CUOTA RUTA'!A:A,'[1]CUOTA RUTA'!D:D)</f>
        <v>Cargar</v>
      </c>
    </row>
    <row r="332" spans="1:19" x14ac:dyDescent="0.25">
      <c r="A332">
        <v>1540016075</v>
      </c>
      <c r="B332" t="s">
        <v>890</v>
      </c>
      <c r="C332" t="s">
        <v>19</v>
      </c>
      <c r="D332" t="s">
        <v>324</v>
      </c>
      <c r="E332" t="s">
        <v>62</v>
      </c>
      <c r="F332" t="s">
        <v>63</v>
      </c>
      <c r="G332" t="s">
        <v>33</v>
      </c>
      <c r="H332" t="s">
        <v>331</v>
      </c>
      <c r="I332" t="s">
        <v>891</v>
      </c>
      <c r="J332">
        <v>10.434533682594999</v>
      </c>
      <c r="K332">
        <v>-84.190182645109999</v>
      </c>
      <c r="L332" t="s">
        <v>26</v>
      </c>
      <c r="M332" t="s">
        <v>327</v>
      </c>
      <c r="N332" t="s">
        <v>328</v>
      </c>
      <c r="O332" t="s">
        <v>329</v>
      </c>
      <c r="P332">
        <v>17</v>
      </c>
      <c r="Q332" t="s">
        <v>287</v>
      </c>
      <c r="S332" t="str">
        <f>_xlfn.XLOOKUP(UNIVERSO[[#This Row],[Ruta]],'[1]CUOTA RUTA'!A:A,'[1]CUOTA RUTA'!D:D)</f>
        <v>Cargar</v>
      </c>
    </row>
    <row r="333" spans="1:19" x14ac:dyDescent="0.25">
      <c r="A333">
        <v>1540016472</v>
      </c>
      <c r="B333" t="s">
        <v>892</v>
      </c>
      <c r="C333" t="s">
        <v>19</v>
      </c>
      <c r="D333" t="s">
        <v>32</v>
      </c>
      <c r="E333" t="s">
        <v>21</v>
      </c>
      <c r="F333" t="s">
        <v>22</v>
      </c>
      <c r="G333" t="s">
        <v>64</v>
      </c>
      <c r="H333" t="s">
        <v>92</v>
      </c>
      <c r="I333" t="s">
        <v>893</v>
      </c>
      <c r="J333">
        <v>9.9752480000000006</v>
      </c>
      <c r="K333">
        <v>-84.000200000000007</v>
      </c>
      <c r="L333" t="s">
        <v>26</v>
      </c>
      <c r="M333" t="s">
        <v>94</v>
      </c>
      <c r="N333" t="s">
        <v>95</v>
      </c>
      <c r="O333" t="s">
        <v>96</v>
      </c>
      <c r="P333">
        <v>4</v>
      </c>
      <c r="Q333" t="s">
        <v>120</v>
      </c>
      <c r="S333" t="str">
        <f>_xlfn.XLOOKUP(UNIVERSO[[#This Row],[Ruta]],'[1]CUOTA RUTA'!A:A,'[1]CUOTA RUTA'!D:D)</f>
        <v>Cargar</v>
      </c>
    </row>
    <row r="334" spans="1:19" x14ac:dyDescent="0.25">
      <c r="A334">
        <v>1540016930</v>
      </c>
      <c r="B334" t="s">
        <v>894</v>
      </c>
      <c r="C334" t="s">
        <v>19</v>
      </c>
      <c r="D334" t="s">
        <v>20</v>
      </c>
      <c r="E334" t="s">
        <v>21</v>
      </c>
      <c r="F334" t="s">
        <v>22</v>
      </c>
      <c r="G334" t="s">
        <v>23</v>
      </c>
      <c r="H334" t="s">
        <v>458</v>
      </c>
      <c r="I334" t="s">
        <v>895</v>
      </c>
      <c r="J334">
        <v>9.9830863999999995</v>
      </c>
      <c r="K334">
        <v>-84.2571248</v>
      </c>
      <c r="L334" t="s">
        <v>26</v>
      </c>
      <c r="M334" t="s">
        <v>54</v>
      </c>
      <c r="N334" t="s">
        <v>55</v>
      </c>
      <c r="O334" t="s">
        <v>56</v>
      </c>
      <c r="P334">
        <v>5</v>
      </c>
      <c r="Q334" t="s">
        <v>117</v>
      </c>
      <c r="S334" t="str">
        <f>_xlfn.XLOOKUP(UNIVERSO[[#This Row],[Ruta]],'[1]CUOTA RUTA'!A:A,'[1]CUOTA RUTA'!D:D)</f>
        <v>Cargar</v>
      </c>
    </row>
    <row r="335" spans="1:19" x14ac:dyDescent="0.25">
      <c r="A335">
        <v>1540017133</v>
      </c>
      <c r="B335" t="s">
        <v>896</v>
      </c>
      <c r="C335" t="s">
        <v>19</v>
      </c>
      <c r="D335" t="s">
        <v>201</v>
      </c>
      <c r="E335" t="s">
        <v>62</v>
      </c>
      <c r="F335" t="s">
        <v>63</v>
      </c>
      <c r="G335" t="s">
        <v>23</v>
      </c>
      <c r="H335" t="s">
        <v>499</v>
      </c>
      <c r="I335" t="s">
        <v>897</v>
      </c>
      <c r="J335">
        <v>9.9231605999999992</v>
      </c>
      <c r="K335">
        <v>-84.713431400000005</v>
      </c>
      <c r="L335" t="s">
        <v>26</v>
      </c>
      <c r="M335" t="s">
        <v>204</v>
      </c>
      <c r="N335" t="s">
        <v>205</v>
      </c>
      <c r="O335" t="s">
        <v>206</v>
      </c>
      <c r="P335">
        <v>7</v>
      </c>
      <c r="Q335" t="s">
        <v>39</v>
      </c>
      <c r="S335" t="str">
        <f>_xlfn.XLOOKUP(UNIVERSO[[#This Row],[Ruta]],'[1]CUOTA RUTA'!A:A,'[1]CUOTA RUTA'!D:D)</f>
        <v>Cargar</v>
      </c>
    </row>
    <row r="336" spans="1:19" x14ac:dyDescent="0.25">
      <c r="A336">
        <v>1540017156</v>
      </c>
      <c r="B336" t="s">
        <v>898</v>
      </c>
      <c r="C336" t="s">
        <v>19</v>
      </c>
      <c r="D336" t="s">
        <v>32</v>
      </c>
      <c r="E336" t="s">
        <v>21</v>
      </c>
      <c r="F336" t="s">
        <v>22</v>
      </c>
      <c r="G336" t="s">
        <v>33</v>
      </c>
      <c r="H336" t="s">
        <v>76</v>
      </c>
      <c r="I336" t="s">
        <v>899</v>
      </c>
      <c r="J336">
        <v>9.942418</v>
      </c>
      <c r="K336">
        <v>-84.0274</v>
      </c>
      <c r="L336" t="s">
        <v>26</v>
      </c>
      <c r="M336" t="s">
        <v>36</v>
      </c>
      <c r="N336" t="s">
        <v>37</v>
      </c>
      <c r="O336" t="s">
        <v>38</v>
      </c>
      <c r="P336">
        <v>8</v>
      </c>
      <c r="Q336" t="s">
        <v>97</v>
      </c>
      <c r="S336" t="str">
        <f>_xlfn.XLOOKUP(UNIVERSO[[#This Row],[Ruta]],'[1]CUOTA RUTA'!A:A,'[1]CUOTA RUTA'!D:D)</f>
        <v>Cargar</v>
      </c>
    </row>
    <row r="337" spans="1:19" x14ac:dyDescent="0.25">
      <c r="A337">
        <v>1540017216</v>
      </c>
      <c r="B337" t="s">
        <v>900</v>
      </c>
      <c r="C337" t="s">
        <v>19</v>
      </c>
      <c r="D337" t="s">
        <v>20</v>
      </c>
      <c r="E337" t="s">
        <v>21</v>
      </c>
      <c r="F337" t="s">
        <v>22</v>
      </c>
      <c r="G337" t="s">
        <v>33</v>
      </c>
      <c r="H337" t="s">
        <v>901</v>
      </c>
      <c r="I337" t="s">
        <v>902</v>
      </c>
      <c r="J337">
        <v>10.0536137</v>
      </c>
      <c r="K337">
        <v>-84.430153300000001</v>
      </c>
      <c r="L337" t="s">
        <v>26</v>
      </c>
      <c r="M337" t="s">
        <v>46</v>
      </c>
      <c r="N337" t="s">
        <v>47</v>
      </c>
      <c r="O337" t="s">
        <v>48</v>
      </c>
      <c r="P337">
        <v>8</v>
      </c>
      <c r="Q337" t="s">
        <v>97</v>
      </c>
      <c r="S337" t="str">
        <f>_xlfn.XLOOKUP(UNIVERSO[[#This Row],[Ruta]],'[1]CUOTA RUTA'!A:A,'[1]CUOTA RUTA'!D:D)</f>
        <v>Cargar</v>
      </c>
    </row>
    <row r="338" spans="1:19" x14ac:dyDescent="0.25">
      <c r="A338">
        <v>1540017417</v>
      </c>
      <c r="B338" t="s">
        <v>903</v>
      </c>
      <c r="C338" t="s">
        <v>19</v>
      </c>
      <c r="D338" t="s">
        <v>266</v>
      </c>
      <c r="E338" t="s">
        <v>21</v>
      </c>
      <c r="F338" t="s">
        <v>22</v>
      </c>
      <c r="G338" t="s">
        <v>23</v>
      </c>
      <c r="H338" t="s">
        <v>372</v>
      </c>
      <c r="I338" t="s">
        <v>904</v>
      </c>
      <c r="J338">
        <v>9.9254744200000005</v>
      </c>
      <c r="K338">
        <v>-83.696640509999995</v>
      </c>
      <c r="L338" t="s">
        <v>26</v>
      </c>
      <c r="M338" t="s">
        <v>189</v>
      </c>
      <c r="N338" t="s">
        <v>269</v>
      </c>
      <c r="O338" t="s">
        <v>270</v>
      </c>
      <c r="P338">
        <v>22</v>
      </c>
      <c r="Q338" t="s">
        <v>30</v>
      </c>
      <c r="S338" t="str">
        <f>_xlfn.XLOOKUP(UNIVERSO[[#This Row],[Ruta]],'[1]CUOTA RUTA'!A:A,'[1]CUOTA RUTA'!D:D)</f>
        <v>Cargar</v>
      </c>
    </row>
    <row r="339" spans="1:19" x14ac:dyDescent="0.25">
      <c r="A339">
        <v>1540017442</v>
      </c>
      <c r="B339" t="s">
        <v>905</v>
      </c>
      <c r="C339" t="s">
        <v>19</v>
      </c>
      <c r="D339" t="s">
        <v>186</v>
      </c>
      <c r="E339" t="s">
        <v>21</v>
      </c>
      <c r="F339" t="s">
        <v>51</v>
      </c>
      <c r="G339" t="s">
        <v>23</v>
      </c>
      <c r="H339" t="s">
        <v>229</v>
      </c>
      <c r="I339" t="s">
        <v>906</v>
      </c>
      <c r="J339">
        <v>9.9822140000000008</v>
      </c>
      <c r="K339">
        <v>-83.037159000000003</v>
      </c>
      <c r="L339" t="s">
        <v>26</v>
      </c>
      <c r="M339" t="s">
        <v>189</v>
      </c>
      <c r="N339" t="s">
        <v>190</v>
      </c>
      <c r="O339" t="s">
        <v>191</v>
      </c>
      <c r="P339">
        <v>15</v>
      </c>
      <c r="Q339" t="s">
        <v>231</v>
      </c>
      <c r="S339" t="str">
        <f>_xlfn.XLOOKUP(UNIVERSO[[#This Row],[Ruta]],'[1]CUOTA RUTA'!A:A,'[1]CUOTA RUTA'!D:D)</f>
        <v>Cargar</v>
      </c>
    </row>
    <row r="340" spans="1:19" x14ac:dyDescent="0.25">
      <c r="A340">
        <v>1540017601</v>
      </c>
      <c r="B340" t="s">
        <v>907</v>
      </c>
      <c r="C340" t="s">
        <v>19</v>
      </c>
      <c r="D340" t="s">
        <v>349</v>
      </c>
      <c r="E340" t="s">
        <v>21</v>
      </c>
      <c r="F340" t="s">
        <v>51</v>
      </c>
      <c r="G340" t="s">
        <v>23</v>
      </c>
      <c r="H340" t="s">
        <v>908</v>
      </c>
      <c r="I340" t="s">
        <v>909</v>
      </c>
      <c r="J340">
        <v>10.257711</v>
      </c>
      <c r="K340">
        <v>-85.586771999999996</v>
      </c>
      <c r="L340" t="s">
        <v>26</v>
      </c>
      <c r="M340" t="s">
        <v>352</v>
      </c>
      <c r="N340" t="s">
        <v>353</v>
      </c>
      <c r="O340" t="s">
        <v>354</v>
      </c>
      <c r="P340">
        <v>1</v>
      </c>
      <c r="Q340" t="s">
        <v>155</v>
      </c>
      <c r="S340" t="str">
        <f>_xlfn.XLOOKUP(UNIVERSO[[#This Row],[Ruta]],'[1]CUOTA RUTA'!A:A,'[1]CUOTA RUTA'!D:D)</f>
        <v>Cargar</v>
      </c>
    </row>
    <row r="341" spans="1:19" x14ac:dyDescent="0.25">
      <c r="A341">
        <v>1540017626</v>
      </c>
      <c r="B341" t="s">
        <v>595</v>
      </c>
      <c r="C341" t="s">
        <v>19</v>
      </c>
      <c r="D341" t="s">
        <v>20</v>
      </c>
      <c r="E341" t="s">
        <v>21</v>
      </c>
      <c r="F341" t="s">
        <v>22</v>
      </c>
      <c r="G341" t="s">
        <v>23</v>
      </c>
      <c r="H341" t="s">
        <v>910</v>
      </c>
      <c r="I341" t="s">
        <v>911</v>
      </c>
      <c r="J341">
        <v>10.007141600000001</v>
      </c>
      <c r="K341">
        <v>-84.131668300000001</v>
      </c>
      <c r="L341" t="s">
        <v>26</v>
      </c>
      <c r="M341" t="s">
        <v>27</v>
      </c>
      <c r="N341" t="s">
        <v>28</v>
      </c>
      <c r="O341" t="s">
        <v>29</v>
      </c>
      <c r="P341">
        <v>16</v>
      </c>
      <c r="Q341" t="s">
        <v>60</v>
      </c>
      <c r="S341" t="str">
        <f>_xlfn.XLOOKUP(UNIVERSO[[#This Row],[Ruta]],'[1]CUOTA RUTA'!A:A,'[1]CUOTA RUTA'!D:D)</f>
        <v>Cargar</v>
      </c>
    </row>
    <row r="342" spans="1:19" x14ac:dyDescent="0.25">
      <c r="A342">
        <v>1540018098</v>
      </c>
      <c r="B342" t="s">
        <v>912</v>
      </c>
      <c r="C342" t="s">
        <v>19</v>
      </c>
      <c r="D342" t="s">
        <v>20</v>
      </c>
      <c r="E342" t="s">
        <v>21</v>
      </c>
      <c r="F342" t="s">
        <v>22</v>
      </c>
      <c r="G342" t="s">
        <v>23</v>
      </c>
      <c r="H342" t="s">
        <v>913</v>
      </c>
      <c r="I342" t="s">
        <v>914</v>
      </c>
      <c r="J342">
        <v>9.9614629899999994</v>
      </c>
      <c r="K342">
        <v>-84.146688380000001</v>
      </c>
      <c r="L342" t="s">
        <v>26</v>
      </c>
      <c r="M342" t="s">
        <v>27</v>
      </c>
      <c r="N342" t="s">
        <v>28</v>
      </c>
      <c r="O342" t="s">
        <v>29</v>
      </c>
      <c r="P342">
        <v>2</v>
      </c>
      <c r="Q342" t="s">
        <v>150</v>
      </c>
      <c r="S342" t="str">
        <f>_xlfn.XLOOKUP(UNIVERSO[[#This Row],[Ruta]],'[1]CUOTA RUTA'!A:A,'[1]CUOTA RUTA'!D:D)</f>
        <v>Cargar</v>
      </c>
    </row>
    <row r="343" spans="1:19" x14ac:dyDescent="0.25">
      <c r="A343">
        <v>1540018183</v>
      </c>
      <c r="B343" t="s">
        <v>915</v>
      </c>
      <c r="C343" t="s">
        <v>19</v>
      </c>
      <c r="D343" t="s">
        <v>244</v>
      </c>
      <c r="E343" t="s">
        <v>21</v>
      </c>
      <c r="F343" t="s">
        <v>22</v>
      </c>
      <c r="G343" t="s">
        <v>33</v>
      </c>
      <c r="H343" t="s">
        <v>566</v>
      </c>
      <c r="I343" t="s">
        <v>916</v>
      </c>
      <c r="J343">
        <v>9.3784019999999995</v>
      </c>
      <c r="K343">
        <v>-83.704167999999996</v>
      </c>
      <c r="L343" t="s">
        <v>26</v>
      </c>
      <c r="M343" t="s">
        <v>46</v>
      </c>
      <c r="N343" t="s">
        <v>247</v>
      </c>
      <c r="O343" t="s">
        <v>248</v>
      </c>
      <c r="P343">
        <v>15</v>
      </c>
      <c r="Q343" t="s">
        <v>231</v>
      </c>
      <c r="S343" t="str">
        <f>_xlfn.XLOOKUP(UNIVERSO[[#This Row],[Ruta]],'[1]CUOTA RUTA'!A:A,'[1]CUOTA RUTA'!D:D)</f>
        <v>Cargar</v>
      </c>
    </row>
    <row r="344" spans="1:19" x14ac:dyDescent="0.25">
      <c r="A344">
        <v>1540018512</v>
      </c>
      <c r="B344" t="s">
        <v>917</v>
      </c>
      <c r="C344" t="s">
        <v>19</v>
      </c>
      <c r="D344" t="s">
        <v>266</v>
      </c>
      <c r="E344" t="s">
        <v>21</v>
      </c>
      <c r="F344" t="s">
        <v>22</v>
      </c>
      <c r="G344" t="s">
        <v>23</v>
      </c>
      <c r="H344" t="s">
        <v>314</v>
      </c>
      <c r="I344" t="s">
        <v>918</v>
      </c>
      <c r="J344">
        <v>9.8714966666669994</v>
      </c>
      <c r="K344">
        <v>-83.903863333329994</v>
      </c>
      <c r="L344" t="s">
        <v>26</v>
      </c>
      <c r="M344" t="s">
        <v>36</v>
      </c>
      <c r="N344" t="s">
        <v>316</v>
      </c>
      <c r="O344" t="s">
        <v>317</v>
      </c>
      <c r="P344">
        <v>16</v>
      </c>
      <c r="Q344" t="s">
        <v>60</v>
      </c>
      <c r="S344" t="str">
        <f>_xlfn.XLOOKUP(UNIVERSO[[#This Row],[Ruta]],'[1]CUOTA RUTA'!A:A,'[1]CUOTA RUTA'!D:D)</f>
        <v>Cargar</v>
      </c>
    </row>
    <row r="345" spans="1:19" x14ac:dyDescent="0.25">
      <c r="A345">
        <v>1540018750</v>
      </c>
      <c r="B345" t="s">
        <v>919</v>
      </c>
      <c r="C345" t="s">
        <v>19</v>
      </c>
      <c r="D345" t="s">
        <v>266</v>
      </c>
      <c r="E345" t="s">
        <v>21</v>
      </c>
      <c r="F345" t="s">
        <v>22</v>
      </c>
      <c r="G345" t="s">
        <v>23</v>
      </c>
      <c r="H345" t="s">
        <v>407</v>
      </c>
      <c r="I345" t="s">
        <v>920</v>
      </c>
      <c r="J345">
        <v>9.6666559999999997</v>
      </c>
      <c r="K345">
        <v>-84.024491999999995</v>
      </c>
      <c r="L345" t="s">
        <v>26</v>
      </c>
      <c r="M345" t="s">
        <v>409</v>
      </c>
      <c r="N345" t="s">
        <v>410</v>
      </c>
      <c r="O345" t="s">
        <v>411</v>
      </c>
      <c r="P345">
        <v>22</v>
      </c>
      <c r="Q345" t="s">
        <v>30</v>
      </c>
      <c r="S345" t="str">
        <f>_xlfn.XLOOKUP(UNIVERSO[[#This Row],[Ruta]],'[1]CUOTA RUTA'!A:A,'[1]CUOTA RUTA'!D:D)</f>
        <v>Cargar</v>
      </c>
    </row>
    <row r="346" spans="1:19" x14ac:dyDescent="0.25">
      <c r="A346">
        <v>1540018846</v>
      </c>
      <c r="B346" t="s">
        <v>921</v>
      </c>
      <c r="C346" t="s">
        <v>19</v>
      </c>
      <c r="D346" t="s">
        <v>20</v>
      </c>
      <c r="E346" t="s">
        <v>21</v>
      </c>
      <c r="F346" t="s">
        <v>51</v>
      </c>
      <c r="G346" t="s">
        <v>23</v>
      </c>
      <c r="H346" t="s">
        <v>554</v>
      </c>
      <c r="I346" t="s">
        <v>922</v>
      </c>
      <c r="J346">
        <v>9.9995349999999998</v>
      </c>
      <c r="K346">
        <v>-84.132041999999998</v>
      </c>
      <c r="L346" t="s">
        <v>26</v>
      </c>
      <c r="M346" t="s">
        <v>27</v>
      </c>
      <c r="N346" t="s">
        <v>28</v>
      </c>
      <c r="O346" t="s">
        <v>29</v>
      </c>
      <c r="P346">
        <v>12</v>
      </c>
      <c r="Q346" t="s">
        <v>42</v>
      </c>
      <c r="S346" t="str">
        <f>_xlfn.XLOOKUP(UNIVERSO[[#This Row],[Ruta]],'[1]CUOTA RUTA'!A:A,'[1]CUOTA RUTA'!D:D)</f>
        <v>Cargar</v>
      </c>
    </row>
    <row r="347" spans="1:19" x14ac:dyDescent="0.25">
      <c r="A347">
        <v>1540018963</v>
      </c>
      <c r="B347" t="s">
        <v>923</v>
      </c>
      <c r="C347" t="s">
        <v>19</v>
      </c>
      <c r="D347" t="s">
        <v>266</v>
      </c>
      <c r="E347" t="s">
        <v>21</v>
      </c>
      <c r="F347" t="s">
        <v>22</v>
      </c>
      <c r="G347" t="s">
        <v>23</v>
      </c>
      <c r="H347" t="s">
        <v>407</v>
      </c>
      <c r="I347" t="s">
        <v>924</v>
      </c>
      <c r="J347">
        <v>9.6590237999999999</v>
      </c>
      <c r="K347">
        <v>-84.023600999999999</v>
      </c>
      <c r="L347" t="s">
        <v>26</v>
      </c>
      <c r="M347" t="s">
        <v>409</v>
      </c>
      <c r="N347" t="s">
        <v>410</v>
      </c>
      <c r="O347" t="s">
        <v>411</v>
      </c>
      <c r="P347">
        <v>22</v>
      </c>
      <c r="Q347" t="s">
        <v>30</v>
      </c>
      <c r="S347" t="str">
        <f>_xlfn.XLOOKUP(UNIVERSO[[#This Row],[Ruta]],'[1]CUOTA RUTA'!A:A,'[1]CUOTA RUTA'!D:D)</f>
        <v>Cargar</v>
      </c>
    </row>
    <row r="348" spans="1:19" x14ac:dyDescent="0.25">
      <c r="A348">
        <v>1540019105</v>
      </c>
      <c r="B348" t="s">
        <v>925</v>
      </c>
      <c r="C348" t="s">
        <v>19</v>
      </c>
      <c r="D348" t="s">
        <v>20</v>
      </c>
      <c r="E348" t="s">
        <v>62</v>
      </c>
      <c r="F348" t="s">
        <v>63</v>
      </c>
      <c r="G348" t="s">
        <v>64</v>
      </c>
      <c r="H348" t="s">
        <v>862</v>
      </c>
      <c r="I348" t="s">
        <v>926</v>
      </c>
      <c r="J348">
        <v>9.9790141499999994</v>
      </c>
      <c r="K348">
        <v>-84.187472330000006</v>
      </c>
      <c r="L348" t="s">
        <v>26</v>
      </c>
      <c r="M348" t="s">
        <v>27</v>
      </c>
      <c r="N348" t="s">
        <v>28</v>
      </c>
      <c r="O348" t="s">
        <v>29</v>
      </c>
      <c r="P348">
        <v>23</v>
      </c>
      <c r="Q348" t="s">
        <v>125</v>
      </c>
      <c r="S348" t="str">
        <f>_xlfn.XLOOKUP(UNIVERSO[[#This Row],[Ruta]],'[1]CUOTA RUTA'!A:A,'[1]CUOTA RUTA'!D:D)</f>
        <v>Cargar</v>
      </c>
    </row>
    <row r="349" spans="1:19" x14ac:dyDescent="0.25">
      <c r="A349">
        <v>1540019152</v>
      </c>
      <c r="B349" t="s">
        <v>927</v>
      </c>
      <c r="C349" t="s">
        <v>19</v>
      </c>
      <c r="D349" t="s">
        <v>20</v>
      </c>
      <c r="E349" t="s">
        <v>21</v>
      </c>
      <c r="F349" t="s">
        <v>22</v>
      </c>
      <c r="G349" t="s">
        <v>23</v>
      </c>
      <c r="H349" t="s">
        <v>58</v>
      </c>
      <c r="I349" t="s">
        <v>928</v>
      </c>
      <c r="J349">
        <v>10.0103267</v>
      </c>
      <c r="K349">
        <v>-84.216904999999997</v>
      </c>
      <c r="L349" t="s">
        <v>26</v>
      </c>
      <c r="M349" t="s">
        <v>54</v>
      </c>
      <c r="N349" t="s">
        <v>55</v>
      </c>
      <c r="O349" t="s">
        <v>56</v>
      </c>
      <c r="P349">
        <v>4</v>
      </c>
      <c r="Q349" t="s">
        <v>120</v>
      </c>
      <c r="S349" t="str">
        <f>_xlfn.XLOOKUP(UNIVERSO[[#This Row],[Ruta]],'[1]CUOTA RUTA'!A:A,'[1]CUOTA RUTA'!D:D)</f>
        <v>Cargar</v>
      </c>
    </row>
    <row r="350" spans="1:19" x14ac:dyDescent="0.25">
      <c r="A350">
        <v>1540019348</v>
      </c>
      <c r="B350" t="s">
        <v>929</v>
      </c>
      <c r="C350" t="s">
        <v>19</v>
      </c>
      <c r="D350" t="s">
        <v>208</v>
      </c>
      <c r="E350" t="s">
        <v>21</v>
      </c>
      <c r="F350" t="s">
        <v>51</v>
      </c>
      <c r="G350" t="s">
        <v>23</v>
      </c>
      <c r="H350" t="s">
        <v>224</v>
      </c>
      <c r="I350" t="s">
        <v>930</v>
      </c>
      <c r="J350">
        <v>10.10305</v>
      </c>
      <c r="K350">
        <v>-83.510859999999994</v>
      </c>
      <c r="L350" t="s">
        <v>26</v>
      </c>
      <c r="M350" t="s">
        <v>189</v>
      </c>
      <c r="N350" t="s">
        <v>211</v>
      </c>
      <c r="O350" t="s">
        <v>212</v>
      </c>
      <c r="P350">
        <v>8</v>
      </c>
      <c r="Q350" t="s">
        <v>97</v>
      </c>
      <c r="S350" t="str">
        <f>_xlfn.XLOOKUP(UNIVERSO[[#This Row],[Ruta]],'[1]CUOTA RUTA'!A:A,'[1]CUOTA RUTA'!D:D)</f>
        <v>Cargar</v>
      </c>
    </row>
    <row r="351" spans="1:19" x14ac:dyDescent="0.25">
      <c r="A351">
        <v>1540019360</v>
      </c>
      <c r="B351" t="s">
        <v>931</v>
      </c>
      <c r="C351" t="s">
        <v>19</v>
      </c>
      <c r="D351" t="s">
        <v>20</v>
      </c>
      <c r="E351" t="s">
        <v>21</v>
      </c>
      <c r="F351" t="s">
        <v>51</v>
      </c>
      <c r="G351" t="s">
        <v>23</v>
      </c>
      <c r="H351" t="s">
        <v>277</v>
      </c>
      <c r="I351" t="s">
        <v>932</v>
      </c>
      <c r="J351">
        <v>9.9618199999999995</v>
      </c>
      <c r="K351">
        <v>-84.255170000000007</v>
      </c>
      <c r="L351" t="s">
        <v>26</v>
      </c>
      <c r="M351" t="s">
        <v>54</v>
      </c>
      <c r="N351" t="s">
        <v>55</v>
      </c>
      <c r="O351" t="s">
        <v>56</v>
      </c>
      <c r="P351">
        <v>6</v>
      </c>
      <c r="Q351" t="s">
        <v>49</v>
      </c>
      <c r="S351" t="str">
        <f>_xlfn.XLOOKUP(UNIVERSO[[#This Row],[Ruta]],'[1]CUOTA RUTA'!A:A,'[1]CUOTA RUTA'!D:D)</f>
        <v>Cargar</v>
      </c>
    </row>
    <row r="352" spans="1:19" x14ac:dyDescent="0.25">
      <c r="A352">
        <v>1540019774</v>
      </c>
      <c r="B352" t="s">
        <v>933</v>
      </c>
      <c r="C352" t="s">
        <v>19</v>
      </c>
      <c r="D352" t="s">
        <v>20</v>
      </c>
      <c r="E352" t="s">
        <v>21</v>
      </c>
      <c r="F352" t="s">
        <v>22</v>
      </c>
      <c r="G352" t="s">
        <v>23</v>
      </c>
      <c r="H352" t="s">
        <v>263</v>
      </c>
      <c r="I352" t="s">
        <v>934</v>
      </c>
      <c r="J352">
        <v>10.08958</v>
      </c>
      <c r="K352">
        <v>-84.349469999999997</v>
      </c>
      <c r="L352" t="s">
        <v>26</v>
      </c>
      <c r="M352" t="s">
        <v>46</v>
      </c>
      <c r="N352" t="s">
        <v>47</v>
      </c>
      <c r="O352" t="s">
        <v>48</v>
      </c>
      <c r="P352">
        <v>5</v>
      </c>
      <c r="Q352" t="s">
        <v>117</v>
      </c>
      <c r="S352" t="str">
        <f>_xlfn.XLOOKUP(UNIVERSO[[#This Row],[Ruta]],'[1]CUOTA RUTA'!A:A,'[1]CUOTA RUTA'!D:D)</f>
        <v>Cargar</v>
      </c>
    </row>
    <row r="353" spans="1:19" x14ac:dyDescent="0.25">
      <c r="A353">
        <v>1540019956</v>
      </c>
      <c r="B353" t="s">
        <v>935</v>
      </c>
      <c r="C353" t="s">
        <v>19</v>
      </c>
      <c r="D353" t="s">
        <v>324</v>
      </c>
      <c r="E353" t="s">
        <v>21</v>
      </c>
      <c r="F353" t="s">
        <v>51</v>
      </c>
      <c r="G353" t="s">
        <v>23</v>
      </c>
      <c r="H353" t="s">
        <v>396</v>
      </c>
      <c r="I353" t="s">
        <v>936</v>
      </c>
      <c r="J353">
        <v>10.455102</v>
      </c>
      <c r="K353">
        <v>-84.273083</v>
      </c>
      <c r="L353" t="s">
        <v>26</v>
      </c>
      <c r="M353" t="s">
        <v>327</v>
      </c>
      <c r="N353" t="s">
        <v>328</v>
      </c>
      <c r="O353" t="s">
        <v>329</v>
      </c>
      <c r="P353">
        <v>17</v>
      </c>
      <c r="Q353" t="s">
        <v>287</v>
      </c>
      <c r="S353" t="str">
        <f>_xlfn.XLOOKUP(UNIVERSO[[#This Row],[Ruta]],'[1]CUOTA RUTA'!A:A,'[1]CUOTA RUTA'!D:D)</f>
        <v>Cargar</v>
      </c>
    </row>
    <row r="354" spans="1:19" x14ac:dyDescent="0.25">
      <c r="A354">
        <v>1540019959</v>
      </c>
      <c r="B354" t="s">
        <v>937</v>
      </c>
      <c r="C354" t="s">
        <v>19</v>
      </c>
      <c r="D354" t="s">
        <v>186</v>
      </c>
      <c r="E354" t="s">
        <v>62</v>
      </c>
      <c r="F354" t="s">
        <v>63</v>
      </c>
      <c r="G354" t="s">
        <v>33</v>
      </c>
      <c r="H354" t="s">
        <v>241</v>
      </c>
      <c r="I354" t="s">
        <v>938</v>
      </c>
      <c r="J354">
        <v>9.9958790000000004</v>
      </c>
      <c r="K354">
        <v>-83.150363999999996</v>
      </c>
      <c r="L354" t="s">
        <v>26</v>
      </c>
      <c r="M354" t="s">
        <v>189</v>
      </c>
      <c r="N354" t="s">
        <v>190</v>
      </c>
      <c r="O354" t="s">
        <v>191</v>
      </c>
      <c r="P354">
        <v>19</v>
      </c>
      <c r="Q354" t="s">
        <v>67</v>
      </c>
      <c r="S354" t="str">
        <f>_xlfn.XLOOKUP(UNIVERSO[[#This Row],[Ruta]],'[1]CUOTA RUTA'!A:A,'[1]CUOTA RUTA'!D:D)</f>
        <v>Cargar</v>
      </c>
    </row>
    <row r="355" spans="1:19" x14ac:dyDescent="0.25">
      <c r="A355">
        <v>1540020141</v>
      </c>
      <c r="B355" t="s">
        <v>939</v>
      </c>
      <c r="C355" t="s">
        <v>19</v>
      </c>
      <c r="D355" t="s">
        <v>20</v>
      </c>
      <c r="E355" t="s">
        <v>21</v>
      </c>
      <c r="F355" t="s">
        <v>22</v>
      </c>
      <c r="G355" t="s">
        <v>23</v>
      </c>
      <c r="H355" t="s">
        <v>774</v>
      </c>
      <c r="I355" t="s">
        <v>940</v>
      </c>
      <c r="J355">
        <v>9.9148680000000002</v>
      </c>
      <c r="K355">
        <v>-84.241853000000006</v>
      </c>
      <c r="L355" t="s">
        <v>26</v>
      </c>
      <c r="M355" t="s">
        <v>54</v>
      </c>
      <c r="N355" t="s">
        <v>55</v>
      </c>
      <c r="O355" t="s">
        <v>56</v>
      </c>
      <c r="P355">
        <v>10</v>
      </c>
      <c r="Q355" t="s">
        <v>136</v>
      </c>
      <c r="S355" t="str">
        <f>_xlfn.XLOOKUP(UNIVERSO[[#This Row],[Ruta]],'[1]CUOTA RUTA'!A:A,'[1]CUOTA RUTA'!D:D)</f>
        <v>Cargar</v>
      </c>
    </row>
    <row r="356" spans="1:19" x14ac:dyDescent="0.25">
      <c r="A356">
        <v>1540020214</v>
      </c>
      <c r="B356" t="s">
        <v>941</v>
      </c>
      <c r="C356" t="s">
        <v>19</v>
      </c>
      <c r="D356" t="s">
        <v>20</v>
      </c>
      <c r="E356" t="s">
        <v>21</v>
      </c>
      <c r="F356" t="s">
        <v>22</v>
      </c>
      <c r="G356" t="s">
        <v>23</v>
      </c>
      <c r="H356" t="s">
        <v>554</v>
      </c>
      <c r="I356" t="s">
        <v>942</v>
      </c>
      <c r="J356">
        <v>10.017008000000001</v>
      </c>
      <c r="K356">
        <v>-84.131777</v>
      </c>
      <c r="L356" t="s">
        <v>26</v>
      </c>
      <c r="M356" t="s">
        <v>27</v>
      </c>
      <c r="N356" t="s">
        <v>28</v>
      </c>
      <c r="O356" t="s">
        <v>29</v>
      </c>
      <c r="P356">
        <v>16</v>
      </c>
      <c r="Q356" t="s">
        <v>60</v>
      </c>
      <c r="S356" t="str">
        <f>_xlfn.XLOOKUP(UNIVERSO[[#This Row],[Ruta]],'[1]CUOTA RUTA'!A:A,'[1]CUOTA RUTA'!D:D)</f>
        <v>Cargar</v>
      </c>
    </row>
    <row r="357" spans="1:19" x14ac:dyDescent="0.25">
      <c r="A357">
        <v>1540020294</v>
      </c>
      <c r="B357" t="s">
        <v>943</v>
      </c>
      <c r="C357" t="s">
        <v>19</v>
      </c>
      <c r="D357" t="s">
        <v>20</v>
      </c>
      <c r="E357" t="s">
        <v>21</v>
      </c>
      <c r="F357" t="s">
        <v>22</v>
      </c>
      <c r="G357" t="s">
        <v>23</v>
      </c>
      <c r="H357" t="s">
        <v>874</v>
      </c>
      <c r="I357" t="s">
        <v>944</v>
      </c>
      <c r="J357">
        <v>9.9755576599999998</v>
      </c>
      <c r="K357">
        <v>-84.121561740000004</v>
      </c>
      <c r="L357" t="s">
        <v>26</v>
      </c>
      <c r="M357" t="s">
        <v>27</v>
      </c>
      <c r="N357" t="s">
        <v>28</v>
      </c>
      <c r="O357" t="s">
        <v>29</v>
      </c>
      <c r="P357">
        <v>7</v>
      </c>
      <c r="Q357" t="s">
        <v>39</v>
      </c>
      <c r="S357" t="str">
        <f>_xlfn.XLOOKUP(UNIVERSO[[#This Row],[Ruta]],'[1]CUOTA RUTA'!A:A,'[1]CUOTA RUTA'!D:D)</f>
        <v>Cargar</v>
      </c>
    </row>
    <row r="358" spans="1:19" x14ac:dyDescent="0.25">
      <c r="A358">
        <v>1540020499</v>
      </c>
      <c r="B358" t="s">
        <v>945</v>
      </c>
      <c r="C358" t="s">
        <v>19</v>
      </c>
      <c r="D358" t="s">
        <v>266</v>
      </c>
      <c r="E358" t="s">
        <v>21</v>
      </c>
      <c r="F358" t="s">
        <v>22</v>
      </c>
      <c r="G358" t="s">
        <v>33</v>
      </c>
      <c r="H358" t="s">
        <v>272</v>
      </c>
      <c r="I358" t="s">
        <v>946</v>
      </c>
      <c r="J358">
        <v>9.812828333333</v>
      </c>
      <c r="K358">
        <v>-83.702588333329999</v>
      </c>
      <c r="L358" t="s">
        <v>26</v>
      </c>
      <c r="M358" t="s">
        <v>54</v>
      </c>
      <c r="N358" t="s">
        <v>274</v>
      </c>
      <c r="O358" t="s">
        <v>275</v>
      </c>
      <c r="P358">
        <v>24</v>
      </c>
      <c r="Q358" t="s">
        <v>947</v>
      </c>
      <c r="S358" t="str">
        <f>_xlfn.XLOOKUP(UNIVERSO[[#This Row],[Ruta]],'[1]CUOTA RUTA'!A:A,'[1]CUOTA RUTA'!D:D)</f>
        <v>Cargar</v>
      </c>
    </row>
    <row r="359" spans="1:19" x14ac:dyDescent="0.25">
      <c r="A359">
        <v>1540020708</v>
      </c>
      <c r="B359" t="s">
        <v>948</v>
      </c>
      <c r="C359" t="s">
        <v>19</v>
      </c>
      <c r="D359" t="s">
        <v>201</v>
      </c>
      <c r="E359" t="s">
        <v>62</v>
      </c>
      <c r="F359" t="s">
        <v>63</v>
      </c>
      <c r="G359" t="s">
        <v>33</v>
      </c>
      <c r="H359" t="s">
        <v>334</v>
      </c>
      <c r="I359" t="s">
        <v>949</v>
      </c>
      <c r="J359">
        <v>9.9949654999999993</v>
      </c>
      <c r="K359">
        <v>-84.666180900000001</v>
      </c>
      <c r="L359" t="s">
        <v>26</v>
      </c>
      <c r="M359" t="s">
        <v>204</v>
      </c>
      <c r="N359" t="s">
        <v>205</v>
      </c>
      <c r="O359" t="s">
        <v>206</v>
      </c>
      <c r="P359">
        <v>13</v>
      </c>
      <c r="Q359" t="s">
        <v>161</v>
      </c>
      <c r="S359" t="str">
        <f>_xlfn.XLOOKUP(UNIVERSO[[#This Row],[Ruta]],'[1]CUOTA RUTA'!A:A,'[1]CUOTA RUTA'!D:D)</f>
        <v>Cargar</v>
      </c>
    </row>
    <row r="360" spans="1:19" x14ac:dyDescent="0.25">
      <c r="A360">
        <v>1540020963</v>
      </c>
      <c r="B360" t="s">
        <v>950</v>
      </c>
      <c r="C360" t="s">
        <v>19</v>
      </c>
      <c r="D360" t="s">
        <v>32</v>
      </c>
      <c r="E360" t="s">
        <v>21</v>
      </c>
      <c r="F360" t="s">
        <v>22</v>
      </c>
      <c r="G360" t="s">
        <v>23</v>
      </c>
      <c r="H360" t="s">
        <v>138</v>
      </c>
      <c r="I360" t="s">
        <v>951</v>
      </c>
      <c r="J360">
        <v>9.946593</v>
      </c>
      <c r="K360">
        <v>-84.054199999999994</v>
      </c>
      <c r="L360" t="s">
        <v>26</v>
      </c>
      <c r="M360" t="s">
        <v>36</v>
      </c>
      <c r="N360" t="s">
        <v>37</v>
      </c>
      <c r="O360" t="s">
        <v>38</v>
      </c>
      <c r="P360">
        <v>22</v>
      </c>
      <c r="Q360" t="s">
        <v>30</v>
      </c>
      <c r="S360" t="str">
        <f>_xlfn.XLOOKUP(UNIVERSO[[#This Row],[Ruta]],'[1]CUOTA RUTA'!A:A,'[1]CUOTA RUTA'!D:D)</f>
        <v>Cargar</v>
      </c>
    </row>
    <row r="361" spans="1:19" x14ac:dyDescent="0.25">
      <c r="A361">
        <v>1540021288</v>
      </c>
      <c r="B361" t="s">
        <v>952</v>
      </c>
      <c r="C361" t="s">
        <v>19</v>
      </c>
      <c r="D361" t="s">
        <v>186</v>
      </c>
      <c r="E361" t="s">
        <v>62</v>
      </c>
      <c r="F361" t="s">
        <v>63</v>
      </c>
      <c r="G361" t="s">
        <v>64</v>
      </c>
      <c r="H361" t="s">
        <v>229</v>
      </c>
      <c r="I361" t="s">
        <v>953</v>
      </c>
      <c r="J361">
        <v>9.9853609999999993</v>
      </c>
      <c r="K361">
        <v>-83.044945999999996</v>
      </c>
      <c r="L361" t="s">
        <v>26</v>
      </c>
      <c r="M361" t="s">
        <v>189</v>
      </c>
      <c r="N361" t="s">
        <v>190</v>
      </c>
      <c r="O361" t="s">
        <v>191</v>
      </c>
      <c r="P361">
        <v>14</v>
      </c>
      <c r="Q361" t="s">
        <v>181</v>
      </c>
      <c r="S361" t="str">
        <f>_xlfn.XLOOKUP(UNIVERSO[[#This Row],[Ruta]],'[1]CUOTA RUTA'!A:A,'[1]CUOTA RUTA'!D:D)</f>
        <v>Cargar</v>
      </c>
    </row>
    <row r="362" spans="1:19" x14ac:dyDescent="0.25">
      <c r="A362">
        <v>1540021326</v>
      </c>
      <c r="B362" t="s">
        <v>954</v>
      </c>
      <c r="C362" t="s">
        <v>19</v>
      </c>
      <c r="D362" t="s">
        <v>201</v>
      </c>
      <c r="E362" t="s">
        <v>21</v>
      </c>
      <c r="F362" t="s">
        <v>22</v>
      </c>
      <c r="G362" t="s">
        <v>23</v>
      </c>
      <c r="H362" t="s">
        <v>488</v>
      </c>
      <c r="I362" t="s">
        <v>955</v>
      </c>
      <c r="J362">
        <v>10.116099999999999</v>
      </c>
      <c r="K362">
        <v>-84.825760000000002</v>
      </c>
      <c r="L362" t="s">
        <v>26</v>
      </c>
      <c r="M362" t="s">
        <v>204</v>
      </c>
      <c r="N362" t="s">
        <v>205</v>
      </c>
      <c r="O362" t="s">
        <v>206</v>
      </c>
      <c r="P362">
        <v>11</v>
      </c>
      <c r="Q362" t="s">
        <v>108</v>
      </c>
      <c r="S362" t="str">
        <f>_xlfn.XLOOKUP(UNIVERSO[[#This Row],[Ruta]],'[1]CUOTA RUTA'!A:A,'[1]CUOTA RUTA'!D:D)</f>
        <v>Cargar</v>
      </c>
    </row>
    <row r="363" spans="1:19" x14ac:dyDescent="0.25">
      <c r="A363">
        <v>1540021843</v>
      </c>
      <c r="B363" t="s">
        <v>956</v>
      </c>
      <c r="C363" t="s">
        <v>19</v>
      </c>
      <c r="D363" t="s">
        <v>32</v>
      </c>
      <c r="E363" t="s">
        <v>62</v>
      </c>
      <c r="F363" t="s">
        <v>63</v>
      </c>
      <c r="G363" t="s">
        <v>64</v>
      </c>
      <c r="H363" t="s">
        <v>698</v>
      </c>
      <c r="I363" t="s">
        <v>957</v>
      </c>
      <c r="J363">
        <v>9.9435249999999993</v>
      </c>
      <c r="K363">
        <v>-84.059259999999995</v>
      </c>
      <c r="L363" t="s">
        <v>26</v>
      </c>
      <c r="M363" t="s">
        <v>94</v>
      </c>
      <c r="N363" t="s">
        <v>95</v>
      </c>
      <c r="O363" t="s">
        <v>96</v>
      </c>
      <c r="P363">
        <v>9</v>
      </c>
      <c r="Q363" t="s">
        <v>80</v>
      </c>
      <c r="S363" t="str">
        <f>_xlfn.XLOOKUP(UNIVERSO[[#This Row],[Ruta]],'[1]CUOTA RUTA'!A:A,'[1]CUOTA RUTA'!D:D)</f>
        <v>Cargar</v>
      </c>
    </row>
    <row r="364" spans="1:19" x14ac:dyDescent="0.25">
      <c r="A364">
        <v>1540022295</v>
      </c>
      <c r="B364" t="s">
        <v>958</v>
      </c>
      <c r="C364" t="s">
        <v>19</v>
      </c>
      <c r="D364" t="s">
        <v>32</v>
      </c>
      <c r="E364" t="s">
        <v>21</v>
      </c>
      <c r="F364" t="s">
        <v>22</v>
      </c>
      <c r="G364" t="s">
        <v>23</v>
      </c>
      <c r="H364" t="s">
        <v>103</v>
      </c>
      <c r="I364" t="s">
        <v>959</v>
      </c>
      <c r="J364">
        <v>9.9329999999999998</v>
      </c>
      <c r="K364">
        <v>-84.089020000000005</v>
      </c>
      <c r="L364" t="s">
        <v>26</v>
      </c>
      <c r="M364" t="s">
        <v>71</v>
      </c>
      <c r="N364" t="s">
        <v>72</v>
      </c>
      <c r="O364" t="s">
        <v>73</v>
      </c>
      <c r="P364">
        <v>1</v>
      </c>
      <c r="Q364" t="s">
        <v>155</v>
      </c>
      <c r="S364" t="str">
        <f>_xlfn.XLOOKUP(UNIVERSO[[#This Row],[Ruta]],'[1]CUOTA RUTA'!A:A,'[1]CUOTA RUTA'!D:D)</f>
        <v>Cargar</v>
      </c>
    </row>
    <row r="365" spans="1:19" x14ac:dyDescent="0.25">
      <c r="A365">
        <v>1540022764</v>
      </c>
      <c r="B365" t="s">
        <v>960</v>
      </c>
      <c r="C365" t="s">
        <v>19</v>
      </c>
      <c r="D365" t="s">
        <v>20</v>
      </c>
      <c r="E365" t="s">
        <v>62</v>
      </c>
      <c r="F365" t="s">
        <v>63</v>
      </c>
      <c r="G365" t="s">
        <v>33</v>
      </c>
      <c r="H365" t="s">
        <v>52</v>
      </c>
      <c r="I365" t="s">
        <v>961</v>
      </c>
      <c r="J365">
        <v>9.9051925000000001</v>
      </c>
      <c r="K365">
        <v>-84.1357991</v>
      </c>
      <c r="L365" t="s">
        <v>26</v>
      </c>
      <c r="M365" t="s">
        <v>54</v>
      </c>
      <c r="N365" t="s">
        <v>55</v>
      </c>
      <c r="O365" t="s">
        <v>56</v>
      </c>
      <c r="P365">
        <v>12</v>
      </c>
      <c r="Q365" t="s">
        <v>42</v>
      </c>
      <c r="S365" t="str">
        <f>_xlfn.XLOOKUP(UNIVERSO[[#This Row],[Ruta]],'[1]CUOTA RUTA'!A:A,'[1]CUOTA RUTA'!D:D)</f>
        <v>Cargar</v>
      </c>
    </row>
    <row r="366" spans="1:19" x14ac:dyDescent="0.25">
      <c r="A366">
        <v>1540022861</v>
      </c>
      <c r="B366" t="s">
        <v>962</v>
      </c>
      <c r="C366" t="s">
        <v>19</v>
      </c>
      <c r="D366" t="s">
        <v>349</v>
      </c>
      <c r="E366" t="s">
        <v>21</v>
      </c>
      <c r="F366" t="s">
        <v>22</v>
      </c>
      <c r="G366" t="s">
        <v>23</v>
      </c>
      <c r="H366" t="s">
        <v>496</v>
      </c>
      <c r="I366" t="s">
        <v>963</v>
      </c>
      <c r="J366">
        <v>10.273082</v>
      </c>
      <c r="K366">
        <v>-85.588436000000002</v>
      </c>
      <c r="L366" t="s">
        <v>26</v>
      </c>
      <c r="M366" t="s">
        <v>352</v>
      </c>
      <c r="N366" t="s">
        <v>353</v>
      </c>
      <c r="O366" t="s">
        <v>354</v>
      </c>
      <c r="P366">
        <v>2</v>
      </c>
      <c r="Q366" t="s">
        <v>150</v>
      </c>
      <c r="S366" t="str">
        <f>_xlfn.XLOOKUP(UNIVERSO[[#This Row],[Ruta]],'[1]CUOTA RUTA'!A:A,'[1]CUOTA RUTA'!D:D)</f>
        <v>Cargar</v>
      </c>
    </row>
    <row r="367" spans="1:19" x14ac:dyDescent="0.25">
      <c r="A367">
        <v>1540023529</v>
      </c>
      <c r="B367" t="s">
        <v>964</v>
      </c>
      <c r="C367" t="s">
        <v>19</v>
      </c>
      <c r="D367" t="s">
        <v>20</v>
      </c>
      <c r="E367" t="s">
        <v>21</v>
      </c>
      <c r="F367" t="s">
        <v>22</v>
      </c>
      <c r="G367" t="s">
        <v>33</v>
      </c>
      <c r="H367" t="s">
        <v>198</v>
      </c>
      <c r="I367" t="s">
        <v>965</v>
      </c>
      <c r="J367">
        <v>9.9315099999999994</v>
      </c>
      <c r="K367">
        <v>-84.185429999999997</v>
      </c>
      <c r="L367" t="s">
        <v>26</v>
      </c>
      <c r="M367" t="s">
        <v>54</v>
      </c>
      <c r="N367" t="s">
        <v>55</v>
      </c>
      <c r="O367" t="s">
        <v>56</v>
      </c>
      <c r="P367">
        <v>11</v>
      </c>
      <c r="Q367" t="s">
        <v>108</v>
      </c>
      <c r="S367" t="str">
        <f>_xlfn.XLOOKUP(UNIVERSO[[#This Row],[Ruta]],'[1]CUOTA RUTA'!A:A,'[1]CUOTA RUTA'!D:D)</f>
        <v>Cargar</v>
      </c>
    </row>
    <row r="368" spans="1:19" x14ac:dyDescent="0.25">
      <c r="A368">
        <v>1540025137</v>
      </c>
      <c r="B368" t="s">
        <v>966</v>
      </c>
      <c r="C368" t="s">
        <v>19</v>
      </c>
      <c r="D368" t="s">
        <v>32</v>
      </c>
      <c r="E368" t="s">
        <v>21</v>
      </c>
      <c r="F368" t="s">
        <v>22</v>
      </c>
      <c r="G368" t="s">
        <v>33</v>
      </c>
      <c r="H368" t="s">
        <v>425</v>
      </c>
      <c r="I368" t="s">
        <v>967</v>
      </c>
      <c r="J368">
        <v>9.8672834999999992</v>
      </c>
      <c r="K368">
        <v>-84.088873699999994</v>
      </c>
      <c r="L368" t="s">
        <v>26</v>
      </c>
      <c r="M368" t="s">
        <v>71</v>
      </c>
      <c r="N368" t="s">
        <v>72</v>
      </c>
      <c r="O368" t="s">
        <v>73</v>
      </c>
      <c r="P368">
        <v>15</v>
      </c>
      <c r="Q368" t="s">
        <v>231</v>
      </c>
      <c r="S368" t="str">
        <f>_xlfn.XLOOKUP(UNIVERSO[[#This Row],[Ruta]],'[1]CUOTA RUTA'!A:A,'[1]CUOTA RUTA'!D:D)</f>
        <v>Cargar</v>
      </c>
    </row>
    <row r="369" spans="1:19" x14ac:dyDescent="0.25">
      <c r="A369">
        <v>1540025191</v>
      </c>
      <c r="B369" t="s">
        <v>968</v>
      </c>
      <c r="C369" t="s">
        <v>19</v>
      </c>
      <c r="D369" t="s">
        <v>20</v>
      </c>
      <c r="E369" t="s">
        <v>21</v>
      </c>
      <c r="F369" t="s">
        <v>22</v>
      </c>
      <c r="G369" t="s">
        <v>23</v>
      </c>
      <c r="H369" t="s">
        <v>554</v>
      </c>
      <c r="I369" t="s">
        <v>969</v>
      </c>
      <c r="J369">
        <v>10.0209121</v>
      </c>
      <c r="K369">
        <v>-84.124588399999993</v>
      </c>
      <c r="L369" t="s">
        <v>26</v>
      </c>
      <c r="M369" t="s">
        <v>27</v>
      </c>
      <c r="N369" t="s">
        <v>28</v>
      </c>
      <c r="O369" t="s">
        <v>29</v>
      </c>
      <c r="P369">
        <v>15</v>
      </c>
      <c r="Q369" t="s">
        <v>231</v>
      </c>
      <c r="S369" t="str">
        <f>_xlfn.XLOOKUP(UNIVERSO[[#This Row],[Ruta]],'[1]CUOTA RUTA'!A:A,'[1]CUOTA RUTA'!D:D)</f>
        <v>Cargar</v>
      </c>
    </row>
    <row r="370" spans="1:19" x14ac:dyDescent="0.25">
      <c r="A370">
        <v>1540025421</v>
      </c>
      <c r="B370" t="s">
        <v>970</v>
      </c>
      <c r="C370" t="s">
        <v>19</v>
      </c>
      <c r="D370" t="s">
        <v>208</v>
      </c>
      <c r="E370" t="s">
        <v>21</v>
      </c>
      <c r="F370" t="s">
        <v>22</v>
      </c>
      <c r="G370" t="s">
        <v>23</v>
      </c>
      <c r="H370" t="s">
        <v>616</v>
      </c>
      <c r="I370" t="s">
        <v>971</v>
      </c>
      <c r="J370">
        <v>10.356400000000001</v>
      </c>
      <c r="K370">
        <v>-83.736099999999993</v>
      </c>
      <c r="L370" t="s">
        <v>26</v>
      </c>
      <c r="M370" t="s">
        <v>189</v>
      </c>
      <c r="N370" t="s">
        <v>211</v>
      </c>
      <c r="O370" t="s">
        <v>212</v>
      </c>
      <c r="P370">
        <v>1</v>
      </c>
      <c r="Q370" t="s">
        <v>155</v>
      </c>
      <c r="S370" t="str">
        <f>_xlfn.XLOOKUP(UNIVERSO[[#This Row],[Ruta]],'[1]CUOTA RUTA'!A:A,'[1]CUOTA RUTA'!D:D)</f>
        <v>Cargar</v>
      </c>
    </row>
    <row r="371" spans="1:19" x14ac:dyDescent="0.25">
      <c r="A371">
        <v>1540025481</v>
      </c>
      <c r="B371" t="s">
        <v>972</v>
      </c>
      <c r="C371" t="s">
        <v>19</v>
      </c>
      <c r="D371" t="s">
        <v>20</v>
      </c>
      <c r="E371" t="s">
        <v>21</v>
      </c>
      <c r="F371" t="s">
        <v>22</v>
      </c>
      <c r="G371" t="s">
        <v>64</v>
      </c>
      <c r="H371" t="s">
        <v>913</v>
      </c>
      <c r="I371" t="s">
        <v>973</v>
      </c>
      <c r="J371">
        <v>9.9755350000000007</v>
      </c>
      <c r="K371">
        <v>-84.140490999999997</v>
      </c>
      <c r="L371" t="s">
        <v>26</v>
      </c>
      <c r="M371" t="s">
        <v>27</v>
      </c>
      <c r="N371" t="s">
        <v>28</v>
      </c>
      <c r="O371" t="s">
        <v>29</v>
      </c>
      <c r="P371">
        <v>11</v>
      </c>
      <c r="Q371" t="s">
        <v>108</v>
      </c>
      <c r="S371" t="str">
        <f>_xlfn.XLOOKUP(UNIVERSO[[#This Row],[Ruta]],'[1]CUOTA RUTA'!A:A,'[1]CUOTA RUTA'!D:D)</f>
        <v>Cargar</v>
      </c>
    </row>
    <row r="372" spans="1:19" x14ac:dyDescent="0.25">
      <c r="A372">
        <v>1540025913</v>
      </c>
      <c r="B372" t="s">
        <v>974</v>
      </c>
      <c r="C372" t="s">
        <v>19</v>
      </c>
      <c r="D372" t="s">
        <v>20</v>
      </c>
      <c r="E372" t="s">
        <v>62</v>
      </c>
      <c r="F372" t="s">
        <v>63</v>
      </c>
      <c r="G372" t="s">
        <v>64</v>
      </c>
      <c r="H372" t="s">
        <v>975</v>
      </c>
      <c r="I372" t="s">
        <v>976</v>
      </c>
      <c r="J372">
        <v>9.9958899999999993</v>
      </c>
      <c r="K372">
        <v>-84.118260000000006</v>
      </c>
      <c r="L372" t="s">
        <v>26</v>
      </c>
      <c r="M372" t="s">
        <v>27</v>
      </c>
      <c r="N372" t="s">
        <v>28</v>
      </c>
      <c r="O372" t="s">
        <v>29</v>
      </c>
      <c r="P372">
        <v>13</v>
      </c>
      <c r="Q372" t="s">
        <v>161</v>
      </c>
      <c r="S372" t="str">
        <f>_xlfn.XLOOKUP(UNIVERSO[[#This Row],[Ruta]],'[1]CUOTA RUTA'!A:A,'[1]CUOTA RUTA'!D:D)</f>
        <v>Cargar</v>
      </c>
    </row>
    <row r="373" spans="1:19" x14ac:dyDescent="0.25">
      <c r="A373">
        <v>1540026285</v>
      </c>
      <c r="B373" t="s">
        <v>977</v>
      </c>
      <c r="C373" t="s">
        <v>19</v>
      </c>
      <c r="D373" t="s">
        <v>324</v>
      </c>
      <c r="E373" t="s">
        <v>21</v>
      </c>
      <c r="F373" t="s">
        <v>22</v>
      </c>
      <c r="G373" t="s">
        <v>23</v>
      </c>
      <c r="H373" t="s">
        <v>511</v>
      </c>
      <c r="I373" t="s">
        <v>978</v>
      </c>
      <c r="J373">
        <v>10.45074</v>
      </c>
      <c r="K373">
        <v>-84.564464999999998</v>
      </c>
      <c r="L373" t="s">
        <v>26</v>
      </c>
      <c r="M373" t="s">
        <v>327</v>
      </c>
      <c r="N373" t="s">
        <v>328</v>
      </c>
      <c r="O373" t="s">
        <v>329</v>
      </c>
      <c r="P373">
        <v>12</v>
      </c>
      <c r="Q373" t="s">
        <v>42</v>
      </c>
      <c r="S373" t="str">
        <f>_xlfn.XLOOKUP(UNIVERSO[[#This Row],[Ruta]],'[1]CUOTA RUTA'!A:A,'[1]CUOTA RUTA'!D:D)</f>
        <v>Cargar</v>
      </c>
    </row>
    <row r="374" spans="1:19" x14ac:dyDescent="0.25">
      <c r="A374">
        <v>1540027224</v>
      </c>
      <c r="B374" t="s">
        <v>979</v>
      </c>
      <c r="C374" t="s">
        <v>19</v>
      </c>
      <c r="D374" t="s">
        <v>20</v>
      </c>
      <c r="E374" t="s">
        <v>21</v>
      </c>
      <c r="F374" t="s">
        <v>22</v>
      </c>
      <c r="G374" t="s">
        <v>23</v>
      </c>
      <c r="H374" t="s">
        <v>722</v>
      </c>
      <c r="I374" t="s">
        <v>980</v>
      </c>
      <c r="J374">
        <v>9.9335000000000004</v>
      </c>
      <c r="K374">
        <v>-84.114084000000005</v>
      </c>
      <c r="L374" t="s">
        <v>26</v>
      </c>
      <c r="M374" t="s">
        <v>27</v>
      </c>
      <c r="N374" t="s">
        <v>28</v>
      </c>
      <c r="O374" t="s">
        <v>29</v>
      </c>
      <c r="P374">
        <v>10</v>
      </c>
      <c r="Q374" t="s">
        <v>136</v>
      </c>
      <c r="S374" t="str">
        <f>_xlfn.XLOOKUP(UNIVERSO[[#This Row],[Ruta]],'[1]CUOTA RUTA'!A:A,'[1]CUOTA RUTA'!D:D)</f>
        <v>Cargar</v>
      </c>
    </row>
    <row r="375" spans="1:19" x14ac:dyDescent="0.25">
      <c r="A375">
        <v>1540027871</v>
      </c>
      <c r="B375" t="s">
        <v>981</v>
      </c>
      <c r="C375" t="s">
        <v>19</v>
      </c>
      <c r="D375" t="s">
        <v>32</v>
      </c>
      <c r="E375" t="s">
        <v>21</v>
      </c>
      <c r="F375" t="s">
        <v>51</v>
      </c>
      <c r="G375" t="s">
        <v>23</v>
      </c>
      <c r="H375" t="s">
        <v>441</v>
      </c>
      <c r="I375" t="s">
        <v>982</v>
      </c>
      <c r="J375">
        <v>9.8994116666669996</v>
      </c>
      <c r="K375">
        <v>-84.10378</v>
      </c>
      <c r="L375" t="s">
        <v>26</v>
      </c>
      <c r="M375" t="s">
        <v>71</v>
      </c>
      <c r="N375" t="s">
        <v>72</v>
      </c>
      <c r="O375" t="s">
        <v>73</v>
      </c>
      <c r="P375">
        <v>13</v>
      </c>
      <c r="Q375" t="s">
        <v>161</v>
      </c>
      <c r="S375" t="str">
        <f>_xlfn.XLOOKUP(UNIVERSO[[#This Row],[Ruta]],'[1]CUOTA RUTA'!A:A,'[1]CUOTA RUTA'!D:D)</f>
        <v>Cargar</v>
      </c>
    </row>
    <row r="376" spans="1:19" x14ac:dyDescent="0.25">
      <c r="A376">
        <v>1540028091</v>
      </c>
      <c r="B376" t="s">
        <v>983</v>
      </c>
      <c r="C376" t="s">
        <v>19</v>
      </c>
      <c r="D376" t="s">
        <v>337</v>
      </c>
      <c r="E376" t="s">
        <v>21</v>
      </c>
      <c r="F376" t="s">
        <v>22</v>
      </c>
      <c r="G376" t="s">
        <v>23</v>
      </c>
      <c r="H376" t="s">
        <v>343</v>
      </c>
      <c r="I376" t="s">
        <v>984</v>
      </c>
      <c r="J376">
        <v>10.369388000000001</v>
      </c>
      <c r="K376">
        <v>-85.194743000000003</v>
      </c>
      <c r="L376" t="s">
        <v>26</v>
      </c>
      <c r="M376" t="s">
        <v>327</v>
      </c>
      <c r="N376" t="s">
        <v>340</v>
      </c>
      <c r="O376" t="s">
        <v>341</v>
      </c>
      <c r="P376">
        <v>21</v>
      </c>
      <c r="Q376" t="s">
        <v>239</v>
      </c>
      <c r="S376" t="str">
        <f>_xlfn.XLOOKUP(UNIVERSO[[#This Row],[Ruta]],'[1]CUOTA RUTA'!A:A,'[1]CUOTA RUTA'!D:D)</f>
        <v>Cargar</v>
      </c>
    </row>
    <row r="377" spans="1:19" x14ac:dyDescent="0.25">
      <c r="A377">
        <v>1540028146</v>
      </c>
      <c r="B377" t="s">
        <v>985</v>
      </c>
      <c r="C377" t="s">
        <v>19</v>
      </c>
      <c r="D377" t="s">
        <v>20</v>
      </c>
      <c r="E377" t="s">
        <v>21</v>
      </c>
      <c r="F377" t="s">
        <v>22</v>
      </c>
      <c r="G377" t="s">
        <v>23</v>
      </c>
      <c r="H377" t="s">
        <v>193</v>
      </c>
      <c r="I377" t="s">
        <v>986</v>
      </c>
      <c r="J377">
        <v>9.976445</v>
      </c>
      <c r="K377">
        <v>-84.382048999999995</v>
      </c>
      <c r="L377" t="s">
        <v>26</v>
      </c>
      <c r="M377" t="s">
        <v>54</v>
      </c>
      <c r="N377" t="s">
        <v>55</v>
      </c>
      <c r="O377" t="s">
        <v>56</v>
      </c>
      <c r="P377">
        <v>21</v>
      </c>
      <c r="Q377" t="s">
        <v>239</v>
      </c>
      <c r="S377" t="str">
        <f>_xlfn.XLOOKUP(UNIVERSO[[#This Row],[Ruta]],'[1]CUOTA RUTA'!A:A,'[1]CUOTA RUTA'!D:D)</f>
        <v>Cargar</v>
      </c>
    </row>
    <row r="378" spans="1:19" x14ac:dyDescent="0.25">
      <c r="A378">
        <v>1540028297</v>
      </c>
      <c r="B378" t="s">
        <v>987</v>
      </c>
      <c r="C378" t="s">
        <v>19</v>
      </c>
      <c r="D378" t="s">
        <v>20</v>
      </c>
      <c r="E378" t="s">
        <v>21</v>
      </c>
      <c r="F378" t="s">
        <v>22</v>
      </c>
      <c r="G378" t="s">
        <v>33</v>
      </c>
      <c r="H378" t="s">
        <v>518</v>
      </c>
      <c r="I378" t="s">
        <v>988</v>
      </c>
      <c r="J378">
        <v>10.004767899999999</v>
      </c>
      <c r="K378">
        <v>-84.143334899999999</v>
      </c>
      <c r="L378" t="s">
        <v>26</v>
      </c>
      <c r="M378" t="s">
        <v>27</v>
      </c>
      <c r="N378" t="s">
        <v>28</v>
      </c>
      <c r="O378" t="s">
        <v>29</v>
      </c>
      <c r="P378">
        <v>20</v>
      </c>
      <c r="Q378" t="s">
        <v>74</v>
      </c>
      <c r="S378" t="str">
        <f>_xlfn.XLOOKUP(UNIVERSO[[#This Row],[Ruta]],'[1]CUOTA RUTA'!A:A,'[1]CUOTA RUTA'!D:D)</f>
        <v>Cargar</v>
      </c>
    </row>
    <row r="379" spans="1:19" x14ac:dyDescent="0.25">
      <c r="A379">
        <v>1540028358</v>
      </c>
      <c r="B379" t="s">
        <v>989</v>
      </c>
      <c r="C379" t="s">
        <v>19</v>
      </c>
      <c r="D379" t="s">
        <v>337</v>
      </c>
      <c r="E379" t="s">
        <v>62</v>
      </c>
      <c r="F379" t="s">
        <v>63</v>
      </c>
      <c r="G379" t="s">
        <v>33</v>
      </c>
      <c r="H379" t="s">
        <v>338</v>
      </c>
      <c r="I379" t="s">
        <v>990</v>
      </c>
      <c r="J379">
        <v>10.548936879999999</v>
      </c>
      <c r="K379">
        <v>-85.590399480000002</v>
      </c>
      <c r="L379" t="s">
        <v>26</v>
      </c>
      <c r="M379" t="s">
        <v>327</v>
      </c>
      <c r="N379" t="s">
        <v>340</v>
      </c>
      <c r="O379" t="s">
        <v>341</v>
      </c>
      <c r="P379">
        <v>16</v>
      </c>
      <c r="Q379" t="s">
        <v>60</v>
      </c>
      <c r="S379" t="str">
        <f>_xlfn.XLOOKUP(UNIVERSO[[#This Row],[Ruta]],'[1]CUOTA RUTA'!A:A,'[1]CUOTA RUTA'!D:D)</f>
        <v>Cargar</v>
      </c>
    </row>
    <row r="380" spans="1:19" x14ac:dyDescent="0.25">
      <c r="A380">
        <v>1540028724</v>
      </c>
      <c r="B380" t="s">
        <v>991</v>
      </c>
      <c r="C380" t="s">
        <v>19</v>
      </c>
      <c r="D380" t="s">
        <v>32</v>
      </c>
      <c r="E380" t="s">
        <v>21</v>
      </c>
      <c r="F380" t="s">
        <v>22</v>
      </c>
      <c r="G380" t="s">
        <v>33</v>
      </c>
      <c r="H380" t="s">
        <v>179</v>
      </c>
      <c r="I380" t="s">
        <v>992</v>
      </c>
      <c r="J380">
        <v>9.8938129999999997</v>
      </c>
      <c r="K380">
        <v>-84.061087999999998</v>
      </c>
      <c r="L380" t="s">
        <v>26</v>
      </c>
      <c r="M380" t="s">
        <v>36</v>
      </c>
      <c r="N380" t="s">
        <v>37</v>
      </c>
      <c r="O380" t="s">
        <v>38</v>
      </c>
      <c r="P380">
        <v>13</v>
      </c>
      <c r="Q380" t="s">
        <v>161</v>
      </c>
      <c r="S380" t="str">
        <f>_xlfn.XLOOKUP(UNIVERSO[[#This Row],[Ruta]],'[1]CUOTA RUTA'!A:A,'[1]CUOTA RUTA'!D:D)</f>
        <v>Cargar</v>
      </c>
    </row>
    <row r="381" spans="1:19" x14ac:dyDescent="0.25">
      <c r="A381">
        <v>1540030303</v>
      </c>
      <c r="B381" t="s">
        <v>993</v>
      </c>
      <c r="C381" t="s">
        <v>19</v>
      </c>
      <c r="D381" t="s">
        <v>186</v>
      </c>
      <c r="E381" t="s">
        <v>21</v>
      </c>
      <c r="F381" t="s">
        <v>22</v>
      </c>
      <c r="G381" t="s">
        <v>33</v>
      </c>
      <c r="H381" t="s">
        <v>241</v>
      </c>
      <c r="I381" t="s">
        <v>994</v>
      </c>
      <c r="J381">
        <v>10.059900000000001</v>
      </c>
      <c r="K381">
        <v>-83.277699999999996</v>
      </c>
      <c r="L381" t="s">
        <v>26</v>
      </c>
      <c r="M381" t="s">
        <v>189</v>
      </c>
      <c r="N381" t="s">
        <v>190</v>
      </c>
      <c r="O381" t="s">
        <v>191</v>
      </c>
      <c r="P381">
        <v>20</v>
      </c>
      <c r="Q381" t="s">
        <v>74</v>
      </c>
      <c r="S381" t="str">
        <f>_xlfn.XLOOKUP(UNIVERSO[[#This Row],[Ruta]],'[1]CUOTA RUTA'!A:A,'[1]CUOTA RUTA'!D:D)</f>
        <v>Cargar</v>
      </c>
    </row>
    <row r="382" spans="1:19" x14ac:dyDescent="0.25">
      <c r="A382">
        <v>1540030828</v>
      </c>
      <c r="B382" t="s">
        <v>968</v>
      </c>
      <c r="C382" t="s">
        <v>19</v>
      </c>
      <c r="D382" t="s">
        <v>20</v>
      </c>
      <c r="E382" t="s">
        <v>21</v>
      </c>
      <c r="F382" t="s">
        <v>22</v>
      </c>
      <c r="G382" t="s">
        <v>23</v>
      </c>
      <c r="H382" t="s">
        <v>774</v>
      </c>
      <c r="I382" t="s">
        <v>995</v>
      </c>
      <c r="J382">
        <v>9.9391409999999993</v>
      </c>
      <c r="K382">
        <v>-84.220736000000002</v>
      </c>
      <c r="L382" t="s">
        <v>26</v>
      </c>
      <c r="M382" t="s">
        <v>54</v>
      </c>
      <c r="N382" t="s">
        <v>55</v>
      </c>
      <c r="O382" t="s">
        <v>56</v>
      </c>
      <c r="P382">
        <v>9</v>
      </c>
      <c r="Q382" t="s">
        <v>80</v>
      </c>
      <c r="S382" t="str">
        <f>_xlfn.XLOOKUP(UNIVERSO[[#This Row],[Ruta]],'[1]CUOTA RUTA'!A:A,'[1]CUOTA RUTA'!D:D)</f>
        <v>Cargar</v>
      </c>
    </row>
    <row r="383" spans="1:19" x14ac:dyDescent="0.25">
      <c r="A383">
        <v>1540030865</v>
      </c>
      <c r="B383" t="s">
        <v>996</v>
      </c>
      <c r="C383" t="s">
        <v>19</v>
      </c>
      <c r="D383" t="s">
        <v>324</v>
      </c>
      <c r="E383" t="s">
        <v>62</v>
      </c>
      <c r="F383" t="s">
        <v>63</v>
      </c>
      <c r="G383" t="s">
        <v>64</v>
      </c>
      <c r="H383" t="s">
        <v>331</v>
      </c>
      <c r="I383" t="s">
        <v>997</v>
      </c>
      <c r="J383">
        <v>10.454687</v>
      </c>
      <c r="K383">
        <v>-84.273257999999998</v>
      </c>
      <c r="L383" t="s">
        <v>26</v>
      </c>
      <c r="M383" t="s">
        <v>327</v>
      </c>
      <c r="N383" t="s">
        <v>328</v>
      </c>
      <c r="O383" t="s">
        <v>329</v>
      </c>
      <c r="P383">
        <v>17</v>
      </c>
      <c r="Q383" t="s">
        <v>287</v>
      </c>
      <c r="S383" t="str">
        <f>_xlfn.XLOOKUP(UNIVERSO[[#This Row],[Ruta]],'[1]CUOTA RUTA'!A:A,'[1]CUOTA RUTA'!D:D)</f>
        <v>Cargar</v>
      </c>
    </row>
    <row r="384" spans="1:19" x14ac:dyDescent="0.25">
      <c r="A384">
        <v>1540031306</v>
      </c>
      <c r="B384" t="s">
        <v>998</v>
      </c>
      <c r="C384" t="s">
        <v>19</v>
      </c>
      <c r="D384" t="s">
        <v>32</v>
      </c>
      <c r="E384" t="s">
        <v>21</v>
      </c>
      <c r="F384" t="s">
        <v>22</v>
      </c>
      <c r="G384" t="s">
        <v>23</v>
      </c>
      <c r="H384" t="s">
        <v>879</v>
      </c>
      <c r="I384" t="s">
        <v>999</v>
      </c>
      <c r="J384">
        <v>9.9228670000000001</v>
      </c>
      <c r="K384">
        <v>-84.075605999999993</v>
      </c>
      <c r="L384" t="s">
        <v>26</v>
      </c>
      <c r="M384" t="s">
        <v>71</v>
      </c>
      <c r="N384" t="s">
        <v>72</v>
      </c>
      <c r="O384" t="s">
        <v>73</v>
      </c>
      <c r="P384">
        <v>2</v>
      </c>
      <c r="Q384" t="s">
        <v>150</v>
      </c>
      <c r="S384" t="str">
        <f>_xlfn.XLOOKUP(UNIVERSO[[#This Row],[Ruta]],'[1]CUOTA RUTA'!A:A,'[1]CUOTA RUTA'!D:D)</f>
        <v>Cargar</v>
      </c>
    </row>
    <row r="385" spans="1:19" x14ac:dyDescent="0.25">
      <c r="A385">
        <v>1540031569</v>
      </c>
      <c r="B385" t="s">
        <v>1000</v>
      </c>
      <c r="C385" t="s">
        <v>19</v>
      </c>
      <c r="D385" t="s">
        <v>201</v>
      </c>
      <c r="E385" t="s">
        <v>21</v>
      </c>
      <c r="F385" t="s">
        <v>22</v>
      </c>
      <c r="G385" t="s">
        <v>23</v>
      </c>
      <c r="H385" t="s">
        <v>794</v>
      </c>
      <c r="I385" t="s">
        <v>1001</v>
      </c>
      <c r="J385">
        <v>9.6536133</v>
      </c>
      <c r="K385">
        <v>-84.633829599999999</v>
      </c>
      <c r="L385" t="s">
        <v>26</v>
      </c>
      <c r="M385" t="s">
        <v>204</v>
      </c>
      <c r="N385" t="s">
        <v>205</v>
      </c>
      <c r="O385" t="s">
        <v>206</v>
      </c>
      <c r="P385">
        <v>5</v>
      </c>
      <c r="Q385" t="s">
        <v>117</v>
      </c>
      <c r="S385" t="str">
        <f>_xlfn.XLOOKUP(UNIVERSO[[#This Row],[Ruta]],'[1]CUOTA RUTA'!A:A,'[1]CUOTA RUTA'!D:D)</f>
        <v>Cargar</v>
      </c>
    </row>
    <row r="386" spans="1:19" x14ac:dyDescent="0.25">
      <c r="A386">
        <v>1540032328</v>
      </c>
      <c r="B386" t="s">
        <v>1002</v>
      </c>
      <c r="C386" t="s">
        <v>19</v>
      </c>
      <c r="D386" t="s">
        <v>20</v>
      </c>
      <c r="E386" t="s">
        <v>21</v>
      </c>
      <c r="F386" t="s">
        <v>22</v>
      </c>
      <c r="G386" t="s">
        <v>23</v>
      </c>
      <c r="H386" t="s">
        <v>193</v>
      </c>
      <c r="I386" t="s">
        <v>1003</v>
      </c>
      <c r="J386">
        <v>9.9568303</v>
      </c>
      <c r="K386">
        <v>-84.324063300000006</v>
      </c>
      <c r="L386" t="s">
        <v>26</v>
      </c>
      <c r="M386" t="s">
        <v>54</v>
      </c>
      <c r="N386" t="s">
        <v>55</v>
      </c>
      <c r="O386" t="s">
        <v>56</v>
      </c>
      <c r="P386">
        <v>20</v>
      </c>
      <c r="Q386" t="s">
        <v>74</v>
      </c>
      <c r="S386" t="str">
        <f>_xlfn.XLOOKUP(UNIVERSO[[#This Row],[Ruta]],'[1]CUOTA RUTA'!A:A,'[1]CUOTA RUTA'!D:D)</f>
        <v>Cargar</v>
      </c>
    </row>
    <row r="387" spans="1:19" x14ac:dyDescent="0.25">
      <c r="A387">
        <v>1540032329</v>
      </c>
      <c r="B387" t="s">
        <v>1004</v>
      </c>
      <c r="C387" t="s">
        <v>19</v>
      </c>
      <c r="D387" t="s">
        <v>32</v>
      </c>
      <c r="E387" t="s">
        <v>21</v>
      </c>
      <c r="F387" t="s">
        <v>22</v>
      </c>
      <c r="G387" t="s">
        <v>23</v>
      </c>
      <c r="H387" t="s">
        <v>174</v>
      </c>
      <c r="I387" t="s">
        <v>1005</v>
      </c>
      <c r="J387">
        <v>9.9427029999999998</v>
      </c>
      <c r="K387">
        <v>-84.089710999999994</v>
      </c>
      <c r="L387" t="s">
        <v>26</v>
      </c>
      <c r="M387" t="s">
        <v>71</v>
      </c>
      <c r="N387" t="s">
        <v>72</v>
      </c>
      <c r="O387" t="s">
        <v>73</v>
      </c>
      <c r="P387">
        <v>1</v>
      </c>
      <c r="Q387" t="s">
        <v>155</v>
      </c>
      <c r="S387" t="str">
        <f>_xlfn.XLOOKUP(UNIVERSO[[#This Row],[Ruta]],'[1]CUOTA RUTA'!A:A,'[1]CUOTA RUTA'!D:D)</f>
        <v>Cargar</v>
      </c>
    </row>
    <row r="388" spans="1:19" x14ac:dyDescent="0.25">
      <c r="A388">
        <v>1540033055</v>
      </c>
      <c r="B388" t="s">
        <v>1006</v>
      </c>
      <c r="C388" t="s">
        <v>19</v>
      </c>
      <c r="D388" t="s">
        <v>337</v>
      </c>
      <c r="E388" t="s">
        <v>21</v>
      </c>
      <c r="F388" t="s">
        <v>22</v>
      </c>
      <c r="G388" t="s">
        <v>23</v>
      </c>
      <c r="H388" t="s">
        <v>483</v>
      </c>
      <c r="I388" t="s">
        <v>1007</v>
      </c>
      <c r="J388">
        <v>10.51567809</v>
      </c>
      <c r="K388">
        <v>-85.57386348</v>
      </c>
      <c r="L388" t="s">
        <v>26</v>
      </c>
      <c r="M388" t="s">
        <v>327</v>
      </c>
      <c r="N388" t="s">
        <v>340</v>
      </c>
      <c r="O388" t="s">
        <v>341</v>
      </c>
      <c r="P388">
        <v>16</v>
      </c>
      <c r="Q388" t="s">
        <v>60</v>
      </c>
      <c r="S388" t="str">
        <f>_xlfn.XLOOKUP(UNIVERSO[[#This Row],[Ruta]],'[1]CUOTA RUTA'!A:A,'[1]CUOTA RUTA'!D:D)</f>
        <v>Cargar</v>
      </c>
    </row>
    <row r="389" spans="1:19" x14ac:dyDescent="0.25">
      <c r="A389">
        <v>1540033684</v>
      </c>
      <c r="B389" t="s">
        <v>1008</v>
      </c>
      <c r="C389" t="s">
        <v>19</v>
      </c>
      <c r="D389" t="s">
        <v>32</v>
      </c>
      <c r="E389" t="s">
        <v>21</v>
      </c>
      <c r="F389" t="s">
        <v>22</v>
      </c>
      <c r="G389" t="s">
        <v>23</v>
      </c>
      <c r="H389" t="s">
        <v>92</v>
      </c>
      <c r="I389" t="s">
        <v>1009</v>
      </c>
      <c r="J389">
        <v>9.9621600000000008</v>
      </c>
      <c r="K389">
        <v>-84.021299999999997</v>
      </c>
      <c r="L389" t="s">
        <v>26</v>
      </c>
      <c r="M389" t="s">
        <v>94</v>
      </c>
      <c r="N389" t="s">
        <v>95</v>
      </c>
      <c r="O389" t="s">
        <v>96</v>
      </c>
      <c r="P389">
        <v>8</v>
      </c>
      <c r="Q389" t="s">
        <v>97</v>
      </c>
      <c r="S389" t="str">
        <f>_xlfn.XLOOKUP(UNIVERSO[[#This Row],[Ruta]],'[1]CUOTA RUTA'!A:A,'[1]CUOTA RUTA'!D:D)</f>
        <v>Cargar</v>
      </c>
    </row>
    <row r="390" spans="1:19" x14ac:dyDescent="0.25">
      <c r="A390">
        <v>1540034020</v>
      </c>
      <c r="B390" t="s">
        <v>1010</v>
      </c>
      <c r="C390" t="s">
        <v>19</v>
      </c>
      <c r="D390" t="s">
        <v>266</v>
      </c>
      <c r="E390" t="s">
        <v>21</v>
      </c>
      <c r="F390" t="s">
        <v>22</v>
      </c>
      <c r="G390" t="s">
        <v>33</v>
      </c>
      <c r="H390" t="s">
        <v>1011</v>
      </c>
      <c r="I390" t="s">
        <v>1012</v>
      </c>
      <c r="J390">
        <v>9.916093</v>
      </c>
      <c r="K390">
        <v>-83.893191000000002</v>
      </c>
      <c r="L390" t="s">
        <v>26</v>
      </c>
      <c r="M390" t="s">
        <v>54</v>
      </c>
      <c r="N390" t="s">
        <v>274</v>
      </c>
      <c r="O390" t="s">
        <v>275</v>
      </c>
      <c r="P390">
        <v>20</v>
      </c>
      <c r="Q390" t="s">
        <v>74</v>
      </c>
      <c r="S390" t="str">
        <f>_xlfn.XLOOKUP(UNIVERSO[[#This Row],[Ruta]],'[1]CUOTA RUTA'!A:A,'[1]CUOTA RUTA'!D:D)</f>
        <v>Cargar</v>
      </c>
    </row>
    <row r="391" spans="1:19" x14ac:dyDescent="0.25">
      <c r="A391">
        <v>1540034178</v>
      </c>
      <c r="B391" t="s">
        <v>1013</v>
      </c>
      <c r="C391" t="s">
        <v>19</v>
      </c>
      <c r="D391" t="s">
        <v>32</v>
      </c>
      <c r="E391" t="s">
        <v>21</v>
      </c>
      <c r="F391" t="s">
        <v>22</v>
      </c>
      <c r="G391" t="s">
        <v>23</v>
      </c>
      <c r="H391" t="s">
        <v>103</v>
      </c>
      <c r="I391" t="s">
        <v>1014</v>
      </c>
      <c r="J391">
        <v>9.9195279999999997</v>
      </c>
      <c r="K391">
        <v>-84.100566000000001</v>
      </c>
      <c r="L391" t="s">
        <v>26</v>
      </c>
      <c r="M391" t="s">
        <v>71</v>
      </c>
      <c r="N391" t="s">
        <v>72</v>
      </c>
      <c r="O391" t="s">
        <v>73</v>
      </c>
      <c r="P391">
        <v>10</v>
      </c>
      <c r="Q391" t="s">
        <v>136</v>
      </c>
      <c r="S391" t="str">
        <f>_xlfn.XLOOKUP(UNIVERSO[[#This Row],[Ruta]],'[1]CUOTA RUTA'!A:A,'[1]CUOTA RUTA'!D:D)</f>
        <v>Cargar</v>
      </c>
    </row>
    <row r="392" spans="1:19" x14ac:dyDescent="0.25">
      <c r="A392">
        <v>1540034200</v>
      </c>
      <c r="B392" t="s">
        <v>1015</v>
      </c>
      <c r="C392" t="s">
        <v>19</v>
      </c>
      <c r="D392" t="s">
        <v>32</v>
      </c>
      <c r="E392" t="s">
        <v>62</v>
      </c>
      <c r="F392" t="s">
        <v>63</v>
      </c>
      <c r="G392" t="s">
        <v>64</v>
      </c>
      <c r="H392" t="s">
        <v>698</v>
      </c>
      <c r="I392" t="s">
        <v>1016</v>
      </c>
      <c r="J392">
        <v>9.9570116666670003</v>
      </c>
      <c r="K392">
        <v>-84.03882666666</v>
      </c>
      <c r="L392" t="s">
        <v>26</v>
      </c>
      <c r="M392" t="s">
        <v>94</v>
      </c>
      <c r="N392" t="s">
        <v>95</v>
      </c>
      <c r="O392" t="s">
        <v>96</v>
      </c>
      <c r="P392">
        <v>7</v>
      </c>
      <c r="Q392" t="s">
        <v>39</v>
      </c>
      <c r="S392" t="str">
        <f>_xlfn.XLOOKUP(UNIVERSO[[#This Row],[Ruta]],'[1]CUOTA RUTA'!A:A,'[1]CUOTA RUTA'!D:D)</f>
        <v>Cargar</v>
      </c>
    </row>
    <row r="393" spans="1:19" x14ac:dyDescent="0.25">
      <c r="A393">
        <v>1540035189</v>
      </c>
      <c r="B393" t="s">
        <v>844</v>
      </c>
      <c r="C393" t="s">
        <v>19</v>
      </c>
      <c r="D393" t="s">
        <v>349</v>
      </c>
      <c r="E393" t="s">
        <v>21</v>
      </c>
      <c r="F393" t="s">
        <v>22</v>
      </c>
      <c r="G393" t="s">
        <v>23</v>
      </c>
      <c r="H393" t="s">
        <v>448</v>
      </c>
      <c r="I393" t="s">
        <v>1017</v>
      </c>
      <c r="J393">
        <v>10.280222999999999</v>
      </c>
      <c r="K393">
        <v>-85.524653999999998</v>
      </c>
      <c r="L393" t="s">
        <v>26</v>
      </c>
      <c r="M393" t="s">
        <v>352</v>
      </c>
      <c r="N393" t="s">
        <v>353</v>
      </c>
      <c r="O393" t="s">
        <v>354</v>
      </c>
      <c r="P393">
        <v>3</v>
      </c>
      <c r="Q393" t="s">
        <v>101</v>
      </c>
      <c r="S393" t="str">
        <f>_xlfn.XLOOKUP(UNIVERSO[[#This Row],[Ruta]],'[1]CUOTA RUTA'!A:A,'[1]CUOTA RUTA'!D:D)</f>
        <v>Cargar</v>
      </c>
    </row>
    <row r="394" spans="1:19" x14ac:dyDescent="0.25">
      <c r="A394">
        <v>1540035224</v>
      </c>
      <c r="B394" t="s">
        <v>1018</v>
      </c>
      <c r="C394" t="s">
        <v>19</v>
      </c>
      <c r="D394" t="s">
        <v>266</v>
      </c>
      <c r="E394" t="s">
        <v>21</v>
      </c>
      <c r="F394" t="s">
        <v>22</v>
      </c>
      <c r="G394" t="s">
        <v>23</v>
      </c>
      <c r="H394" t="s">
        <v>366</v>
      </c>
      <c r="I394" t="s">
        <v>1019</v>
      </c>
      <c r="J394">
        <v>9.8514083333329996</v>
      </c>
      <c r="K394">
        <v>-83.922946666659996</v>
      </c>
      <c r="L394" t="s">
        <v>26</v>
      </c>
      <c r="M394" t="s">
        <v>36</v>
      </c>
      <c r="N394" t="s">
        <v>316</v>
      </c>
      <c r="O394" t="s">
        <v>317</v>
      </c>
      <c r="P394">
        <v>18</v>
      </c>
      <c r="Q394" t="s">
        <v>84</v>
      </c>
      <c r="S394" t="str">
        <f>_xlfn.XLOOKUP(UNIVERSO[[#This Row],[Ruta]],'[1]CUOTA RUTA'!A:A,'[1]CUOTA RUTA'!D:D)</f>
        <v>Cargar</v>
      </c>
    </row>
    <row r="395" spans="1:19" x14ac:dyDescent="0.25">
      <c r="A395">
        <v>1540035875</v>
      </c>
      <c r="B395" t="s">
        <v>1020</v>
      </c>
      <c r="C395" t="s">
        <v>19</v>
      </c>
      <c r="D395" t="s">
        <v>20</v>
      </c>
      <c r="E395" t="s">
        <v>21</v>
      </c>
      <c r="F395" t="s">
        <v>22</v>
      </c>
      <c r="G395" t="s">
        <v>23</v>
      </c>
      <c r="H395" t="s">
        <v>1021</v>
      </c>
      <c r="I395" t="s">
        <v>1022</v>
      </c>
      <c r="J395">
        <v>10.0389</v>
      </c>
      <c r="K395">
        <v>-84.296800000000005</v>
      </c>
      <c r="L395" t="s">
        <v>26</v>
      </c>
      <c r="M395" t="s">
        <v>46</v>
      </c>
      <c r="N395" t="s">
        <v>47</v>
      </c>
      <c r="O395" t="s">
        <v>48</v>
      </c>
      <c r="P395">
        <v>5</v>
      </c>
      <c r="Q395" t="s">
        <v>117</v>
      </c>
      <c r="S395" t="str">
        <f>_xlfn.XLOOKUP(UNIVERSO[[#This Row],[Ruta]],'[1]CUOTA RUTA'!A:A,'[1]CUOTA RUTA'!D:D)</f>
        <v>Cargar</v>
      </c>
    </row>
    <row r="396" spans="1:19" x14ac:dyDescent="0.25">
      <c r="A396">
        <v>1540036467</v>
      </c>
      <c r="B396" t="s">
        <v>1023</v>
      </c>
      <c r="C396" t="s">
        <v>19</v>
      </c>
      <c r="D396" t="s">
        <v>32</v>
      </c>
      <c r="E396" t="s">
        <v>21</v>
      </c>
      <c r="F396" t="s">
        <v>22</v>
      </c>
      <c r="G396" t="s">
        <v>64</v>
      </c>
      <c r="H396" t="s">
        <v>159</v>
      </c>
      <c r="I396" t="s">
        <v>1024</v>
      </c>
      <c r="J396">
        <v>9.8997980000000005</v>
      </c>
      <c r="K396">
        <v>-84.096957000000003</v>
      </c>
      <c r="L396" t="s">
        <v>26</v>
      </c>
      <c r="M396" t="s">
        <v>71</v>
      </c>
      <c r="N396" t="s">
        <v>72</v>
      </c>
      <c r="O396" t="s">
        <v>73</v>
      </c>
      <c r="P396">
        <v>9</v>
      </c>
      <c r="Q396" t="s">
        <v>80</v>
      </c>
      <c r="S396" t="str">
        <f>_xlfn.XLOOKUP(UNIVERSO[[#This Row],[Ruta]],'[1]CUOTA RUTA'!A:A,'[1]CUOTA RUTA'!D:D)</f>
        <v>Cargar</v>
      </c>
    </row>
    <row r="397" spans="1:19" x14ac:dyDescent="0.25">
      <c r="A397">
        <v>1540037015</v>
      </c>
      <c r="B397" t="s">
        <v>1025</v>
      </c>
      <c r="C397" t="s">
        <v>19</v>
      </c>
      <c r="D397" t="s">
        <v>186</v>
      </c>
      <c r="E397" t="s">
        <v>21</v>
      </c>
      <c r="F397" t="s">
        <v>22</v>
      </c>
      <c r="G397" t="s">
        <v>23</v>
      </c>
      <c r="H397" t="s">
        <v>229</v>
      </c>
      <c r="I397" t="s">
        <v>1026</v>
      </c>
      <c r="J397">
        <v>9.9838489999999993</v>
      </c>
      <c r="K397">
        <v>-83.052160999999998</v>
      </c>
      <c r="L397" t="s">
        <v>26</v>
      </c>
      <c r="M397" t="s">
        <v>189</v>
      </c>
      <c r="N397" t="s">
        <v>190</v>
      </c>
      <c r="O397" t="s">
        <v>191</v>
      </c>
      <c r="P397">
        <v>13</v>
      </c>
      <c r="Q397" t="s">
        <v>161</v>
      </c>
      <c r="S397" t="str">
        <f>_xlfn.XLOOKUP(UNIVERSO[[#This Row],[Ruta]],'[1]CUOTA RUTA'!A:A,'[1]CUOTA RUTA'!D:D)</f>
        <v>Cargar</v>
      </c>
    </row>
    <row r="398" spans="1:19" x14ac:dyDescent="0.25">
      <c r="A398">
        <v>1540037103</v>
      </c>
      <c r="B398" t="s">
        <v>1027</v>
      </c>
      <c r="C398" t="s">
        <v>19</v>
      </c>
      <c r="D398" t="s">
        <v>32</v>
      </c>
      <c r="E398" t="s">
        <v>21</v>
      </c>
      <c r="F398" t="s">
        <v>22</v>
      </c>
      <c r="G398" t="s">
        <v>33</v>
      </c>
      <c r="H398" t="s">
        <v>159</v>
      </c>
      <c r="I398" t="s">
        <v>1028</v>
      </c>
      <c r="J398">
        <v>9.9048700000000007</v>
      </c>
      <c r="K398">
        <v>-84.100650000000002</v>
      </c>
      <c r="L398" t="s">
        <v>26</v>
      </c>
      <c r="M398" t="s">
        <v>71</v>
      </c>
      <c r="N398" t="s">
        <v>72</v>
      </c>
      <c r="O398" t="s">
        <v>73</v>
      </c>
      <c r="P398">
        <v>9</v>
      </c>
      <c r="Q398" t="s">
        <v>80</v>
      </c>
      <c r="S398" t="str">
        <f>_xlfn.XLOOKUP(UNIVERSO[[#This Row],[Ruta]],'[1]CUOTA RUTA'!A:A,'[1]CUOTA RUTA'!D:D)</f>
        <v>Cargar</v>
      </c>
    </row>
    <row r="399" spans="1:19" x14ac:dyDescent="0.25">
      <c r="A399">
        <v>1540037431</v>
      </c>
      <c r="B399" t="s">
        <v>1029</v>
      </c>
      <c r="C399" t="s">
        <v>19</v>
      </c>
      <c r="D399" t="s">
        <v>201</v>
      </c>
      <c r="E399" t="s">
        <v>21</v>
      </c>
      <c r="F399" t="s">
        <v>22</v>
      </c>
      <c r="G399" t="s">
        <v>23</v>
      </c>
      <c r="H399" t="s">
        <v>533</v>
      </c>
      <c r="I399" t="s">
        <v>1030</v>
      </c>
      <c r="J399">
        <v>9.9350830000000006</v>
      </c>
      <c r="K399">
        <v>-84.521413999999993</v>
      </c>
      <c r="L399" t="s">
        <v>26</v>
      </c>
      <c r="M399" t="s">
        <v>204</v>
      </c>
      <c r="N399" t="s">
        <v>205</v>
      </c>
      <c r="O399" t="s">
        <v>206</v>
      </c>
      <c r="P399">
        <v>1</v>
      </c>
      <c r="Q399" t="s">
        <v>155</v>
      </c>
      <c r="S399" t="str">
        <f>_xlfn.XLOOKUP(UNIVERSO[[#This Row],[Ruta]],'[1]CUOTA RUTA'!A:A,'[1]CUOTA RUTA'!D:D)</f>
        <v>Cargar</v>
      </c>
    </row>
    <row r="400" spans="1:19" x14ac:dyDescent="0.25">
      <c r="A400">
        <v>1540038502</v>
      </c>
      <c r="B400" t="s">
        <v>1031</v>
      </c>
      <c r="C400" t="s">
        <v>19</v>
      </c>
      <c r="D400" t="s">
        <v>32</v>
      </c>
      <c r="E400" t="s">
        <v>21</v>
      </c>
      <c r="F400" t="s">
        <v>22</v>
      </c>
      <c r="G400" t="s">
        <v>23</v>
      </c>
      <c r="H400" t="s">
        <v>86</v>
      </c>
      <c r="I400" t="s">
        <v>1032</v>
      </c>
      <c r="J400">
        <v>9.8925669999999997</v>
      </c>
      <c r="K400">
        <v>-84.051345999999995</v>
      </c>
      <c r="L400" t="s">
        <v>26</v>
      </c>
      <c r="M400" t="s">
        <v>71</v>
      </c>
      <c r="N400" t="s">
        <v>72</v>
      </c>
      <c r="O400" t="s">
        <v>73</v>
      </c>
      <c r="P400">
        <v>18</v>
      </c>
      <c r="Q400" t="s">
        <v>84</v>
      </c>
      <c r="S400" t="str">
        <f>_xlfn.XLOOKUP(UNIVERSO[[#This Row],[Ruta]],'[1]CUOTA RUTA'!A:A,'[1]CUOTA RUTA'!D:D)</f>
        <v>Cargar</v>
      </c>
    </row>
    <row r="401" spans="1:19" x14ac:dyDescent="0.25">
      <c r="A401">
        <v>1540038951</v>
      </c>
      <c r="B401" t="s">
        <v>1033</v>
      </c>
      <c r="C401" t="s">
        <v>19</v>
      </c>
      <c r="D401" t="s">
        <v>208</v>
      </c>
      <c r="E401" t="s">
        <v>21</v>
      </c>
      <c r="F401" t="s">
        <v>22</v>
      </c>
      <c r="G401" t="s">
        <v>23</v>
      </c>
      <c r="H401" t="s">
        <v>224</v>
      </c>
      <c r="I401" t="s">
        <v>1034</v>
      </c>
      <c r="J401">
        <v>10.209569999999999</v>
      </c>
      <c r="K401">
        <v>-83.710160000000002</v>
      </c>
      <c r="L401" t="s">
        <v>26</v>
      </c>
      <c r="M401" t="s">
        <v>189</v>
      </c>
      <c r="N401" t="s">
        <v>211</v>
      </c>
      <c r="O401" t="s">
        <v>212</v>
      </c>
      <c r="P401">
        <v>6</v>
      </c>
      <c r="Q401" t="s">
        <v>49</v>
      </c>
      <c r="S401" t="str">
        <f>_xlfn.XLOOKUP(UNIVERSO[[#This Row],[Ruta]],'[1]CUOTA RUTA'!A:A,'[1]CUOTA RUTA'!D:D)</f>
        <v>Cargar</v>
      </c>
    </row>
    <row r="402" spans="1:19" x14ac:dyDescent="0.25">
      <c r="A402">
        <v>1540039011</v>
      </c>
      <c r="B402" t="s">
        <v>1035</v>
      </c>
      <c r="C402" t="s">
        <v>19</v>
      </c>
      <c r="D402" t="s">
        <v>337</v>
      </c>
      <c r="E402" t="s">
        <v>21</v>
      </c>
      <c r="F402" t="s">
        <v>22</v>
      </c>
      <c r="G402" t="s">
        <v>23</v>
      </c>
      <c r="H402" t="s">
        <v>576</v>
      </c>
      <c r="I402" t="s">
        <v>1036</v>
      </c>
      <c r="J402">
        <v>10.627094</v>
      </c>
      <c r="K402">
        <v>-85.436420999999996</v>
      </c>
      <c r="L402" t="s">
        <v>26</v>
      </c>
      <c r="M402" t="s">
        <v>327</v>
      </c>
      <c r="N402" t="s">
        <v>340</v>
      </c>
      <c r="O402" t="s">
        <v>341</v>
      </c>
      <c r="P402">
        <v>14</v>
      </c>
      <c r="Q402" t="s">
        <v>181</v>
      </c>
      <c r="S402" t="str">
        <f>_xlfn.XLOOKUP(UNIVERSO[[#This Row],[Ruta]],'[1]CUOTA RUTA'!A:A,'[1]CUOTA RUTA'!D:D)</f>
        <v>Cargar</v>
      </c>
    </row>
    <row r="403" spans="1:19" x14ac:dyDescent="0.25">
      <c r="A403">
        <v>1540039224</v>
      </c>
      <c r="B403" t="s">
        <v>1037</v>
      </c>
      <c r="C403" t="s">
        <v>19</v>
      </c>
      <c r="D403" t="s">
        <v>266</v>
      </c>
      <c r="E403" t="s">
        <v>21</v>
      </c>
      <c r="F403" t="s">
        <v>22</v>
      </c>
      <c r="G403" t="s">
        <v>23</v>
      </c>
      <c r="H403" t="s">
        <v>1011</v>
      </c>
      <c r="I403" t="s">
        <v>1038</v>
      </c>
      <c r="J403">
        <v>9.8929206999999995</v>
      </c>
      <c r="K403">
        <v>-83.872353599999997</v>
      </c>
      <c r="L403" t="s">
        <v>26</v>
      </c>
      <c r="M403" t="s">
        <v>54</v>
      </c>
      <c r="N403" t="s">
        <v>274</v>
      </c>
      <c r="O403" t="s">
        <v>275</v>
      </c>
      <c r="P403">
        <v>20</v>
      </c>
      <c r="Q403" t="s">
        <v>74</v>
      </c>
      <c r="S403" t="str">
        <f>_xlfn.XLOOKUP(UNIVERSO[[#This Row],[Ruta]],'[1]CUOTA RUTA'!A:A,'[1]CUOTA RUTA'!D:D)</f>
        <v>Cargar</v>
      </c>
    </row>
    <row r="404" spans="1:19" x14ac:dyDescent="0.25">
      <c r="A404">
        <v>1540039302</v>
      </c>
      <c r="B404" t="s">
        <v>1039</v>
      </c>
      <c r="C404" t="s">
        <v>19</v>
      </c>
      <c r="D404" t="s">
        <v>20</v>
      </c>
      <c r="E404" t="s">
        <v>21</v>
      </c>
      <c r="F404" t="s">
        <v>22</v>
      </c>
      <c r="G404" t="s">
        <v>33</v>
      </c>
      <c r="H404" t="s">
        <v>722</v>
      </c>
      <c r="I404" t="s">
        <v>1040</v>
      </c>
      <c r="J404">
        <v>9.9375400000000003</v>
      </c>
      <c r="K404">
        <v>-84.113500000000002</v>
      </c>
      <c r="L404" t="s">
        <v>26</v>
      </c>
      <c r="M404" t="s">
        <v>27</v>
      </c>
      <c r="N404" t="s">
        <v>28</v>
      </c>
      <c r="O404" t="s">
        <v>29</v>
      </c>
      <c r="P404">
        <v>10</v>
      </c>
      <c r="Q404" t="s">
        <v>136</v>
      </c>
      <c r="S404" t="str">
        <f>_xlfn.XLOOKUP(UNIVERSO[[#This Row],[Ruta]],'[1]CUOTA RUTA'!A:A,'[1]CUOTA RUTA'!D:D)</f>
        <v>Cargar</v>
      </c>
    </row>
    <row r="405" spans="1:19" x14ac:dyDescent="0.25">
      <c r="A405">
        <v>1540041130</v>
      </c>
      <c r="B405" t="s">
        <v>1041</v>
      </c>
      <c r="C405" t="s">
        <v>19</v>
      </c>
      <c r="D405" t="s">
        <v>32</v>
      </c>
      <c r="E405" t="s">
        <v>21</v>
      </c>
      <c r="F405" t="s">
        <v>22</v>
      </c>
      <c r="G405" t="s">
        <v>33</v>
      </c>
      <c r="H405" t="s">
        <v>683</v>
      </c>
      <c r="I405" t="s">
        <v>1042</v>
      </c>
      <c r="J405">
        <v>9.9355130000000003</v>
      </c>
      <c r="K405">
        <v>-84.096121999999994</v>
      </c>
      <c r="L405" t="s">
        <v>26</v>
      </c>
      <c r="M405" t="s">
        <v>71</v>
      </c>
      <c r="N405" t="s">
        <v>72</v>
      </c>
      <c r="O405" t="s">
        <v>73</v>
      </c>
      <c r="P405">
        <v>4</v>
      </c>
      <c r="Q405" t="s">
        <v>120</v>
      </c>
      <c r="S405" t="str">
        <f>_xlfn.XLOOKUP(UNIVERSO[[#This Row],[Ruta]],'[1]CUOTA RUTA'!A:A,'[1]CUOTA RUTA'!D:D)</f>
        <v>Cargar</v>
      </c>
    </row>
    <row r="406" spans="1:19" x14ac:dyDescent="0.25">
      <c r="A406">
        <v>1540041719</v>
      </c>
      <c r="B406" t="s">
        <v>1043</v>
      </c>
      <c r="C406" t="s">
        <v>19</v>
      </c>
      <c r="D406" t="s">
        <v>201</v>
      </c>
      <c r="E406" t="s">
        <v>21</v>
      </c>
      <c r="F406" t="s">
        <v>22</v>
      </c>
      <c r="G406" t="s">
        <v>33</v>
      </c>
      <c r="H406" t="s">
        <v>593</v>
      </c>
      <c r="I406" t="s">
        <v>1044</v>
      </c>
      <c r="J406">
        <v>9.9790829999999993</v>
      </c>
      <c r="K406">
        <v>-84.839777299999994</v>
      </c>
      <c r="L406" t="s">
        <v>26</v>
      </c>
      <c r="M406" t="s">
        <v>204</v>
      </c>
      <c r="N406" t="s">
        <v>205</v>
      </c>
      <c r="O406" t="s">
        <v>206</v>
      </c>
      <c r="P406">
        <v>11</v>
      </c>
      <c r="Q406" t="s">
        <v>108</v>
      </c>
      <c r="S406" t="str">
        <f>_xlfn.XLOOKUP(UNIVERSO[[#This Row],[Ruta]],'[1]CUOTA RUTA'!A:A,'[1]CUOTA RUTA'!D:D)</f>
        <v>Cargar</v>
      </c>
    </row>
    <row r="407" spans="1:19" x14ac:dyDescent="0.25">
      <c r="A407">
        <v>1540042865</v>
      </c>
      <c r="B407" t="s">
        <v>1045</v>
      </c>
      <c r="C407" t="s">
        <v>19</v>
      </c>
      <c r="D407" t="s">
        <v>244</v>
      </c>
      <c r="E407" t="s">
        <v>21</v>
      </c>
      <c r="F407" t="s">
        <v>22</v>
      </c>
      <c r="G407" t="s">
        <v>23</v>
      </c>
      <c r="H407" t="s">
        <v>436</v>
      </c>
      <c r="I407" t="s">
        <v>1046</v>
      </c>
      <c r="J407">
        <v>9.4321940000000009</v>
      </c>
      <c r="K407">
        <v>-84.161226999999997</v>
      </c>
      <c r="L407" t="s">
        <v>26</v>
      </c>
      <c r="M407" t="s">
        <v>46</v>
      </c>
      <c r="N407" t="s">
        <v>247</v>
      </c>
      <c r="O407" t="s">
        <v>248</v>
      </c>
      <c r="P407">
        <v>21</v>
      </c>
      <c r="Q407" t="s">
        <v>239</v>
      </c>
      <c r="S407" t="str">
        <f>_xlfn.XLOOKUP(UNIVERSO[[#This Row],[Ruta]],'[1]CUOTA RUTA'!A:A,'[1]CUOTA RUTA'!D:D)</f>
        <v>Cargar</v>
      </c>
    </row>
    <row r="408" spans="1:19" x14ac:dyDescent="0.25">
      <c r="A408">
        <v>1540043099</v>
      </c>
      <c r="B408" t="s">
        <v>1047</v>
      </c>
      <c r="C408" t="s">
        <v>19</v>
      </c>
      <c r="D408" t="s">
        <v>32</v>
      </c>
      <c r="E408" t="s">
        <v>21</v>
      </c>
      <c r="F408" t="s">
        <v>22</v>
      </c>
      <c r="G408" t="s">
        <v>23</v>
      </c>
      <c r="H408" t="s">
        <v>716</v>
      </c>
      <c r="I408" t="s">
        <v>1048</v>
      </c>
      <c r="J408">
        <v>9.920674</v>
      </c>
      <c r="K408">
        <v>-84.043220000000005</v>
      </c>
      <c r="L408" t="s">
        <v>26</v>
      </c>
      <c r="M408" t="s">
        <v>36</v>
      </c>
      <c r="N408" t="s">
        <v>37</v>
      </c>
      <c r="O408" t="s">
        <v>38</v>
      </c>
      <c r="P408">
        <v>10</v>
      </c>
      <c r="Q408" t="s">
        <v>136</v>
      </c>
      <c r="S408" t="str">
        <f>_xlfn.XLOOKUP(UNIVERSO[[#This Row],[Ruta]],'[1]CUOTA RUTA'!A:A,'[1]CUOTA RUTA'!D:D)</f>
        <v>Cargar</v>
      </c>
    </row>
    <row r="409" spans="1:19" x14ac:dyDescent="0.25">
      <c r="A409">
        <v>1540043200</v>
      </c>
      <c r="B409" t="s">
        <v>1049</v>
      </c>
      <c r="C409" t="s">
        <v>19</v>
      </c>
      <c r="D409" t="s">
        <v>20</v>
      </c>
      <c r="E409" t="s">
        <v>21</v>
      </c>
      <c r="F409" t="s">
        <v>22</v>
      </c>
      <c r="G409" t="s">
        <v>33</v>
      </c>
      <c r="H409" t="s">
        <v>874</v>
      </c>
      <c r="I409" t="s">
        <v>1050</v>
      </c>
      <c r="J409">
        <v>9.9890100999999998</v>
      </c>
      <c r="K409">
        <v>-84.106262400000006</v>
      </c>
      <c r="L409" t="s">
        <v>26</v>
      </c>
      <c r="M409" t="s">
        <v>27</v>
      </c>
      <c r="N409" t="s">
        <v>28</v>
      </c>
      <c r="O409" t="s">
        <v>29</v>
      </c>
      <c r="P409">
        <v>19</v>
      </c>
      <c r="Q409" t="s">
        <v>67</v>
      </c>
      <c r="S409" t="str">
        <f>_xlfn.XLOOKUP(UNIVERSO[[#This Row],[Ruta]],'[1]CUOTA RUTA'!A:A,'[1]CUOTA RUTA'!D:D)</f>
        <v>Cargar</v>
      </c>
    </row>
    <row r="410" spans="1:19" x14ac:dyDescent="0.25">
      <c r="A410">
        <v>1540043221</v>
      </c>
      <c r="B410" t="s">
        <v>1051</v>
      </c>
      <c r="C410" t="s">
        <v>19</v>
      </c>
      <c r="D410" t="s">
        <v>337</v>
      </c>
      <c r="E410" t="s">
        <v>21</v>
      </c>
      <c r="F410" t="s">
        <v>22</v>
      </c>
      <c r="G410" t="s">
        <v>64</v>
      </c>
      <c r="H410" t="s">
        <v>451</v>
      </c>
      <c r="I410" t="s">
        <v>1052</v>
      </c>
      <c r="J410">
        <v>10.640055</v>
      </c>
      <c r="K410">
        <v>-85.445858999999999</v>
      </c>
      <c r="L410" t="s">
        <v>26</v>
      </c>
      <c r="M410" t="s">
        <v>327</v>
      </c>
      <c r="N410" t="s">
        <v>340</v>
      </c>
      <c r="O410" t="s">
        <v>341</v>
      </c>
      <c r="P410">
        <v>13</v>
      </c>
      <c r="Q410" t="s">
        <v>161</v>
      </c>
      <c r="S410" t="str">
        <f>_xlfn.XLOOKUP(UNIVERSO[[#This Row],[Ruta]],'[1]CUOTA RUTA'!A:A,'[1]CUOTA RUTA'!D:D)</f>
        <v>Cargar</v>
      </c>
    </row>
    <row r="411" spans="1:19" x14ac:dyDescent="0.25">
      <c r="A411">
        <v>1540043658</v>
      </c>
      <c r="B411" t="s">
        <v>1053</v>
      </c>
      <c r="C411" t="s">
        <v>19</v>
      </c>
      <c r="D411" t="s">
        <v>32</v>
      </c>
      <c r="E411" t="s">
        <v>21</v>
      </c>
      <c r="F411" t="s">
        <v>22</v>
      </c>
      <c r="G411" t="s">
        <v>23</v>
      </c>
      <c r="H411" t="s">
        <v>879</v>
      </c>
      <c r="I411" t="s">
        <v>1054</v>
      </c>
      <c r="J411">
        <v>9.9259599999999999</v>
      </c>
      <c r="K411">
        <v>-84.077200000000005</v>
      </c>
      <c r="L411" t="s">
        <v>26</v>
      </c>
      <c r="M411" t="s">
        <v>71</v>
      </c>
      <c r="N411" t="s">
        <v>72</v>
      </c>
      <c r="O411" t="s">
        <v>73</v>
      </c>
      <c r="P411">
        <v>2</v>
      </c>
      <c r="Q411" t="s">
        <v>150</v>
      </c>
      <c r="S411" t="str">
        <f>_xlfn.XLOOKUP(UNIVERSO[[#This Row],[Ruta]],'[1]CUOTA RUTA'!A:A,'[1]CUOTA RUTA'!D:D)</f>
        <v>Cargar</v>
      </c>
    </row>
    <row r="412" spans="1:19" x14ac:dyDescent="0.25">
      <c r="A412">
        <v>1540044013</v>
      </c>
      <c r="B412" t="s">
        <v>1055</v>
      </c>
      <c r="C412" t="s">
        <v>19</v>
      </c>
      <c r="D412" t="s">
        <v>32</v>
      </c>
      <c r="E412" t="s">
        <v>21</v>
      </c>
      <c r="F412" t="s">
        <v>51</v>
      </c>
      <c r="G412" t="s">
        <v>23</v>
      </c>
      <c r="H412" t="s">
        <v>441</v>
      </c>
      <c r="I412" t="s">
        <v>1056</v>
      </c>
      <c r="J412">
        <v>9.8921840000000003</v>
      </c>
      <c r="K412">
        <v>-84.086803000000003</v>
      </c>
      <c r="L412" t="s">
        <v>26</v>
      </c>
      <c r="M412" t="s">
        <v>71</v>
      </c>
      <c r="N412" t="s">
        <v>72</v>
      </c>
      <c r="O412" t="s">
        <v>73</v>
      </c>
      <c r="P412">
        <v>8</v>
      </c>
      <c r="Q412" t="s">
        <v>97</v>
      </c>
      <c r="S412" t="str">
        <f>_xlfn.XLOOKUP(UNIVERSO[[#This Row],[Ruta]],'[1]CUOTA RUTA'!A:A,'[1]CUOTA RUTA'!D:D)</f>
        <v>Cargar</v>
      </c>
    </row>
    <row r="413" spans="1:19" x14ac:dyDescent="0.25">
      <c r="A413">
        <v>1540044241</v>
      </c>
      <c r="B413" t="s">
        <v>1057</v>
      </c>
      <c r="C413" t="s">
        <v>19</v>
      </c>
      <c r="D413" t="s">
        <v>20</v>
      </c>
      <c r="E413" t="s">
        <v>21</v>
      </c>
      <c r="F413" t="s">
        <v>22</v>
      </c>
      <c r="G413" t="s">
        <v>33</v>
      </c>
      <c r="H413" t="s">
        <v>674</v>
      </c>
      <c r="I413" t="s">
        <v>1058</v>
      </c>
      <c r="J413">
        <v>10.146610000000001</v>
      </c>
      <c r="K413">
        <v>-84.391440000000003</v>
      </c>
      <c r="L413" t="s">
        <v>26</v>
      </c>
      <c r="M413" t="s">
        <v>46</v>
      </c>
      <c r="N413" t="s">
        <v>47</v>
      </c>
      <c r="O413" t="s">
        <v>48</v>
      </c>
      <c r="P413">
        <v>1</v>
      </c>
      <c r="Q413" t="s">
        <v>155</v>
      </c>
      <c r="S413" t="str">
        <f>_xlfn.XLOOKUP(UNIVERSO[[#This Row],[Ruta]],'[1]CUOTA RUTA'!A:A,'[1]CUOTA RUTA'!D:D)</f>
        <v>Cargar</v>
      </c>
    </row>
    <row r="414" spans="1:19" x14ac:dyDescent="0.25">
      <c r="A414">
        <v>1540044296</v>
      </c>
      <c r="B414" t="s">
        <v>1059</v>
      </c>
      <c r="C414" t="s">
        <v>19</v>
      </c>
      <c r="D414" t="s">
        <v>20</v>
      </c>
      <c r="E414" t="s">
        <v>62</v>
      </c>
      <c r="F414" t="s">
        <v>63</v>
      </c>
      <c r="G414" t="s">
        <v>23</v>
      </c>
      <c r="H414" t="s">
        <v>910</v>
      </c>
      <c r="I414" t="s">
        <v>1060</v>
      </c>
      <c r="J414">
        <v>10.0044418</v>
      </c>
      <c r="K414">
        <v>-84.1525228</v>
      </c>
      <c r="L414" t="s">
        <v>26</v>
      </c>
      <c r="M414" t="s">
        <v>27</v>
      </c>
      <c r="N414" t="s">
        <v>28</v>
      </c>
      <c r="O414" t="s">
        <v>29</v>
      </c>
      <c r="P414">
        <v>20</v>
      </c>
      <c r="Q414" t="s">
        <v>74</v>
      </c>
      <c r="S414" t="str">
        <f>_xlfn.XLOOKUP(UNIVERSO[[#This Row],[Ruta]],'[1]CUOTA RUTA'!A:A,'[1]CUOTA RUTA'!D:D)</f>
        <v>Cargar</v>
      </c>
    </row>
    <row r="415" spans="1:19" x14ac:dyDescent="0.25">
      <c r="A415">
        <v>1540044512</v>
      </c>
      <c r="B415" t="s">
        <v>1061</v>
      </c>
      <c r="C415" t="s">
        <v>19</v>
      </c>
      <c r="D415" t="s">
        <v>186</v>
      </c>
      <c r="E415" t="s">
        <v>21</v>
      </c>
      <c r="F415" t="s">
        <v>51</v>
      </c>
      <c r="G415" t="s">
        <v>23</v>
      </c>
      <c r="H415" t="s">
        <v>229</v>
      </c>
      <c r="I415" t="s">
        <v>1062</v>
      </c>
      <c r="J415">
        <v>9.9748219999999996</v>
      </c>
      <c r="K415">
        <v>-83.031716000000003</v>
      </c>
      <c r="L415" t="s">
        <v>26</v>
      </c>
      <c r="M415" t="s">
        <v>189</v>
      </c>
      <c r="N415" t="s">
        <v>190</v>
      </c>
      <c r="O415" t="s">
        <v>191</v>
      </c>
      <c r="P415">
        <v>16</v>
      </c>
      <c r="Q415" t="s">
        <v>60</v>
      </c>
      <c r="S415" t="str">
        <f>_xlfn.XLOOKUP(UNIVERSO[[#This Row],[Ruta]],'[1]CUOTA RUTA'!A:A,'[1]CUOTA RUTA'!D:D)</f>
        <v>Cargar</v>
      </c>
    </row>
    <row r="416" spans="1:19" x14ac:dyDescent="0.25">
      <c r="A416">
        <v>1540046370</v>
      </c>
      <c r="B416" t="s">
        <v>1063</v>
      </c>
      <c r="C416" t="s">
        <v>19</v>
      </c>
      <c r="D416" t="s">
        <v>201</v>
      </c>
      <c r="E416" t="s">
        <v>21</v>
      </c>
      <c r="F416" t="s">
        <v>51</v>
      </c>
      <c r="G416" t="s">
        <v>23</v>
      </c>
      <c r="H416" t="s">
        <v>383</v>
      </c>
      <c r="I416" t="s">
        <v>1064</v>
      </c>
      <c r="J416">
        <v>9.9783200000000001</v>
      </c>
      <c r="K416">
        <v>-84.755899999999997</v>
      </c>
      <c r="L416" t="s">
        <v>26</v>
      </c>
      <c r="M416" t="s">
        <v>204</v>
      </c>
      <c r="N416" t="s">
        <v>205</v>
      </c>
      <c r="O416" t="s">
        <v>206</v>
      </c>
      <c r="P416">
        <v>10</v>
      </c>
      <c r="Q416" t="s">
        <v>136</v>
      </c>
      <c r="S416" t="str">
        <f>_xlfn.XLOOKUP(UNIVERSO[[#This Row],[Ruta]],'[1]CUOTA RUTA'!A:A,'[1]CUOTA RUTA'!D:D)</f>
        <v>Cargar</v>
      </c>
    </row>
    <row r="417" spans="1:19" x14ac:dyDescent="0.25">
      <c r="A417">
        <v>1540047535</v>
      </c>
      <c r="B417" t="s">
        <v>1065</v>
      </c>
      <c r="C417" t="s">
        <v>19</v>
      </c>
      <c r="D417" t="s">
        <v>32</v>
      </c>
      <c r="E417" t="s">
        <v>21</v>
      </c>
      <c r="F417" t="s">
        <v>22</v>
      </c>
      <c r="G417" t="s">
        <v>33</v>
      </c>
      <c r="H417" t="s">
        <v>138</v>
      </c>
      <c r="I417" t="s">
        <v>1066</v>
      </c>
      <c r="J417">
        <v>9.9482999999999997</v>
      </c>
      <c r="K417">
        <v>-84.050734000000006</v>
      </c>
      <c r="L417" t="s">
        <v>26</v>
      </c>
      <c r="M417" t="s">
        <v>36</v>
      </c>
      <c r="N417" t="s">
        <v>37</v>
      </c>
      <c r="O417" t="s">
        <v>38</v>
      </c>
      <c r="P417">
        <v>22</v>
      </c>
      <c r="Q417" t="s">
        <v>30</v>
      </c>
      <c r="S417" t="str">
        <f>_xlfn.XLOOKUP(UNIVERSO[[#This Row],[Ruta]],'[1]CUOTA RUTA'!A:A,'[1]CUOTA RUTA'!D:D)</f>
        <v>Cargar</v>
      </c>
    </row>
    <row r="418" spans="1:19" x14ac:dyDescent="0.25">
      <c r="A418">
        <v>1540047910</v>
      </c>
      <c r="B418" t="s">
        <v>1067</v>
      </c>
      <c r="C418" t="s">
        <v>19</v>
      </c>
      <c r="D418" t="s">
        <v>266</v>
      </c>
      <c r="E418" t="s">
        <v>21</v>
      </c>
      <c r="F418" t="s">
        <v>22</v>
      </c>
      <c r="G418" t="s">
        <v>33</v>
      </c>
      <c r="H418" t="s">
        <v>407</v>
      </c>
      <c r="I418" t="s">
        <v>1068</v>
      </c>
      <c r="J418">
        <v>9.6607319999999994</v>
      </c>
      <c r="K418">
        <v>-84.020703999999995</v>
      </c>
      <c r="L418" t="s">
        <v>26</v>
      </c>
      <c r="M418" t="s">
        <v>409</v>
      </c>
      <c r="N418" t="s">
        <v>410</v>
      </c>
      <c r="O418" t="s">
        <v>411</v>
      </c>
      <c r="P418">
        <v>22</v>
      </c>
      <c r="Q418" t="s">
        <v>30</v>
      </c>
      <c r="S418" t="str">
        <f>_xlfn.XLOOKUP(UNIVERSO[[#This Row],[Ruta]],'[1]CUOTA RUTA'!A:A,'[1]CUOTA RUTA'!D:D)</f>
        <v>Cargar</v>
      </c>
    </row>
    <row r="419" spans="1:19" x14ac:dyDescent="0.25">
      <c r="A419">
        <v>1540048234</v>
      </c>
      <c r="B419" t="s">
        <v>416</v>
      </c>
      <c r="C419" t="s">
        <v>19</v>
      </c>
      <c r="D419" t="s">
        <v>32</v>
      </c>
      <c r="E419" t="s">
        <v>21</v>
      </c>
      <c r="F419" t="s">
        <v>22</v>
      </c>
      <c r="G419" t="s">
        <v>23</v>
      </c>
      <c r="H419" t="s">
        <v>879</v>
      </c>
      <c r="I419" t="s">
        <v>1069</v>
      </c>
      <c r="J419">
        <v>9.9206599999999998</v>
      </c>
      <c r="K419">
        <v>-84.078299999999999</v>
      </c>
      <c r="L419" t="s">
        <v>26</v>
      </c>
      <c r="M419" t="s">
        <v>71</v>
      </c>
      <c r="N419" t="s">
        <v>72</v>
      </c>
      <c r="O419" t="s">
        <v>73</v>
      </c>
      <c r="P419">
        <v>2</v>
      </c>
      <c r="Q419" t="s">
        <v>150</v>
      </c>
      <c r="S419" t="str">
        <f>_xlfn.XLOOKUP(UNIVERSO[[#This Row],[Ruta]],'[1]CUOTA RUTA'!A:A,'[1]CUOTA RUTA'!D:D)</f>
        <v>Cargar</v>
      </c>
    </row>
    <row r="420" spans="1:19" x14ac:dyDescent="0.25">
      <c r="A420">
        <v>1540049975</v>
      </c>
      <c r="B420" t="s">
        <v>1070</v>
      </c>
      <c r="C420" t="s">
        <v>19</v>
      </c>
      <c r="D420" t="s">
        <v>20</v>
      </c>
      <c r="E420" t="s">
        <v>21</v>
      </c>
      <c r="F420" t="s">
        <v>22</v>
      </c>
      <c r="G420" t="s">
        <v>23</v>
      </c>
      <c r="H420" t="s">
        <v>303</v>
      </c>
      <c r="I420" t="s">
        <v>1071</v>
      </c>
      <c r="J420">
        <v>9.9865686999999994</v>
      </c>
      <c r="K420">
        <v>-84.244385500000007</v>
      </c>
      <c r="L420" t="s">
        <v>26</v>
      </c>
      <c r="M420" t="s">
        <v>54</v>
      </c>
      <c r="N420" t="s">
        <v>55</v>
      </c>
      <c r="O420" t="s">
        <v>56</v>
      </c>
      <c r="P420">
        <v>5</v>
      </c>
      <c r="Q420" t="s">
        <v>117</v>
      </c>
      <c r="S420" t="str">
        <f>_xlfn.XLOOKUP(UNIVERSO[[#This Row],[Ruta]],'[1]CUOTA RUTA'!A:A,'[1]CUOTA RUTA'!D:D)</f>
        <v>Cargar</v>
      </c>
    </row>
    <row r="421" spans="1:19" x14ac:dyDescent="0.25">
      <c r="A421">
        <v>1540050385</v>
      </c>
      <c r="B421" t="s">
        <v>1072</v>
      </c>
      <c r="C421" t="s">
        <v>19</v>
      </c>
      <c r="D421" t="s">
        <v>201</v>
      </c>
      <c r="E421" t="s">
        <v>21</v>
      </c>
      <c r="F421" t="s">
        <v>22</v>
      </c>
      <c r="G421" t="s">
        <v>23</v>
      </c>
      <c r="H421" t="s">
        <v>785</v>
      </c>
      <c r="I421" t="s">
        <v>1073</v>
      </c>
      <c r="J421">
        <v>10.112251799999999</v>
      </c>
      <c r="K421">
        <v>-84.900387100000003</v>
      </c>
      <c r="L421" t="s">
        <v>26</v>
      </c>
      <c r="M421" t="s">
        <v>204</v>
      </c>
      <c r="N421" t="s">
        <v>205</v>
      </c>
      <c r="O421" t="s">
        <v>206</v>
      </c>
      <c r="P421">
        <v>12</v>
      </c>
      <c r="Q421" t="s">
        <v>42</v>
      </c>
      <c r="S421" t="str">
        <f>_xlfn.XLOOKUP(UNIVERSO[[#This Row],[Ruta]],'[1]CUOTA RUTA'!A:A,'[1]CUOTA RUTA'!D:D)</f>
        <v>Cargar</v>
      </c>
    </row>
    <row r="422" spans="1:19" x14ac:dyDescent="0.25">
      <c r="A422">
        <v>1540051336</v>
      </c>
      <c r="B422" t="s">
        <v>1074</v>
      </c>
      <c r="C422" t="s">
        <v>19</v>
      </c>
      <c r="D422" t="s">
        <v>201</v>
      </c>
      <c r="E422" t="s">
        <v>21</v>
      </c>
      <c r="F422" t="s">
        <v>22</v>
      </c>
      <c r="G422" t="s">
        <v>23</v>
      </c>
      <c r="H422" t="s">
        <v>491</v>
      </c>
      <c r="I422" t="s">
        <v>1075</v>
      </c>
      <c r="J422">
        <v>9.7209859999999999</v>
      </c>
      <c r="K422">
        <v>-84.625701899999996</v>
      </c>
      <c r="L422" t="s">
        <v>26</v>
      </c>
      <c r="M422" t="s">
        <v>204</v>
      </c>
      <c r="N422" t="s">
        <v>205</v>
      </c>
      <c r="O422" t="s">
        <v>206</v>
      </c>
      <c r="P422">
        <v>4</v>
      </c>
      <c r="Q422" t="s">
        <v>120</v>
      </c>
      <c r="S422" t="str">
        <f>_xlfn.XLOOKUP(UNIVERSO[[#This Row],[Ruta]],'[1]CUOTA RUTA'!A:A,'[1]CUOTA RUTA'!D:D)</f>
        <v>Cargar</v>
      </c>
    </row>
    <row r="423" spans="1:19" x14ac:dyDescent="0.25">
      <c r="A423">
        <v>1540053005</v>
      </c>
      <c r="B423" t="s">
        <v>1076</v>
      </c>
      <c r="C423" t="s">
        <v>19</v>
      </c>
      <c r="D423" t="s">
        <v>337</v>
      </c>
      <c r="E423" t="s">
        <v>21</v>
      </c>
      <c r="F423" t="s">
        <v>22</v>
      </c>
      <c r="G423" t="s">
        <v>23</v>
      </c>
      <c r="H423" t="s">
        <v>824</v>
      </c>
      <c r="I423" t="s">
        <v>1077</v>
      </c>
      <c r="J423">
        <v>10.54600123</v>
      </c>
      <c r="K423">
        <v>-85.705313410000002</v>
      </c>
      <c r="L423" t="s">
        <v>26</v>
      </c>
      <c r="M423" t="s">
        <v>327</v>
      </c>
      <c r="N423" t="s">
        <v>340</v>
      </c>
      <c r="O423" t="s">
        <v>341</v>
      </c>
      <c r="P423">
        <v>19</v>
      </c>
      <c r="Q423" t="s">
        <v>67</v>
      </c>
      <c r="S423" t="str">
        <f>_xlfn.XLOOKUP(UNIVERSO[[#This Row],[Ruta]],'[1]CUOTA RUTA'!A:A,'[1]CUOTA RUTA'!D:D)</f>
        <v>Cargar</v>
      </c>
    </row>
    <row r="424" spans="1:19" x14ac:dyDescent="0.25">
      <c r="A424">
        <v>1540053313</v>
      </c>
      <c r="B424" t="s">
        <v>1078</v>
      </c>
      <c r="C424" t="s">
        <v>19</v>
      </c>
      <c r="D424" t="s">
        <v>32</v>
      </c>
      <c r="E424" t="s">
        <v>21</v>
      </c>
      <c r="F424" t="s">
        <v>22</v>
      </c>
      <c r="G424" t="s">
        <v>23</v>
      </c>
      <c r="H424" t="s">
        <v>86</v>
      </c>
      <c r="I424" t="s">
        <v>1079</v>
      </c>
      <c r="J424">
        <v>9.9049750000000003</v>
      </c>
      <c r="K424">
        <v>-84.100176500000003</v>
      </c>
      <c r="L424" t="s">
        <v>26</v>
      </c>
      <c r="M424" t="s">
        <v>71</v>
      </c>
      <c r="N424" t="s">
        <v>72</v>
      </c>
      <c r="O424" t="s">
        <v>73</v>
      </c>
      <c r="P424">
        <v>9</v>
      </c>
      <c r="Q424" t="s">
        <v>80</v>
      </c>
      <c r="S424" t="str">
        <f>_xlfn.XLOOKUP(UNIVERSO[[#This Row],[Ruta]],'[1]CUOTA RUTA'!A:A,'[1]CUOTA RUTA'!D:D)</f>
        <v>Cargar</v>
      </c>
    </row>
    <row r="425" spans="1:19" x14ac:dyDescent="0.25">
      <c r="A425">
        <v>1540053548</v>
      </c>
      <c r="B425" t="s">
        <v>1080</v>
      </c>
      <c r="C425" t="s">
        <v>19</v>
      </c>
      <c r="D425" t="s">
        <v>208</v>
      </c>
      <c r="E425" t="s">
        <v>21</v>
      </c>
      <c r="F425" t="s">
        <v>22</v>
      </c>
      <c r="G425" t="s">
        <v>23</v>
      </c>
      <c r="H425" t="s">
        <v>224</v>
      </c>
      <c r="I425" t="s">
        <v>1081</v>
      </c>
      <c r="J425">
        <v>10.223890000000001</v>
      </c>
      <c r="K425">
        <v>-83.795140000000004</v>
      </c>
      <c r="L425" t="s">
        <v>26</v>
      </c>
      <c r="M425" t="s">
        <v>189</v>
      </c>
      <c r="N425" t="s">
        <v>211</v>
      </c>
      <c r="O425" t="s">
        <v>212</v>
      </c>
      <c r="P425">
        <v>5</v>
      </c>
      <c r="Q425" t="s">
        <v>117</v>
      </c>
      <c r="S425" t="str">
        <f>_xlfn.XLOOKUP(UNIVERSO[[#This Row],[Ruta]],'[1]CUOTA RUTA'!A:A,'[1]CUOTA RUTA'!D:D)</f>
        <v>Cargar</v>
      </c>
    </row>
    <row r="426" spans="1:19" x14ac:dyDescent="0.25">
      <c r="A426">
        <v>1540053819</v>
      </c>
      <c r="B426" t="s">
        <v>1082</v>
      </c>
      <c r="C426" t="s">
        <v>19</v>
      </c>
      <c r="D426" t="s">
        <v>20</v>
      </c>
      <c r="E426" t="s">
        <v>21</v>
      </c>
      <c r="F426" t="s">
        <v>22</v>
      </c>
      <c r="G426" t="s">
        <v>23</v>
      </c>
      <c r="H426" t="s">
        <v>250</v>
      </c>
      <c r="I426" t="s">
        <v>1083</v>
      </c>
      <c r="J426">
        <v>10.0390827</v>
      </c>
      <c r="K426">
        <v>-84.221786800000004</v>
      </c>
      <c r="L426" t="s">
        <v>26</v>
      </c>
      <c r="M426" t="s">
        <v>46</v>
      </c>
      <c r="N426" t="s">
        <v>47</v>
      </c>
      <c r="O426" t="s">
        <v>48</v>
      </c>
      <c r="P426">
        <v>3</v>
      </c>
      <c r="Q426" t="s">
        <v>101</v>
      </c>
      <c r="S426" t="str">
        <f>_xlfn.XLOOKUP(UNIVERSO[[#This Row],[Ruta]],'[1]CUOTA RUTA'!A:A,'[1]CUOTA RUTA'!D:D)</f>
        <v>Cargar</v>
      </c>
    </row>
    <row r="427" spans="1:19" x14ac:dyDescent="0.25">
      <c r="A427">
        <v>1540053822</v>
      </c>
      <c r="B427" t="s">
        <v>1084</v>
      </c>
      <c r="C427" t="s">
        <v>19</v>
      </c>
      <c r="D427" t="s">
        <v>201</v>
      </c>
      <c r="E427" t="s">
        <v>21</v>
      </c>
      <c r="F427" t="s">
        <v>22</v>
      </c>
      <c r="G427" t="s">
        <v>23</v>
      </c>
      <c r="H427" t="s">
        <v>785</v>
      </c>
      <c r="I427" t="s">
        <v>1085</v>
      </c>
      <c r="J427">
        <v>9.9351517000000005</v>
      </c>
      <c r="K427">
        <v>-84.521446699999998</v>
      </c>
      <c r="L427" t="s">
        <v>26</v>
      </c>
      <c r="M427" t="s">
        <v>204</v>
      </c>
      <c r="N427" t="s">
        <v>205</v>
      </c>
      <c r="O427" t="s">
        <v>206</v>
      </c>
      <c r="P427">
        <v>1</v>
      </c>
      <c r="Q427" t="s">
        <v>155</v>
      </c>
      <c r="S427" t="str">
        <f>_xlfn.XLOOKUP(UNIVERSO[[#This Row],[Ruta]],'[1]CUOTA RUTA'!A:A,'[1]CUOTA RUTA'!D:D)</f>
        <v>Cargar</v>
      </c>
    </row>
    <row r="428" spans="1:19" x14ac:dyDescent="0.25">
      <c r="A428">
        <v>1540054578</v>
      </c>
      <c r="B428" t="s">
        <v>1086</v>
      </c>
      <c r="C428" t="s">
        <v>19</v>
      </c>
      <c r="D428" t="s">
        <v>20</v>
      </c>
      <c r="E428" t="s">
        <v>21</v>
      </c>
      <c r="F428" t="s">
        <v>22</v>
      </c>
      <c r="G428" t="s">
        <v>23</v>
      </c>
      <c r="H428" t="s">
        <v>674</v>
      </c>
      <c r="I428" t="s">
        <v>1087</v>
      </c>
      <c r="J428">
        <v>10.183019449364</v>
      </c>
      <c r="K428">
        <v>-84.391963717359999</v>
      </c>
      <c r="L428" t="s">
        <v>26</v>
      </c>
      <c r="M428" t="s">
        <v>46</v>
      </c>
      <c r="N428" t="s">
        <v>47</v>
      </c>
      <c r="O428" t="s">
        <v>48</v>
      </c>
      <c r="P428">
        <v>1</v>
      </c>
      <c r="Q428" t="s">
        <v>155</v>
      </c>
      <c r="S428" t="str">
        <f>_xlfn.XLOOKUP(UNIVERSO[[#This Row],[Ruta]],'[1]CUOTA RUTA'!A:A,'[1]CUOTA RUTA'!D:D)</f>
        <v>Cargar</v>
      </c>
    </row>
    <row r="429" spans="1:19" x14ac:dyDescent="0.25">
      <c r="A429">
        <v>1540054662</v>
      </c>
      <c r="B429" t="s">
        <v>1088</v>
      </c>
      <c r="C429" t="s">
        <v>19</v>
      </c>
      <c r="D429" t="s">
        <v>569</v>
      </c>
      <c r="E429" t="s">
        <v>21</v>
      </c>
      <c r="F429" t="s">
        <v>22</v>
      </c>
      <c r="G429" t="s">
        <v>64</v>
      </c>
      <c r="H429" t="s">
        <v>570</v>
      </c>
      <c r="I429" t="s">
        <v>1089</v>
      </c>
      <c r="J429">
        <v>8.6027000999999998</v>
      </c>
      <c r="K429">
        <v>-83.094130699999994</v>
      </c>
      <c r="L429" t="s">
        <v>26</v>
      </c>
      <c r="M429" t="s">
        <v>572</v>
      </c>
      <c r="N429" t="s">
        <v>573</v>
      </c>
      <c r="O429" t="s">
        <v>574</v>
      </c>
      <c r="P429">
        <v>23</v>
      </c>
      <c r="Q429" t="s">
        <v>125</v>
      </c>
      <c r="S429" t="str">
        <f>_xlfn.XLOOKUP(UNIVERSO[[#This Row],[Ruta]],'[1]CUOTA RUTA'!A:A,'[1]CUOTA RUTA'!D:D)</f>
        <v>Cargar</v>
      </c>
    </row>
    <row r="430" spans="1:19" x14ac:dyDescent="0.25">
      <c r="A430">
        <v>1540054768</v>
      </c>
      <c r="B430" t="s">
        <v>1090</v>
      </c>
      <c r="C430" t="s">
        <v>19</v>
      </c>
      <c r="D430" t="s">
        <v>201</v>
      </c>
      <c r="E430" t="s">
        <v>21</v>
      </c>
      <c r="F430" t="s">
        <v>51</v>
      </c>
      <c r="G430" t="s">
        <v>23</v>
      </c>
      <c r="H430" t="s">
        <v>593</v>
      </c>
      <c r="I430" t="s">
        <v>1091</v>
      </c>
      <c r="J430">
        <v>9.9749605999999993</v>
      </c>
      <c r="K430">
        <v>-84.839396699999995</v>
      </c>
      <c r="L430" t="s">
        <v>26</v>
      </c>
      <c r="M430" t="s">
        <v>204</v>
      </c>
      <c r="N430" t="s">
        <v>205</v>
      </c>
      <c r="O430" t="s">
        <v>206</v>
      </c>
      <c r="P430">
        <v>11</v>
      </c>
      <c r="Q430" t="s">
        <v>108</v>
      </c>
      <c r="S430" t="str">
        <f>_xlfn.XLOOKUP(UNIVERSO[[#This Row],[Ruta]],'[1]CUOTA RUTA'!A:A,'[1]CUOTA RUTA'!D:D)</f>
        <v>Cargar</v>
      </c>
    </row>
    <row r="431" spans="1:19" x14ac:dyDescent="0.25">
      <c r="A431">
        <v>1540054898</v>
      </c>
      <c r="B431" t="s">
        <v>1092</v>
      </c>
      <c r="C431" t="s">
        <v>19</v>
      </c>
      <c r="D431" t="s">
        <v>20</v>
      </c>
      <c r="E431" t="s">
        <v>21</v>
      </c>
      <c r="F431" t="s">
        <v>22</v>
      </c>
      <c r="G431" t="s">
        <v>64</v>
      </c>
      <c r="H431" t="s">
        <v>260</v>
      </c>
      <c r="I431" t="s">
        <v>1093</v>
      </c>
      <c r="J431">
        <v>10.089237199999999</v>
      </c>
      <c r="K431">
        <v>-84.468149400000001</v>
      </c>
      <c r="L431" t="s">
        <v>26</v>
      </c>
      <c r="M431" t="s">
        <v>46</v>
      </c>
      <c r="N431" t="s">
        <v>47</v>
      </c>
      <c r="O431" t="s">
        <v>48</v>
      </c>
      <c r="P431">
        <v>6</v>
      </c>
      <c r="Q431" t="s">
        <v>49</v>
      </c>
      <c r="S431" t="str">
        <f>_xlfn.XLOOKUP(UNIVERSO[[#This Row],[Ruta]],'[1]CUOTA RUTA'!A:A,'[1]CUOTA RUTA'!D:D)</f>
        <v>Cargar</v>
      </c>
    </row>
    <row r="432" spans="1:19" x14ac:dyDescent="0.25">
      <c r="A432">
        <v>1540055537</v>
      </c>
      <c r="B432" t="s">
        <v>1094</v>
      </c>
      <c r="C432" t="s">
        <v>19</v>
      </c>
      <c r="D432" t="s">
        <v>32</v>
      </c>
      <c r="E432" t="s">
        <v>21</v>
      </c>
      <c r="F432" t="s">
        <v>22</v>
      </c>
      <c r="G432" t="s">
        <v>23</v>
      </c>
      <c r="H432" t="s">
        <v>134</v>
      </c>
      <c r="I432" t="s">
        <v>1095</v>
      </c>
      <c r="J432">
        <v>9.94651</v>
      </c>
      <c r="K432">
        <v>-84.078230000000005</v>
      </c>
      <c r="L432" t="s">
        <v>26</v>
      </c>
      <c r="M432" t="s">
        <v>94</v>
      </c>
      <c r="N432" t="s">
        <v>95</v>
      </c>
      <c r="O432" t="s">
        <v>96</v>
      </c>
      <c r="P432">
        <v>11</v>
      </c>
      <c r="Q432" t="s">
        <v>108</v>
      </c>
      <c r="S432" t="str">
        <f>_xlfn.XLOOKUP(UNIVERSO[[#This Row],[Ruta]],'[1]CUOTA RUTA'!A:A,'[1]CUOTA RUTA'!D:D)</f>
        <v>Cargar</v>
      </c>
    </row>
    <row r="433" spans="1:19" x14ac:dyDescent="0.25">
      <c r="A433">
        <v>1540055767</v>
      </c>
      <c r="B433" t="s">
        <v>1096</v>
      </c>
      <c r="C433" t="s">
        <v>19</v>
      </c>
      <c r="D433" t="s">
        <v>201</v>
      </c>
      <c r="E433" t="s">
        <v>21</v>
      </c>
      <c r="F433" t="s">
        <v>22</v>
      </c>
      <c r="G433" t="s">
        <v>23</v>
      </c>
      <c r="H433" t="s">
        <v>528</v>
      </c>
      <c r="I433" t="s">
        <v>1097</v>
      </c>
      <c r="J433">
        <v>10.224287</v>
      </c>
      <c r="K433">
        <v>-85.185980000000001</v>
      </c>
      <c r="L433" t="s">
        <v>26</v>
      </c>
      <c r="M433" t="s">
        <v>327</v>
      </c>
      <c r="N433" t="s">
        <v>530</v>
      </c>
      <c r="O433" t="s">
        <v>531</v>
      </c>
      <c r="P433">
        <v>2</v>
      </c>
      <c r="Q433" t="s">
        <v>150</v>
      </c>
      <c r="S433" t="str">
        <f>_xlfn.XLOOKUP(UNIVERSO[[#This Row],[Ruta]],'[1]CUOTA RUTA'!A:A,'[1]CUOTA RUTA'!D:D)</f>
        <v>Cargar</v>
      </c>
    </row>
    <row r="434" spans="1:19" x14ac:dyDescent="0.25">
      <c r="A434">
        <v>1540058609</v>
      </c>
      <c r="B434" t="s">
        <v>1098</v>
      </c>
      <c r="C434" t="s">
        <v>19</v>
      </c>
      <c r="D434" t="s">
        <v>20</v>
      </c>
      <c r="E434" t="s">
        <v>21</v>
      </c>
      <c r="F434" t="s">
        <v>22</v>
      </c>
      <c r="G434" t="s">
        <v>23</v>
      </c>
      <c r="H434" t="s">
        <v>311</v>
      </c>
      <c r="I434" t="s">
        <v>1099</v>
      </c>
      <c r="J434">
        <v>9.9830310000000004</v>
      </c>
      <c r="K434">
        <v>-84.223642999999996</v>
      </c>
      <c r="L434" t="s">
        <v>26</v>
      </c>
      <c r="M434" t="s">
        <v>54</v>
      </c>
      <c r="N434" t="s">
        <v>55</v>
      </c>
      <c r="O434" t="s">
        <v>56</v>
      </c>
      <c r="P434">
        <v>8</v>
      </c>
      <c r="Q434" t="s">
        <v>97</v>
      </c>
      <c r="S434" t="str">
        <f>_xlfn.XLOOKUP(UNIVERSO[[#This Row],[Ruta]],'[1]CUOTA RUTA'!A:A,'[1]CUOTA RUTA'!D:D)</f>
        <v>Cargar</v>
      </c>
    </row>
    <row r="435" spans="1:19" x14ac:dyDescent="0.25">
      <c r="A435">
        <v>1540060693</v>
      </c>
      <c r="B435" t="s">
        <v>1100</v>
      </c>
      <c r="C435" t="s">
        <v>19</v>
      </c>
      <c r="D435" t="s">
        <v>201</v>
      </c>
      <c r="E435" t="s">
        <v>21</v>
      </c>
      <c r="F435" t="s">
        <v>51</v>
      </c>
      <c r="G435" t="s">
        <v>23</v>
      </c>
      <c r="H435" t="s">
        <v>593</v>
      </c>
      <c r="I435" t="s">
        <v>1101</v>
      </c>
      <c r="J435">
        <v>9.9785477999999994</v>
      </c>
      <c r="K435">
        <v>-84.831333200000003</v>
      </c>
      <c r="L435" t="s">
        <v>26</v>
      </c>
      <c r="M435" t="s">
        <v>204</v>
      </c>
      <c r="N435" t="s">
        <v>205</v>
      </c>
      <c r="O435" t="s">
        <v>206</v>
      </c>
      <c r="P435">
        <v>11</v>
      </c>
      <c r="Q435" t="s">
        <v>108</v>
      </c>
      <c r="S435" t="str">
        <f>_xlfn.XLOOKUP(UNIVERSO[[#This Row],[Ruta]],'[1]CUOTA RUTA'!A:A,'[1]CUOTA RUTA'!D:D)</f>
        <v>Cargar</v>
      </c>
    </row>
    <row r="436" spans="1:19" x14ac:dyDescent="0.25">
      <c r="A436">
        <v>1540060787</v>
      </c>
      <c r="B436" t="s">
        <v>1102</v>
      </c>
      <c r="C436" t="s">
        <v>19</v>
      </c>
      <c r="D436" t="s">
        <v>201</v>
      </c>
      <c r="E436" t="s">
        <v>21</v>
      </c>
      <c r="F436" t="s">
        <v>51</v>
      </c>
      <c r="G436" t="s">
        <v>23</v>
      </c>
      <c r="H436" t="s">
        <v>593</v>
      </c>
      <c r="I436" t="s">
        <v>1103</v>
      </c>
      <c r="J436">
        <v>9.9776038000000007</v>
      </c>
      <c r="K436">
        <v>-84.848067599999993</v>
      </c>
      <c r="L436" t="s">
        <v>26</v>
      </c>
      <c r="M436" t="s">
        <v>204</v>
      </c>
      <c r="N436" t="s">
        <v>205</v>
      </c>
      <c r="O436" t="s">
        <v>206</v>
      </c>
      <c r="P436">
        <v>11</v>
      </c>
      <c r="Q436" t="s">
        <v>108</v>
      </c>
      <c r="S436" t="str">
        <f>_xlfn.XLOOKUP(UNIVERSO[[#This Row],[Ruta]],'[1]CUOTA RUTA'!A:A,'[1]CUOTA RUTA'!D:D)</f>
        <v>Cargar</v>
      </c>
    </row>
    <row r="437" spans="1:19" x14ac:dyDescent="0.25">
      <c r="A437">
        <v>1540062458</v>
      </c>
      <c r="B437" t="s">
        <v>1104</v>
      </c>
      <c r="C437" t="s">
        <v>19</v>
      </c>
      <c r="D437" t="s">
        <v>337</v>
      </c>
      <c r="E437" t="s">
        <v>62</v>
      </c>
      <c r="F437" t="s">
        <v>63</v>
      </c>
      <c r="G437" t="s">
        <v>64</v>
      </c>
      <c r="H437" t="s">
        <v>346</v>
      </c>
      <c r="I437" t="s">
        <v>1105</v>
      </c>
      <c r="J437">
        <v>10.408327999999999</v>
      </c>
      <c r="K437">
        <v>-85.796608000000006</v>
      </c>
      <c r="L437" t="s">
        <v>26</v>
      </c>
      <c r="M437" t="s">
        <v>327</v>
      </c>
      <c r="N437" t="s">
        <v>340</v>
      </c>
      <c r="O437" t="s">
        <v>341</v>
      </c>
      <c r="P437">
        <v>18</v>
      </c>
      <c r="Q437" t="s">
        <v>84</v>
      </c>
      <c r="S437" t="str">
        <f>_xlfn.XLOOKUP(UNIVERSO[[#This Row],[Ruta]],'[1]CUOTA RUTA'!A:A,'[1]CUOTA RUTA'!D:D)</f>
        <v>Cargar</v>
      </c>
    </row>
    <row r="438" spans="1:19" x14ac:dyDescent="0.25">
      <c r="A438">
        <v>1540065699</v>
      </c>
      <c r="B438" t="s">
        <v>1106</v>
      </c>
      <c r="C438" t="s">
        <v>19</v>
      </c>
      <c r="D438" t="s">
        <v>186</v>
      </c>
      <c r="E438" t="s">
        <v>62</v>
      </c>
      <c r="F438" t="s">
        <v>63</v>
      </c>
      <c r="G438" t="s">
        <v>33</v>
      </c>
      <c r="H438" t="s">
        <v>420</v>
      </c>
      <c r="I438" t="s">
        <v>1107</v>
      </c>
      <c r="J438">
        <v>9.7421299999999995</v>
      </c>
      <c r="K438">
        <v>-82.953100000000006</v>
      </c>
      <c r="L438" t="s">
        <v>26</v>
      </c>
      <c r="M438" t="s">
        <v>189</v>
      </c>
      <c r="N438" t="s">
        <v>190</v>
      </c>
      <c r="O438" t="s">
        <v>191</v>
      </c>
      <c r="P438">
        <v>17</v>
      </c>
      <c r="Q438" t="s">
        <v>287</v>
      </c>
      <c r="S438" t="str">
        <f>_xlfn.XLOOKUP(UNIVERSO[[#This Row],[Ruta]],'[1]CUOTA RUTA'!A:A,'[1]CUOTA RUTA'!D:D)</f>
        <v>Cargar</v>
      </c>
    </row>
    <row r="439" spans="1:19" x14ac:dyDescent="0.25">
      <c r="A439">
        <v>1540066342</v>
      </c>
      <c r="B439" t="s">
        <v>1108</v>
      </c>
      <c r="C439" t="s">
        <v>19</v>
      </c>
      <c r="D439" t="s">
        <v>349</v>
      </c>
      <c r="E439" t="s">
        <v>21</v>
      </c>
      <c r="F439" t="s">
        <v>22</v>
      </c>
      <c r="G439" t="s">
        <v>23</v>
      </c>
      <c r="H439" t="s">
        <v>359</v>
      </c>
      <c r="I439" t="s">
        <v>1109</v>
      </c>
      <c r="J439">
        <v>10.1328</v>
      </c>
      <c r="K439">
        <v>-85.444500000000005</v>
      </c>
      <c r="L439" t="s">
        <v>26</v>
      </c>
      <c r="M439" t="s">
        <v>352</v>
      </c>
      <c r="N439" t="s">
        <v>353</v>
      </c>
      <c r="O439" t="s">
        <v>354</v>
      </c>
      <c r="P439">
        <v>12</v>
      </c>
      <c r="Q439" t="s">
        <v>42</v>
      </c>
      <c r="S439" t="str">
        <f>_xlfn.XLOOKUP(UNIVERSO[[#This Row],[Ruta]],'[1]CUOTA RUTA'!A:A,'[1]CUOTA RUTA'!D:D)</f>
        <v>Cargar</v>
      </c>
    </row>
    <row r="440" spans="1:19" x14ac:dyDescent="0.25">
      <c r="A440">
        <v>1540066472</v>
      </c>
      <c r="B440" t="s">
        <v>1110</v>
      </c>
      <c r="C440" t="s">
        <v>19</v>
      </c>
      <c r="D440" t="s">
        <v>20</v>
      </c>
      <c r="E440" t="s">
        <v>21</v>
      </c>
      <c r="F440" t="s">
        <v>22</v>
      </c>
      <c r="G440" t="s">
        <v>23</v>
      </c>
      <c r="H440" t="s">
        <v>311</v>
      </c>
      <c r="I440" t="s">
        <v>1111</v>
      </c>
      <c r="J440">
        <v>9.9750460000000007</v>
      </c>
      <c r="K440">
        <v>-84.203618000000006</v>
      </c>
      <c r="L440" t="s">
        <v>26</v>
      </c>
      <c r="M440" t="s">
        <v>54</v>
      </c>
      <c r="N440" t="s">
        <v>55</v>
      </c>
      <c r="O440" t="s">
        <v>56</v>
      </c>
      <c r="P440">
        <v>14</v>
      </c>
      <c r="Q440" t="s">
        <v>181</v>
      </c>
      <c r="S440" t="str">
        <f>_xlfn.XLOOKUP(UNIVERSO[[#This Row],[Ruta]],'[1]CUOTA RUTA'!A:A,'[1]CUOTA RUTA'!D:D)</f>
        <v>Cargar</v>
      </c>
    </row>
    <row r="441" spans="1:19" x14ac:dyDescent="0.25">
      <c r="A441">
        <v>1500001320</v>
      </c>
      <c r="B441" t="s">
        <v>1112</v>
      </c>
      <c r="C441" t="s">
        <v>19</v>
      </c>
      <c r="D441" t="s">
        <v>32</v>
      </c>
      <c r="E441" t="s">
        <v>21</v>
      </c>
      <c r="F441" t="s">
        <v>22</v>
      </c>
      <c r="G441" t="s">
        <v>64</v>
      </c>
      <c r="H441" t="s">
        <v>1113</v>
      </c>
      <c r="I441" t="s">
        <v>1114</v>
      </c>
      <c r="J441">
        <v>9.9251100000000001</v>
      </c>
      <c r="K441">
        <v>-84.069800000000001</v>
      </c>
      <c r="L441" t="s">
        <v>26</v>
      </c>
      <c r="M441" t="s">
        <v>36</v>
      </c>
      <c r="N441" t="s">
        <v>37</v>
      </c>
      <c r="O441" t="s">
        <v>38</v>
      </c>
      <c r="P441">
        <v>6</v>
      </c>
      <c r="Q441" t="s">
        <v>49</v>
      </c>
      <c r="S441" t="str">
        <f>_xlfn.XLOOKUP(UNIVERSO[[#This Row],[Ruta]],'[1]CUOTA RUTA'!A:A,'[1]CUOTA RUTA'!D:D)</f>
        <v>Cargar</v>
      </c>
    </row>
    <row r="442" spans="1:19" x14ac:dyDescent="0.25">
      <c r="A442">
        <v>1500001619</v>
      </c>
      <c r="B442" t="s">
        <v>1115</v>
      </c>
      <c r="C442" t="s">
        <v>19</v>
      </c>
      <c r="D442" t="s">
        <v>32</v>
      </c>
      <c r="E442" t="s">
        <v>21</v>
      </c>
      <c r="F442" t="s">
        <v>22</v>
      </c>
      <c r="G442" t="s">
        <v>23</v>
      </c>
      <c r="H442" t="s">
        <v>34</v>
      </c>
      <c r="I442" t="s">
        <v>1116</v>
      </c>
      <c r="J442">
        <v>9.9183699999999995</v>
      </c>
      <c r="K442">
        <v>-84.069419999999994</v>
      </c>
      <c r="L442" t="s">
        <v>26</v>
      </c>
      <c r="M442" t="s">
        <v>36</v>
      </c>
      <c r="N442" t="s">
        <v>37</v>
      </c>
      <c r="O442" t="s">
        <v>38</v>
      </c>
      <c r="P442">
        <v>13</v>
      </c>
      <c r="Q442" t="s">
        <v>161</v>
      </c>
      <c r="S442" t="str">
        <f>_xlfn.XLOOKUP(UNIVERSO[[#This Row],[Ruta]],'[1]CUOTA RUTA'!A:A,'[1]CUOTA RUTA'!D:D)</f>
        <v>Cargar</v>
      </c>
    </row>
    <row r="443" spans="1:19" x14ac:dyDescent="0.25">
      <c r="A443">
        <v>1500005714</v>
      </c>
      <c r="B443" t="s">
        <v>1117</v>
      </c>
      <c r="C443" t="s">
        <v>19</v>
      </c>
      <c r="D443" t="s">
        <v>32</v>
      </c>
      <c r="E443" t="s">
        <v>21</v>
      </c>
      <c r="F443" t="s">
        <v>22</v>
      </c>
      <c r="G443" t="s">
        <v>23</v>
      </c>
      <c r="H443" t="s">
        <v>441</v>
      </c>
      <c r="I443" t="s">
        <v>1118</v>
      </c>
      <c r="J443">
        <v>9.9774232999999999</v>
      </c>
      <c r="K443">
        <v>-84.007791699999999</v>
      </c>
      <c r="L443" t="s">
        <v>26</v>
      </c>
      <c r="M443" t="s">
        <v>71</v>
      </c>
      <c r="N443" t="s">
        <v>72</v>
      </c>
      <c r="O443" t="s">
        <v>73</v>
      </c>
      <c r="P443">
        <v>23</v>
      </c>
      <c r="Q443" t="s">
        <v>125</v>
      </c>
      <c r="S443" t="str">
        <f>_xlfn.XLOOKUP(UNIVERSO[[#This Row],[Ruta]],'[1]CUOTA RUTA'!A:A,'[1]CUOTA RUTA'!D:D)</f>
        <v>Cargar</v>
      </c>
    </row>
    <row r="444" spans="1:19" x14ac:dyDescent="0.25">
      <c r="A444">
        <v>1500009730</v>
      </c>
      <c r="B444" t="s">
        <v>1119</v>
      </c>
      <c r="C444" t="s">
        <v>19</v>
      </c>
      <c r="D444" t="s">
        <v>32</v>
      </c>
      <c r="E444" t="s">
        <v>21</v>
      </c>
      <c r="F444" t="s">
        <v>22</v>
      </c>
      <c r="G444" t="s">
        <v>23</v>
      </c>
      <c r="H444" t="s">
        <v>134</v>
      </c>
      <c r="I444" t="s">
        <v>1120</v>
      </c>
      <c r="J444">
        <v>9.9753930000000004</v>
      </c>
      <c r="K444">
        <v>-84.018039999999999</v>
      </c>
      <c r="L444" t="s">
        <v>26</v>
      </c>
      <c r="M444" t="s">
        <v>94</v>
      </c>
      <c r="N444" t="s">
        <v>95</v>
      </c>
      <c r="O444" t="s">
        <v>96</v>
      </c>
      <c r="P444">
        <v>3</v>
      </c>
      <c r="Q444" t="s">
        <v>101</v>
      </c>
      <c r="S444" t="str">
        <f>_xlfn.XLOOKUP(UNIVERSO[[#This Row],[Ruta]],'[1]CUOTA RUTA'!A:A,'[1]CUOTA RUTA'!D:D)</f>
        <v>Cargar</v>
      </c>
    </row>
    <row r="445" spans="1:19" x14ac:dyDescent="0.25">
      <c r="A445">
        <v>1500011634</v>
      </c>
      <c r="B445" t="s">
        <v>1121</v>
      </c>
      <c r="C445" t="s">
        <v>19</v>
      </c>
      <c r="D445" t="s">
        <v>32</v>
      </c>
      <c r="E445" t="s">
        <v>21</v>
      </c>
      <c r="F445" t="s">
        <v>22</v>
      </c>
      <c r="G445" t="s">
        <v>23</v>
      </c>
      <c r="H445" t="s">
        <v>683</v>
      </c>
      <c r="I445" t="s">
        <v>1122</v>
      </c>
      <c r="J445">
        <v>9.9213909999999998</v>
      </c>
      <c r="K445">
        <v>-84.072249999999997</v>
      </c>
      <c r="L445" t="s">
        <v>26</v>
      </c>
      <c r="M445" t="s">
        <v>71</v>
      </c>
      <c r="N445" t="s">
        <v>72</v>
      </c>
      <c r="O445" t="s">
        <v>73</v>
      </c>
      <c r="P445">
        <v>2</v>
      </c>
      <c r="Q445" t="s">
        <v>150</v>
      </c>
      <c r="S445" t="str">
        <f>_xlfn.XLOOKUP(UNIVERSO[[#This Row],[Ruta]],'[1]CUOTA RUTA'!A:A,'[1]CUOTA RUTA'!D:D)</f>
        <v>Cargar</v>
      </c>
    </row>
    <row r="446" spans="1:19" x14ac:dyDescent="0.25">
      <c r="A446">
        <v>1500023227</v>
      </c>
      <c r="B446" t="s">
        <v>1123</v>
      </c>
      <c r="C446" t="s">
        <v>19</v>
      </c>
      <c r="D446" t="s">
        <v>20</v>
      </c>
      <c r="E446" t="s">
        <v>21</v>
      </c>
      <c r="F446" t="s">
        <v>22</v>
      </c>
      <c r="G446" t="s">
        <v>23</v>
      </c>
      <c r="H446" t="s">
        <v>285</v>
      </c>
      <c r="I446" t="s">
        <v>1124</v>
      </c>
      <c r="J446">
        <v>10.005437799999999</v>
      </c>
      <c r="K446">
        <v>-84.202940499999997</v>
      </c>
      <c r="L446" t="s">
        <v>26</v>
      </c>
      <c r="M446" t="s">
        <v>54</v>
      </c>
      <c r="N446" t="s">
        <v>55</v>
      </c>
      <c r="O446" t="s">
        <v>56</v>
      </c>
      <c r="P446">
        <v>3</v>
      </c>
      <c r="Q446" t="s">
        <v>101</v>
      </c>
      <c r="S446" t="str">
        <f>_xlfn.XLOOKUP(UNIVERSO[[#This Row],[Ruta]],'[1]CUOTA RUTA'!A:A,'[1]CUOTA RUTA'!D:D)</f>
        <v>Cargar</v>
      </c>
    </row>
    <row r="447" spans="1:19" x14ac:dyDescent="0.25">
      <c r="A447">
        <v>1500024118</v>
      </c>
      <c r="B447" t="s">
        <v>1125</v>
      </c>
      <c r="C447" t="s">
        <v>19</v>
      </c>
      <c r="D447" t="s">
        <v>20</v>
      </c>
      <c r="E447" t="s">
        <v>21</v>
      </c>
      <c r="F447" t="s">
        <v>22</v>
      </c>
      <c r="G447" t="s">
        <v>23</v>
      </c>
      <c r="H447" t="s">
        <v>277</v>
      </c>
      <c r="I447" t="s">
        <v>1126</v>
      </c>
      <c r="J447">
        <v>9.9317060000000001</v>
      </c>
      <c r="K447">
        <v>-84.202865000000003</v>
      </c>
      <c r="L447" t="s">
        <v>26</v>
      </c>
      <c r="M447" t="s">
        <v>54</v>
      </c>
      <c r="N447" t="s">
        <v>55</v>
      </c>
      <c r="O447" t="s">
        <v>56</v>
      </c>
      <c r="P447">
        <v>10</v>
      </c>
      <c r="Q447" t="s">
        <v>136</v>
      </c>
      <c r="S447" t="str">
        <f>_xlfn.XLOOKUP(UNIVERSO[[#This Row],[Ruta]],'[1]CUOTA RUTA'!A:A,'[1]CUOTA RUTA'!D:D)</f>
        <v>Cargar</v>
      </c>
    </row>
    <row r="448" spans="1:19" x14ac:dyDescent="0.25">
      <c r="A448">
        <v>1500057018</v>
      </c>
      <c r="B448" t="s">
        <v>1127</v>
      </c>
      <c r="C448" t="s">
        <v>19</v>
      </c>
      <c r="D448" t="s">
        <v>20</v>
      </c>
      <c r="E448" t="s">
        <v>21</v>
      </c>
      <c r="F448" t="s">
        <v>22</v>
      </c>
      <c r="G448" t="s">
        <v>23</v>
      </c>
      <c r="H448" t="s">
        <v>1128</v>
      </c>
      <c r="I448" t="s">
        <v>1129</v>
      </c>
      <c r="J448">
        <v>10.08812</v>
      </c>
      <c r="K448">
        <v>-84.283749999999998</v>
      </c>
      <c r="L448" t="s">
        <v>26</v>
      </c>
      <c r="M448" t="s">
        <v>46</v>
      </c>
      <c r="N448" t="s">
        <v>47</v>
      </c>
      <c r="O448" t="s">
        <v>48</v>
      </c>
      <c r="P448">
        <v>4</v>
      </c>
      <c r="Q448" t="s">
        <v>120</v>
      </c>
      <c r="S448" t="str">
        <f>_xlfn.XLOOKUP(UNIVERSO[[#This Row],[Ruta]],'[1]CUOTA RUTA'!A:A,'[1]CUOTA RUTA'!D:D)</f>
        <v>Cargar</v>
      </c>
    </row>
    <row r="449" spans="1:19" x14ac:dyDescent="0.25">
      <c r="A449">
        <v>1500060655</v>
      </c>
      <c r="B449" t="s">
        <v>1130</v>
      </c>
      <c r="C449" t="s">
        <v>19</v>
      </c>
      <c r="D449" t="s">
        <v>20</v>
      </c>
      <c r="E449" t="s">
        <v>21</v>
      </c>
      <c r="F449" t="s">
        <v>22</v>
      </c>
      <c r="G449" t="s">
        <v>23</v>
      </c>
      <c r="H449" t="s">
        <v>285</v>
      </c>
      <c r="I449" t="s">
        <v>1131</v>
      </c>
      <c r="J449">
        <v>10.0026674</v>
      </c>
      <c r="K449">
        <v>-84.187192300000007</v>
      </c>
      <c r="L449" t="s">
        <v>26</v>
      </c>
      <c r="M449" t="s">
        <v>54</v>
      </c>
      <c r="N449" t="s">
        <v>55</v>
      </c>
      <c r="O449" t="s">
        <v>56</v>
      </c>
      <c r="P449">
        <v>15</v>
      </c>
      <c r="Q449" t="s">
        <v>231</v>
      </c>
      <c r="S449" t="str">
        <f>_xlfn.XLOOKUP(UNIVERSO[[#This Row],[Ruta]],'[1]CUOTA RUTA'!A:A,'[1]CUOTA RUTA'!D:D)</f>
        <v>Cargar</v>
      </c>
    </row>
    <row r="450" spans="1:19" x14ac:dyDescent="0.25">
      <c r="A450">
        <v>1500061822</v>
      </c>
      <c r="B450" t="s">
        <v>1132</v>
      </c>
      <c r="C450" t="s">
        <v>19</v>
      </c>
      <c r="D450" t="s">
        <v>20</v>
      </c>
      <c r="E450" t="s">
        <v>21</v>
      </c>
      <c r="F450" t="s">
        <v>22</v>
      </c>
      <c r="G450" t="s">
        <v>23</v>
      </c>
      <c r="H450" t="s">
        <v>193</v>
      </c>
      <c r="I450" t="s">
        <v>1133</v>
      </c>
      <c r="J450">
        <v>10.00623</v>
      </c>
      <c r="K450">
        <v>-84.247299999999996</v>
      </c>
      <c r="L450" t="s">
        <v>26</v>
      </c>
      <c r="M450" t="s">
        <v>54</v>
      </c>
      <c r="N450" t="s">
        <v>55</v>
      </c>
      <c r="O450" t="s">
        <v>56</v>
      </c>
      <c r="P450">
        <v>7</v>
      </c>
      <c r="Q450" t="s">
        <v>39</v>
      </c>
      <c r="S450" t="str">
        <f>_xlfn.XLOOKUP(UNIVERSO[[#This Row],[Ruta]],'[1]CUOTA RUTA'!A:A,'[1]CUOTA RUTA'!D:D)</f>
        <v>Cargar</v>
      </c>
    </row>
    <row r="451" spans="1:19" x14ac:dyDescent="0.25">
      <c r="A451">
        <v>1500072181</v>
      </c>
      <c r="B451" t="s">
        <v>1134</v>
      </c>
      <c r="C451" t="s">
        <v>19</v>
      </c>
      <c r="D451" t="s">
        <v>201</v>
      </c>
      <c r="E451" t="s">
        <v>21</v>
      </c>
      <c r="F451" t="s">
        <v>51</v>
      </c>
      <c r="G451" t="s">
        <v>23</v>
      </c>
      <c r="H451" t="s">
        <v>533</v>
      </c>
      <c r="I451" t="s">
        <v>1135</v>
      </c>
      <c r="J451">
        <v>9.9093951151309998</v>
      </c>
      <c r="K451">
        <v>-84.519677394179993</v>
      </c>
      <c r="L451" t="s">
        <v>26</v>
      </c>
      <c r="M451" t="s">
        <v>204</v>
      </c>
      <c r="N451" t="s">
        <v>205</v>
      </c>
      <c r="O451" t="s">
        <v>206</v>
      </c>
      <c r="P451">
        <v>1</v>
      </c>
      <c r="Q451" t="s">
        <v>155</v>
      </c>
      <c r="S451" t="str">
        <f>_xlfn.XLOOKUP(UNIVERSO[[#This Row],[Ruta]],'[1]CUOTA RUTA'!A:A,'[1]CUOTA RUTA'!D:D)</f>
        <v>Cargar</v>
      </c>
    </row>
    <row r="452" spans="1:19" x14ac:dyDescent="0.25">
      <c r="A452">
        <v>1500086161</v>
      </c>
      <c r="B452" t="s">
        <v>1136</v>
      </c>
      <c r="C452" t="s">
        <v>19</v>
      </c>
      <c r="D452" t="s">
        <v>337</v>
      </c>
      <c r="E452" t="s">
        <v>21</v>
      </c>
      <c r="F452" t="s">
        <v>22</v>
      </c>
      <c r="G452" t="s">
        <v>23</v>
      </c>
      <c r="H452" t="s">
        <v>576</v>
      </c>
      <c r="I452" t="s">
        <v>1137</v>
      </c>
      <c r="J452">
        <v>10.428694</v>
      </c>
      <c r="K452">
        <v>-85.100729000000001</v>
      </c>
      <c r="L452" t="s">
        <v>26</v>
      </c>
      <c r="M452" t="s">
        <v>327</v>
      </c>
      <c r="N452" t="s">
        <v>340</v>
      </c>
      <c r="O452" t="s">
        <v>341</v>
      </c>
      <c r="P452">
        <v>22</v>
      </c>
      <c r="Q452" t="s">
        <v>30</v>
      </c>
      <c r="S452" t="str">
        <f>_xlfn.XLOOKUP(UNIVERSO[[#This Row],[Ruta]],'[1]CUOTA RUTA'!A:A,'[1]CUOTA RUTA'!D:D)</f>
        <v>Cargar</v>
      </c>
    </row>
    <row r="453" spans="1:19" x14ac:dyDescent="0.25">
      <c r="A453">
        <v>1500089417</v>
      </c>
      <c r="B453" t="s">
        <v>1138</v>
      </c>
      <c r="C453" t="s">
        <v>19</v>
      </c>
      <c r="D453" t="s">
        <v>32</v>
      </c>
      <c r="E453" t="s">
        <v>21</v>
      </c>
      <c r="F453" t="s">
        <v>22</v>
      </c>
      <c r="G453" t="s">
        <v>23</v>
      </c>
      <c r="H453" t="s">
        <v>174</v>
      </c>
      <c r="I453" t="s">
        <v>1139</v>
      </c>
      <c r="J453">
        <v>9.9378553000000007</v>
      </c>
      <c r="K453">
        <v>-84.088209500000005</v>
      </c>
      <c r="L453" t="s">
        <v>26</v>
      </c>
      <c r="M453" t="s">
        <v>71</v>
      </c>
      <c r="N453" t="s">
        <v>72</v>
      </c>
      <c r="O453" t="s">
        <v>73</v>
      </c>
      <c r="P453">
        <v>1</v>
      </c>
      <c r="Q453" t="s">
        <v>155</v>
      </c>
      <c r="S453" t="str">
        <f>_xlfn.XLOOKUP(UNIVERSO[[#This Row],[Ruta]],'[1]CUOTA RUTA'!A:A,'[1]CUOTA RUTA'!D:D)</f>
        <v>Cargar</v>
      </c>
    </row>
    <row r="454" spans="1:19" x14ac:dyDescent="0.25">
      <c r="A454">
        <v>1500117119</v>
      </c>
      <c r="B454" t="s">
        <v>1140</v>
      </c>
      <c r="C454" t="s">
        <v>19</v>
      </c>
      <c r="D454" t="s">
        <v>266</v>
      </c>
      <c r="E454" t="s">
        <v>21</v>
      </c>
      <c r="F454" t="s">
        <v>22</v>
      </c>
      <c r="G454" t="s">
        <v>23</v>
      </c>
      <c r="H454" t="s">
        <v>703</v>
      </c>
      <c r="I454" t="s">
        <v>1141</v>
      </c>
      <c r="J454">
        <v>9.8450343999999994</v>
      </c>
      <c r="K454">
        <v>-83.947420100000002</v>
      </c>
      <c r="L454" t="s">
        <v>26</v>
      </c>
      <c r="M454" t="s">
        <v>36</v>
      </c>
      <c r="N454" t="s">
        <v>316</v>
      </c>
      <c r="O454" t="s">
        <v>317</v>
      </c>
      <c r="P454">
        <v>19</v>
      </c>
      <c r="Q454" t="s">
        <v>67</v>
      </c>
      <c r="S454" t="str">
        <f>_xlfn.XLOOKUP(UNIVERSO[[#This Row],[Ruta]],'[1]CUOTA RUTA'!A:A,'[1]CUOTA RUTA'!D:D)</f>
        <v>Cargar</v>
      </c>
    </row>
    <row r="455" spans="1:19" x14ac:dyDescent="0.25">
      <c r="A455">
        <v>1500118172</v>
      </c>
      <c r="B455" t="s">
        <v>1142</v>
      </c>
      <c r="C455" t="s">
        <v>19</v>
      </c>
      <c r="D455" t="s">
        <v>20</v>
      </c>
      <c r="E455" t="s">
        <v>21</v>
      </c>
      <c r="F455" t="s">
        <v>22</v>
      </c>
      <c r="G455" t="s">
        <v>23</v>
      </c>
      <c r="H455" t="s">
        <v>1143</v>
      </c>
      <c r="I455" t="s">
        <v>1144</v>
      </c>
      <c r="J455">
        <v>10.026233</v>
      </c>
      <c r="K455">
        <v>-84.184269</v>
      </c>
      <c r="L455" t="s">
        <v>26</v>
      </c>
      <c r="M455" t="s">
        <v>54</v>
      </c>
      <c r="N455" t="s">
        <v>55</v>
      </c>
      <c r="O455" t="s">
        <v>56</v>
      </c>
      <c r="P455">
        <v>15</v>
      </c>
      <c r="Q455" t="s">
        <v>231</v>
      </c>
      <c r="S455" t="str">
        <f>_xlfn.XLOOKUP(UNIVERSO[[#This Row],[Ruta]],'[1]CUOTA RUTA'!A:A,'[1]CUOTA RUTA'!D:D)</f>
        <v>Cargar</v>
      </c>
    </row>
    <row r="456" spans="1:19" x14ac:dyDescent="0.25">
      <c r="A456">
        <v>1500147526</v>
      </c>
      <c r="B456" t="s">
        <v>1145</v>
      </c>
      <c r="C456" t="s">
        <v>19</v>
      </c>
      <c r="D456" t="s">
        <v>32</v>
      </c>
      <c r="E456" t="s">
        <v>21</v>
      </c>
      <c r="F456" t="s">
        <v>51</v>
      </c>
      <c r="G456" t="s">
        <v>23</v>
      </c>
      <c r="H456" t="s">
        <v>441</v>
      </c>
      <c r="I456" t="s">
        <v>1146</v>
      </c>
      <c r="J456">
        <v>9.8832850000000008</v>
      </c>
      <c r="K456">
        <v>-84.076976666660002</v>
      </c>
      <c r="L456" t="s">
        <v>26</v>
      </c>
      <c r="M456" t="s">
        <v>71</v>
      </c>
      <c r="N456" t="s">
        <v>72</v>
      </c>
      <c r="O456" t="s">
        <v>73</v>
      </c>
      <c r="P456">
        <v>16</v>
      </c>
      <c r="Q456" t="s">
        <v>60</v>
      </c>
      <c r="S456" t="str">
        <f>_xlfn.XLOOKUP(UNIVERSO[[#This Row],[Ruta]],'[1]CUOTA RUTA'!A:A,'[1]CUOTA RUTA'!D:D)</f>
        <v>Cargar</v>
      </c>
    </row>
    <row r="457" spans="1:19" x14ac:dyDescent="0.25">
      <c r="A457">
        <v>1500153824</v>
      </c>
      <c r="B457" t="s">
        <v>1147</v>
      </c>
      <c r="C457" t="s">
        <v>19</v>
      </c>
      <c r="D457" t="s">
        <v>20</v>
      </c>
      <c r="E457" t="s">
        <v>21</v>
      </c>
      <c r="F457" t="s">
        <v>22</v>
      </c>
      <c r="G457" t="s">
        <v>23</v>
      </c>
      <c r="H457" t="s">
        <v>303</v>
      </c>
      <c r="I457" t="s">
        <v>1148</v>
      </c>
      <c r="J457">
        <v>9.9930699999999995</v>
      </c>
      <c r="K457">
        <v>-84.236819999999994</v>
      </c>
      <c r="L457" t="s">
        <v>26</v>
      </c>
      <c r="M457" t="s">
        <v>54</v>
      </c>
      <c r="N457" t="s">
        <v>55</v>
      </c>
      <c r="O457" t="s">
        <v>56</v>
      </c>
      <c r="P457">
        <v>5</v>
      </c>
      <c r="Q457" t="s">
        <v>117</v>
      </c>
      <c r="S457" t="str">
        <f>_xlfn.XLOOKUP(UNIVERSO[[#This Row],[Ruta]],'[1]CUOTA RUTA'!A:A,'[1]CUOTA RUTA'!D:D)</f>
        <v>Cargar</v>
      </c>
    </row>
    <row r="458" spans="1:19" x14ac:dyDescent="0.25">
      <c r="A458">
        <v>1500155730</v>
      </c>
      <c r="B458" t="s">
        <v>1149</v>
      </c>
      <c r="C458" t="s">
        <v>19</v>
      </c>
      <c r="D458" t="s">
        <v>32</v>
      </c>
      <c r="E458" t="s">
        <v>21</v>
      </c>
      <c r="F458" t="s">
        <v>51</v>
      </c>
      <c r="G458" t="s">
        <v>23</v>
      </c>
      <c r="H458" t="s">
        <v>134</v>
      </c>
      <c r="I458" t="s">
        <v>1150</v>
      </c>
      <c r="J458">
        <v>10.01727</v>
      </c>
      <c r="K458">
        <v>-84.046126999999998</v>
      </c>
      <c r="L458" t="s">
        <v>26</v>
      </c>
      <c r="M458" t="s">
        <v>94</v>
      </c>
      <c r="N458" t="s">
        <v>95</v>
      </c>
      <c r="O458" t="s">
        <v>96</v>
      </c>
      <c r="P458">
        <v>5</v>
      </c>
      <c r="Q458" t="s">
        <v>117</v>
      </c>
      <c r="S458" t="str">
        <f>_xlfn.XLOOKUP(UNIVERSO[[#This Row],[Ruta]],'[1]CUOTA RUTA'!A:A,'[1]CUOTA RUTA'!D:D)</f>
        <v>Cargar</v>
      </c>
    </row>
    <row r="459" spans="1:19" x14ac:dyDescent="0.25">
      <c r="A459">
        <v>1500156345</v>
      </c>
      <c r="B459" t="s">
        <v>1151</v>
      </c>
      <c r="C459" t="s">
        <v>19</v>
      </c>
      <c r="D459" t="s">
        <v>32</v>
      </c>
      <c r="E459" t="s">
        <v>21</v>
      </c>
      <c r="F459" t="s">
        <v>22</v>
      </c>
      <c r="G459" t="s">
        <v>23</v>
      </c>
      <c r="H459" t="s">
        <v>179</v>
      </c>
      <c r="I459" t="s">
        <v>1152</v>
      </c>
      <c r="J459">
        <v>9.8774580000000007</v>
      </c>
      <c r="K459">
        <v>-84.035870000000003</v>
      </c>
      <c r="L459" t="s">
        <v>26</v>
      </c>
      <c r="M459" t="s">
        <v>36</v>
      </c>
      <c r="N459" t="s">
        <v>37</v>
      </c>
      <c r="O459" t="s">
        <v>38</v>
      </c>
      <c r="P459">
        <v>16</v>
      </c>
      <c r="Q459" t="s">
        <v>60</v>
      </c>
      <c r="S459" t="str">
        <f>_xlfn.XLOOKUP(UNIVERSO[[#This Row],[Ruta]],'[1]CUOTA RUTA'!A:A,'[1]CUOTA RUTA'!D:D)</f>
        <v>Cargar</v>
      </c>
    </row>
    <row r="460" spans="1:19" x14ac:dyDescent="0.25">
      <c r="A460">
        <v>1500161710</v>
      </c>
      <c r="B460" t="s">
        <v>1153</v>
      </c>
      <c r="C460" t="s">
        <v>19</v>
      </c>
      <c r="D460" t="s">
        <v>208</v>
      </c>
      <c r="E460" t="s">
        <v>21</v>
      </c>
      <c r="F460" t="s">
        <v>22</v>
      </c>
      <c r="G460" t="s">
        <v>23</v>
      </c>
      <c r="H460" t="s">
        <v>218</v>
      </c>
      <c r="I460" t="s">
        <v>1154</v>
      </c>
      <c r="J460">
        <v>10.241960000000001</v>
      </c>
      <c r="K460">
        <v>-83.788300000000007</v>
      </c>
      <c r="L460" t="s">
        <v>26</v>
      </c>
      <c r="M460" t="s">
        <v>189</v>
      </c>
      <c r="N460" t="s">
        <v>211</v>
      </c>
      <c r="O460" t="s">
        <v>212</v>
      </c>
      <c r="P460">
        <v>5</v>
      </c>
      <c r="Q460" t="s">
        <v>117</v>
      </c>
      <c r="S460" t="str">
        <f>_xlfn.XLOOKUP(UNIVERSO[[#This Row],[Ruta]],'[1]CUOTA RUTA'!A:A,'[1]CUOTA RUTA'!D:D)</f>
        <v>Cargar</v>
      </c>
    </row>
    <row r="461" spans="1:19" x14ac:dyDescent="0.25">
      <c r="A461">
        <v>1500166261</v>
      </c>
      <c r="B461" t="s">
        <v>1155</v>
      </c>
      <c r="C461" t="s">
        <v>19</v>
      </c>
      <c r="D461" t="s">
        <v>208</v>
      </c>
      <c r="E461" t="s">
        <v>21</v>
      </c>
      <c r="F461" t="s">
        <v>22</v>
      </c>
      <c r="G461" t="s">
        <v>23</v>
      </c>
      <c r="H461" t="s">
        <v>209</v>
      </c>
      <c r="I461" t="s">
        <v>1156</v>
      </c>
      <c r="J461">
        <v>10.21256</v>
      </c>
      <c r="K461">
        <v>-83.843500000000006</v>
      </c>
      <c r="L461" t="s">
        <v>26</v>
      </c>
      <c r="M461" t="s">
        <v>189</v>
      </c>
      <c r="N461" t="s">
        <v>211</v>
      </c>
      <c r="O461" t="s">
        <v>212</v>
      </c>
      <c r="P461">
        <v>4</v>
      </c>
      <c r="Q461" t="s">
        <v>120</v>
      </c>
      <c r="S461" t="str">
        <f>_xlfn.XLOOKUP(UNIVERSO[[#This Row],[Ruta]],'[1]CUOTA RUTA'!A:A,'[1]CUOTA RUTA'!D:D)</f>
        <v>Cargar</v>
      </c>
    </row>
    <row r="462" spans="1:19" x14ac:dyDescent="0.25">
      <c r="A462">
        <v>1500169216</v>
      </c>
      <c r="B462" t="s">
        <v>1157</v>
      </c>
      <c r="C462" t="s">
        <v>19</v>
      </c>
      <c r="D462" t="s">
        <v>20</v>
      </c>
      <c r="E462" t="s">
        <v>21</v>
      </c>
      <c r="F462" t="s">
        <v>22</v>
      </c>
      <c r="G462" t="s">
        <v>23</v>
      </c>
      <c r="H462" t="s">
        <v>303</v>
      </c>
      <c r="I462" t="s">
        <v>1158</v>
      </c>
      <c r="J462">
        <v>9.9952299999999994</v>
      </c>
      <c r="K462">
        <v>-84.2226</v>
      </c>
      <c r="L462" t="s">
        <v>26</v>
      </c>
      <c r="M462" t="s">
        <v>54</v>
      </c>
      <c r="N462" t="s">
        <v>55</v>
      </c>
      <c r="O462" t="s">
        <v>56</v>
      </c>
      <c r="P462">
        <v>5</v>
      </c>
      <c r="Q462" t="s">
        <v>117</v>
      </c>
      <c r="S462" t="str">
        <f>_xlfn.XLOOKUP(UNIVERSO[[#This Row],[Ruta]],'[1]CUOTA RUTA'!A:A,'[1]CUOTA RUTA'!D:D)</f>
        <v>Cargar</v>
      </c>
    </row>
    <row r="463" spans="1:19" x14ac:dyDescent="0.25">
      <c r="A463">
        <v>1500192082</v>
      </c>
      <c r="B463" t="s">
        <v>1159</v>
      </c>
      <c r="C463" t="s">
        <v>19</v>
      </c>
      <c r="D463" t="s">
        <v>32</v>
      </c>
      <c r="E463" t="s">
        <v>21</v>
      </c>
      <c r="F463" t="s">
        <v>51</v>
      </c>
      <c r="G463" t="s">
        <v>23</v>
      </c>
      <c r="H463" t="s">
        <v>441</v>
      </c>
      <c r="I463" t="s">
        <v>1160</v>
      </c>
      <c r="J463">
        <v>9.8852949999999993</v>
      </c>
      <c r="K463">
        <v>-84.076875000000001</v>
      </c>
      <c r="L463" t="s">
        <v>26</v>
      </c>
      <c r="M463" t="s">
        <v>71</v>
      </c>
      <c r="N463" t="s">
        <v>72</v>
      </c>
      <c r="O463" t="s">
        <v>73</v>
      </c>
      <c r="P463">
        <v>7</v>
      </c>
      <c r="Q463" t="s">
        <v>39</v>
      </c>
      <c r="S463" t="str">
        <f>_xlfn.XLOOKUP(UNIVERSO[[#This Row],[Ruta]],'[1]CUOTA RUTA'!A:A,'[1]CUOTA RUTA'!D:D)</f>
        <v>Cargar</v>
      </c>
    </row>
    <row r="464" spans="1:19" x14ac:dyDescent="0.25">
      <c r="A464">
        <v>1500193592</v>
      </c>
      <c r="B464" t="s">
        <v>1161</v>
      </c>
      <c r="C464" t="s">
        <v>19</v>
      </c>
      <c r="D464" t="s">
        <v>20</v>
      </c>
      <c r="E464" t="s">
        <v>21</v>
      </c>
      <c r="F464" t="s">
        <v>51</v>
      </c>
      <c r="G464" t="s">
        <v>23</v>
      </c>
      <c r="H464" t="s">
        <v>255</v>
      </c>
      <c r="I464" t="s">
        <v>1162</v>
      </c>
      <c r="J464">
        <v>10.01543</v>
      </c>
      <c r="K464">
        <v>-84.243399999999994</v>
      </c>
      <c r="L464" t="s">
        <v>26</v>
      </c>
      <c r="M464" t="s">
        <v>46</v>
      </c>
      <c r="N464" t="s">
        <v>47</v>
      </c>
      <c r="O464" t="s">
        <v>48</v>
      </c>
      <c r="P464">
        <v>3</v>
      </c>
      <c r="Q464" t="s">
        <v>101</v>
      </c>
      <c r="S464" t="str">
        <f>_xlfn.XLOOKUP(UNIVERSO[[#This Row],[Ruta]],'[1]CUOTA RUTA'!A:A,'[1]CUOTA RUTA'!D:D)</f>
        <v>Cargar</v>
      </c>
    </row>
    <row r="465" spans="1:19" x14ac:dyDescent="0.25">
      <c r="A465">
        <v>1500197875</v>
      </c>
      <c r="B465" t="s">
        <v>1163</v>
      </c>
      <c r="C465" t="s">
        <v>19</v>
      </c>
      <c r="D465" t="s">
        <v>266</v>
      </c>
      <c r="E465" t="s">
        <v>21</v>
      </c>
      <c r="F465" t="s">
        <v>51</v>
      </c>
      <c r="G465" t="s">
        <v>23</v>
      </c>
      <c r="H465" t="s">
        <v>1011</v>
      </c>
      <c r="I465" t="s">
        <v>1164</v>
      </c>
      <c r="J465">
        <v>9.8864636000000008</v>
      </c>
      <c r="K465">
        <v>-83.929686099999998</v>
      </c>
      <c r="L465" t="s">
        <v>26</v>
      </c>
      <c r="M465" t="s">
        <v>54</v>
      </c>
      <c r="N465" t="s">
        <v>274</v>
      </c>
      <c r="O465" t="s">
        <v>275</v>
      </c>
      <c r="P465">
        <v>23</v>
      </c>
      <c r="Q465" t="s">
        <v>125</v>
      </c>
      <c r="S465" t="str">
        <f>_xlfn.XLOOKUP(UNIVERSO[[#This Row],[Ruta]],'[1]CUOTA RUTA'!A:A,'[1]CUOTA RUTA'!D:D)</f>
        <v>Cargar</v>
      </c>
    </row>
    <row r="466" spans="1:19" x14ac:dyDescent="0.25">
      <c r="A466">
        <v>1500197983</v>
      </c>
      <c r="B466" t="s">
        <v>1165</v>
      </c>
      <c r="C466" t="s">
        <v>19</v>
      </c>
      <c r="D466" t="s">
        <v>266</v>
      </c>
      <c r="E466" t="s">
        <v>21</v>
      </c>
      <c r="F466" t="s">
        <v>22</v>
      </c>
      <c r="G466" t="s">
        <v>64</v>
      </c>
      <c r="H466" t="s">
        <v>366</v>
      </c>
      <c r="I466" t="s">
        <v>1166</v>
      </c>
      <c r="J466">
        <v>9.8431566666669994</v>
      </c>
      <c r="K466">
        <v>-83.93660833333</v>
      </c>
      <c r="L466" t="s">
        <v>26</v>
      </c>
      <c r="M466" t="s">
        <v>36</v>
      </c>
      <c r="N466" t="s">
        <v>316</v>
      </c>
      <c r="O466" t="s">
        <v>317</v>
      </c>
      <c r="P466">
        <v>17</v>
      </c>
      <c r="Q466" t="s">
        <v>287</v>
      </c>
      <c r="S466" t="str">
        <f>_xlfn.XLOOKUP(UNIVERSO[[#This Row],[Ruta]],'[1]CUOTA RUTA'!A:A,'[1]CUOTA RUTA'!D:D)</f>
        <v>Cargar</v>
      </c>
    </row>
    <row r="467" spans="1:19" x14ac:dyDescent="0.25">
      <c r="A467">
        <v>1500201178</v>
      </c>
      <c r="B467" t="s">
        <v>1167</v>
      </c>
      <c r="C467" t="s">
        <v>19</v>
      </c>
      <c r="D467" t="s">
        <v>266</v>
      </c>
      <c r="E467" t="s">
        <v>21</v>
      </c>
      <c r="F467" t="s">
        <v>51</v>
      </c>
      <c r="G467" t="s">
        <v>23</v>
      </c>
      <c r="H467" t="s">
        <v>366</v>
      </c>
      <c r="I467" t="s">
        <v>1168</v>
      </c>
      <c r="J467">
        <v>9.8509639999999994</v>
      </c>
      <c r="K467">
        <v>-83.927726000000007</v>
      </c>
      <c r="L467" t="s">
        <v>26</v>
      </c>
      <c r="M467" t="s">
        <v>36</v>
      </c>
      <c r="N467" t="s">
        <v>316</v>
      </c>
      <c r="O467" t="s">
        <v>317</v>
      </c>
      <c r="P467">
        <v>18</v>
      </c>
      <c r="Q467" t="s">
        <v>84</v>
      </c>
      <c r="S467" t="str">
        <f>_xlfn.XLOOKUP(UNIVERSO[[#This Row],[Ruta]],'[1]CUOTA RUTA'!A:A,'[1]CUOTA RUTA'!D:D)</f>
        <v>Cargar</v>
      </c>
    </row>
    <row r="468" spans="1:19" x14ac:dyDescent="0.25">
      <c r="A468">
        <v>1500706517</v>
      </c>
      <c r="B468" t="s">
        <v>1169</v>
      </c>
      <c r="C468" t="s">
        <v>19</v>
      </c>
      <c r="D468" t="s">
        <v>186</v>
      </c>
      <c r="E468" t="s">
        <v>21</v>
      </c>
      <c r="F468" t="s">
        <v>22</v>
      </c>
      <c r="G468" t="s">
        <v>23</v>
      </c>
      <c r="H468" t="s">
        <v>868</v>
      </c>
      <c r="I468" t="s">
        <v>1170</v>
      </c>
      <c r="J468">
        <v>9.99343</v>
      </c>
      <c r="K468">
        <v>-83.029340000000005</v>
      </c>
      <c r="L468" t="s">
        <v>26</v>
      </c>
      <c r="M468" t="s">
        <v>189</v>
      </c>
      <c r="N468" t="s">
        <v>190</v>
      </c>
      <c r="O468" t="s">
        <v>191</v>
      </c>
      <c r="P468">
        <v>12</v>
      </c>
      <c r="Q468" t="s">
        <v>42</v>
      </c>
      <c r="S468" t="str">
        <f>_xlfn.XLOOKUP(UNIVERSO[[#This Row],[Ruta]],'[1]CUOTA RUTA'!A:A,'[1]CUOTA RUTA'!D:D)</f>
        <v>Cargar</v>
      </c>
    </row>
    <row r="469" spans="1:19" x14ac:dyDescent="0.25">
      <c r="A469">
        <v>1500707620</v>
      </c>
      <c r="B469" t="s">
        <v>1171</v>
      </c>
      <c r="C469" t="s">
        <v>19</v>
      </c>
      <c r="D469" t="s">
        <v>208</v>
      </c>
      <c r="E469" t="s">
        <v>21</v>
      </c>
      <c r="F469" t="s">
        <v>22</v>
      </c>
      <c r="G469" t="s">
        <v>23</v>
      </c>
      <c r="H469" t="s">
        <v>209</v>
      </c>
      <c r="I469" t="s">
        <v>1172</v>
      </c>
      <c r="J469">
        <v>10.229549</v>
      </c>
      <c r="K469">
        <v>-83.795270000000002</v>
      </c>
      <c r="L469" t="s">
        <v>26</v>
      </c>
      <c r="M469" t="s">
        <v>189</v>
      </c>
      <c r="N469" t="s">
        <v>211</v>
      </c>
      <c r="O469" t="s">
        <v>212</v>
      </c>
      <c r="P469">
        <v>5</v>
      </c>
      <c r="Q469" t="s">
        <v>117</v>
      </c>
      <c r="S469" t="str">
        <f>_xlfn.XLOOKUP(UNIVERSO[[#This Row],[Ruta]],'[1]CUOTA RUTA'!A:A,'[1]CUOTA RUTA'!D:D)</f>
        <v>Cargar</v>
      </c>
    </row>
    <row r="470" spans="1:19" x14ac:dyDescent="0.25">
      <c r="A470">
        <v>1500710903</v>
      </c>
      <c r="B470" t="s">
        <v>964</v>
      </c>
      <c r="C470" t="s">
        <v>19</v>
      </c>
      <c r="D470" t="s">
        <v>244</v>
      </c>
      <c r="E470" t="s">
        <v>21</v>
      </c>
      <c r="F470" t="s">
        <v>22</v>
      </c>
      <c r="G470" t="s">
        <v>33</v>
      </c>
      <c r="H470" t="s">
        <v>525</v>
      </c>
      <c r="I470" t="s">
        <v>1173</v>
      </c>
      <c r="J470">
        <v>9.532133</v>
      </c>
      <c r="K470">
        <v>-84.376422000000005</v>
      </c>
      <c r="L470" t="s">
        <v>26</v>
      </c>
      <c r="M470" t="s">
        <v>46</v>
      </c>
      <c r="N470" t="s">
        <v>247</v>
      </c>
      <c r="O470" t="s">
        <v>248</v>
      </c>
      <c r="P470">
        <v>23</v>
      </c>
      <c r="Q470" t="s">
        <v>125</v>
      </c>
      <c r="S470" t="str">
        <f>_xlfn.XLOOKUP(UNIVERSO[[#This Row],[Ruta]],'[1]CUOTA RUTA'!A:A,'[1]CUOTA RUTA'!D:D)</f>
        <v>Cargar</v>
      </c>
    </row>
    <row r="471" spans="1:19" x14ac:dyDescent="0.25">
      <c r="A471">
        <v>1500723160</v>
      </c>
      <c r="B471" t="s">
        <v>1174</v>
      </c>
      <c r="C471" t="s">
        <v>19</v>
      </c>
      <c r="D471" t="s">
        <v>32</v>
      </c>
      <c r="E471" t="s">
        <v>21</v>
      </c>
      <c r="F471" t="s">
        <v>22</v>
      </c>
      <c r="G471" t="s">
        <v>23</v>
      </c>
      <c r="H471" t="s">
        <v>625</v>
      </c>
      <c r="I471" t="s">
        <v>1175</v>
      </c>
      <c r="J471">
        <v>9.9911069999999995</v>
      </c>
      <c r="K471">
        <v>-84.042220999999998</v>
      </c>
      <c r="L471" t="s">
        <v>26</v>
      </c>
      <c r="M471" t="s">
        <v>94</v>
      </c>
      <c r="N471" t="s">
        <v>95</v>
      </c>
      <c r="O471" t="s">
        <v>96</v>
      </c>
      <c r="P471">
        <v>6</v>
      </c>
      <c r="Q471" t="s">
        <v>49</v>
      </c>
      <c r="S471" t="str">
        <f>_xlfn.XLOOKUP(UNIVERSO[[#This Row],[Ruta]],'[1]CUOTA RUTA'!A:A,'[1]CUOTA RUTA'!D:D)</f>
        <v>Cargar</v>
      </c>
    </row>
    <row r="472" spans="1:19" x14ac:dyDescent="0.25">
      <c r="A472">
        <v>1500731094</v>
      </c>
      <c r="B472" t="s">
        <v>1176</v>
      </c>
      <c r="C472" t="s">
        <v>19</v>
      </c>
      <c r="D472" t="s">
        <v>266</v>
      </c>
      <c r="E472" t="s">
        <v>21</v>
      </c>
      <c r="F472" t="s">
        <v>22</v>
      </c>
      <c r="G472" t="s">
        <v>23</v>
      </c>
      <c r="H472" t="s">
        <v>272</v>
      </c>
      <c r="I472" t="s">
        <v>1177</v>
      </c>
      <c r="J472">
        <v>9.8891033999999998</v>
      </c>
      <c r="K472">
        <v>-83.844353299999995</v>
      </c>
      <c r="L472" t="s">
        <v>26</v>
      </c>
      <c r="M472" t="s">
        <v>54</v>
      </c>
      <c r="N472" t="s">
        <v>274</v>
      </c>
      <c r="O472" t="s">
        <v>275</v>
      </c>
      <c r="P472">
        <v>23</v>
      </c>
      <c r="Q472" t="s">
        <v>125</v>
      </c>
      <c r="S472" t="str">
        <f>_xlfn.XLOOKUP(UNIVERSO[[#This Row],[Ruta]],'[1]CUOTA RUTA'!A:A,'[1]CUOTA RUTA'!D:D)</f>
        <v>Cargar</v>
      </c>
    </row>
    <row r="473" spans="1:19" x14ac:dyDescent="0.25">
      <c r="A473">
        <v>1500733465</v>
      </c>
      <c r="B473" t="s">
        <v>1178</v>
      </c>
      <c r="C473" t="s">
        <v>19</v>
      </c>
      <c r="D473" t="s">
        <v>337</v>
      </c>
      <c r="E473" t="s">
        <v>21</v>
      </c>
      <c r="F473" t="s">
        <v>51</v>
      </c>
      <c r="G473" t="s">
        <v>23</v>
      </c>
      <c r="H473" t="s">
        <v>576</v>
      </c>
      <c r="I473" t="s">
        <v>1179</v>
      </c>
      <c r="J473">
        <v>10.629184</v>
      </c>
      <c r="K473">
        <v>-85.431796000000006</v>
      </c>
      <c r="L473" t="s">
        <v>26</v>
      </c>
      <c r="M473" t="s">
        <v>327</v>
      </c>
      <c r="N473" t="s">
        <v>340</v>
      </c>
      <c r="O473" t="s">
        <v>341</v>
      </c>
      <c r="P473">
        <v>13</v>
      </c>
      <c r="Q473" t="s">
        <v>161</v>
      </c>
      <c r="S473" t="str">
        <f>_xlfn.XLOOKUP(UNIVERSO[[#This Row],[Ruta]],'[1]CUOTA RUTA'!A:A,'[1]CUOTA RUTA'!D:D)</f>
        <v>Cargar</v>
      </c>
    </row>
    <row r="474" spans="1:19" x14ac:dyDescent="0.25">
      <c r="A474">
        <v>1500733671</v>
      </c>
      <c r="B474" t="s">
        <v>1180</v>
      </c>
      <c r="C474" t="s">
        <v>19</v>
      </c>
      <c r="D474" t="s">
        <v>208</v>
      </c>
      <c r="E474" t="s">
        <v>21</v>
      </c>
      <c r="F474" t="s">
        <v>22</v>
      </c>
      <c r="G474" t="s">
        <v>23</v>
      </c>
      <c r="H474" t="s">
        <v>209</v>
      </c>
      <c r="I474" t="s">
        <v>1181</v>
      </c>
      <c r="J474">
        <v>10.24499</v>
      </c>
      <c r="K474">
        <v>-83.800399999999996</v>
      </c>
      <c r="L474" t="s">
        <v>26</v>
      </c>
      <c r="M474" t="s">
        <v>189</v>
      </c>
      <c r="N474" t="s">
        <v>211</v>
      </c>
      <c r="O474" t="s">
        <v>212</v>
      </c>
      <c r="P474">
        <v>5</v>
      </c>
      <c r="Q474" t="s">
        <v>117</v>
      </c>
      <c r="S474" t="str">
        <f>_xlfn.XLOOKUP(UNIVERSO[[#This Row],[Ruta]],'[1]CUOTA RUTA'!A:A,'[1]CUOTA RUTA'!D:D)</f>
        <v>Cargar</v>
      </c>
    </row>
    <row r="475" spans="1:19" x14ac:dyDescent="0.25">
      <c r="A475">
        <v>1500735977</v>
      </c>
      <c r="B475" t="s">
        <v>1182</v>
      </c>
      <c r="C475" t="s">
        <v>19</v>
      </c>
      <c r="D475" t="s">
        <v>266</v>
      </c>
      <c r="E475" t="s">
        <v>21</v>
      </c>
      <c r="F475" t="s">
        <v>22</v>
      </c>
      <c r="G475" t="s">
        <v>33</v>
      </c>
      <c r="H475" t="s">
        <v>407</v>
      </c>
      <c r="I475" t="s">
        <v>1183</v>
      </c>
      <c r="J475">
        <v>9.6609694000000008</v>
      </c>
      <c r="K475">
        <v>-84.021681099999995</v>
      </c>
      <c r="L475" t="s">
        <v>26</v>
      </c>
      <c r="M475" t="s">
        <v>409</v>
      </c>
      <c r="N475" t="s">
        <v>410</v>
      </c>
      <c r="O475" t="s">
        <v>411</v>
      </c>
      <c r="P475">
        <v>22</v>
      </c>
      <c r="Q475" t="s">
        <v>30</v>
      </c>
      <c r="S475" t="str">
        <f>_xlfn.XLOOKUP(UNIVERSO[[#This Row],[Ruta]],'[1]CUOTA RUTA'!A:A,'[1]CUOTA RUTA'!D:D)</f>
        <v>Cargar</v>
      </c>
    </row>
    <row r="476" spans="1:19" x14ac:dyDescent="0.25">
      <c r="A476">
        <v>1500737211</v>
      </c>
      <c r="B476" t="s">
        <v>1184</v>
      </c>
      <c r="C476" t="s">
        <v>19</v>
      </c>
      <c r="D476" t="s">
        <v>20</v>
      </c>
      <c r="E476" t="s">
        <v>21</v>
      </c>
      <c r="F476" t="s">
        <v>22</v>
      </c>
      <c r="G476" t="s">
        <v>23</v>
      </c>
      <c r="H476" t="s">
        <v>52</v>
      </c>
      <c r="I476" t="s">
        <v>1185</v>
      </c>
      <c r="J476">
        <v>9.9133907000000008</v>
      </c>
      <c r="K476">
        <v>-84.143103600000003</v>
      </c>
      <c r="L476" t="s">
        <v>26</v>
      </c>
      <c r="M476" t="s">
        <v>54</v>
      </c>
      <c r="N476" t="s">
        <v>55</v>
      </c>
      <c r="O476" t="s">
        <v>56</v>
      </c>
      <c r="P476">
        <v>12</v>
      </c>
      <c r="Q476" t="s">
        <v>42</v>
      </c>
      <c r="S476" t="str">
        <f>_xlfn.XLOOKUP(UNIVERSO[[#This Row],[Ruta]],'[1]CUOTA RUTA'!A:A,'[1]CUOTA RUTA'!D:D)</f>
        <v>Cargar</v>
      </c>
    </row>
    <row r="477" spans="1:19" x14ac:dyDescent="0.25">
      <c r="A477">
        <v>1540001837</v>
      </c>
      <c r="B477" t="s">
        <v>1186</v>
      </c>
      <c r="C477" t="s">
        <v>19</v>
      </c>
      <c r="D477" t="s">
        <v>32</v>
      </c>
      <c r="E477" t="s">
        <v>21</v>
      </c>
      <c r="F477" t="s">
        <v>22</v>
      </c>
      <c r="G477" t="s">
        <v>33</v>
      </c>
      <c r="H477" t="s">
        <v>86</v>
      </c>
      <c r="I477" t="s">
        <v>1187</v>
      </c>
      <c r="J477">
        <v>9.8963579999999993</v>
      </c>
      <c r="K477">
        <v>-84.063231999999999</v>
      </c>
      <c r="L477" t="s">
        <v>26</v>
      </c>
      <c r="M477" t="s">
        <v>71</v>
      </c>
      <c r="N477" t="s">
        <v>72</v>
      </c>
      <c r="O477" t="s">
        <v>73</v>
      </c>
      <c r="P477">
        <v>18</v>
      </c>
      <c r="Q477" t="s">
        <v>84</v>
      </c>
      <c r="S477" t="str">
        <f>_xlfn.XLOOKUP(UNIVERSO[[#This Row],[Ruta]],'[1]CUOTA RUTA'!A:A,'[1]CUOTA RUTA'!D:D)</f>
        <v>Cargar</v>
      </c>
    </row>
    <row r="478" spans="1:19" x14ac:dyDescent="0.25">
      <c r="A478">
        <v>1540007942</v>
      </c>
      <c r="B478" t="s">
        <v>1188</v>
      </c>
      <c r="C478" t="s">
        <v>19</v>
      </c>
      <c r="D478" t="s">
        <v>32</v>
      </c>
      <c r="E478" t="s">
        <v>21</v>
      </c>
      <c r="F478" t="s">
        <v>22</v>
      </c>
      <c r="G478" t="s">
        <v>23</v>
      </c>
      <c r="H478" t="s">
        <v>34</v>
      </c>
      <c r="I478" t="s">
        <v>1189</v>
      </c>
      <c r="J478">
        <v>9.9106190000000005</v>
      </c>
      <c r="K478">
        <v>-84.028969000000004</v>
      </c>
      <c r="L478" t="s">
        <v>26</v>
      </c>
      <c r="M478" t="s">
        <v>36</v>
      </c>
      <c r="N478" t="s">
        <v>37</v>
      </c>
      <c r="O478" t="s">
        <v>38</v>
      </c>
      <c r="P478">
        <v>14</v>
      </c>
      <c r="Q478" t="s">
        <v>181</v>
      </c>
      <c r="S478" t="str">
        <f>_xlfn.XLOOKUP(UNIVERSO[[#This Row],[Ruta]],'[1]CUOTA RUTA'!A:A,'[1]CUOTA RUTA'!D:D)</f>
        <v>Cargar</v>
      </c>
    </row>
    <row r="479" spans="1:19" x14ac:dyDescent="0.25">
      <c r="A479">
        <v>1540014003</v>
      </c>
      <c r="B479" t="s">
        <v>1190</v>
      </c>
      <c r="C479" t="s">
        <v>19</v>
      </c>
      <c r="D479" t="s">
        <v>32</v>
      </c>
      <c r="E479" t="s">
        <v>21</v>
      </c>
      <c r="F479" t="s">
        <v>22</v>
      </c>
      <c r="G479" t="s">
        <v>23</v>
      </c>
      <c r="H479" t="s">
        <v>1191</v>
      </c>
      <c r="I479" t="s">
        <v>1192</v>
      </c>
      <c r="J479">
        <v>9.9063099999999995</v>
      </c>
      <c r="K479">
        <v>-84.009929999999997</v>
      </c>
      <c r="L479" t="s">
        <v>26</v>
      </c>
      <c r="M479" t="s">
        <v>36</v>
      </c>
      <c r="N479" t="s">
        <v>37</v>
      </c>
      <c r="O479" t="s">
        <v>38</v>
      </c>
      <c r="P479">
        <v>23</v>
      </c>
      <c r="Q479" t="s">
        <v>125</v>
      </c>
      <c r="S479" t="str">
        <f>_xlfn.XLOOKUP(UNIVERSO[[#This Row],[Ruta]],'[1]CUOTA RUTA'!A:A,'[1]CUOTA RUTA'!D:D)</f>
        <v>Cargar</v>
      </c>
    </row>
    <row r="480" spans="1:19" x14ac:dyDescent="0.25">
      <c r="A480">
        <v>1540014004</v>
      </c>
      <c r="B480" t="s">
        <v>1193</v>
      </c>
      <c r="C480" t="s">
        <v>19</v>
      </c>
      <c r="D480" t="s">
        <v>32</v>
      </c>
      <c r="E480" t="s">
        <v>21</v>
      </c>
      <c r="F480" t="s">
        <v>22</v>
      </c>
      <c r="G480" t="s">
        <v>23</v>
      </c>
      <c r="H480" t="s">
        <v>425</v>
      </c>
      <c r="I480" t="s">
        <v>1194</v>
      </c>
      <c r="J480">
        <v>9.8813630000000003</v>
      </c>
      <c r="K480">
        <v>-84.075066000000007</v>
      </c>
      <c r="L480" t="s">
        <v>26</v>
      </c>
      <c r="M480" t="s">
        <v>71</v>
      </c>
      <c r="N480" t="s">
        <v>72</v>
      </c>
      <c r="O480" t="s">
        <v>73</v>
      </c>
      <c r="P480">
        <v>16</v>
      </c>
      <c r="Q480" t="s">
        <v>60</v>
      </c>
      <c r="S480" t="str">
        <f>_xlfn.XLOOKUP(UNIVERSO[[#This Row],[Ruta]],'[1]CUOTA RUTA'!A:A,'[1]CUOTA RUTA'!D:D)</f>
        <v>Cargar</v>
      </c>
    </row>
    <row r="481" spans="1:19" x14ac:dyDescent="0.25">
      <c r="A481">
        <v>1540015976</v>
      </c>
      <c r="B481" t="s">
        <v>1195</v>
      </c>
      <c r="C481" t="s">
        <v>19</v>
      </c>
      <c r="D481" t="s">
        <v>32</v>
      </c>
      <c r="E481" t="s">
        <v>21</v>
      </c>
      <c r="F481" t="s">
        <v>22</v>
      </c>
      <c r="G481" t="s">
        <v>23</v>
      </c>
      <c r="H481" t="s">
        <v>115</v>
      </c>
      <c r="I481" t="s">
        <v>1196</v>
      </c>
      <c r="J481">
        <v>9.9596900000000002</v>
      </c>
      <c r="K481">
        <v>-84.081971999999993</v>
      </c>
      <c r="L481" t="s">
        <v>26</v>
      </c>
      <c r="M481" t="s">
        <v>36</v>
      </c>
      <c r="N481" t="s">
        <v>37</v>
      </c>
      <c r="O481" t="s">
        <v>38</v>
      </c>
      <c r="P481">
        <v>2</v>
      </c>
      <c r="Q481" t="s">
        <v>150</v>
      </c>
      <c r="S481" t="str">
        <f>_xlfn.XLOOKUP(UNIVERSO[[#This Row],[Ruta]],'[1]CUOTA RUTA'!A:A,'[1]CUOTA RUTA'!D:D)</f>
        <v>Cargar</v>
      </c>
    </row>
    <row r="482" spans="1:19" x14ac:dyDescent="0.25">
      <c r="A482">
        <v>1540016336</v>
      </c>
      <c r="B482" t="s">
        <v>1197</v>
      </c>
      <c r="C482" t="s">
        <v>19</v>
      </c>
      <c r="D482" t="s">
        <v>32</v>
      </c>
      <c r="E482" t="s">
        <v>21</v>
      </c>
      <c r="F482" t="s">
        <v>22</v>
      </c>
      <c r="G482" t="s">
        <v>23</v>
      </c>
      <c r="H482" t="s">
        <v>65</v>
      </c>
      <c r="I482" t="s">
        <v>1198</v>
      </c>
      <c r="J482">
        <v>9.9079499999999996</v>
      </c>
      <c r="K482">
        <v>-83.986810000000006</v>
      </c>
      <c r="L482" t="s">
        <v>26</v>
      </c>
      <c r="M482" t="s">
        <v>36</v>
      </c>
      <c r="N482" t="s">
        <v>37</v>
      </c>
      <c r="O482" t="s">
        <v>38</v>
      </c>
      <c r="P482">
        <v>19</v>
      </c>
      <c r="Q482" t="s">
        <v>67</v>
      </c>
      <c r="S482" t="str">
        <f>_xlfn.XLOOKUP(UNIVERSO[[#This Row],[Ruta]],'[1]CUOTA RUTA'!A:A,'[1]CUOTA RUTA'!D:D)</f>
        <v>Cargar</v>
      </c>
    </row>
    <row r="483" spans="1:19" x14ac:dyDescent="0.25">
      <c r="A483">
        <v>1540016487</v>
      </c>
      <c r="B483" t="s">
        <v>1199</v>
      </c>
      <c r="C483" t="s">
        <v>19</v>
      </c>
      <c r="D483" t="s">
        <v>20</v>
      </c>
      <c r="E483" t="s">
        <v>21</v>
      </c>
      <c r="F483" t="s">
        <v>22</v>
      </c>
      <c r="G483" t="s">
        <v>23</v>
      </c>
      <c r="H483" t="s">
        <v>58</v>
      </c>
      <c r="I483" t="s">
        <v>1200</v>
      </c>
      <c r="J483">
        <v>10.022221999999999</v>
      </c>
      <c r="K483">
        <v>-84.201121999999998</v>
      </c>
      <c r="L483" t="s">
        <v>26</v>
      </c>
      <c r="M483" t="s">
        <v>54</v>
      </c>
      <c r="N483" t="s">
        <v>55</v>
      </c>
      <c r="O483" t="s">
        <v>56</v>
      </c>
      <c r="P483">
        <v>16</v>
      </c>
      <c r="Q483" t="s">
        <v>60</v>
      </c>
      <c r="S483" t="str">
        <f>_xlfn.XLOOKUP(UNIVERSO[[#This Row],[Ruta]],'[1]CUOTA RUTA'!A:A,'[1]CUOTA RUTA'!D:D)</f>
        <v>Cargar</v>
      </c>
    </row>
    <row r="484" spans="1:19" x14ac:dyDescent="0.25">
      <c r="A484">
        <v>1540018303</v>
      </c>
      <c r="B484" t="s">
        <v>1201</v>
      </c>
      <c r="C484" t="s">
        <v>19</v>
      </c>
      <c r="D484" t="s">
        <v>244</v>
      </c>
      <c r="E484" t="s">
        <v>21</v>
      </c>
      <c r="F484" t="s">
        <v>51</v>
      </c>
      <c r="G484" t="s">
        <v>23</v>
      </c>
      <c r="H484" t="s">
        <v>245</v>
      </c>
      <c r="I484" t="s">
        <v>1202</v>
      </c>
      <c r="J484">
        <v>9.1732467999999994</v>
      </c>
      <c r="K484">
        <v>-83.737375389999997</v>
      </c>
      <c r="L484" t="s">
        <v>26</v>
      </c>
      <c r="M484" t="s">
        <v>46</v>
      </c>
      <c r="N484" t="s">
        <v>247</v>
      </c>
      <c r="O484" t="s">
        <v>248</v>
      </c>
      <c r="P484">
        <v>19</v>
      </c>
      <c r="Q484" t="s">
        <v>67</v>
      </c>
      <c r="S484" t="str">
        <f>_xlfn.XLOOKUP(UNIVERSO[[#This Row],[Ruta]],'[1]CUOTA RUTA'!A:A,'[1]CUOTA RUTA'!D:D)</f>
        <v>Cargar</v>
      </c>
    </row>
    <row r="485" spans="1:19" x14ac:dyDescent="0.25">
      <c r="A485">
        <v>1540020497</v>
      </c>
      <c r="B485" t="s">
        <v>1203</v>
      </c>
      <c r="C485" t="s">
        <v>19</v>
      </c>
      <c r="D485" t="s">
        <v>266</v>
      </c>
      <c r="E485" t="s">
        <v>21</v>
      </c>
      <c r="F485" t="s">
        <v>22</v>
      </c>
      <c r="G485" t="s">
        <v>33</v>
      </c>
      <c r="H485" t="s">
        <v>706</v>
      </c>
      <c r="I485" t="s">
        <v>1204</v>
      </c>
      <c r="J485">
        <v>9.8612409999999997</v>
      </c>
      <c r="K485">
        <v>-83.939860999999993</v>
      </c>
      <c r="L485" t="s">
        <v>26</v>
      </c>
      <c r="M485" t="s">
        <v>36</v>
      </c>
      <c r="N485" t="s">
        <v>316</v>
      </c>
      <c r="O485" t="s">
        <v>317</v>
      </c>
      <c r="P485">
        <v>18</v>
      </c>
      <c r="Q485" t="s">
        <v>84</v>
      </c>
      <c r="S485" t="str">
        <f>_xlfn.XLOOKUP(UNIVERSO[[#This Row],[Ruta]],'[1]CUOTA RUTA'!A:A,'[1]CUOTA RUTA'!D:D)</f>
        <v>Cargar</v>
      </c>
    </row>
    <row r="486" spans="1:19" x14ac:dyDescent="0.25">
      <c r="A486">
        <v>1540020757</v>
      </c>
      <c r="B486" t="s">
        <v>1205</v>
      </c>
      <c r="C486" t="s">
        <v>19</v>
      </c>
      <c r="D486" t="s">
        <v>32</v>
      </c>
      <c r="E486" t="s">
        <v>21</v>
      </c>
      <c r="F486" t="s">
        <v>22</v>
      </c>
      <c r="G486" t="s">
        <v>33</v>
      </c>
      <c r="H486" t="s">
        <v>115</v>
      </c>
      <c r="I486" t="s">
        <v>1206</v>
      </c>
      <c r="J486">
        <v>9.9474789999999995</v>
      </c>
      <c r="K486">
        <v>-84.078199999999995</v>
      </c>
      <c r="L486" t="s">
        <v>26</v>
      </c>
      <c r="M486" t="s">
        <v>36</v>
      </c>
      <c r="N486" t="s">
        <v>37</v>
      </c>
      <c r="O486" t="s">
        <v>38</v>
      </c>
      <c r="P486">
        <v>5</v>
      </c>
      <c r="Q486" t="s">
        <v>117</v>
      </c>
      <c r="S486" t="str">
        <f>_xlfn.XLOOKUP(UNIVERSO[[#This Row],[Ruta]],'[1]CUOTA RUTA'!A:A,'[1]CUOTA RUTA'!D:D)</f>
        <v>Cargar</v>
      </c>
    </row>
    <row r="487" spans="1:19" x14ac:dyDescent="0.25">
      <c r="A487">
        <v>1540020867</v>
      </c>
      <c r="B487" t="s">
        <v>1207</v>
      </c>
      <c r="C487" t="s">
        <v>19</v>
      </c>
      <c r="D487" t="s">
        <v>32</v>
      </c>
      <c r="E487" t="s">
        <v>21</v>
      </c>
      <c r="F487" t="s">
        <v>51</v>
      </c>
      <c r="G487" t="s">
        <v>23</v>
      </c>
      <c r="H487" t="s">
        <v>441</v>
      </c>
      <c r="I487" t="s">
        <v>1208</v>
      </c>
      <c r="J487">
        <v>9.8775739999999992</v>
      </c>
      <c r="K487">
        <v>-84.084900000000005</v>
      </c>
      <c r="L487" t="s">
        <v>26</v>
      </c>
      <c r="M487" t="s">
        <v>71</v>
      </c>
      <c r="N487" t="s">
        <v>72</v>
      </c>
      <c r="O487" t="s">
        <v>73</v>
      </c>
      <c r="P487">
        <v>17</v>
      </c>
      <c r="Q487" t="s">
        <v>287</v>
      </c>
      <c r="S487" t="str">
        <f>_xlfn.XLOOKUP(UNIVERSO[[#This Row],[Ruta]],'[1]CUOTA RUTA'!A:A,'[1]CUOTA RUTA'!D:D)</f>
        <v>Cargar</v>
      </c>
    </row>
    <row r="488" spans="1:19" x14ac:dyDescent="0.25">
      <c r="A488">
        <v>1540030867</v>
      </c>
      <c r="B488" t="s">
        <v>1209</v>
      </c>
      <c r="C488" t="s">
        <v>19</v>
      </c>
      <c r="D488" t="s">
        <v>20</v>
      </c>
      <c r="E488" t="s">
        <v>21</v>
      </c>
      <c r="F488" t="s">
        <v>22</v>
      </c>
      <c r="G488" t="s">
        <v>23</v>
      </c>
      <c r="H488" t="s">
        <v>311</v>
      </c>
      <c r="I488" t="s">
        <v>1210</v>
      </c>
      <c r="J488">
        <v>9.9749099999999995</v>
      </c>
      <c r="K488">
        <v>-84.20684</v>
      </c>
      <c r="L488" t="s">
        <v>26</v>
      </c>
      <c r="M488" t="s">
        <v>54</v>
      </c>
      <c r="N488" t="s">
        <v>55</v>
      </c>
      <c r="O488" t="s">
        <v>56</v>
      </c>
      <c r="P488">
        <v>14</v>
      </c>
      <c r="Q488" t="s">
        <v>181</v>
      </c>
      <c r="S488" t="str">
        <f>_xlfn.XLOOKUP(UNIVERSO[[#This Row],[Ruta]],'[1]CUOTA RUTA'!A:A,'[1]CUOTA RUTA'!D:D)</f>
        <v>Cargar</v>
      </c>
    </row>
    <row r="489" spans="1:19" x14ac:dyDescent="0.25">
      <c r="A489">
        <v>1540031937</v>
      </c>
      <c r="B489" t="s">
        <v>1211</v>
      </c>
      <c r="C489" t="s">
        <v>19</v>
      </c>
      <c r="D489" t="s">
        <v>208</v>
      </c>
      <c r="E489" t="s">
        <v>21</v>
      </c>
      <c r="F489" t="s">
        <v>22</v>
      </c>
      <c r="G489" t="s">
        <v>23</v>
      </c>
      <c r="H489" t="s">
        <v>209</v>
      </c>
      <c r="I489" t="s">
        <v>1212</v>
      </c>
      <c r="J489">
        <v>10.245006999999999</v>
      </c>
      <c r="K489">
        <v>-83.804246000000006</v>
      </c>
      <c r="L489" t="s">
        <v>26</v>
      </c>
      <c r="M489" t="s">
        <v>189</v>
      </c>
      <c r="N489" t="s">
        <v>211</v>
      </c>
      <c r="O489" t="s">
        <v>212</v>
      </c>
      <c r="P489">
        <v>5</v>
      </c>
      <c r="Q489" t="s">
        <v>117</v>
      </c>
      <c r="S489" t="str">
        <f>_xlfn.XLOOKUP(UNIVERSO[[#This Row],[Ruta]],'[1]CUOTA RUTA'!A:A,'[1]CUOTA RUTA'!D:D)</f>
        <v>Cargar</v>
      </c>
    </row>
    <row r="490" spans="1:19" x14ac:dyDescent="0.25">
      <c r="A490">
        <v>1540033448</v>
      </c>
      <c r="B490" t="s">
        <v>1213</v>
      </c>
      <c r="C490" t="s">
        <v>19</v>
      </c>
      <c r="D490" t="s">
        <v>324</v>
      </c>
      <c r="E490" t="s">
        <v>21</v>
      </c>
      <c r="F490" t="s">
        <v>22</v>
      </c>
      <c r="G490" t="s">
        <v>23</v>
      </c>
      <c r="H490" t="s">
        <v>396</v>
      </c>
      <c r="I490" t="s">
        <v>1214</v>
      </c>
      <c r="J490">
        <v>10.450870999999999</v>
      </c>
      <c r="K490">
        <v>-84.273566000000002</v>
      </c>
      <c r="L490" t="s">
        <v>26</v>
      </c>
      <c r="M490" t="s">
        <v>327</v>
      </c>
      <c r="N490" t="s">
        <v>328</v>
      </c>
      <c r="O490" t="s">
        <v>329</v>
      </c>
      <c r="P490">
        <v>17</v>
      </c>
      <c r="Q490" t="s">
        <v>287</v>
      </c>
      <c r="S490" t="str">
        <f>_xlfn.XLOOKUP(UNIVERSO[[#This Row],[Ruta]],'[1]CUOTA RUTA'!A:A,'[1]CUOTA RUTA'!D:D)</f>
        <v>Cargar</v>
      </c>
    </row>
    <row r="491" spans="1:19" x14ac:dyDescent="0.25">
      <c r="A491">
        <v>1540042430</v>
      </c>
      <c r="B491" t="s">
        <v>1215</v>
      </c>
      <c r="C491" t="s">
        <v>19</v>
      </c>
      <c r="D491" t="s">
        <v>201</v>
      </c>
      <c r="E491" t="s">
        <v>21</v>
      </c>
      <c r="F491" t="s">
        <v>51</v>
      </c>
      <c r="G491" t="s">
        <v>23</v>
      </c>
      <c r="H491" t="s">
        <v>533</v>
      </c>
      <c r="I491" t="s">
        <v>1216</v>
      </c>
      <c r="J491">
        <v>9.9128331101399993</v>
      </c>
      <c r="K491">
        <v>-84.518988765789999</v>
      </c>
      <c r="L491" t="s">
        <v>26</v>
      </c>
      <c r="M491" t="s">
        <v>204</v>
      </c>
      <c r="N491" t="s">
        <v>205</v>
      </c>
      <c r="O491" t="s">
        <v>206</v>
      </c>
      <c r="P491">
        <v>1</v>
      </c>
      <c r="Q491" t="s">
        <v>155</v>
      </c>
      <c r="S491" t="str">
        <f>_xlfn.XLOOKUP(UNIVERSO[[#This Row],[Ruta]],'[1]CUOTA RUTA'!A:A,'[1]CUOTA RUTA'!D:D)</f>
        <v>Cargar</v>
      </c>
    </row>
    <row r="492" spans="1:19" x14ac:dyDescent="0.25">
      <c r="A492">
        <v>1540048974</v>
      </c>
      <c r="B492" t="s">
        <v>1217</v>
      </c>
      <c r="C492" t="s">
        <v>19</v>
      </c>
      <c r="D492" t="s">
        <v>32</v>
      </c>
      <c r="E492" t="s">
        <v>21</v>
      </c>
      <c r="F492" t="s">
        <v>51</v>
      </c>
      <c r="G492" t="s">
        <v>23</v>
      </c>
      <c r="H492" t="s">
        <v>106</v>
      </c>
      <c r="I492" t="s">
        <v>1218</v>
      </c>
      <c r="J492">
        <v>9.9186499999999995</v>
      </c>
      <c r="K492">
        <v>-84.107399999999998</v>
      </c>
      <c r="L492" t="s">
        <v>26</v>
      </c>
      <c r="M492" t="s">
        <v>71</v>
      </c>
      <c r="N492" t="s">
        <v>72</v>
      </c>
      <c r="O492" t="s">
        <v>73</v>
      </c>
      <c r="P492">
        <v>10</v>
      </c>
      <c r="Q492" t="s">
        <v>136</v>
      </c>
      <c r="S492" t="str">
        <f>_xlfn.XLOOKUP(UNIVERSO[[#This Row],[Ruta]],'[1]CUOTA RUTA'!A:A,'[1]CUOTA RUTA'!D:D)</f>
        <v>Cargar</v>
      </c>
    </row>
    <row r="493" spans="1:19" x14ac:dyDescent="0.25">
      <c r="A493">
        <v>1540051274</v>
      </c>
      <c r="B493" t="s">
        <v>1219</v>
      </c>
      <c r="C493" t="s">
        <v>19</v>
      </c>
      <c r="D493" t="s">
        <v>266</v>
      </c>
      <c r="E493" t="s">
        <v>21</v>
      </c>
      <c r="F493" t="s">
        <v>22</v>
      </c>
      <c r="G493" t="s">
        <v>33</v>
      </c>
      <c r="H493" t="s">
        <v>706</v>
      </c>
      <c r="I493" t="s">
        <v>1220</v>
      </c>
      <c r="J493">
        <v>9.8697850000000003</v>
      </c>
      <c r="K493">
        <v>-83.931290000000004</v>
      </c>
      <c r="L493" t="s">
        <v>26</v>
      </c>
      <c r="M493" t="s">
        <v>36</v>
      </c>
      <c r="N493" t="s">
        <v>316</v>
      </c>
      <c r="O493" t="s">
        <v>317</v>
      </c>
      <c r="P493">
        <v>22</v>
      </c>
      <c r="Q493" t="s">
        <v>30</v>
      </c>
      <c r="S493" t="str">
        <f>_xlfn.XLOOKUP(UNIVERSO[[#This Row],[Ruta]],'[1]CUOTA RUTA'!A:A,'[1]CUOTA RUTA'!D:D)</f>
        <v>Cargar</v>
      </c>
    </row>
    <row r="494" spans="1:19" x14ac:dyDescent="0.25">
      <c r="A494">
        <v>1540052471</v>
      </c>
      <c r="B494" t="s">
        <v>1221</v>
      </c>
      <c r="C494" t="s">
        <v>19</v>
      </c>
      <c r="D494" t="s">
        <v>208</v>
      </c>
      <c r="E494" t="s">
        <v>21</v>
      </c>
      <c r="F494" t="s">
        <v>22</v>
      </c>
      <c r="G494" t="s">
        <v>33</v>
      </c>
      <c r="H494" t="s">
        <v>218</v>
      </c>
      <c r="I494" t="s">
        <v>1222</v>
      </c>
      <c r="J494">
        <v>10.21513657</v>
      </c>
      <c r="K494">
        <v>-83.780843219999994</v>
      </c>
      <c r="L494" t="s">
        <v>26</v>
      </c>
      <c r="M494" t="s">
        <v>189</v>
      </c>
      <c r="N494" t="s">
        <v>211</v>
      </c>
      <c r="O494" t="s">
        <v>212</v>
      </c>
      <c r="P494">
        <v>5</v>
      </c>
      <c r="Q494" t="s">
        <v>117</v>
      </c>
      <c r="S494" t="str">
        <f>_xlfn.XLOOKUP(UNIVERSO[[#This Row],[Ruta]],'[1]CUOTA RUTA'!A:A,'[1]CUOTA RUTA'!D:D)</f>
        <v>Cargar</v>
      </c>
    </row>
    <row r="495" spans="1:19" x14ac:dyDescent="0.25">
      <c r="A495">
        <v>1500001285</v>
      </c>
      <c r="B495" t="s">
        <v>1223</v>
      </c>
      <c r="C495" t="s">
        <v>19</v>
      </c>
      <c r="D495" t="s">
        <v>20</v>
      </c>
      <c r="E495" t="s">
        <v>21</v>
      </c>
      <c r="F495" t="s">
        <v>22</v>
      </c>
      <c r="G495" t="s">
        <v>23</v>
      </c>
      <c r="H495" t="s">
        <v>24</v>
      </c>
      <c r="I495" t="s">
        <v>1224</v>
      </c>
      <c r="J495">
        <v>9.9470799999999997</v>
      </c>
      <c r="K495">
        <v>-84.127420000000001</v>
      </c>
      <c r="L495" t="s">
        <v>1225</v>
      </c>
      <c r="M495" t="s">
        <v>27</v>
      </c>
      <c r="N495" t="s">
        <v>28</v>
      </c>
      <c r="O495" t="s">
        <v>29</v>
      </c>
      <c r="P495">
        <v>9</v>
      </c>
      <c r="Q495" t="s">
        <v>80</v>
      </c>
      <c r="S495" t="str">
        <f>_xlfn.XLOOKUP(UNIVERSO[[#This Row],[Ruta]],'[1]CUOTA RUTA'!A:A,'[1]CUOTA RUTA'!D:D)</f>
        <v>Cargar</v>
      </c>
    </row>
    <row r="496" spans="1:19" x14ac:dyDescent="0.25">
      <c r="A496">
        <v>1500001575</v>
      </c>
      <c r="B496" t="s">
        <v>1226</v>
      </c>
      <c r="C496" t="s">
        <v>19</v>
      </c>
      <c r="D496" t="s">
        <v>20</v>
      </c>
      <c r="E496" t="s">
        <v>21</v>
      </c>
      <c r="F496" t="s">
        <v>22</v>
      </c>
      <c r="G496" t="s">
        <v>23</v>
      </c>
      <c r="H496" t="s">
        <v>1143</v>
      </c>
      <c r="I496" t="s">
        <v>1227</v>
      </c>
      <c r="J496">
        <v>10.024545</v>
      </c>
      <c r="K496">
        <v>-84.176169999999999</v>
      </c>
      <c r="L496" t="s">
        <v>1225</v>
      </c>
      <c r="M496" t="s">
        <v>54</v>
      </c>
      <c r="N496" t="s">
        <v>55</v>
      </c>
      <c r="O496" t="s">
        <v>56</v>
      </c>
      <c r="P496">
        <v>15</v>
      </c>
      <c r="Q496" t="s">
        <v>231</v>
      </c>
      <c r="S496" t="str">
        <f>_xlfn.XLOOKUP(UNIVERSO[[#This Row],[Ruta]],'[1]CUOTA RUTA'!A:A,'[1]CUOTA RUTA'!D:D)</f>
        <v>Cargar</v>
      </c>
    </row>
    <row r="497" spans="1:19" x14ac:dyDescent="0.25">
      <c r="A497">
        <v>1500008033</v>
      </c>
      <c r="B497" t="s">
        <v>1228</v>
      </c>
      <c r="C497" t="s">
        <v>19</v>
      </c>
      <c r="D497" t="s">
        <v>32</v>
      </c>
      <c r="E497" t="s">
        <v>21</v>
      </c>
      <c r="F497" t="s">
        <v>51</v>
      </c>
      <c r="G497" t="s">
        <v>23</v>
      </c>
      <c r="H497" t="s">
        <v>112</v>
      </c>
      <c r="I497" t="s">
        <v>1229</v>
      </c>
      <c r="J497">
        <v>9.9812089999999998</v>
      </c>
      <c r="K497">
        <v>-84.091275999999993</v>
      </c>
      <c r="L497" t="s">
        <v>1225</v>
      </c>
      <c r="M497" t="s">
        <v>94</v>
      </c>
      <c r="N497" t="s">
        <v>95</v>
      </c>
      <c r="O497" t="s">
        <v>96</v>
      </c>
      <c r="P497">
        <v>10</v>
      </c>
      <c r="Q497" t="s">
        <v>136</v>
      </c>
      <c r="S497" t="str">
        <f>_xlfn.XLOOKUP(UNIVERSO[[#This Row],[Ruta]],'[1]CUOTA RUTA'!A:A,'[1]CUOTA RUTA'!D:D)</f>
        <v>Cargar</v>
      </c>
    </row>
    <row r="498" spans="1:19" x14ac:dyDescent="0.25">
      <c r="A498">
        <v>1500017047</v>
      </c>
      <c r="B498" t="s">
        <v>1230</v>
      </c>
      <c r="C498" t="s">
        <v>19</v>
      </c>
      <c r="D498" t="s">
        <v>32</v>
      </c>
      <c r="E498" t="s">
        <v>21</v>
      </c>
      <c r="F498" t="s">
        <v>22</v>
      </c>
      <c r="G498" t="s">
        <v>23</v>
      </c>
      <c r="H498" t="s">
        <v>683</v>
      </c>
      <c r="I498" t="s">
        <v>1231</v>
      </c>
      <c r="J498">
        <v>9.9347460000000005</v>
      </c>
      <c r="K498">
        <v>-84.096110999999993</v>
      </c>
      <c r="L498" t="s">
        <v>1225</v>
      </c>
      <c r="M498" t="s">
        <v>71</v>
      </c>
      <c r="N498" t="s">
        <v>72</v>
      </c>
      <c r="O498" t="s">
        <v>73</v>
      </c>
      <c r="P498">
        <v>4</v>
      </c>
      <c r="Q498" t="s">
        <v>120</v>
      </c>
      <c r="S498" t="str">
        <f>_xlfn.XLOOKUP(UNIVERSO[[#This Row],[Ruta]],'[1]CUOTA RUTA'!A:A,'[1]CUOTA RUTA'!D:D)</f>
        <v>Cargar</v>
      </c>
    </row>
    <row r="499" spans="1:19" x14ac:dyDescent="0.25">
      <c r="A499">
        <v>1500026007</v>
      </c>
      <c r="B499" t="s">
        <v>1232</v>
      </c>
      <c r="C499" t="s">
        <v>19</v>
      </c>
      <c r="D499" t="s">
        <v>244</v>
      </c>
      <c r="E499" t="s">
        <v>21</v>
      </c>
      <c r="F499" t="s">
        <v>22</v>
      </c>
      <c r="G499" t="s">
        <v>33</v>
      </c>
      <c r="H499" t="s">
        <v>1233</v>
      </c>
      <c r="I499" t="s">
        <v>1234</v>
      </c>
      <c r="J499">
        <v>9.3580030000000001</v>
      </c>
      <c r="K499">
        <v>-83.688436999999993</v>
      </c>
      <c r="L499" t="s">
        <v>1225</v>
      </c>
      <c r="M499" t="s">
        <v>46</v>
      </c>
      <c r="N499" t="s">
        <v>247</v>
      </c>
      <c r="O499" t="s">
        <v>248</v>
      </c>
      <c r="P499">
        <v>14</v>
      </c>
      <c r="Q499" t="s">
        <v>181</v>
      </c>
      <c r="S499" t="str">
        <f>_xlfn.XLOOKUP(UNIVERSO[[#This Row],[Ruta]],'[1]CUOTA RUTA'!A:A,'[1]CUOTA RUTA'!D:D)</f>
        <v>Cargar</v>
      </c>
    </row>
    <row r="500" spans="1:19" x14ac:dyDescent="0.25">
      <c r="A500">
        <v>1500033014</v>
      </c>
      <c r="B500" t="s">
        <v>1235</v>
      </c>
      <c r="C500" t="s">
        <v>19</v>
      </c>
      <c r="D500" t="s">
        <v>208</v>
      </c>
      <c r="E500" t="s">
        <v>21</v>
      </c>
      <c r="F500" t="s">
        <v>22</v>
      </c>
      <c r="G500" t="s">
        <v>33</v>
      </c>
      <c r="H500" t="s">
        <v>417</v>
      </c>
      <c r="I500" t="s">
        <v>1236</v>
      </c>
      <c r="J500">
        <v>10.320169999999999</v>
      </c>
      <c r="K500">
        <v>-83.902000000000001</v>
      </c>
      <c r="L500" t="s">
        <v>1225</v>
      </c>
      <c r="M500" t="s">
        <v>189</v>
      </c>
      <c r="N500" t="s">
        <v>211</v>
      </c>
      <c r="O500" t="s">
        <v>212</v>
      </c>
      <c r="P500">
        <v>3</v>
      </c>
      <c r="Q500" t="s">
        <v>101</v>
      </c>
      <c r="S500" t="str">
        <f>_xlfn.XLOOKUP(UNIVERSO[[#This Row],[Ruta]],'[1]CUOTA RUTA'!A:A,'[1]CUOTA RUTA'!D:D)</f>
        <v>Cargar</v>
      </c>
    </row>
    <row r="501" spans="1:19" x14ac:dyDescent="0.25">
      <c r="A501">
        <v>1500047753</v>
      </c>
      <c r="B501" t="s">
        <v>1237</v>
      </c>
      <c r="C501" t="s">
        <v>19</v>
      </c>
      <c r="D501" t="s">
        <v>208</v>
      </c>
      <c r="E501" t="s">
        <v>21</v>
      </c>
      <c r="F501" t="s">
        <v>22</v>
      </c>
      <c r="G501" t="s">
        <v>23</v>
      </c>
      <c r="H501" t="s">
        <v>719</v>
      </c>
      <c r="I501" t="s">
        <v>1238</v>
      </c>
      <c r="J501">
        <v>10.106115150000001</v>
      </c>
      <c r="K501">
        <v>-83.501723240000004</v>
      </c>
      <c r="L501" t="s">
        <v>1225</v>
      </c>
      <c r="M501" t="s">
        <v>189</v>
      </c>
      <c r="N501" t="s">
        <v>211</v>
      </c>
      <c r="O501" t="s">
        <v>212</v>
      </c>
      <c r="P501">
        <v>8</v>
      </c>
      <c r="Q501" t="s">
        <v>97</v>
      </c>
      <c r="S501" t="str">
        <f>_xlfn.XLOOKUP(UNIVERSO[[#This Row],[Ruta]],'[1]CUOTA RUTA'!A:A,'[1]CUOTA RUTA'!D:D)</f>
        <v>Cargar</v>
      </c>
    </row>
    <row r="502" spans="1:19" x14ac:dyDescent="0.25">
      <c r="A502">
        <v>1500050694</v>
      </c>
      <c r="B502" t="s">
        <v>1239</v>
      </c>
      <c r="C502" t="s">
        <v>19</v>
      </c>
      <c r="D502" t="s">
        <v>186</v>
      </c>
      <c r="E502" t="s">
        <v>21</v>
      </c>
      <c r="F502" t="s">
        <v>22</v>
      </c>
      <c r="G502" t="s">
        <v>23</v>
      </c>
      <c r="H502" t="s">
        <v>420</v>
      </c>
      <c r="I502" t="s">
        <v>953</v>
      </c>
      <c r="J502">
        <v>9.9833780000000001</v>
      </c>
      <c r="K502">
        <v>-83.054845</v>
      </c>
      <c r="L502" t="s">
        <v>1225</v>
      </c>
      <c r="M502" t="s">
        <v>189</v>
      </c>
      <c r="N502" t="s">
        <v>190</v>
      </c>
      <c r="O502" t="s">
        <v>191</v>
      </c>
      <c r="P502">
        <v>14</v>
      </c>
      <c r="Q502" t="s">
        <v>181</v>
      </c>
      <c r="S502" t="str">
        <f>_xlfn.XLOOKUP(UNIVERSO[[#This Row],[Ruta]],'[1]CUOTA RUTA'!A:A,'[1]CUOTA RUTA'!D:D)</f>
        <v>Cargar</v>
      </c>
    </row>
    <row r="503" spans="1:19" x14ac:dyDescent="0.25">
      <c r="A503">
        <v>1500056971</v>
      </c>
      <c r="B503" t="s">
        <v>1240</v>
      </c>
      <c r="C503" t="s">
        <v>19</v>
      </c>
      <c r="D503" t="s">
        <v>20</v>
      </c>
      <c r="E503" t="s">
        <v>21</v>
      </c>
      <c r="F503" t="s">
        <v>22</v>
      </c>
      <c r="G503" t="s">
        <v>23</v>
      </c>
      <c r="H503" t="s">
        <v>1128</v>
      </c>
      <c r="I503" t="s">
        <v>1241</v>
      </c>
      <c r="J503">
        <v>10.07193</v>
      </c>
      <c r="K503">
        <v>-84.275049999999993</v>
      </c>
      <c r="L503" t="s">
        <v>1225</v>
      </c>
      <c r="M503" t="s">
        <v>46</v>
      </c>
      <c r="N503" t="s">
        <v>47</v>
      </c>
      <c r="O503" t="s">
        <v>48</v>
      </c>
      <c r="P503">
        <v>4</v>
      </c>
      <c r="Q503" t="s">
        <v>120</v>
      </c>
      <c r="S503" t="str">
        <f>_xlfn.XLOOKUP(UNIVERSO[[#This Row],[Ruta]],'[1]CUOTA RUTA'!A:A,'[1]CUOTA RUTA'!D:D)</f>
        <v>Cargar</v>
      </c>
    </row>
    <row r="504" spans="1:19" x14ac:dyDescent="0.25">
      <c r="A504">
        <v>1500057257</v>
      </c>
      <c r="B504" t="s">
        <v>1242</v>
      </c>
      <c r="C504" t="s">
        <v>19</v>
      </c>
      <c r="D504" t="s">
        <v>20</v>
      </c>
      <c r="E504" t="s">
        <v>21</v>
      </c>
      <c r="F504" t="s">
        <v>22</v>
      </c>
      <c r="G504" t="s">
        <v>33</v>
      </c>
      <c r="H504" t="s">
        <v>44</v>
      </c>
      <c r="I504" t="s">
        <v>1243</v>
      </c>
      <c r="J504">
        <v>10.095427620000001</v>
      </c>
      <c r="K504">
        <v>-84.377355980000004</v>
      </c>
      <c r="L504" t="s">
        <v>1225</v>
      </c>
      <c r="M504" t="s">
        <v>46</v>
      </c>
      <c r="N504" t="s">
        <v>47</v>
      </c>
      <c r="O504" t="s">
        <v>48</v>
      </c>
      <c r="P504">
        <v>2</v>
      </c>
      <c r="Q504" t="s">
        <v>150</v>
      </c>
      <c r="S504" t="str">
        <f>_xlfn.XLOOKUP(UNIVERSO[[#This Row],[Ruta]],'[1]CUOTA RUTA'!A:A,'[1]CUOTA RUTA'!D:D)</f>
        <v>Cargar</v>
      </c>
    </row>
    <row r="505" spans="1:19" x14ac:dyDescent="0.25">
      <c r="A505">
        <v>1500063275</v>
      </c>
      <c r="B505" t="s">
        <v>1244</v>
      </c>
      <c r="C505" t="s">
        <v>19</v>
      </c>
      <c r="D505" t="s">
        <v>20</v>
      </c>
      <c r="E505" t="s">
        <v>21</v>
      </c>
      <c r="F505" t="s">
        <v>22</v>
      </c>
      <c r="G505" t="s">
        <v>23</v>
      </c>
      <c r="H505" t="s">
        <v>280</v>
      </c>
      <c r="I505" t="s">
        <v>1245</v>
      </c>
      <c r="J505">
        <v>10.016178699999999</v>
      </c>
      <c r="K505">
        <v>-84.204979699999996</v>
      </c>
      <c r="L505" t="s">
        <v>1225</v>
      </c>
      <c r="M505" t="s">
        <v>54</v>
      </c>
      <c r="N505" t="s">
        <v>55</v>
      </c>
      <c r="O505" t="s">
        <v>56</v>
      </c>
      <c r="P505">
        <v>4</v>
      </c>
      <c r="Q505" t="s">
        <v>120</v>
      </c>
      <c r="S505" t="str">
        <f>_xlfn.XLOOKUP(UNIVERSO[[#This Row],[Ruta]],'[1]CUOTA RUTA'!A:A,'[1]CUOTA RUTA'!D:D)</f>
        <v>Cargar</v>
      </c>
    </row>
    <row r="506" spans="1:19" x14ac:dyDescent="0.25">
      <c r="A506">
        <v>1500070391</v>
      </c>
      <c r="B506" t="s">
        <v>1246</v>
      </c>
      <c r="C506" t="s">
        <v>19</v>
      </c>
      <c r="D506" t="s">
        <v>201</v>
      </c>
      <c r="E506" t="s">
        <v>21</v>
      </c>
      <c r="F506" t="s">
        <v>51</v>
      </c>
      <c r="G506" t="s">
        <v>23</v>
      </c>
      <c r="H506" t="s">
        <v>383</v>
      </c>
      <c r="I506" t="s">
        <v>1247</v>
      </c>
      <c r="J506">
        <v>9.9767591000000007</v>
      </c>
      <c r="K506">
        <v>-84.835093599999993</v>
      </c>
      <c r="L506" t="s">
        <v>1225</v>
      </c>
      <c r="M506" t="s">
        <v>204</v>
      </c>
      <c r="N506" t="s">
        <v>205</v>
      </c>
      <c r="O506" t="s">
        <v>206</v>
      </c>
      <c r="P506">
        <v>11</v>
      </c>
      <c r="Q506" t="s">
        <v>108</v>
      </c>
      <c r="S506" t="str">
        <f>_xlfn.XLOOKUP(UNIVERSO[[#This Row],[Ruta]],'[1]CUOTA RUTA'!A:A,'[1]CUOTA RUTA'!D:D)</f>
        <v>Cargar</v>
      </c>
    </row>
    <row r="507" spans="1:19" x14ac:dyDescent="0.25">
      <c r="A507">
        <v>1500088919</v>
      </c>
      <c r="B507" t="s">
        <v>1248</v>
      </c>
      <c r="C507" t="s">
        <v>19</v>
      </c>
      <c r="D507" t="s">
        <v>349</v>
      </c>
      <c r="E507" t="s">
        <v>21</v>
      </c>
      <c r="F507" t="s">
        <v>22</v>
      </c>
      <c r="G507" t="s">
        <v>23</v>
      </c>
      <c r="H507" t="s">
        <v>496</v>
      </c>
      <c r="I507" t="s">
        <v>1249</v>
      </c>
      <c r="J507">
        <v>10.145137999999999</v>
      </c>
      <c r="K507">
        <v>-85.454515000000001</v>
      </c>
      <c r="L507" t="s">
        <v>1225</v>
      </c>
      <c r="M507" t="s">
        <v>352</v>
      </c>
      <c r="N507" t="s">
        <v>353</v>
      </c>
      <c r="O507" t="s">
        <v>354</v>
      </c>
      <c r="P507">
        <v>12</v>
      </c>
      <c r="Q507" t="s">
        <v>42</v>
      </c>
      <c r="S507" t="str">
        <f>_xlfn.XLOOKUP(UNIVERSO[[#This Row],[Ruta]],'[1]CUOTA RUTA'!A:A,'[1]CUOTA RUTA'!D:D)</f>
        <v>Cargar</v>
      </c>
    </row>
    <row r="508" spans="1:19" x14ac:dyDescent="0.25">
      <c r="A508">
        <v>1500144154</v>
      </c>
      <c r="B508" t="s">
        <v>1250</v>
      </c>
      <c r="C508" t="s">
        <v>19</v>
      </c>
      <c r="D508" t="s">
        <v>20</v>
      </c>
      <c r="E508" t="s">
        <v>21</v>
      </c>
      <c r="F508" t="s">
        <v>22</v>
      </c>
      <c r="G508" t="s">
        <v>23</v>
      </c>
      <c r="H508" t="s">
        <v>554</v>
      </c>
      <c r="I508" t="s">
        <v>1251</v>
      </c>
      <c r="J508">
        <v>10.02057827</v>
      </c>
      <c r="K508">
        <v>-84.124500260000005</v>
      </c>
      <c r="L508" t="s">
        <v>1225</v>
      </c>
      <c r="M508" t="s">
        <v>27</v>
      </c>
      <c r="N508" t="s">
        <v>28</v>
      </c>
      <c r="O508" t="s">
        <v>29</v>
      </c>
      <c r="P508">
        <v>15</v>
      </c>
      <c r="Q508" t="s">
        <v>231</v>
      </c>
      <c r="S508" t="str">
        <f>_xlfn.XLOOKUP(UNIVERSO[[#This Row],[Ruta]],'[1]CUOTA RUTA'!A:A,'[1]CUOTA RUTA'!D:D)</f>
        <v>Cargar</v>
      </c>
    </row>
    <row r="509" spans="1:19" x14ac:dyDescent="0.25">
      <c r="A509">
        <v>1500148567</v>
      </c>
      <c r="B509" t="s">
        <v>1252</v>
      </c>
      <c r="C509" t="s">
        <v>19</v>
      </c>
      <c r="D509" t="s">
        <v>266</v>
      </c>
      <c r="E509" t="s">
        <v>21</v>
      </c>
      <c r="F509" t="s">
        <v>22</v>
      </c>
      <c r="G509" t="s">
        <v>33</v>
      </c>
      <c r="H509" t="s">
        <v>321</v>
      </c>
      <c r="I509" t="s">
        <v>1253</v>
      </c>
      <c r="J509">
        <v>9.7694185999999998</v>
      </c>
      <c r="K509">
        <v>-84.0082089</v>
      </c>
      <c r="L509" t="s">
        <v>1225</v>
      </c>
      <c r="M509" t="s">
        <v>54</v>
      </c>
      <c r="N509" t="s">
        <v>274</v>
      </c>
      <c r="O509" t="s">
        <v>275</v>
      </c>
      <c r="P509">
        <v>23</v>
      </c>
      <c r="Q509" t="s">
        <v>125</v>
      </c>
      <c r="S509" t="str">
        <f>_xlfn.XLOOKUP(UNIVERSO[[#This Row],[Ruta]],'[1]CUOTA RUTA'!A:A,'[1]CUOTA RUTA'!D:D)</f>
        <v>Cargar</v>
      </c>
    </row>
    <row r="510" spans="1:19" x14ac:dyDescent="0.25">
      <c r="A510">
        <v>1500159604</v>
      </c>
      <c r="B510" t="s">
        <v>1254</v>
      </c>
      <c r="C510" t="s">
        <v>19</v>
      </c>
      <c r="D510" t="s">
        <v>349</v>
      </c>
      <c r="E510" t="s">
        <v>21</v>
      </c>
      <c r="F510" t="s">
        <v>22</v>
      </c>
      <c r="G510" t="s">
        <v>23</v>
      </c>
      <c r="H510" t="s">
        <v>359</v>
      </c>
      <c r="I510" t="s">
        <v>1255</v>
      </c>
      <c r="J510">
        <v>10.136704</v>
      </c>
      <c r="K510">
        <v>-85.446574999999996</v>
      </c>
      <c r="L510" t="s">
        <v>1225</v>
      </c>
      <c r="M510" t="s">
        <v>352</v>
      </c>
      <c r="N510" t="s">
        <v>353</v>
      </c>
      <c r="O510" t="s">
        <v>354</v>
      </c>
      <c r="P510">
        <v>12</v>
      </c>
      <c r="Q510" t="s">
        <v>42</v>
      </c>
      <c r="S510" t="str">
        <f>_xlfn.XLOOKUP(UNIVERSO[[#This Row],[Ruta]],'[1]CUOTA RUTA'!A:A,'[1]CUOTA RUTA'!D:D)</f>
        <v>Cargar</v>
      </c>
    </row>
    <row r="511" spans="1:19" x14ac:dyDescent="0.25">
      <c r="A511">
        <v>1500163615</v>
      </c>
      <c r="B511" t="s">
        <v>1256</v>
      </c>
      <c r="C511" t="s">
        <v>19</v>
      </c>
      <c r="D511" t="s">
        <v>32</v>
      </c>
      <c r="E511" t="s">
        <v>21</v>
      </c>
      <c r="F511" t="s">
        <v>22</v>
      </c>
      <c r="G511" t="s">
        <v>23</v>
      </c>
      <c r="H511" t="s">
        <v>34</v>
      </c>
      <c r="I511" t="s">
        <v>1257</v>
      </c>
      <c r="J511">
        <v>9.8960729999999995</v>
      </c>
      <c r="K511">
        <v>-84.009939000000003</v>
      </c>
      <c r="L511" t="s">
        <v>1225</v>
      </c>
      <c r="M511" t="s">
        <v>36</v>
      </c>
      <c r="N511" t="s">
        <v>37</v>
      </c>
      <c r="O511" t="s">
        <v>38</v>
      </c>
      <c r="P511">
        <v>17</v>
      </c>
      <c r="Q511" t="s">
        <v>287</v>
      </c>
      <c r="S511" t="str">
        <f>_xlfn.XLOOKUP(UNIVERSO[[#This Row],[Ruta]],'[1]CUOTA RUTA'!A:A,'[1]CUOTA RUTA'!D:D)</f>
        <v>Cargar</v>
      </c>
    </row>
    <row r="512" spans="1:19" x14ac:dyDescent="0.25">
      <c r="A512">
        <v>1500164162</v>
      </c>
      <c r="B512" t="s">
        <v>1258</v>
      </c>
      <c r="C512" t="s">
        <v>19</v>
      </c>
      <c r="D512" t="s">
        <v>208</v>
      </c>
      <c r="E512" t="s">
        <v>21</v>
      </c>
      <c r="F512" t="s">
        <v>51</v>
      </c>
      <c r="G512" t="s">
        <v>23</v>
      </c>
      <c r="H512" t="s">
        <v>224</v>
      </c>
      <c r="I512" t="s">
        <v>1259</v>
      </c>
      <c r="J512">
        <v>10.21289</v>
      </c>
      <c r="K512">
        <v>-83.692949999999996</v>
      </c>
      <c r="L512" t="s">
        <v>1225</v>
      </c>
      <c r="M512" t="s">
        <v>189</v>
      </c>
      <c r="N512" t="s">
        <v>211</v>
      </c>
      <c r="O512" t="s">
        <v>212</v>
      </c>
      <c r="P512">
        <v>6</v>
      </c>
      <c r="Q512" t="s">
        <v>49</v>
      </c>
      <c r="S512" t="str">
        <f>_xlfn.XLOOKUP(UNIVERSO[[#This Row],[Ruta]],'[1]CUOTA RUTA'!A:A,'[1]CUOTA RUTA'!D:D)</f>
        <v>Cargar</v>
      </c>
    </row>
    <row r="513" spans="1:19" x14ac:dyDescent="0.25">
      <c r="A513">
        <v>1500170624</v>
      </c>
      <c r="B513" t="s">
        <v>1260</v>
      </c>
      <c r="C513" t="s">
        <v>19</v>
      </c>
      <c r="D513" t="s">
        <v>244</v>
      </c>
      <c r="E513" t="s">
        <v>21</v>
      </c>
      <c r="F513" t="s">
        <v>22</v>
      </c>
      <c r="G513" t="s">
        <v>23</v>
      </c>
      <c r="H513" t="s">
        <v>436</v>
      </c>
      <c r="I513" t="s">
        <v>1261</v>
      </c>
      <c r="J513">
        <v>9.4500200000000003</v>
      </c>
      <c r="K513">
        <v>-84.140600000000006</v>
      </c>
      <c r="L513" t="s">
        <v>1225</v>
      </c>
      <c r="M513" t="s">
        <v>46</v>
      </c>
      <c r="N513" t="s">
        <v>247</v>
      </c>
      <c r="O513" t="s">
        <v>248</v>
      </c>
      <c r="P513">
        <v>20</v>
      </c>
      <c r="Q513" t="s">
        <v>74</v>
      </c>
      <c r="S513" t="str">
        <f>_xlfn.XLOOKUP(UNIVERSO[[#This Row],[Ruta]],'[1]CUOTA RUTA'!A:A,'[1]CUOTA RUTA'!D:D)</f>
        <v>Cargar</v>
      </c>
    </row>
    <row r="514" spans="1:19" x14ac:dyDescent="0.25">
      <c r="A514">
        <v>1500173560</v>
      </c>
      <c r="B514" t="s">
        <v>1262</v>
      </c>
      <c r="C514" t="s">
        <v>19</v>
      </c>
      <c r="D514" t="s">
        <v>201</v>
      </c>
      <c r="E514" t="s">
        <v>21</v>
      </c>
      <c r="F514" t="s">
        <v>22</v>
      </c>
      <c r="G514" t="s">
        <v>23</v>
      </c>
      <c r="H514" t="s">
        <v>785</v>
      </c>
      <c r="I514" t="s">
        <v>1263</v>
      </c>
      <c r="J514">
        <v>10.0904737</v>
      </c>
      <c r="K514">
        <v>-84.953343500000003</v>
      </c>
      <c r="L514" t="s">
        <v>1225</v>
      </c>
      <c r="M514" t="s">
        <v>204</v>
      </c>
      <c r="N514" t="s">
        <v>205</v>
      </c>
      <c r="O514" t="s">
        <v>206</v>
      </c>
      <c r="P514">
        <v>12</v>
      </c>
      <c r="Q514" t="s">
        <v>42</v>
      </c>
      <c r="S514" t="str">
        <f>_xlfn.XLOOKUP(UNIVERSO[[#This Row],[Ruta]],'[1]CUOTA RUTA'!A:A,'[1]CUOTA RUTA'!D:D)</f>
        <v>Cargar</v>
      </c>
    </row>
    <row r="515" spans="1:19" x14ac:dyDescent="0.25">
      <c r="A515">
        <v>1500180344</v>
      </c>
      <c r="B515" t="s">
        <v>1264</v>
      </c>
      <c r="C515" t="s">
        <v>19</v>
      </c>
      <c r="D515" t="s">
        <v>20</v>
      </c>
      <c r="E515" t="s">
        <v>21</v>
      </c>
      <c r="F515" t="s">
        <v>22</v>
      </c>
      <c r="G515" t="s">
        <v>23</v>
      </c>
      <c r="H515" t="s">
        <v>303</v>
      </c>
      <c r="I515" t="s">
        <v>1265</v>
      </c>
      <c r="J515">
        <v>9.9959299999999995</v>
      </c>
      <c r="K515">
        <v>-84.223230000000001</v>
      </c>
      <c r="L515" t="s">
        <v>1225</v>
      </c>
      <c r="M515" t="s">
        <v>54</v>
      </c>
      <c r="N515" t="s">
        <v>55</v>
      </c>
      <c r="O515" t="s">
        <v>56</v>
      </c>
      <c r="P515">
        <v>5</v>
      </c>
      <c r="Q515" t="s">
        <v>117</v>
      </c>
      <c r="S515" t="str">
        <f>_xlfn.XLOOKUP(UNIVERSO[[#This Row],[Ruta]],'[1]CUOTA RUTA'!A:A,'[1]CUOTA RUTA'!D:D)</f>
        <v>Cargar</v>
      </c>
    </row>
    <row r="516" spans="1:19" x14ac:dyDescent="0.25">
      <c r="A516">
        <v>1500182700</v>
      </c>
      <c r="B516" t="s">
        <v>1266</v>
      </c>
      <c r="C516" t="s">
        <v>19</v>
      </c>
      <c r="D516" t="s">
        <v>32</v>
      </c>
      <c r="E516" t="s">
        <v>21</v>
      </c>
      <c r="F516" t="s">
        <v>22</v>
      </c>
      <c r="G516" t="s">
        <v>23</v>
      </c>
      <c r="H516" t="s">
        <v>425</v>
      </c>
      <c r="I516" t="s">
        <v>1267</v>
      </c>
      <c r="J516">
        <v>9.8755019999999991</v>
      </c>
      <c r="K516">
        <v>-84.084709000000004</v>
      </c>
      <c r="L516" t="s">
        <v>1225</v>
      </c>
      <c r="M516" t="s">
        <v>71</v>
      </c>
      <c r="N516" t="s">
        <v>72</v>
      </c>
      <c r="O516" t="s">
        <v>73</v>
      </c>
      <c r="P516">
        <v>17</v>
      </c>
      <c r="Q516" t="s">
        <v>287</v>
      </c>
      <c r="S516" t="str">
        <f>_xlfn.XLOOKUP(UNIVERSO[[#This Row],[Ruta]],'[1]CUOTA RUTA'!A:A,'[1]CUOTA RUTA'!D:D)</f>
        <v>Cargar</v>
      </c>
    </row>
    <row r="517" spans="1:19" x14ac:dyDescent="0.25">
      <c r="A517">
        <v>1500197839</v>
      </c>
      <c r="B517" t="s">
        <v>1268</v>
      </c>
      <c r="C517" t="s">
        <v>19</v>
      </c>
      <c r="D517" t="s">
        <v>32</v>
      </c>
      <c r="E517" t="s">
        <v>21</v>
      </c>
      <c r="F517" t="s">
        <v>22</v>
      </c>
      <c r="G517" t="s">
        <v>23</v>
      </c>
      <c r="H517" t="s">
        <v>1191</v>
      </c>
      <c r="I517" t="s">
        <v>1269</v>
      </c>
      <c r="J517">
        <v>9.8992950000000004</v>
      </c>
      <c r="K517">
        <v>-84.025419999999997</v>
      </c>
      <c r="L517" t="s">
        <v>1225</v>
      </c>
      <c r="M517" t="s">
        <v>36</v>
      </c>
      <c r="N517" t="s">
        <v>37</v>
      </c>
      <c r="O517" t="s">
        <v>38</v>
      </c>
      <c r="P517">
        <v>15</v>
      </c>
      <c r="Q517" t="s">
        <v>231</v>
      </c>
      <c r="S517" t="str">
        <f>_xlfn.XLOOKUP(UNIVERSO[[#This Row],[Ruta]],'[1]CUOTA RUTA'!A:A,'[1]CUOTA RUTA'!D:D)</f>
        <v>Cargar</v>
      </c>
    </row>
    <row r="518" spans="1:19" x14ac:dyDescent="0.25">
      <c r="A518">
        <v>1500198106</v>
      </c>
      <c r="B518" t="s">
        <v>1270</v>
      </c>
      <c r="C518" t="s">
        <v>19</v>
      </c>
      <c r="D518" t="s">
        <v>32</v>
      </c>
      <c r="E518" t="s">
        <v>21</v>
      </c>
      <c r="F518" t="s">
        <v>22</v>
      </c>
      <c r="G518" t="s">
        <v>23</v>
      </c>
      <c r="H518" t="s">
        <v>716</v>
      </c>
      <c r="I518" t="s">
        <v>1271</v>
      </c>
      <c r="J518">
        <v>9.9245160000000006</v>
      </c>
      <c r="K518">
        <v>-84.049034000000006</v>
      </c>
      <c r="L518" t="s">
        <v>1225</v>
      </c>
      <c r="M518" t="s">
        <v>36</v>
      </c>
      <c r="N518" t="s">
        <v>37</v>
      </c>
      <c r="O518" t="s">
        <v>38</v>
      </c>
      <c r="P518">
        <v>7</v>
      </c>
      <c r="Q518" t="s">
        <v>39</v>
      </c>
      <c r="S518" t="str">
        <f>_xlfn.XLOOKUP(UNIVERSO[[#This Row],[Ruta]],'[1]CUOTA RUTA'!A:A,'[1]CUOTA RUTA'!D:D)</f>
        <v>Cargar</v>
      </c>
    </row>
    <row r="519" spans="1:19" x14ac:dyDescent="0.25">
      <c r="A519">
        <v>1500198650</v>
      </c>
      <c r="B519" t="s">
        <v>1272</v>
      </c>
      <c r="C519" t="s">
        <v>19</v>
      </c>
      <c r="D519" t="s">
        <v>32</v>
      </c>
      <c r="E519" t="s">
        <v>21</v>
      </c>
      <c r="F519" t="s">
        <v>22</v>
      </c>
      <c r="G519" t="s">
        <v>23</v>
      </c>
      <c r="H519" t="s">
        <v>69</v>
      </c>
      <c r="I519" t="s">
        <v>1273</v>
      </c>
      <c r="J519">
        <v>9.8701483333330007</v>
      </c>
      <c r="K519">
        <v>-84.047300000000007</v>
      </c>
      <c r="L519" t="s">
        <v>1225</v>
      </c>
      <c r="M519" t="s">
        <v>71</v>
      </c>
      <c r="N519" t="s">
        <v>72</v>
      </c>
      <c r="O519" t="s">
        <v>73</v>
      </c>
      <c r="P519">
        <v>21</v>
      </c>
      <c r="Q519" t="s">
        <v>239</v>
      </c>
      <c r="S519" t="str">
        <f>_xlfn.XLOOKUP(UNIVERSO[[#This Row],[Ruta]],'[1]CUOTA RUTA'!A:A,'[1]CUOTA RUTA'!D:D)</f>
        <v>Cargar</v>
      </c>
    </row>
    <row r="520" spans="1:19" x14ac:dyDescent="0.25">
      <c r="A520">
        <v>1500201140</v>
      </c>
      <c r="B520" t="s">
        <v>226</v>
      </c>
      <c r="C520" t="s">
        <v>19</v>
      </c>
      <c r="D520" t="s">
        <v>266</v>
      </c>
      <c r="E520" t="s">
        <v>21</v>
      </c>
      <c r="F520" t="s">
        <v>22</v>
      </c>
      <c r="G520" t="s">
        <v>64</v>
      </c>
      <c r="H520" t="s">
        <v>321</v>
      </c>
      <c r="I520" t="s">
        <v>1274</v>
      </c>
      <c r="J520">
        <v>9.8269426000000006</v>
      </c>
      <c r="K520">
        <v>-83.952503300000004</v>
      </c>
      <c r="L520" t="s">
        <v>1225</v>
      </c>
      <c r="M520" t="s">
        <v>54</v>
      </c>
      <c r="N520" t="s">
        <v>274</v>
      </c>
      <c r="O520" t="s">
        <v>275</v>
      </c>
      <c r="P520">
        <v>23</v>
      </c>
      <c r="Q520" t="s">
        <v>125</v>
      </c>
      <c r="S520" t="str">
        <f>_xlfn.XLOOKUP(UNIVERSO[[#This Row],[Ruta]],'[1]CUOTA RUTA'!A:A,'[1]CUOTA RUTA'!D:D)</f>
        <v>Cargar</v>
      </c>
    </row>
    <row r="521" spans="1:19" x14ac:dyDescent="0.25">
      <c r="A521">
        <v>1500706449</v>
      </c>
      <c r="B521" t="s">
        <v>1275</v>
      </c>
      <c r="C521" t="s">
        <v>19</v>
      </c>
      <c r="D521" t="s">
        <v>186</v>
      </c>
      <c r="E521" t="s">
        <v>21</v>
      </c>
      <c r="F521" t="s">
        <v>22</v>
      </c>
      <c r="G521" t="s">
        <v>23</v>
      </c>
      <c r="H521" t="s">
        <v>187</v>
      </c>
      <c r="I521" t="s">
        <v>1276</v>
      </c>
      <c r="J521">
        <v>10.00038</v>
      </c>
      <c r="K521">
        <v>-83.039118000000002</v>
      </c>
      <c r="L521" t="s">
        <v>1225</v>
      </c>
      <c r="M521" t="s">
        <v>189</v>
      </c>
      <c r="N521" t="s">
        <v>190</v>
      </c>
      <c r="O521" t="s">
        <v>191</v>
      </c>
      <c r="P521">
        <v>12</v>
      </c>
      <c r="Q521" t="s">
        <v>42</v>
      </c>
      <c r="S521" t="str">
        <f>_xlfn.XLOOKUP(UNIVERSO[[#This Row],[Ruta]],'[1]CUOTA RUTA'!A:A,'[1]CUOTA RUTA'!D:D)</f>
        <v>Cargar</v>
      </c>
    </row>
    <row r="522" spans="1:19" x14ac:dyDescent="0.25">
      <c r="A522">
        <v>1500706966</v>
      </c>
      <c r="B522" t="s">
        <v>1277</v>
      </c>
      <c r="C522" t="s">
        <v>19</v>
      </c>
      <c r="D522" t="s">
        <v>324</v>
      </c>
      <c r="E522" t="s">
        <v>21</v>
      </c>
      <c r="F522" t="s">
        <v>51</v>
      </c>
      <c r="G522" t="s">
        <v>23</v>
      </c>
      <c r="H522" t="s">
        <v>396</v>
      </c>
      <c r="I522" t="s">
        <v>1278</v>
      </c>
      <c r="J522">
        <v>10.4498</v>
      </c>
      <c r="K522">
        <v>-84.276939999999996</v>
      </c>
      <c r="L522" t="s">
        <v>1225</v>
      </c>
      <c r="M522" t="s">
        <v>327</v>
      </c>
      <c r="N522" t="s">
        <v>328</v>
      </c>
      <c r="O522" t="s">
        <v>329</v>
      </c>
      <c r="P522">
        <v>18</v>
      </c>
      <c r="Q522" t="s">
        <v>84</v>
      </c>
      <c r="S522" t="str">
        <f>_xlfn.XLOOKUP(UNIVERSO[[#This Row],[Ruta]],'[1]CUOTA RUTA'!A:A,'[1]CUOTA RUTA'!D:D)</f>
        <v>Cargar</v>
      </c>
    </row>
    <row r="523" spans="1:19" x14ac:dyDescent="0.25">
      <c r="A523">
        <v>1500707896</v>
      </c>
      <c r="B523" t="s">
        <v>1279</v>
      </c>
      <c r="C523" t="s">
        <v>19</v>
      </c>
      <c r="D523" t="s">
        <v>324</v>
      </c>
      <c r="E523" t="s">
        <v>21</v>
      </c>
      <c r="F523" t="s">
        <v>51</v>
      </c>
      <c r="G523" t="s">
        <v>23</v>
      </c>
      <c r="H523" t="s">
        <v>325</v>
      </c>
      <c r="I523" t="s">
        <v>1280</v>
      </c>
      <c r="J523">
        <v>10.319720999999999</v>
      </c>
      <c r="K523">
        <v>-84.537025</v>
      </c>
      <c r="L523" t="s">
        <v>1225</v>
      </c>
      <c r="M523" t="s">
        <v>327</v>
      </c>
      <c r="N523" t="s">
        <v>328</v>
      </c>
      <c r="O523" t="s">
        <v>329</v>
      </c>
      <c r="P523">
        <v>14</v>
      </c>
      <c r="Q523" t="s">
        <v>181</v>
      </c>
      <c r="S523" t="str">
        <f>_xlfn.XLOOKUP(UNIVERSO[[#This Row],[Ruta]],'[1]CUOTA RUTA'!A:A,'[1]CUOTA RUTA'!D:D)</f>
        <v>Cargar</v>
      </c>
    </row>
    <row r="524" spans="1:19" x14ac:dyDescent="0.25">
      <c r="A524">
        <v>1500709420</v>
      </c>
      <c r="B524" t="s">
        <v>1281</v>
      </c>
      <c r="C524" t="s">
        <v>19</v>
      </c>
      <c r="D524" t="s">
        <v>201</v>
      </c>
      <c r="E524" t="s">
        <v>21</v>
      </c>
      <c r="F524" t="s">
        <v>22</v>
      </c>
      <c r="G524" t="s">
        <v>23</v>
      </c>
      <c r="H524" t="s">
        <v>488</v>
      </c>
      <c r="I524" t="s">
        <v>1282</v>
      </c>
      <c r="J524">
        <v>10.093970000000001</v>
      </c>
      <c r="K524">
        <v>-84.728409999999997</v>
      </c>
      <c r="L524" t="s">
        <v>1225</v>
      </c>
      <c r="M524" t="s">
        <v>204</v>
      </c>
      <c r="N524" t="s">
        <v>205</v>
      </c>
      <c r="O524" t="s">
        <v>206</v>
      </c>
      <c r="P524">
        <v>13</v>
      </c>
      <c r="Q524" t="s">
        <v>161</v>
      </c>
      <c r="S524" t="str">
        <f>_xlfn.XLOOKUP(UNIVERSO[[#This Row],[Ruta]],'[1]CUOTA RUTA'!A:A,'[1]CUOTA RUTA'!D:D)</f>
        <v>Cargar</v>
      </c>
    </row>
    <row r="525" spans="1:19" x14ac:dyDescent="0.25">
      <c r="A525">
        <v>1500713279</v>
      </c>
      <c r="B525" t="s">
        <v>1283</v>
      </c>
      <c r="C525" t="s">
        <v>19</v>
      </c>
      <c r="D525" t="s">
        <v>20</v>
      </c>
      <c r="E525" t="s">
        <v>21</v>
      </c>
      <c r="F525" t="s">
        <v>22</v>
      </c>
      <c r="G525" t="s">
        <v>23</v>
      </c>
      <c r="H525" t="s">
        <v>638</v>
      </c>
      <c r="I525" t="s">
        <v>1284</v>
      </c>
      <c r="J525">
        <v>10.002800000000001</v>
      </c>
      <c r="K525">
        <v>-84.216549999999998</v>
      </c>
      <c r="L525" t="s">
        <v>1225</v>
      </c>
      <c r="M525" t="s">
        <v>54</v>
      </c>
      <c r="N525" t="s">
        <v>55</v>
      </c>
      <c r="O525" t="s">
        <v>56</v>
      </c>
      <c r="P525">
        <v>3</v>
      </c>
      <c r="Q525" t="s">
        <v>101</v>
      </c>
      <c r="S525" t="str">
        <f>_xlfn.XLOOKUP(UNIVERSO[[#This Row],[Ruta]],'[1]CUOTA RUTA'!A:A,'[1]CUOTA RUTA'!D:D)</f>
        <v>Cargar</v>
      </c>
    </row>
    <row r="526" spans="1:19" x14ac:dyDescent="0.25">
      <c r="A526">
        <v>1500716365</v>
      </c>
      <c r="B526" t="s">
        <v>1285</v>
      </c>
      <c r="C526" t="s">
        <v>19</v>
      </c>
      <c r="D526" t="s">
        <v>32</v>
      </c>
      <c r="E526" t="s">
        <v>21</v>
      </c>
      <c r="F526" t="s">
        <v>22</v>
      </c>
      <c r="G526" t="s">
        <v>23</v>
      </c>
      <c r="H526" t="s">
        <v>34</v>
      </c>
      <c r="I526" t="s">
        <v>1286</v>
      </c>
      <c r="J526">
        <v>9.8949649999999991</v>
      </c>
      <c r="K526">
        <v>-84.037729999999996</v>
      </c>
      <c r="L526" t="s">
        <v>1225</v>
      </c>
      <c r="M526" t="s">
        <v>36</v>
      </c>
      <c r="N526" t="s">
        <v>37</v>
      </c>
      <c r="O526" t="s">
        <v>38</v>
      </c>
      <c r="P526">
        <v>16</v>
      </c>
      <c r="Q526" t="s">
        <v>60</v>
      </c>
      <c r="S526" t="str">
        <f>_xlfn.XLOOKUP(UNIVERSO[[#This Row],[Ruta]],'[1]CUOTA RUTA'!A:A,'[1]CUOTA RUTA'!D:D)</f>
        <v>Cargar</v>
      </c>
    </row>
    <row r="527" spans="1:19" x14ac:dyDescent="0.25">
      <c r="A527">
        <v>1500717549</v>
      </c>
      <c r="B527" t="s">
        <v>1287</v>
      </c>
      <c r="C527" t="s">
        <v>19</v>
      </c>
      <c r="D527" t="s">
        <v>32</v>
      </c>
      <c r="E527" t="s">
        <v>21</v>
      </c>
      <c r="F527" t="s">
        <v>22</v>
      </c>
      <c r="G527" t="s">
        <v>23</v>
      </c>
      <c r="H527" t="s">
        <v>625</v>
      </c>
      <c r="I527" t="s">
        <v>1288</v>
      </c>
      <c r="J527">
        <v>9.9719183333330008</v>
      </c>
      <c r="K527">
        <v>-84.049644999999998</v>
      </c>
      <c r="L527" t="s">
        <v>1225</v>
      </c>
      <c r="M527" t="s">
        <v>94</v>
      </c>
      <c r="N527" t="s">
        <v>95</v>
      </c>
      <c r="O527" t="s">
        <v>96</v>
      </c>
      <c r="P527">
        <v>7</v>
      </c>
      <c r="Q527" t="s">
        <v>39</v>
      </c>
      <c r="S527" t="str">
        <f>_xlfn.XLOOKUP(UNIVERSO[[#This Row],[Ruta]],'[1]CUOTA RUTA'!A:A,'[1]CUOTA RUTA'!D:D)</f>
        <v>Cargar</v>
      </c>
    </row>
    <row r="528" spans="1:19" x14ac:dyDescent="0.25">
      <c r="A528">
        <v>1500721862</v>
      </c>
      <c r="B528" t="s">
        <v>1289</v>
      </c>
      <c r="C528" t="s">
        <v>19</v>
      </c>
      <c r="D528" t="s">
        <v>349</v>
      </c>
      <c r="E528" t="s">
        <v>21</v>
      </c>
      <c r="F528" t="s">
        <v>22</v>
      </c>
      <c r="G528" t="s">
        <v>23</v>
      </c>
      <c r="H528" t="s">
        <v>359</v>
      </c>
      <c r="I528" t="s">
        <v>1290</v>
      </c>
      <c r="J528">
        <v>10.140200999999999</v>
      </c>
      <c r="K528">
        <v>-85.445425999999998</v>
      </c>
      <c r="L528" t="s">
        <v>1225</v>
      </c>
      <c r="M528" t="s">
        <v>352</v>
      </c>
      <c r="N528" t="s">
        <v>353</v>
      </c>
      <c r="O528" t="s">
        <v>354</v>
      </c>
      <c r="P528">
        <v>12</v>
      </c>
      <c r="Q528" t="s">
        <v>42</v>
      </c>
      <c r="S528" t="str">
        <f>_xlfn.XLOOKUP(UNIVERSO[[#This Row],[Ruta]],'[1]CUOTA RUTA'!A:A,'[1]CUOTA RUTA'!D:D)</f>
        <v>Cargar</v>
      </c>
    </row>
    <row r="529" spans="1:19" x14ac:dyDescent="0.25">
      <c r="A529">
        <v>1500723601</v>
      </c>
      <c r="B529" t="s">
        <v>1291</v>
      </c>
      <c r="C529" t="s">
        <v>19</v>
      </c>
      <c r="D529" t="s">
        <v>20</v>
      </c>
      <c r="E529" t="s">
        <v>21</v>
      </c>
      <c r="F529" t="s">
        <v>22</v>
      </c>
      <c r="G529" t="s">
        <v>23</v>
      </c>
      <c r="H529" t="s">
        <v>743</v>
      </c>
      <c r="I529" t="s">
        <v>1292</v>
      </c>
      <c r="J529">
        <v>9.9846465999999996</v>
      </c>
      <c r="K529">
        <v>-84.369034299999996</v>
      </c>
      <c r="L529" t="s">
        <v>1225</v>
      </c>
      <c r="M529" t="s">
        <v>46</v>
      </c>
      <c r="N529" t="s">
        <v>47</v>
      </c>
      <c r="O529" t="s">
        <v>48</v>
      </c>
      <c r="P529">
        <v>10</v>
      </c>
      <c r="Q529" t="s">
        <v>136</v>
      </c>
      <c r="S529" t="str">
        <f>_xlfn.XLOOKUP(UNIVERSO[[#This Row],[Ruta]],'[1]CUOTA RUTA'!A:A,'[1]CUOTA RUTA'!D:D)</f>
        <v>Cargar</v>
      </c>
    </row>
    <row r="530" spans="1:19" x14ac:dyDescent="0.25">
      <c r="A530">
        <v>1500724906</v>
      </c>
      <c r="B530" t="s">
        <v>1293</v>
      </c>
      <c r="C530" t="s">
        <v>19</v>
      </c>
      <c r="D530" t="s">
        <v>244</v>
      </c>
      <c r="E530" t="s">
        <v>21</v>
      </c>
      <c r="F530" t="s">
        <v>22</v>
      </c>
      <c r="G530" t="s">
        <v>33</v>
      </c>
      <c r="H530" t="s">
        <v>1294</v>
      </c>
      <c r="I530" t="s">
        <v>1295</v>
      </c>
      <c r="J530">
        <v>9.3176860000000001</v>
      </c>
      <c r="K530">
        <v>-83.694304000000002</v>
      </c>
      <c r="L530" t="s">
        <v>1225</v>
      </c>
      <c r="M530" t="s">
        <v>46</v>
      </c>
      <c r="N530" t="s">
        <v>247</v>
      </c>
      <c r="O530" t="s">
        <v>248</v>
      </c>
      <c r="P530">
        <v>16</v>
      </c>
      <c r="Q530" t="s">
        <v>60</v>
      </c>
      <c r="S530" t="str">
        <f>_xlfn.XLOOKUP(UNIVERSO[[#This Row],[Ruta]],'[1]CUOTA RUTA'!A:A,'[1]CUOTA RUTA'!D:D)</f>
        <v>Cargar</v>
      </c>
    </row>
    <row r="531" spans="1:19" x14ac:dyDescent="0.25">
      <c r="A531">
        <v>1500731321</v>
      </c>
      <c r="B531" t="s">
        <v>1296</v>
      </c>
      <c r="C531" t="s">
        <v>19</v>
      </c>
      <c r="D531" t="s">
        <v>186</v>
      </c>
      <c r="E531" t="s">
        <v>21</v>
      </c>
      <c r="F531" t="s">
        <v>22</v>
      </c>
      <c r="G531" t="s">
        <v>23</v>
      </c>
      <c r="H531" t="s">
        <v>241</v>
      </c>
      <c r="I531" t="s">
        <v>1297</v>
      </c>
      <c r="J531">
        <v>10.025169999999999</v>
      </c>
      <c r="K531">
        <v>-83.231823000000006</v>
      </c>
      <c r="L531" t="s">
        <v>1225</v>
      </c>
      <c r="M531" t="s">
        <v>189</v>
      </c>
      <c r="N531" t="s">
        <v>190</v>
      </c>
      <c r="O531" t="s">
        <v>191</v>
      </c>
      <c r="P531">
        <v>19</v>
      </c>
      <c r="Q531" t="s">
        <v>67</v>
      </c>
      <c r="S531" t="str">
        <f>_xlfn.XLOOKUP(UNIVERSO[[#This Row],[Ruta]],'[1]CUOTA RUTA'!A:A,'[1]CUOTA RUTA'!D:D)</f>
        <v>Cargar</v>
      </c>
    </row>
    <row r="532" spans="1:19" x14ac:dyDescent="0.25">
      <c r="A532">
        <v>1500732191</v>
      </c>
      <c r="B532" t="s">
        <v>1298</v>
      </c>
      <c r="C532" t="s">
        <v>19</v>
      </c>
      <c r="D532" t="s">
        <v>208</v>
      </c>
      <c r="E532" t="s">
        <v>21</v>
      </c>
      <c r="F532" t="s">
        <v>22</v>
      </c>
      <c r="G532" t="s">
        <v>33</v>
      </c>
      <c r="H532" t="s">
        <v>616</v>
      </c>
      <c r="I532" t="s">
        <v>1299</v>
      </c>
      <c r="J532">
        <v>10.09224</v>
      </c>
      <c r="K532">
        <v>-83.505300000000005</v>
      </c>
      <c r="L532" t="s">
        <v>1225</v>
      </c>
      <c r="M532" t="s">
        <v>189</v>
      </c>
      <c r="N532" t="s">
        <v>211</v>
      </c>
      <c r="O532" t="s">
        <v>212</v>
      </c>
      <c r="P532">
        <v>8</v>
      </c>
      <c r="Q532" t="s">
        <v>97</v>
      </c>
      <c r="S532" t="str">
        <f>_xlfn.XLOOKUP(UNIVERSO[[#This Row],[Ruta]],'[1]CUOTA RUTA'!A:A,'[1]CUOTA RUTA'!D:D)</f>
        <v>Cargar</v>
      </c>
    </row>
    <row r="533" spans="1:19" x14ac:dyDescent="0.25">
      <c r="A533">
        <v>1500734181</v>
      </c>
      <c r="B533" t="s">
        <v>1300</v>
      </c>
      <c r="C533" t="s">
        <v>19</v>
      </c>
      <c r="D533" t="s">
        <v>208</v>
      </c>
      <c r="E533" t="s">
        <v>21</v>
      </c>
      <c r="F533" t="s">
        <v>22</v>
      </c>
      <c r="G533" t="s">
        <v>33</v>
      </c>
      <c r="H533" t="s">
        <v>209</v>
      </c>
      <c r="I533" t="s">
        <v>1301</v>
      </c>
      <c r="J533">
        <v>10.16581</v>
      </c>
      <c r="K533">
        <v>-83.599199999999996</v>
      </c>
      <c r="L533" t="s">
        <v>1225</v>
      </c>
      <c r="M533" t="s">
        <v>189</v>
      </c>
      <c r="N533" t="s">
        <v>211</v>
      </c>
      <c r="O533" t="s">
        <v>212</v>
      </c>
      <c r="P533">
        <v>7</v>
      </c>
      <c r="Q533" t="s">
        <v>39</v>
      </c>
      <c r="S533" t="str">
        <f>_xlfn.XLOOKUP(UNIVERSO[[#This Row],[Ruta]],'[1]CUOTA RUTA'!A:A,'[1]CUOTA RUTA'!D:D)</f>
        <v>Cargar</v>
      </c>
    </row>
    <row r="534" spans="1:19" x14ac:dyDescent="0.25">
      <c r="A534">
        <v>1500735123</v>
      </c>
      <c r="B534" t="s">
        <v>1302</v>
      </c>
      <c r="C534" t="s">
        <v>19</v>
      </c>
      <c r="D534" t="s">
        <v>20</v>
      </c>
      <c r="E534" t="s">
        <v>21</v>
      </c>
      <c r="F534" t="s">
        <v>22</v>
      </c>
      <c r="G534" t="s">
        <v>23</v>
      </c>
      <c r="H534" t="s">
        <v>638</v>
      </c>
      <c r="I534" t="s">
        <v>1303</v>
      </c>
      <c r="J534">
        <v>10.00245</v>
      </c>
      <c r="K534">
        <v>-84.216030000000003</v>
      </c>
      <c r="L534" t="s">
        <v>1225</v>
      </c>
      <c r="M534" t="s">
        <v>54</v>
      </c>
      <c r="N534" t="s">
        <v>55</v>
      </c>
      <c r="O534" t="s">
        <v>56</v>
      </c>
      <c r="P534">
        <v>3</v>
      </c>
      <c r="Q534" t="s">
        <v>101</v>
      </c>
      <c r="S534" t="str">
        <f>_xlfn.XLOOKUP(UNIVERSO[[#This Row],[Ruta]],'[1]CUOTA RUTA'!A:A,'[1]CUOTA RUTA'!D:D)</f>
        <v>Cargar</v>
      </c>
    </row>
    <row r="535" spans="1:19" x14ac:dyDescent="0.25">
      <c r="A535">
        <v>1540000285</v>
      </c>
      <c r="B535" t="s">
        <v>1304</v>
      </c>
      <c r="C535" t="s">
        <v>19</v>
      </c>
      <c r="D535" t="s">
        <v>32</v>
      </c>
      <c r="E535" t="s">
        <v>21</v>
      </c>
      <c r="F535" t="s">
        <v>51</v>
      </c>
      <c r="G535" t="s">
        <v>23</v>
      </c>
      <c r="H535" t="s">
        <v>127</v>
      </c>
      <c r="I535" t="s">
        <v>1305</v>
      </c>
      <c r="J535">
        <v>9.7984483333330008</v>
      </c>
      <c r="K535">
        <v>-84.157946666659996</v>
      </c>
      <c r="L535" t="s">
        <v>1225</v>
      </c>
      <c r="M535" t="s">
        <v>54</v>
      </c>
      <c r="N535" t="s">
        <v>129</v>
      </c>
      <c r="O535" t="s">
        <v>130</v>
      </c>
      <c r="P535">
        <v>23</v>
      </c>
      <c r="Q535" t="s">
        <v>125</v>
      </c>
      <c r="S535" t="str">
        <f>_xlfn.XLOOKUP(UNIVERSO[[#This Row],[Ruta]],'[1]CUOTA RUTA'!A:A,'[1]CUOTA RUTA'!D:D)</f>
        <v>Cargar</v>
      </c>
    </row>
    <row r="536" spans="1:19" x14ac:dyDescent="0.25">
      <c r="A536">
        <v>1540002561</v>
      </c>
      <c r="B536" t="s">
        <v>1306</v>
      </c>
      <c r="C536" t="s">
        <v>19</v>
      </c>
      <c r="D536" t="s">
        <v>20</v>
      </c>
      <c r="E536" t="s">
        <v>21</v>
      </c>
      <c r="F536" t="s">
        <v>22</v>
      </c>
      <c r="G536" t="s">
        <v>23</v>
      </c>
      <c r="H536" t="s">
        <v>638</v>
      </c>
      <c r="I536" t="s">
        <v>1307</v>
      </c>
      <c r="J536">
        <v>10.002966000000001</v>
      </c>
      <c r="K536">
        <v>-84.217312000000007</v>
      </c>
      <c r="L536" t="s">
        <v>1225</v>
      </c>
      <c r="M536" t="s">
        <v>54</v>
      </c>
      <c r="N536" t="s">
        <v>55</v>
      </c>
      <c r="O536" t="s">
        <v>56</v>
      </c>
      <c r="P536">
        <v>3</v>
      </c>
      <c r="Q536" t="s">
        <v>101</v>
      </c>
      <c r="S536" t="str">
        <f>_xlfn.XLOOKUP(UNIVERSO[[#This Row],[Ruta]],'[1]CUOTA RUTA'!A:A,'[1]CUOTA RUTA'!D:D)</f>
        <v>Cargar</v>
      </c>
    </row>
    <row r="537" spans="1:19" x14ac:dyDescent="0.25">
      <c r="A537">
        <v>1540012176</v>
      </c>
      <c r="B537" t="s">
        <v>1308</v>
      </c>
      <c r="C537" t="s">
        <v>19</v>
      </c>
      <c r="D537" t="s">
        <v>208</v>
      </c>
      <c r="E537" t="s">
        <v>21</v>
      </c>
      <c r="F537" t="s">
        <v>22</v>
      </c>
      <c r="G537" t="s">
        <v>23</v>
      </c>
      <c r="H537" t="s">
        <v>502</v>
      </c>
      <c r="I537" t="s">
        <v>1309</v>
      </c>
      <c r="J537">
        <v>10.452988400000001</v>
      </c>
      <c r="K537">
        <v>-83.672196799999995</v>
      </c>
      <c r="L537" t="s">
        <v>1225</v>
      </c>
      <c r="M537" t="s">
        <v>189</v>
      </c>
      <c r="N537" t="s">
        <v>211</v>
      </c>
      <c r="O537" t="s">
        <v>212</v>
      </c>
      <c r="P537">
        <v>7</v>
      </c>
      <c r="Q537" t="s">
        <v>39</v>
      </c>
      <c r="S537" t="str">
        <f>_xlfn.XLOOKUP(UNIVERSO[[#This Row],[Ruta]],'[1]CUOTA RUTA'!A:A,'[1]CUOTA RUTA'!D:D)</f>
        <v>Cargar</v>
      </c>
    </row>
    <row r="538" spans="1:19" x14ac:dyDescent="0.25">
      <c r="A538">
        <v>1540013369</v>
      </c>
      <c r="B538" t="s">
        <v>1310</v>
      </c>
      <c r="C538" t="s">
        <v>19</v>
      </c>
      <c r="D538" t="s">
        <v>20</v>
      </c>
      <c r="E538" t="s">
        <v>21</v>
      </c>
      <c r="F538" t="s">
        <v>51</v>
      </c>
      <c r="G538" t="s">
        <v>23</v>
      </c>
      <c r="H538" t="s">
        <v>774</v>
      </c>
      <c r="I538" t="s">
        <v>1311</v>
      </c>
      <c r="J538">
        <v>9.9288953000000006</v>
      </c>
      <c r="K538">
        <v>-84.216242300000005</v>
      </c>
      <c r="L538" t="s">
        <v>1225</v>
      </c>
      <c r="M538" t="s">
        <v>54</v>
      </c>
      <c r="N538" t="s">
        <v>55</v>
      </c>
      <c r="O538" t="s">
        <v>56</v>
      </c>
      <c r="P538">
        <v>10</v>
      </c>
      <c r="Q538" t="s">
        <v>136</v>
      </c>
      <c r="S538" t="str">
        <f>_xlfn.XLOOKUP(UNIVERSO[[#This Row],[Ruta]],'[1]CUOTA RUTA'!A:A,'[1]CUOTA RUTA'!D:D)</f>
        <v>Cargar</v>
      </c>
    </row>
    <row r="539" spans="1:19" x14ac:dyDescent="0.25">
      <c r="A539">
        <v>1540013484</v>
      </c>
      <c r="B539" t="s">
        <v>1312</v>
      </c>
      <c r="C539" t="s">
        <v>19</v>
      </c>
      <c r="D539" t="s">
        <v>208</v>
      </c>
      <c r="E539" t="s">
        <v>21</v>
      </c>
      <c r="F539" t="s">
        <v>51</v>
      </c>
      <c r="G539" t="s">
        <v>23</v>
      </c>
      <c r="H539" t="s">
        <v>221</v>
      </c>
      <c r="I539" t="s">
        <v>1313</v>
      </c>
      <c r="J539">
        <v>10.121831</v>
      </c>
      <c r="K539">
        <v>-83.53783</v>
      </c>
      <c r="L539" t="s">
        <v>1225</v>
      </c>
      <c r="M539" t="s">
        <v>189</v>
      </c>
      <c r="N539" t="s">
        <v>211</v>
      </c>
      <c r="O539" t="s">
        <v>212</v>
      </c>
      <c r="P539">
        <v>8</v>
      </c>
      <c r="Q539" t="s">
        <v>97</v>
      </c>
      <c r="S539" t="str">
        <f>_xlfn.XLOOKUP(UNIVERSO[[#This Row],[Ruta]],'[1]CUOTA RUTA'!A:A,'[1]CUOTA RUTA'!D:D)</f>
        <v>Cargar</v>
      </c>
    </row>
    <row r="540" spans="1:19" x14ac:dyDescent="0.25">
      <c r="A540">
        <v>1540014131</v>
      </c>
      <c r="B540" t="s">
        <v>1314</v>
      </c>
      <c r="C540" t="s">
        <v>19</v>
      </c>
      <c r="D540" t="s">
        <v>266</v>
      </c>
      <c r="E540" t="s">
        <v>21</v>
      </c>
      <c r="F540" t="s">
        <v>22</v>
      </c>
      <c r="G540" t="s">
        <v>23</v>
      </c>
      <c r="H540" t="s">
        <v>706</v>
      </c>
      <c r="I540" t="s">
        <v>1315</v>
      </c>
      <c r="J540">
        <v>9.8545499999999997</v>
      </c>
      <c r="K540">
        <v>-83.934665999999993</v>
      </c>
      <c r="L540" t="s">
        <v>1225</v>
      </c>
      <c r="M540" t="s">
        <v>36</v>
      </c>
      <c r="N540" t="s">
        <v>316</v>
      </c>
      <c r="O540" t="s">
        <v>317</v>
      </c>
      <c r="P540">
        <v>18</v>
      </c>
      <c r="Q540" t="s">
        <v>84</v>
      </c>
      <c r="S540" t="str">
        <f>_xlfn.XLOOKUP(UNIVERSO[[#This Row],[Ruta]],'[1]CUOTA RUTA'!A:A,'[1]CUOTA RUTA'!D:D)</f>
        <v>Cargar</v>
      </c>
    </row>
    <row r="541" spans="1:19" x14ac:dyDescent="0.25">
      <c r="A541">
        <v>1540014335</v>
      </c>
      <c r="B541" t="s">
        <v>1316</v>
      </c>
      <c r="C541" t="s">
        <v>19</v>
      </c>
      <c r="D541" t="s">
        <v>186</v>
      </c>
      <c r="E541" t="s">
        <v>21</v>
      </c>
      <c r="F541" t="s">
        <v>22</v>
      </c>
      <c r="G541" t="s">
        <v>23</v>
      </c>
      <c r="H541" t="s">
        <v>237</v>
      </c>
      <c r="I541" t="s">
        <v>1317</v>
      </c>
      <c r="J541">
        <v>10.086411999999999</v>
      </c>
      <c r="K541">
        <v>-83.341207999999995</v>
      </c>
      <c r="L541" t="s">
        <v>1225</v>
      </c>
      <c r="M541" t="s">
        <v>189</v>
      </c>
      <c r="N541" t="s">
        <v>190</v>
      </c>
      <c r="O541" t="s">
        <v>191</v>
      </c>
      <c r="P541">
        <v>21</v>
      </c>
      <c r="Q541" t="s">
        <v>239</v>
      </c>
      <c r="S541" t="str">
        <f>_xlfn.XLOOKUP(UNIVERSO[[#This Row],[Ruta]],'[1]CUOTA RUTA'!A:A,'[1]CUOTA RUTA'!D:D)</f>
        <v>Cargar</v>
      </c>
    </row>
    <row r="542" spans="1:19" x14ac:dyDescent="0.25">
      <c r="A542">
        <v>1540014502</v>
      </c>
      <c r="B542" t="s">
        <v>1318</v>
      </c>
      <c r="C542" t="s">
        <v>19</v>
      </c>
      <c r="D542" t="s">
        <v>20</v>
      </c>
      <c r="E542" t="s">
        <v>21</v>
      </c>
      <c r="F542" t="s">
        <v>22</v>
      </c>
      <c r="G542" t="s">
        <v>23</v>
      </c>
      <c r="H542" t="s">
        <v>1021</v>
      </c>
      <c r="I542" t="s">
        <v>1319</v>
      </c>
      <c r="J542">
        <v>10.036146</v>
      </c>
      <c r="K542">
        <v>-84.266418999999999</v>
      </c>
      <c r="L542" t="s">
        <v>1225</v>
      </c>
      <c r="M542" t="s">
        <v>46</v>
      </c>
      <c r="N542" t="s">
        <v>47</v>
      </c>
      <c r="O542" t="s">
        <v>48</v>
      </c>
      <c r="P542">
        <v>4</v>
      </c>
      <c r="Q542" t="s">
        <v>120</v>
      </c>
      <c r="S542" t="str">
        <f>_xlfn.XLOOKUP(UNIVERSO[[#This Row],[Ruta]],'[1]CUOTA RUTA'!A:A,'[1]CUOTA RUTA'!D:D)</f>
        <v>Cargar</v>
      </c>
    </row>
    <row r="543" spans="1:19" x14ac:dyDescent="0.25">
      <c r="A543">
        <v>1540015004</v>
      </c>
      <c r="B543" t="s">
        <v>1320</v>
      </c>
      <c r="C543" t="s">
        <v>19</v>
      </c>
      <c r="D543" t="s">
        <v>20</v>
      </c>
      <c r="E543" t="s">
        <v>21</v>
      </c>
      <c r="F543" t="s">
        <v>22</v>
      </c>
      <c r="G543" t="s">
        <v>23</v>
      </c>
      <c r="H543" t="s">
        <v>308</v>
      </c>
      <c r="I543" t="s">
        <v>1321</v>
      </c>
      <c r="J543">
        <v>9.8481900000000007</v>
      </c>
      <c r="K543">
        <v>-84.234120000000004</v>
      </c>
      <c r="L543" t="s">
        <v>1225</v>
      </c>
      <c r="M543" t="s">
        <v>54</v>
      </c>
      <c r="N543" t="s">
        <v>55</v>
      </c>
      <c r="O543" t="s">
        <v>56</v>
      </c>
      <c r="P543">
        <v>23</v>
      </c>
      <c r="Q543" t="s">
        <v>125</v>
      </c>
      <c r="S543" t="str">
        <f>_xlfn.XLOOKUP(UNIVERSO[[#This Row],[Ruta]],'[1]CUOTA RUTA'!A:A,'[1]CUOTA RUTA'!D:D)</f>
        <v>Cargar</v>
      </c>
    </row>
    <row r="544" spans="1:19" x14ac:dyDescent="0.25">
      <c r="A544">
        <v>1540018693</v>
      </c>
      <c r="B544" t="s">
        <v>1322</v>
      </c>
      <c r="C544" t="s">
        <v>19</v>
      </c>
      <c r="D544" t="s">
        <v>20</v>
      </c>
      <c r="E544" t="s">
        <v>21</v>
      </c>
      <c r="F544" t="s">
        <v>51</v>
      </c>
      <c r="G544" t="s">
        <v>23</v>
      </c>
      <c r="H544" t="s">
        <v>198</v>
      </c>
      <c r="I544" t="s">
        <v>1323</v>
      </c>
      <c r="J544">
        <v>9.9377294999999997</v>
      </c>
      <c r="K544">
        <v>-84.184205300000002</v>
      </c>
      <c r="L544" t="s">
        <v>1225</v>
      </c>
      <c r="M544" t="s">
        <v>54</v>
      </c>
      <c r="N544" t="s">
        <v>55</v>
      </c>
      <c r="O544" t="s">
        <v>56</v>
      </c>
      <c r="P544">
        <v>13</v>
      </c>
      <c r="Q544" t="s">
        <v>161</v>
      </c>
      <c r="S544" t="str">
        <f>_xlfn.XLOOKUP(UNIVERSO[[#This Row],[Ruta]],'[1]CUOTA RUTA'!A:A,'[1]CUOTA RUTA'!D:D)</f>
        <v>Cargar</v>
      </c>
    </row>
    <row r="545" spans="1:19" x14ac:dyDescent="0.25">
      <c r="A545">
        <v>1540042679</v>
      </c>
      <c r="B545" t="s">
        <v>1324</v>
      </c>
      <c r="C545" t="s">
        <v>19</v>
      </c>
      <c r="D545" t="s">
        <v>32</v>
      </c>
      <c r="E545" t="s">
        <v>21</v>
      </c>
      <c r="F545" t="s">
        <v>22</v>
      </c>
      <c r="G545" t="s">
        <v>64</v>
      </c>
      <c r="H545" t="s">
        <v>89</v>
      </c>
      <c r="I545" t="s">
        <v>1325</v>
      </c>
      <c r="J545">
        <v>9.8887149999999995</v>
      </c>
      <c r="K545">
        <v>-84.081073000000004</v>
      </c>
      <c r="L545" t="s">
        <v>1225</v>
      </c>
      <c r="M545" t="s">
        <v>71</v>
      </c>
      <c r="N545" t="s">
        <v>72</v>
      </c>
      <c r="O545" t="s">
        <v>73</v>
      </c>
      <c r="P545">
        <v>8</v>
      </c>
      <c r="Q545" t="s">
        <v>97</v>
      </c>
      <c r="S545" t="str">
        <f>_xlfn.XLOOKUP(UNIVERSO[[#This Row],[Ruta]],'[1]CUOTA RUTA'!A:A,'[1]CUOTA RUTA'!D:D)</f>
        <v>Cargar</v>
      </c>
    </row>
    <row r="546" spans="1:19" x14ac:dyDescent="0.25">
      <c r="A546">
        <v>1540044086</v>
      </c>
      <c r="B546" t="s">
        <v>1326</v>
      </c>
      <c r="C546" t="s">
        <v>19</v>
      </c>
      <c r="D546" t="s">
        <v>186</v>
      </c>
      <c r="E546" t="s">
        <v>21</v>
      </c>
      <c r="F546" t="s">
        <v>22</v>
      </c>
      <c r="G546" t="s">
        <v>23</v>
      </c>
      <c r="H546" t="s">
        <v>868</v>
      </c>
      <c r="I546" t="s">
        <v>1327</v>
      </c>
      <c r="J546">
        <v>9.9943969999999993</v>
      </c>
      <c r="K546">
        <v>-83.031718999999995</v>
      </c>
      <c r="L546" t="s">
        <v>1225</v>
      </c>
      <c r="M546" t="s">
        <v>189</v>
      </c>
      <c r="N546" t="s">
        <v>190</v>
      </c>
      <c r="O546" t="s">
        <v>191</v>
      </c>
      <c r="P546">
        <v>12</v>
      </c>
      <c r="Q546" t="s">
        <v>42</v>
      </c>
      <c r="S546" t="str">
        <f>_xlfn.XLOOKUP(UNIVERSO[[#This Row],[Ruta]],'[1]CUOTA RUTA'!A:A,'[1]CUOTA RUTA'!D:D)</f>
        <v>Cargar</v>
      </c>
    </row>
    <row r="547" spans="1:19" x14ac:dyDescent="0.25">
      <c r="A547">
        <v>1540049136</v>
      </c>
      <c r="B547" t="s">
        <v>1328</v>
      </c>
      <c r="C547" t="s">
        <v>19</v>
      </c>
      <c r="D547" t="s">
        <v>201</v>
      </c>
      <c r="E547" t="s">
        <v>21</v>
      </c>
      <c r="F547" t="s">
        <v>22</v>
      </c>
      <c r="G547" t="s">
        <v>23</v>
      </c>
      <c r="H547" t="s">
        <v>593</v>
      </c>
      <c r="I547" t="s">
        <v>1329</v>
      </c>
      <c r="J547">
        <v>9.9770222000000004</v>
      </c>
      <c r="K547">
        <v>-84.838542899999993</v>
      </c>
      <c r="L547" t="s">
        <v>1225</v>
      </c>
      <c r="M547" t="s">
        <v>204</v>
      </c>
      <c r="N547" t="s">
        <v>205</v>
      </c>
      <c r="O547" t="s">
        <v>206</v>
      </c>
      <c r="P547">
        <v>11</v>
      </c>
      <c r="Q547" t="s">
        <v>108</v>
      </c>
      <c r="S547" t="str">
        <f>_xlfn.XLOOKUP(UNIVERSO[[#This Row],[Ruta]],'[1]CUOTA RUTA'!A:A,'[1]CUOTA RUTA'!D:D)</f>
        <v>Cargar</v>
      </c>
    </row>
    <row r="548" spans="1:19" x14ac:dyDescent="0.25">
      <c r="A548">
        <v>1540057450</v>
      </c>
      <c r="B548" t="s">
        <v>1330</v>
      </c>
      <c r="C548" t="s">
        <v>19</v>
      </c>
      <c r="D548" t="s">
        <v>208</v>
      </c>
      <c r="E548" t="s">
        <v>21</v>
      </c>
      <c r="F548" t="s">
        <v>22</v>
      </c>
      <c r="G548" t="s">
        <v>23</v>
      </c>
      <c r="H548" t="s">
        <v>616</v>
      </c>
      <c r="I548" t="s">
        <v>1331</v>
      </c>
      <c r="J548">
        <v>10.360226000000001</v>
      </c>
      <c r="K548">
        <v>-83.735737</v>
      </c>
      <c r="L548" t="s">
        <v>1225</v>
      </c>
      <c r="M548" t="s">
        <v>189</v>
      </c>
      <c r="N548" t="s">
        <v>211</v>
      </c>
      <c r="O548" t="s">
        <v>212</v>
      </c>
      <c r="P548">
        <v>1</v>
      </c>
      <c r="Q548" t="s">
        <v>155</v>
      </c>
      <c r="S548" t="str">
        <f>_xlfn.XLOOKUP(UNIVERSO[[#This Row],[Ruta]],'[1]CUOTA RUTA'!A:A,'[1]CUOTA RUTA'!D:D)</f>
        <v>Cargar</v>
      </c>
    </row>
    <row r="549" spans="1:19" x14ac:dyDescent="0.25">
      <c r="A549">
        <v>1500001006</v>
      </c>
      <c r="B549" t="s">
        <v>1332</v>
      </c>
      <c r="C549" t="s">
        <v>19</v>
      </c>
      <c r="D549" t="s">
        <v>20</v>
      </c>
      <c r="E549" t="s">
        <v>21</v>
      </c>
      <c r="F549" t="s">
        <v>22</v>
      </c>
      <c r="G549" t="s">
        <v>64</v>
      </c>
      <c r="H549" t="s">
        <v>143</v>
      </c>
      <c r="I549" t="s">
        <v>1333</v>
      </c>
      <c r="J549">
        <v>9.9395646099999997</v>
      </c>
      <c r="K549">
        <v>-84.106959829999994</v>
      </c>
      <c r="L549" t="s">
        <v>1225</v>
      </c>
      <c r="M549" t="s">
        <v>27</v>
      </c>
      <c r="N549" t="s">
        <v>28</v>
      </c>
      <c r="O549" t="s">
        <v>29</v>
      </c>
      <c r="P549">
        <v>10</v>
      </c>
      <c r="Q549" t="s">
        <v>136</v>
      </c>
      <c r="S549" t="str">
        <f>_xlfn.XLOOKUP(UNIVERSO[[#This Row],[Ruta]],'[1]CUOTA RUTA'!A:A,'[1]CUOTA RUTA'!D:D)</f>
        <v>Cargar</v>
      </c>
    </row>
    <row r="550" spans="1:19" x14ac:dyDescent="0.25">
      <c r="A550">
        <v>1500001039</v>
      </c>
      <c r="B550" t="s">
        <v>1334</v>
      </c>
      <c r="C550" t="s">
        <v>19</v>
      </c>
      <c r="D550" t="s">
        <v>32</v>
      </c>
      <c r="E550" t="s">
        <v>21</v>
      </c>
      <c r="F550" t="s">
        <v>22</v>
      </c>
      <c r="G550" t="s">
        <v>33</v>
      </c>
      <c r="H550" t="s">
        <v>683</v>
      </c>
      <c r="I550" t="s">
        <v>1335</v>
      </c>
      <c r="J550">
        <v>9.9322610000000005</v>
      </c>
      <c r="K550">
        <v>-84.099735999999993</v>
      </c>
      <c r="L550" t="s">
        <v>1225</v>
      </c>
      <c r="M550" t="s">
        <v>71</v>
      </c>
      <c r="N550" t="s">
        <v>72</v>
      </c>
      <c r="O550" t="s">
        <v>73</v>
      </c>
      <c r="P550">
        <v>4</v>
      </c>
      <c r="Q550" t="s">
        <v>120</v>
      </c>
      <c r="S550" t="str">
        <f>_xlfn.XLOOKUP(UNIVERSO[[#This Row],[Ruta]],'[1]CUOTA RUTA'!A:A,'[1]CUOTA RUTA'!D:D)</f>
        <v>Cargar</v>
      </c>
    </row>
    <row r="551" spans="1:19" x14ac:dyDescent="0.25">
      <c r="A551">
        <v>1500001084</v>
      </c>
      <c r="B551" t="s">
        <v>1336</v>
      </c>
      <c r="C551" t="s">
        <v>19</v>
      </c>
      <c r="D551" t="s">
        <v>20</v>
      </c>
      <c r="E551" t="s">
        <v>21</v>
      </c>
      <c r="F551" t="s">
        <v>51</v>
      </c>
      <c r="G551" t="s">
        <v>23</v>
      </c>
      <c r="H551" t="s">
        <v>24</v>
      </c>
      <c r="I551" t="s">
        <v>1337</v>
      </c>
      <c r="J551">
        <v>9.9492881200000003</v>
      </c>
      <c r="K551">
        <v>-84.132802979999994</v>
      </c>
      <c r="L551" t="s">
        <v>1225</v>
      </c>
      <c r="M551" t="s">
        <v>27</v>
      </c>
      <c r="N551" t="s">
        <v>28</v>
      </c>
      <c r="O551" t="s">
        <v>29</v>
      </c>
      <c r="P551">
        <v>8</v>
      </c>
      <c r="Q551" t="s">
        <v>97</v>
      </c>
      <c r="S551" t="str">
        <f>_xlfn.XLOOKUP(UNIVERSO[[#This Row],[Ruta]],'[1]CUOTA RUTA'!A:A,'[1]CUOTA RUTA'!D:D)</f>
        <v>Cargar</v>
      </c>
    </row>
    <row r="552" spans="1:19" x14ac:dyDescent="0.25">
      <c r="A552">
        <v>1500001167</v>
      </c>
      <c r="B552" t="s">
        <v>1338</v>
      </c>
      <c r="C552" t="s">
        <v>19</v>
      </c>
      <c r="D552" t="s">
        <v>20</v>
      </c>
      <c r="E552" t="s">
        <v>21</v>
      </c>
      <c r="F552" t="s">
        <v>22</v>
      </c>
      <c r="G552" t="s">
        <v>64</v>
      </c>
      <c r="H552" t="s">
        <v>143</v>
      </c>
      <c r="I552" t="s">
        <v>1339</v>
      </c>
      <c r="J552">
        <v>9.9433799999999994</v>
      </c>
      <c r="K552">
        <v>-84.120649999999998</v>
      </c>
      <c r="L552" t="s">
        <v>1225</v>
      </c>
      <c r="M552" t="s">
        <v>27</v>
      </c>
      <c r="N552" t="s">
        <v>28</v>
      </c>
      <c r="O552" t="s">
        <v>29</v>
      </c>
      <c r="P552">
        <v>9</v>
      </c>
      <c r="Q552" t="s">
        <v>80</v>
      </c>
      <c r="S552" t="str">
        <f>_xlfn.XLOOKUP(UNIVERSO[[#This Row],[Ruta]],'[1]CUOTA RUTA'!A:A,'[1]CUOTA RUTA'!D:D)</f>
        <v>Cargar</v>
      </c>
    </row>
    <row r="553" spans="1:19" x14ac:dyDescent="0.25">
      <c r="A553">
        <v>1500001175</v>
      </c>
      <c r="B553" t="s">
        <v>1340</v>
      </c>
      <c r="C553" t="s">
        <v>19</v>
      </c>
      <c r="D553" t="s">
        <v>20</v>
      </c>
      <c r="E553" t="s">
        <v>21</v>
      </c>
      <c r="F553" t="s">
        <v>22</v>
      </c>
      <c r="G553" t="s">
        <v>23</v>
      </c>
      <c r="H553" t="s">
        <v>143</v>
      </c>
      <c r="I553" t="s">
        <v>1341</v>
      </c>
      <c r="J553">
        <v>9.9521300000000004</v>
      </c>
      <c r="K553">
        <v>-84.132549999999995</v>
      </c>
      <c r="L553" t="s">
        <v>1225</v>
      </c>
      <c r="M553" t="s">
        <v>27</v>
      </c>
      <c r="N553" t="s">
        <v>28</v>
      </c>
      <c r="O553" t="s">
        <v>29</v>
      </c>
      <c r="P553">
        <v>8</v>
      </c>
      <c r="Q553" t="s">
        <v>97</v>
      </c>
      <c r="S553" t="str">
        <f>_xlfn.XLOOKUP(UNIVERSO[[#This Row],[Ruta]],'[1]CUOTA RUTA'!A:A,'[1]CUOTA RUTA'!D:D)</f>
        <v>Cargar</v>
      </c>
    </row>
    <row r="554" spans="1:19" x14ac:dyDescent="0.25">
      <c r="A554">
        <v>1500001339</v>
      </c>
      <c r="B554" t="s">
        <v>1342</v>
      </c>
      <c r="C554" t="s">
        <v>19</v>
      </c>
      <c r="D554" t="s">
        <v>32</v>
      </c>
      <c r="E554" t="s">
        <v>21</v>
      </c>
      <c r="F554" t="s">
        <v>22</v>
      </c>
      <c r="G554" t="s">
        <v>23</v>
      </c>
      <c r="H554" t="s">
        <v>103</v>
      </c>
      <c r="I554" t="s">
        <v>1343</v>
      </c>
      <c r="J554">
        <v>9.9254087999999996</v>
      </c>
      <c r="K554">
        <v>-84.072156000000007</v>
      </c>
      <c r="L554" t="s">
        <v>1225</v>
      </c>
      <c r="M554" t="s">
        <v>71</v>
      </c>
      <c r="N554" t="s">
        <v>72</v>
      </c>
      <c r="O554" t="s">
        <v>73</v>
      </c>
      <c r="P554">
        <v>5</v>
      </c>
      <c r="Q554" t="s">
        <v>117</v>
      </c>
      <c r="S554" t="str">
        <f>_xlfn.XLOOKUP(UNIVERSO[[#This Row],[Ruta]],'[1]CUOTA RUTA'!A:A,'[1]CUOTA RUTA'!D:D)</f>
        <v>Cargar</v>
      </c>
    </row>
    <row r="555" spans="1:19" x14ac:dyDescent="0.25">
      <c r="A555">
        <v>1500001369</v>
      </c>
      <c r="B555" t="s">
        <v>1344</v>
      </c>
      <c r="C555" t="s">
        <v>19</v>
      </c>
      <c r="D555" t="s">
        <v>32</v>
      </c>
      <c r="E555" t="s">
        <v>21</v>
      </c>
      <c r="F555" t="s">
        <v>22</v>
      </c>
      <c r="G555" t="s">
        <v>33</v>
      </c>
      <c r="H555" t="s">
        <v>1345</v>
      </c>
      <c r="I555" t="s">
        <v>1346</v>
      </c>
      <c r="J555">
        <v>9.9296600000000002</v>
      </c>
      <c r="K555">
        <v>-84.071100000000001</v>
      </c>
      <c r="L555" t="s">
        <v>1225</v>
      </c>
      <c r="M555" t="s">
        <v>71</v>
      </c>
      <c r="N555" t="s">
        <v>72</v>
      </c>
      <c r="O555" t="s">
        <v>73</v>
      </c>
      <c r="P555">
        <v>5</v>
      </c>
      <c r="Q555" t="s">
        <v>117</v>
      </c>
      <c r="S555" t="str">
        <f>_xlfn.XLOOKUP(UNIVERSO[[#This Row],[Ruta]],'[1]CUOTA RUTA'!A:A,'[1]CUOTA RUTA'!D:D)</f>
        <v>Cargar</v>
      </c>
    </row>
    <row r="556" spans="1:19" x14ac:dyDescent="0.25">
      <c r="A556">
        <v>1500001482</v>
      </c>
      <c r="B556" t="s">
        <v>800</v>
      </c>
      <c r="C556" t="s">
        <v>19</v>
      </c>
      <c r="D556" t="s">
        <v>32</v>
      </c>
      <c r="E556" t="s">
        <v>21</v>
      </c>
      <c r="F556" t="s">
        <v>22</v>
      </c>
      <c r="G556" t="s">
        <v>33</v>
      </c>
      <c r="H556" t="s">
        <v>716</v>
      </c>
      <c r="I556" t="s">
        <v>1347</v>
      </c>
      <c r="J556">
        <v>9.9798117000000008</v>
      </c>
      <c r="K556">
        <v>-84.089641700000001</v>
      </c>
      <c r="L556" t="s">
        <v>1225</v>
      </c>
      <c r="M556" t="s">
        <v>36</v>
      </c>
      <c r="N556" t="s">
        <v>37</v>
      </c>
      <c r="O556" t="s">
        <v>38</v>
      </c>
      <c r="P556">
        <v>1</v>
      </c>
      <c r="Q556" t="s">
        <v>155</v>
      </c>
      <c r="S556" t="str">
        <f>_xlfn.XLOOKUP(UNIVERSO[[#This Row],[Ruta]],'[1]CUOTA RUTA'!A:A,'[1]CUOTA RUTA'!D:D)</f>
        <v>Cargar</v>
      </c>
    </row>
    <row r="557" spans="1:19" x14ac:dyDescent="0.25">
      <c r="A557">
        <v>1500001568</v>
      </c>
      <c r="B557" t="s">
        <v>1348</v>
      </c>
      <c r="C557" t="s">
        <v>19</v>
      </c>
      <c r="D557" t="s">
        <v>32</v>
      </c>
      <c r="E557" t="s">
        <v>21</v>
      </c>
      <c r="F557" t="s">
        <v>22</v>
      </c>
      <c r="G557" t="s">
        <v>64</v>
      </c>
      <c r="H557" t="s">
        <v>716</v>
      </c>
      <c r="I557" t="s">
        <v>1349</v>
      </c>
      <c r="J557">
        <v>9.9259470000000007</v>
      </c>
      <c r="K557">
        <v>-84.046875</v>
      </c>
      <c r="L557" t="s">
        <v>1225</v>
      </c>
      <c r="M557" t="s">
        <v>36</v>
      </c>
      <c r="N557" t="s">
        <v>37</v>
      </c>
      <c r="O557" t="s">
        <v>38</v>
      </c>
      <c r="P557">
        <v>7</v>
      </c>
      <c r="Q557" t="s">
        <v>39</v>
      </c>
      <c r="S557" t="str">
        <f>_xlfn.XLOOKUP(UNIVERSO[[#This Row],[Ruta]],'[1]CUOTA RUTA'!A:A,'[1]CUOTA RUTA'!D:D)</f>
        <v>Cargar</v>
      </c>
    </row>
    <row r="558" spans="1:19" x14ac:dyDescent="0.25">
      <c r="A558">
        <v>1500001672</v>
      </c>
      <c r="B558" t="s">
        <v>1350</v>
      </c>
      <c r="C558" t="s">
        <v>19</v>
      </c>
      <c r="D558" t="s">
        <v>32</v>
      </c>
      <c r="E558" t="s">
        <v>21</v>
      </c>
      <c r="F558" t="s">
        <v>22</v>
      </c>
      <c r="G558" t="s">
        <v>64</v>
      </c>
      <c r="H558" t="s">
        <v>683</v>
      </c>
      <c r="I558" t="s">
        <v>1351</v>
      </c>
      <c r="J558">
        <v>9.9225560000000002</v>
      </c>
      <c r="K558">
        <v>-84.073367500000003</v>
      </c>
      <c r="L558" t="s">
        <v>1225</v>
      </c>
      <c r="M558" t="s">
        <v>71</v>
      </c>
      <c r="N558" t="s">
        <v>72</v>
      </c>
      <c r="O558" t="s">
        <v>73</v>
      </c>
      <c r="P558">
        <v>2</v>
      </c>
      <c r="Q558" t="s">
        <v>150</v>
      </c>
      <c r="S558" t="str">
        <f>_xlfn.XLOOKUP(UNIVERSO[[#This Row],[Ruta]],'[1]CUOTA RUTA'!A:A,'[1]CUOTA RUTA'!D:D)</f>
        <v>Cargar</v>
      </c>
    </row>
    <row r="559" spans="1:19" x14ac:dyDescent="0.25">
      <c r="A559">
        <v>1500001727</v>
      </c>
      <c r="B559" t="s">
        <v>1352</v>
      </c>
      <c r="C559" t="s">
        <v>19</v>
      </c>
      <c r="D559" t="s">
        <v>32</v>
      </c>
      <c r="E559" t="s">
        <v>21</v>
      </c>
      <c r="F559" t="s">
        <v>22</v>
      </c>
      <c r="G559" t="s">
        <v>64</v>
      </c>
      <c r="H559" t="s">
        <v>879</v>
      </c>
      <c r="I559" t="s">
        <v>1353</v>
      </c>
      <c r="J559">
        <v>9.9211770000000001</v>
      </c>
      <c r="K559">
        <v>-84.078018</v>
      </c>
      <c r="L559" t="s">
        <v>1225</v>
      </c>
      <c r="M559" t="s">
        <v>71</v>
      </c>
      <c r="N559" t="s">
        <v>72</v>
      </c>
      <c r="O559" t="s">
        <v>73</v>
      </c>
      <c r="P559">
        <v>2</v>
      </c>
      <c r="Q559" t="s">
        <v>150</v>
      </c>
      <c r="S559" t="str">
        <f>_xlfn.XLOOKUP(UNIVERSO[[#This Row],[Ruta]],'[1]CUOTA RUTA'!A:A,'[1]CUOTA RUTA'!D:D)</f>
        <v>Cargar</v>
      </c>
    </row>
    <row r="560" spans="1:19" x14ac:dyDescent="0.25">
      <c r="A560">
        <v>1500001962</v>
      </c>
      <c r="B560" t="s">
        <v>1354</v>
      </c>
      <c r="C560" t="s">
        <v>19</v>
      </c>
      <c r="D560" t="s">
        <v>32</v>
      </c>
      <c r="E560" t="s">
        <v>21</v>
      </c>
      <c r="F560" t="s">
        <v>22</v>
      </c>
      <c r="G560" t="s">
        <v>64</v>
      </c>
      <c r="H560" t="s">
        <v>425</v>
      </c>
      <c r="I560" t="s">
        <v>1355</v>
      </c>
      <c r="J560">
        <v>9.8569010000000006</v>
      </c>
      <c r="K560">
        <v>-84.09948</v>
      </c>
      <c r="L560" t="s">
        <v>1225</v>
      </c>
      <c r="M560" t="s">
        <v>71</v>
      </c>
      <c r="N560" t="s">
        <v>72</v>
      </c>
      <c r="O560" t="s">
        <v>73</v>
      </c>
      <c r="P560">
        <v>14</v>
      </c>
      <c r="Q560" t="s">
        <v>181</v>
      </c>
      <c r="S560" t="str">
        <f>_xlfn.XLOOKUP(UNIVERSO[[#This Row],[Ruta]],'[1]CUOTA RUTA'!A:A,'[1]CUOTA RUTA'!D:D)</f>
        <v>Cargar</v>
      </c>
    </row>
    <row r="561" spans="1:19" x14ac:dyDescent="0.25">
      <c r="A561">
        <v>1500002004</v>
      </c>
      <c r="B561" t="s">
        <v>1356</v>
      </c>
      <c r="C561" t="s">
        <v>19</v>
      </c>
      <c r="D561" t="s">
        <v>32</v>
      </c>
      <c r="E561" t="s">
        <v>21</v>
      </c>
      <c r="F561" t="s">
        <v>22</v>
      </c>
      <c r="G561" t="s">
        <v>64</v>
      </c>
      <c r="H561" t="s">
        <v>1345</v>
      </c>
      <c r="I561" t="s">
        <v>1357</v>
      </c>
      <c r="J561">
        <v>9.9290699999999994</v>
      </c>
      <c r="K561">
        <v>-84.064400000000006</v>
      </c>
      <c r="L561" t="s">
        <v>1225</v>
      </c>
      <c r="M561" t="s">
        <v>71</v>
      </c>
      <c r="N561" t="s">
        <v>72</v>
      </c>
      <c r="O561" t="s">
        <v>73</v>
      </c>
      <c r="P561">
        <v>5</v>
      </c>
      <c r="Q561" t="s">
        <v>117</v>
      </c>
      <c r="S561" t="str">
        <f>_xlfn.XLOOKUP(UNIVERSO[[#This Row],[Ruta]],'[1]CUOTA RUTA'!A:A,'[1]CUOTA RUTA'!D:D)</f>
        <v>Cargar</v>
      </c>
    </row>
    <row r="562" spans="1:19" x14ac:dyDescent="0.25">
      <c r="A562">
        <v>1500002132</v>
      </c>
      <c r="B562" t="s">
        <v>1358</v>
      </c>
      <c r="C562" t="s">
        <v>19</v>
      </c>
      <c r="D562" t="s">
        <v>32</v>
      </c>
      <c r="E562" t="s">
        <v>21</v>
      </c>
      <c r="F562" t="s">
        <v>22</v>
      </c>
      <c r="G562" t="s">
        <v>64</v>
      </c>
      <c r="H562" t="s">
        <v>716</v>
      </c>
      <c r="I562" t="s">
        <v>1359</v>
      </c>
      <c r="J562">
        <v>9.9274550000000001</v>
      </c>
      <c r="K562">
        <v>-84.048552999999998</v>
      </c>
      <c r="L562" t="s">
        <v>1225</v>
      </c>
      <c r="M562" t="s">
        <v>36</v>
      </c>
      <c r="N562" t="s">
        <v>37</v>
      </c>
      <c r="O562" t="s">
        <v>38</v>
      </c>
      <c r="P562">
        <v>7</v>
      </c>
      <c r="Q562" t="s">
        <v>39</v>
      </c>
      <c r="S562" t="str">
        <f>_xlfn.XLOOKUP(UNIVERSO[[#This Row],[Ruta]],'[1]CUOTA RUTA'!A:A,'[1]CUOTA RUTA'!D:D)</f>
        <v>Cargar</v>
      </c>
    </row>
    <row r="563" spans="1:19" x14ac:dyDescent="0.25">
      <c r="A563">
        <v>1500002330</v>
      </c>
      <c r="B563" t="s">
        <v>1360</v>
      </c>
      <c r="C563" t="s">
        <v>19</v>
      </c>
      <c r="D563" t="s">
        <v>32</v>
      </c>
      <c r="E563" t="s">
        <v>21</v>
      </c>
      <c r="F563" t="s">
        <v>22</v>
      </c>
      <c r="G563" t="s">
        <v>64</v>
      </c>
      <c r="H563" t="s">
        <v>82</v>
      </c>
      <c r="I563" t="s">
        <v>1361</v>
      </c>
      <c r="J563">
        <v>9.8967530000000004</v>
      </c>
      <c r="K563">
        <v>-84.053220999999994</v>
      </c>
      <c r="L563" t="s">
        <v>1225</v>
      </c>
      <c r="M563" t="s">
        <v>71</v>
      </c>
      <c r="N563" t="s">
        <v>72</v>
      </c>
      <c r="O563" t="s">
        <v>73</v>
      </c>
      <c r="P563">
        <v>18</v>
      </c>
      <c r="Q563" t="s">
        <v>84</v>
      </c>
      <c r="S563" t="str">
        <f>_xlfn.XLOOKUP(UNIVERSO[[#This Row],[Ruta]],'[1]CUOTA RUTA'!A:A,'[1]CUOTA RUTA'!D:D)</f>
        <v>Cargar</v>
      </c>
    </row>
    <row r="564" spans="1:19" x14ac:dyDescent="0.25">
      <c r="A564">
        <v>1500002365</v>
      </c>
      <c r="B564" t="s">
        <v>1362</v>
      </c>
      <c r="C564" t="s">
        <v>19</v>
      </c>
      <c r="D564" t="s">
        <v>32</v>
      </c>
      <c r="E564" t="s">
        <v>21</v>
      </c>
      <c r="F564" t="s">
        <v>22</v>
      </c>
      <c r="G564" t="s">
        <v>33</v>
      </c>
      <c r="H564" t="s">
        <v>82</v>
      </c>
      <c r="I564" t="s">
        <v>1363</v>
      </c>
      <c r="J564">
        <v>9.8988270000000007</v>
      </c>
      <c r="K564">
        <v>-84.054067000000003</v>
      </c>
      <c r="L564" t="s">
        <v>1225</v>
      </c>
      <c r="M564" t="s">
        <v>71</v>
      </c>
      <c r="N564" t="s">
        <v>72</v>
      </c>
      <c r="O564" t="s">
        <v>73</v>
      </c>
      <c r="P564">
        <v>18</v>
      </c>
      <c r="Q564" t="s">
        <v>84</v>
      </c>
      <c r="S564" t="str">
        <f>_xlfn.XLOOKUP(UNIVERSO[[#This Row],[Ruta]],'[1]CUOTA RUTA'!A:A,'[1]CUOTA RUTA'!D:D)</f>
        <v>Cargar</v>
      </c>
    </row>
    <row r="565" spans="1:19" x14ac:dyDescent="0.25">
      <c r="A565">
        <v>1500002437</v>
      </c>
      <c r="B565" t="s">
        <v>1364</v>
      </c>
      <c r="C565" t="s">
        <v>19</v>
      </c>
      <c r="D565" t="s">
        <v>32</v>
      </c>
      <c r="E565" t="s">
        <v>21</v>
      </c>
      <c r="F565" t="s">
        <v>22</v>
      </c>
      <c r="G565" t="s">
        <v>33</v>
      </c>
      <c r="H565" t="s">
        <v>179</v>
      </c>
      <c r="I565" t="s">
        <v>1365</v>
      </c>
      <c r="J565">
        <v>9.9780017000000001</v>
      </c>
      <c r="K565">
        <v>-84.091636699999995</v>
      </c>
      <c r="L565" t="s">
        <v>1225</v>
      </c>
      <c r="M565" t="s">
        <v>36</v>
      </c>
      <c r="N565" t="s">
        <v>37</v>
      </c>
      <c r="O565" t="s">
        <v>38</v>
      </c>
      <c r="P565">
        <v>1</v>
      </c>
      <c r="Q565" t="s">
        <v>155</v>
      </c>
      <c r="S565" t="str">
        <f>_xlfn.XLOOKUP(UNIVERSO[[#This Row],[Ruta]],'[1]CUOTA RUTA'!A:A,'[1]CUOTA RUTA'!D:D)</f>
        <v>Cargar</v>
      </c>
    </row>
    <row r="566" spans="1:19" x14ac:dyDescent="0.25">
      <c r="A566">
        <v>1500002895</v>
      </c>
      <c r="B566" t="s">
        <v>1366</v>
      </c>
      <c r="C566" t="s">
        <v>19</v>
      </c>
      <c r="D566" t="s">
        <v>20</v>
      </c>
      <c r="E566" t="s">
        <v>21</v>
      </c>
      <c r="F566" t="s">
        <v>22</v>
      </c>
      <c r="G566" t="s">
        <v>23</v>
      </c>
      <c r="H566" t="s">
        <v>52</v>
      </c>
      <c r="I566" t="s">
        <v>1367</v>
      </c>
      <c r="J566">
        <v>9.9098699999999997</v>
      </c>
      <c r="K566">
        <v>-84.130849999999995</v>
      </c>
      <c r="L566" t="s">
        <v>1225</v>
      </c>
      <c r="M566" t="s">
        <v>54</v>
      </c>
      <c r="N566" t="s">
        <v>55</v>
      </c>
      <c r="O566" t="s">
        <v>56</v>
      </c>
      <c r="P566">
        <v>12</v>
      </c>
      <c r="Q566" t="s">
        <v>42</v>
      </c>
      <c r="S566" t="str">
        <f>_xlfn.XLOOKUP(UNIVERSO[[#This Row],[Ruta]],'[1]CUOTA RUTA'!A:A,'[1]CUOTA RUTA'!D:D)</f>
        <v>Cargar</v>
      </c>
    </row>
    <row r="567" spans="1:19" x14ac:dyDescent="0.25">
      <c r="A567">
        <v>1500002945</v>
      </c>
      <c r="B567" t="s">
        <v>1368</v>
      </c>
      <c r="C567" t="s">
        <v>19</v>
      </c>
      <c r="D567" t="s">
        <v>32</v>
      </c>
      <c r="E567" t="s">
        <v>21</v>
      </c>
      <c r="F567" t="s">
        <v>22</v>
      </c>
      <c r="G567" t="s">
        <v>33</v>
      </c>
      <c r="H567" t="s">
        <v>69</v>
      </c>
      <c r="I567" t="s">
        <v>1369</v>
      </c>
      <c r="J567">
        <v>9.8687033333330003</v>
      </c>
      <c r="K567">
        <v>-84.05489</v>
      </c>
      <c r="L567" t="s">
        <v>1225</v>
      </c>
      <c r="M567" t="s">
        <v>71</v>
      </c>
      <c r="N567" t="s">
        <v>72</v>
      </c>
      <c r="O567" t="s">
        <v>73</v>
      </c>
      <c r="P567">
        <v>20</v>
      </c>
      <c r="Q567" t="s">
        <v>74</v>
      </c>
      <c r="S567" t="str">
        <f>_xlfn.XLOOKUP(UNIVERSO[[#This Row],[Ruta]],'[1]CUOTA RUTA'!A:A,'[1]CUOTA RUTA'!D:D)</f>
        <v>Cargar</v>
      </c>
    </row>
    <row r="568" spans="1:19" x14ac:dyDescent="0.25">
      <c r="A568">
        <v>1500003005</v>
      </c>
      <c r="B568" t="s">
        <v>1370</v>
      </c>
      <c r="C568" t="s">
        <v>19</v>
      </c>
      <c r="D568" t="s">
        <v>32</v>
      </c>
      <c r="E568" t="s">
        <v>21</v>
      </c>
      <c r="F568" t="s">
        <v>22</v>
      </c>
      <c r="G568" t="s">
        <v>33</v>
      </c>
      <c r="H568" t="s">
        <v>1345</v>
      </c>
      <c r="I568" t="s">
        <v>1371</v>
      </c>
      <c r="J568">
        <v>9.9371460000000003</v>
      </c>
      <c r="K568">
        <v>-84.068579</v>
      </c>
      <c r="L568" t="s">
        <v>1225</v>
      </c>
      <c r="M568" t="s">
        <v>71</v>
      </c>
      <c r="N568" t="s">
        <v>72</v>
      </c>
      <c r="O568" t="s">
        <v>73</v>
      </c>
      <c r="P568">
        <v>6</v>
      </c>
      <c r="Q568" t="s">
        <v>49</v>
      </c>
      <c r="S568" t="str">
        <f>_xlfn.XLOOKUP(UNIVERSO[[#This Row],[Ruta]],'[1]CUOTA RUTA'!A:A,'[1]CUOTA RUTA'!D:D)</f>
        <v>Cargar</v>
      </c>
    </row>
    <row r="569" spans="1:19" x14ac:dyDescent="0.25">
      <c r="A569">
        <v>1500003144</v>
      </c>
      <c r="B569" t="s">
        <v>1372</v>
      </c>
      <c r="C569" t="s">
        <v>19</v>
      </c>
      <c r="D569" t="s">
        <v>32</v>
      </c>
      <c r="E569" t="s">
        <v>21</v>
      </c>
      <c r="F569" t="s">
        <v>22</v>
      </c>
      <c r="G569" t="s">
        <v>33</v>
      </c>
      <c r="H569" t="s">
        <v>76</v>
      </c>
      <c r="I569" t="s">
        <v>1373</v>
      </c>
      <c r="J569">
        <v>9.9447670000000006</v>
      </c>
      <c r="K569">
        <v>-84.026909000000003</v>
      </c>
      <c r="L569" t="s">
        <v>1225</v>
      </c>
      <c r="M569" t="s">
        <v>36</v>
      </c>
      <c r="N569" t="s">
        <v>37</v>
      </c>
      <c r="O569" t="s">
        <v>38</v>
      </c>
      <c r="P569">
        <v>9</v>
      </c>
      <c r="Q569" t="s">
        <v>80</v>
      </c>
      <c r="S569" t="str">
        <f>_xlfn.XLOOKUP(UNIVERSO[[#This Row],[Ruta]],'[1]CUOTA RUTA'!A:A,'[1]CUOTA RUTA'!D:D)</f>
        <v>Cargar</v>
      </c>
    </row>
    <row r="570" spans="1:19" x14ac:dyDescent="0.25">
      <c r="A570">
        <v>1500003202</v>
      </c>
      <c r="B570" t="s">
        <v>1374</v>
      </c>
      <c r="C570" t="s">
        <v>19</v>
      </c>
      <c r="D570" t="s">
        <v>32</v>
      </c>
      <c r="E570" t="s">
        <v>21</v>
      </c>
      <c r="F570" t="s">
        <v>22</v>
      </c>
      <c r="G570" t="s">
        <v>64</v>
      </c>
      <c r="H570" t="s">
        <v>1113</v>
      </c>
      <c r="I570" t="s">
        <v>1375</v>
      </c>
      <c r="J570">
        <v>9.9353619999999996</v>
      </c>
      <c r="K570">
        <v>-84.041031000000004</v>
      </c>
      <c r="L570" t="s">
        <v>1225</v>
      </c>
      <c r="M570" t="s">
        <v>36</v>
      </c>
      <c r="N570" t="s">
        <v>37</v>
      </c>
      <c r="O570" t="s">
        <v>38</v>
      </c>
      <c r="P570">
        <v>8</v>
      </c>
      <c r="Q570" t="s">
        <v>97</v>
      </c>
      <c r="S570" t="str">
        <f>_xlfn.XLOOKUP(UNIVERSO[[#This Row],[Ruta]],'[1]CUOTA RUTA'!A:A,'[1]CUOTA RUTA'!D:D)</f>
        <v>Cargar</v>
      </c>
    </row>
    <row r="571" spans="1:19" x14ac:dyDescent="0.25">
      <c r="A571">
        <v>1500003310</v>
      </c>
      <c r="B571" t="s">
        <v>1376</v>
      </c>
      <c r="C571" t="s">
        <v>19</v>
      </c>
      <c r="D571" t="s">
        <v>32</v>
      </c>
      <c r="E571" t="s">
        <v>21</v>
      </c>
      <c r="F571" t="s">
        <v>22</v>
      </c>
      <c r="G571" t="s">
        <v>64</v>
      </c>
      <c r="H571" t="s">
        <v>82</v>
      </c>
      <c r="I571" t="s">
        <v>1377</v>
      </c>
      <c r="J571">
        <v>9.8983519999999992</v>
      </c>
      <c r="K571">
        <v>-84.069953999999996</v>
      </c>
      <c r="L571" t="s">
        <v>1225</v>
      </c>
      <c r="M571" t="s">
        <v>71</v>
      </c>
      <c r="N571" t="s">
        <v>72</v>
      </c>
      <c r="O571" t="s">
        <v>73</v>
      </c>
      <c r="P571">
        <v>7</v>
      </c>
      <c r="Q571" t="s">
        <v>39</v>
      </c>
      <c r="S571" t="str">
        <f>_xlfn.XLOOKUP(UNIVERSO[[#This Row],[Ruta]],'[1]CUOTA RUTA'!A:A,'[1]CUOTA RUTA'!D:D)</f>
        <v>Cargar</v>
      </c>
    </row>
    <row r="572" spans="1:19" x14ac:dyDescent="0.25">
      <c r="A572">
        <v>1500003401</v>
      </c>
      <c r="B572" t="s">
        <v>1378</v>
      </c>
      <c r="C572" t="s">
        <v>19</v>
      </c>
      <c r="D572" t="s">
        <v>32</v>
      </c>
      <c r="E572" t="s">
        <v>21</v>
      </c>
      <c r="F572" t="s">
        <v>22</v>
      </c>
      <c r="G572" t="s">
        <v>33</v>
      </c>
      <c r="H572" t="s">
        <v>179</v>
      </c>
      <c r="I572" t="s">
        <v>1379</v>
      </c>
      <c r="J572">
        <v>9.8958049999999993</v>
      </c>
      <c r="K572">
        <v>-84.058312000000001</v>
      </c>
      <c r="L572" t="s">
        <v>1225</v>
      </c>
      <c r="M572" t="s">
        <v>36</v>
      </c>
      <c r="N572" t="s">
        <v>37</v>
      </c>
      <c r="O572" t="s">
        <v>38</v>
      </c>
      <c r="P572">
        <v>13</v>
      </c>
      <c r="Q572" t="s">
        <v>161</v>
      </c>
      <c r="S572" t="str">
        <f>_xlfn.XLOOKUP(UNIVERSO[[#This Row],[Ruta]],'[1]CUOTA RUTA'!A:A,'[1]CUOTA RUTA'!D:D)</f>
        <v>Cargar</v>
      </c>
    </row>
    <row r="573" spans="1:19" x14ac:dyDescent="0.25">
      <c r="A573">
        <v>1500003500</v>
      </c>
      <c r="B573" t="s">
        <v>1380</v>
      </c>
      <c r="C573" t="s">
        <v>19</v>
      </c>
      <c r="D573" t="s">
        <v>32</v>
      </c>
      <c r="E573" t="s">
        <v>21</v>
      </c>
      <c r="F573" t="s">
        <v>22</v>
      </c>
      <c r="G573" t="s">
        <v>33</v>
      </c>
      <c r="H573" t="s">
        <v>82</v>
      </c>
      <c r="I573" t="s">
        <v>1381</v>
      </c>
      <c r="J573">
        <v>9.8922830000000008</v>
      </c>
      <c r="K573">
        <v>-84.067504999999997</v>
      </c>
      <c r="L573" t="s">
        <v>1225</v>
      </c>
      <c r="M573" t="s">
        <v>71</v>
      </c>
      <c r="N573" t="s">
        <v>72</v>
      </c>
      <c r="O573" t="s">
        <v>73</v>
      </c>
      <c r="P573">
        <v>18</v>
      </c>
      <c r="Q573" t="s">
        <v>84</v>
      </c>
      <c r="S573" t="str">
        <f>_xlfn.XLOOKUP(UNIVERSO[[#This Row],[Ruta]],'[1]CUOTA RUTA'!A:A,'[1]CUOTA RUTA'!D:D)</f>
        <v>Cargar</v>
      </c>
    </row>
    <row r="574" spans="1:19" x14ac:dyDescent="0.25">
      <c r="A574">
        <v>1500003752</v>
      </c>
      <c r="B574" t="s">
        <v>1382</v>
      </c>
      <c r="C574" t="s">
        <v>19</v>
      </c>
      <c r="D574" t="s">
        <v>32</v>
      </c>
      <c r="E574" t="s">
        <v>21</v>
      </c>
      <c r="F574" t="s">
        <v>22</v>
      </c>
      <c r="G574" t="s">
        <v>33</v>
      </c>
      <c r="H574" t="s">
        <v>1383</v>
      </c>
      <c r="I574" t="s">
        <v>1384</v>
      </c>
      <c r="J574">
        <v>9.9062833789999996</v>
      </c>
      <c r="K574">
        <v>-84.092750550000005</v>
      </c>
      <c r="L574" t="s">
        <v>1225</v>
      </c>
      <c r="M574" t="s">
        <v>71</v>
      </c>
      <c r="N574" t="s">
        <v>72</v>
      </c>
      <c r="O574" t="s">
        <v>73</v>
      </c>
      <c r="P574">
        <v>6</v>
      </c>
      <c r="Q574" t="s">
        <v>49</v>
      </c>
      <c r="S574" t="str">
        <f>_xlfn.XLOOKUP(UNIVERSO[[#This Row],[Ruta]],'[1]CUOTA RUTA'!A:A,'[1]CUOTA RUTA'!D:D)</f>
        <v>Cargar</v>
      </c>
    </row>
    <row r="575" spans="1:19" x14ac:dyDescent="0.25">
      <c r="A575">
        <v>1500003800</v>
      </c>
      <c r="B575" t="s">
        <v>1385</v>
      </c>
      <c r="C575" t="s">
        <v>19</v>
      </c>
      <c r="D575" t="s">
        <v>32</v>
      </c>
      <c r="E575" t="s">
        <v>21</v>
      </c>
      <c r="F575" t="s">
        <v>22</v>
      </c>
      <c r="G575" t="s">
        <v>64</v>
      </c>
      <c r="H575" t="s">
        <v>89</v>
      </c>
      <c r="I575" t="s">
        <v>1386</v>
      </c>
      <c r="J575">
        <v>9.9088689999999993</v>
      </c>
      <c r="K575">
        <v>-84.078733999999997</v>
      </c>
      <c r="L575" t="s">
        <v>1225</v>
      </c>
      <c r="M575" t="s">
        <v>71</v>
      </c>
      <c r="N575" t="s">
        <v>72</v>
      </c>
      <c r="O575" t="s">
        <v>73</v>
      </c>
      <c r="P575">
        <v>6</v>
      </c>
      <c r="Q575" t="s">
        <v>49</v>
      </c>
      <c r="S575" t="str">
        <f>_xlfn.XLOOKUP(UNIVERSO[[#This Row],[Ruta]],'[1]CUOTA RUTA'!A:A,'[1]CUOTA RUTA'!D:D)</f>
        <v>Cargar</v>
      </c>
    </row>
    <row r="576" spans="1:19" x14ac:dyDescent="0.25">
      <c r="A576">
        <v>1500003828</v>
      </c>
      <c r="B576" t="s">
        <v>1387</v>
      </c>
      <c r="C576" t="s">
        <v>19</v>
      </c>
      <c r="D576" t="s">
        <v>32</v>
      </c>
      <c r="E576" t="s">
        <v>21</v>
      </c>
      <c r="F576" t="s">
        <v>22</v>
      </c>
      <c r="G576" t="s">
        <v>64</v>
      </c>
      <c r="H576" t="s">
        <v>89</v>
      </c>
      <c r="I576" t="s">
        <v>1388</v>
      </c>
      <c r="J576">
        <v>9.9160590000000006</v>
      </c>
      <c r="K576">
        <v>-84.082352999999998</v>
      </c>
      <c r="L576" t="s">
        <v>1225</v>
      </c>
      <c r="M576" t="s">
        <v>71</v>
      </c>
      <c r="N576" t="s">
        <v>72</v>
      </c>
      <c r="O576" t="s">
        <v>73</v>
      </c>
      <c r="P576">
        <v>3</v>
      </c>
      <c r="Q576" t="s">
        <v>101</v>
      </c>
      <c r="S576" t="str">
        <f>_xlfn.XLOOKUP(UNIVERSO[[#This Row],[Ruta]],'[1]CUOTA RUTA'!A:A,'[1]CUOTA RUTA'!D:D)</f>
        <v>Cargar</v>
      </c>
    </row>
    <row r="577" spans="1:19" x14ac:dyDescent="0.25">
      <c r="A577">
        <v>1500003936</v>
      </c>
      <c r="B577" t="s">
        <v>1389</v>
      </c>
      <c r="C577" t="s">
        <v>19</v>
      </c>
      <c r="D577" t="s">
        <v>32</v>
      </c>
      <c r="E577" t="s">
        <v>21</v>
      </c>
      <c r="F577" t="s">
        <v>22</v>
      </c>
      <c r="G577" t="s">
        <v>64</v>
      </c>
      <c r="H577" t="s">
        <v>76</v>
      </c>
      <c r="I577" t="s">
        <v>1390</v>
      </c>
      <c r="J577">
        <v>9.9606399999999997</v>
      </c>
      <c r="K577">
        <v>-84.009</v>
      </c>
      <c r="L577" t="s">
        <v>1225</v>
      </c>
      <c r="M577" t="s">
        <v>36</v>
      </c>
      <c r="N577" t="s">
        <v>37</v>
      </c>
      <c r="O577" t="s">
        <v>38</v>
      </c>
      <c r="P577">
        <v>20</v>
      </c>
      <c r="Q577" t="s">
        <v>74</v>
      </c>
      <c r="S577" t="str">
        <f>_xlfn.XLOOKUP(UNIVERSO[[#This Row],[Ruta]],'[1]CUOTA RUTA'!A:A,'[1]CUOTA RUTA'!D:D)</f>
        <v>Cargar</v>
      </c>
    </row>
    <row r="578" spans="1:19" x14ac:dyDescent="0.25">
      <c r="A578">
        <v>1500003987</v>
      </c>
      <c r="B578" t="s">
        <v>972</v>
      </c>
      <c r="C578" t="s">
        <v>19</v>
      </c>
      <c r="D578" t="s">
        <v>32</v>
      </c>
      <c r="E578" t="s">
        <v>21</v>
      </c>
      <c r="F578" t="s">
        <v>22</v>
      </c>
      <c r="G578" t="s">
        <v>33</v>
      </c>
      <c r="H578" t="s">
        <v>69</v>
      </c>
      <c r="I578" t="s">
        <v>1391</v>
      </c>
      <c r="J578">
        <v>9.8665149999999997</v>
      </c>
      <c r="K578">
        <v>-84.038073333330004</v>
      </c>
      <c r="L578" t="s">
        <v>1225</v>
      </c>
      <c r="M578" t="s">
        <v>71</v>
      </c>
      <c r="N578" t="s">
        <v>72</v>
      </c>
      <c r="O578" t="s">
        <v>73</v>
      </c>
      <c r="P578">
        <v>21</v>
      </c>
      <c r="Q578" t="s">
        <v>239</v>
      </c>
      <c r="S578" t="str">
        <f>_xlfn.XLOOKUP(UNIVERSO[[#This Row],[Ruta]],'[1]CUOTA RUTA'!A:A,'[1]CUOTA RUTA'!D:D)</f>
        <v>Cargar</v>
      </c>
    </row>
    <row r="579" spans="1:19" x14ac:dyDescent="0.25">
      <c r="A579">
        <v>1500004034</v>
      </c>
      <c r="B579" t="s">
        <v>1392</v>
      </c>
      <c r="C579" t="s">
        <v>19</v>
      </c>
      <c r="D579" t="s">
        <v>32</v>
      </c>
      <c r="E579" t="s">
        <v>21</v>
      </c>
      <c r="F579" t="s">
        <v>22</v>
      </c>
      <c r="G579" t="s">
        <v>23</v>
      </c>
      <c r="H579" t="s">
        <v>698</v>
      </c>
      <c r="I579" t="s">
        <v>1393</v>
      </c>
      <c r="J579">
        <v>9.95852</v>
      </c>
      <c r="K579">
        <v>-84.041499999999999</v>
      </c>
      <c r="L579" t="s">
        <v>1225</v>
      </c>
      <c r="M579" t="s">
        <v>94</v>
      </c>
      <c r="N579" t="s">
        <v>95</v>
      </c>
      <c r="O579" t="s">
        <v>96</v>
      </c>
      <c r="P579">
        <v>7</v>
      </c>
      <c r="Q579" t="s">
        <v>39</v>
      </c>
      <c r="S579" t="str">
        <f>_xlfn.XLOOKUP(UNIVERSO[[#This Row],[Ruta]],'[1]CUOTA RUTA'!A:A,'[1]CUOTA RUTA'!D:D)</f>
        <v>Cargar</v>
      </c>
    </row>
    <row r="580" spans="1:19" x14ac:dyDescent="0.25">
      <c r="A580">
        <v>1500004067</v>
      </c>
      <c r="B580" t="s">
        <v>1394</v>
      </c>
      <c r="C580" t="s">
        <v>19</v>
      </c>
      <c r="D580" t="s">
        <v>32</v>
      </c>
      <c r="E580" t="s">
        <v>21</v>
      </c>
      <c r="F580" t="s">
        <v>22</v>
      </c>
      <c r="G580" t="s">
        <v>33</v>
      </c>
      <c r="H580" t="s">
        <v>138</v>
      </c>
      <c r="I580" t="s">
        <v>1395</v>
      </c>
      <c r="J580">
        <v>9.9615922000000001</v>
      </c>
      <c r="K580">
        <v>-84.038263999999998</v>
      </c>
      <c r="L580" t="s">
        <v>1225</v>
      </c>
      <c r="M580" t="s">
        <v>36</v>
      </c>
      <c r="N580" t="s">
        <v>37</v>
      </c>
      <c r="O580" t="s">
        <v>38</v>
      </c>
      <c r="P580">
        <v>21</v>
      </c>
      <c r="Q580" t="s">
        <v>239</v>
      </c>
      <c r="S580" t="str">
        <f>_xlfn.XLOOKUP(UNIVERSO[[#This Row],[Ruta]],'[1]CUOTA RUTA'!A:A,'[1]CUOTA RUTA'!D:D)</f>
        <v>Cargar</v>
      </c>
    </row>
    <row r="581" spans="1:19" x14ac:dyDescent="0.25">
      <c r="A581">
        <v>1500004080</v>
      </c>
      <c r="B581" t="s">
        <v>1396</v>
      </c>
      <c r="C581" t="s">
        <v>19</v>
      </c>
      <c r="D581" t="s">
        <v>32</v>
      </c>
      <c r="E581" t="s">
        <v>21</v>
      </c>
      <c r="F581" t="s">
        <v>22</v>
      </c>
      <c r="G581" t="s">
        <v>64</v>
      </c>
      <c r="H581" t="s">
        <v>92</v>
      </c>
      <c r="I581" t="s">
        <v>1397</v>
      </c>
      <c r="J581">
        <v>9.9653290000000005</v>
      </c>
      <c r="K581">
        <v>-84.032355999999993</v>
      </c>
      <c r="L581" t="s">
        <v>1225</v>
      </c>
      <c r="M581" t="s">
        <v>94</v>
      </c>
      <c r="N581" t="s">
        <v>95</v>
      </c>
      <c r="O581" t="s">
        <v>96</v>
      </c>
      <c r="P581">
        <v>8</v>
      </c>
      <c r="Q581" t="s">
        <v>97</v>
      </c>
      <c r="S581" t="str">
        <f>_xlfn.XLOOKUP(UNIVERSO[[#This Row],[Ruta]],'[1]CUOTA RUTA'!A:A,'[1]CUOTA RUTA'!D:D)</f>
        <v>Cargar</v>
      </c>
    </row>
    <row r="582" spans="1:19" x14ac:dyDescent="0.25">
      <c r="A582">
        <v>1500004510</v>
      </c>
      <c r="B582" t="s">
        <v>1398</v>
      </c>
      <c r="C582" t="s">
        <v>19</v>
      </c>
      <c r="D582" t="s">
        <v>32</v>
      </c>
      <c r="E582" t="s">
        <v>21</v>
      </c>
      <c r="F582" t="s">
        <v>22</v>
      </c>
      <c r="G582" t="s">
        <v>64</v>
      </c>
      <c r="H582" t="s">
        <v>683</v>
      </c>
      <c r="I582" t="s">
        <v>1399</v>
      </c>
      <c r="J582">
        <v>9.927721</v>
      </c>
      <c r="K582">
        <v>-84.097297999999995</v>
      </c>
      <c r="L582" t="s">
        <v>1225</v>
      </c>
      <c r="M582" t="s">
        <v>71</v>
      </c>
      <c r="N582" t="s">
        <v>72</v>
      </c>
      <c r="O582" t="s">
        <v>73</v>
      </c>
      <c r="P582">
        <v>4</v>
      </c>
      <c r="Q582" t="s">
        <v>120</v>
      </c>
      <c r="S582" t="str">
        <f>_xlfn.XLOOKUP(UNIVERSO[[#This Row],[Ruta]],'[1]CUOTA RUTA'!A:A,'[1]CUOTA RUTA'!D:D)</f>
        <v>Cargar</v>
      </c>
    </row>
    <row r="583" spans="1:19" x14ac:dyDescent="0.25">
      <c r="A583">
        <v>1500004529</v>
      </c>
      <c r="B583" t="s">
        <v>1400</v>
      </c>
      <c r="C583" t="s">
        <v>19</v>
      </c>
      <c r="D583" t="s">
        <v>32</v>
      </c>
      <c r="E583" t="s">
        <v>21</v>
      </c>
      <c r="F583" t="s">
        <v>22</v>
      </c>
      <c r="G583" t="s">
        <v>33</v>
      </c>
      <c r="H583" t="s">
        <v>1383</v>
      </c>
      <c r="I583" t="s">
        <v>1401</v>
      </c>
      <c r="J583">
        <v>9.9227849999999993</v>
      </c>
      <c r="K583">
        <v>-84.090416000000005</v>
      </c>
      <c r="L583" t="s">
        <v>1225</v>
      </c>
      <c r="M583" t="s">
        <v>71</v>
      </c>
      <c r="N583" t="s">
        <v>72</v>
      </c>
      <c r="O583" t="s">
        <v>73</v>
      </c>
      <c r="P583">
        <v>3</v>
      </c>
      <c r="Q583" t="s">
        <v>101</v>
      </c>
      <c r="S583" t="str">
        <f>_xlfn.XLOOKUP(UNIVERSO[[#This Row],[Ruta]],'[1]CUOTA RUTA'!A:A,'[1]CUOTA RUTA'!D:D)</f>
        <v>Cargar</v>
      </c>
    </row>
    <row r="584" spans="1:19" x14ac:dyDescent="0.25">
      <c r="A584">
        <v>1500004546</v>
      </c>
      <c r="B584" t="s">
        <v>1402</v>
      </c>
      <c r="C584" t="s">
        <v>19</v>
      </c>
      <c r="D584" t="s">
        <v>32</v>
      </c>
      <c r="E584" t="s">
        <v>21</v>
      </c>
      <c r="F584" t="s">
        <v>22</v>
      </c>
      <c r="G584" t="s">
        <v>33</v>
      </c>
      <c r="H584" t="s">
        <v>1383</v>
      </c>
      <c r="I584" t="s">
        <v>1403</v>
      </c>
      <c r="J584">
        <v>9.9236769999999996</v>
      </c>
      <c r="K584">
        <v>-84.092033000000001</v>
      </c>
      <c r="L584" t="s">
        <v>1225</v>
      </c>
      <c r="M584" t="s">
        <v>71</v>
      </c>
      <c r="N584" t="s">
        <v>72</v>
      </c>
      <c r="O584" t="s">
        <v>73</v>
      </c>
      <c r="P584">
        <v>3</v>
      </c>
      <c r="Q584" t="s">
        <v>101</v>
      </c>
      <c r="S584" t="str">
        <f>_xlfn.XLOOKUP(UNIVERSO[[#This Row],[Ruta]],'[1]CUOTA RUTA'!A:A,'[1]CUOTA RUTA'!D:D)</f>
        <v>Cargar</v>
      </c>
    </row>
    <row r="585" spans="1:19" x14ac:dyDescent="0.25">
      <c r="A585">
        <v>1500004550</v>
      </c>
      <c r="B585" t="s">
        <v>1404</v>
      </c>
      <c r="C585" t="s">
        <v>19</v>
      </c>
      <c r="D585" t="s">
        <v>32</v>
      </c>
      <c r="E585" t="s">
        <v>21</v>
      </c>
      <c r="F585" t="s">
        <v>22</v>
      </c>
      <c r="G585" t="s">
        <v>64</v>
      </c>
      <c r="H585" t="s">
        <v>1383</v>
      </c>
      <c r="I585" t="s">
        <v>1405</v>
      </c>
      <c r="J585">
        <v>9.9232230000000001</v>
      </c>
      <c r="K585">
        <v>-84.093259000000003</v>
      </c>
      <c r="L585" t="s">
        <v>1225</v>
      </c>
      <c r="M585" t="s">
        <v>71</v>
      </c>
      <c r="N585" t="s">
        <v>72</v>
      </c>
      <c r="O585" t="s">
        <v>73</v>
      </c>
      <c r="P585">
        <v>4</v>
      </c>
      <c r="Q585" t="s">
        <v>120</v>
      </c>
      <c r="S585" t="str">
        <f>_xlfn.XLOOKUP(UNIVERSO[[#This Row],[Ruta]],'[1]CUOTA RUTA'!A:A,'[1]CUOTA RUTA'!D:D)</f>
        <v>Cargar</v>
      </c>
    </row>
    <row r="586" spans="1:19" x14ac:dyDescent="0.25">
      <c r="A586">
        <v>1500004561</v>
      </c>
      <c r="B586" t="s">
        <v>1406</v>
      </c>
      <c r="C586" t="s">
        <v>19</v>
      </c>
      <c r="D586" t="s">
        <v>32</v>
      </c>
      <c r="E586" t="s">
        <v>21</v>
      </c>
      <c r="F586" t="s">
        <v>22</v>
      </c>
      <c r="G586" t="s">
        <v>33</v>
      </c>
      <c r="H586" t="s">
        <v>103</v>
      </c>
      <c r="I586" t="s">
        <v>1407</v>
      </c>
      <c r="J586">
        <v>9.9237929999999999</v>
      </c>
      <c r="K586">
        <v>-84.091983999999997</v>
      </c>
      <c r="L586" t="s">
        <v>1225</v>
      </c>
      <c r="M586" t="s">
        <v>71</v>
      </c>
      <c r="N586" t="s">
        <v>72</v>
      </c>
      <c r="O586" t="s">
        <v>73</v>
      </c>
      <c r="P586">
        <v>3</v>
      </c>
      <c r="Q586" t="s">
        <v>101</v>
      </c>
      <c r="S586" t="str">
        <f>_xlfn.XLOOKUP(UNIVERSO[[#This Row],[Ruta]],'[1]CUOTA RUTA'!A:A,'[1]CUOTA RUTA'!D:D)</f>
        <v>Cargar</v>
      </c>
    </row>
    <row r="587" spans="1:19" x14ac:dyDescent="0.25">
      <c r="A587">
        <v>1500004629</v>
      </c>
      <c r="B587" t="s">
        <v>1408</v>
      </c>
      <c r="C587" t="s">
        <v>19</v>
      </c>
      <c r="D587" t="s">
        <v>32</v>
      </c>
      <c r="E587" t="s">
        <v>21</v>
      </c>
      <c r="F587" t="s">
        <v>22</v>
      </c>
      <c r="G587" t="s">
        <v>33</v>
      </c>
      <c r="H587" t="s">
        <v>106</v>
      </c>
      <c r="I587" t="s">
        <v>1409</v>
      </c>
      <c r="J587">
        <v>9.9263279999999998</v>
      </c>
      <c r="K587">
        <v>-84.112831</v>
      </c>
      <c r="L587" t="s">
        <v>1225</v>
      </c>
      <c r="M587" t="s">
        <v>71</v>
      </c>
      <c r="N587" t="s">
        <v>72</v>
      </c>
      <c r="O587" t="s">
        <v>73</v>
      </c>
      <c r="P587">
        <v>12</v>
      </c>
      <c r="Q587" t="s">
        <v>42</v>
      </c>
      <c r="S587" t="str">
        <f>_xlfn.XLOOKUP(UNIVERSO[[#This Row],[Ruta]],'[1]CUOTA RUTA'!A:A,'[1]CUOTA RUTA'!D:D)</f>
        <v>Cargar</v>
      </c>
    </row>
    <row r="588" spans="1:19" x14ac:dyDescent="0.25">
      <c r="A588">
        <v>1500004808</v>
      </c>
      <c r="B588" t="s">
        <v>1410</v>
      </c>
      <c r="C588" t="s">
        <v>19</v>
      </c>
      <c r="D588" t="s">
        <v>32</v>
      </c>
      <c r="E588" t="s">
        <v>21</v>
      </c>
      <c r="F588" t="s">
        <v>22</v>
      </c>
      <c r="G588" t="s">
        <v>33</v>
      </c>
      <c r="H588" t="s">
        <v>106</v>
      </c>
      <c r="I588" t="s">
        <v>1411</v>
      </c>
      <c r="J588">
        <v>9.9179390000000005</v>
      </c>
      <c r="K588">
        <v>-84.102058</v>
      </c>
      <c r="L588" t="s">
        <v>1225</v>
      </c>
      <c r="M588" t="s">
        <v>71</v>
      </c>
      <c r="N588" t="s">
        <v>72</v>
      </c>
      <c r="O588" t="s">
        <v>73</v>
      </c>
      <c r="P588">
        <v>10</v>
      </c>
      <c r="Q588" t="s">
        <v>136</v>
      </c>
      <c r="S588" t="str">
        <f>_xlfn.XLOOKUP(UNIVERSO[[#This Row],[Ruta]],'[1]CUOTA RUTA'!A:A,'[1]CUOTA RUTA'!D:D)</f>
        <v>Cargar</v>
      </c>
    </row>
    <row r="589" spans="1:19" x14ac:dyDescent="0.25">
      <c r="A589">
        <v>1500005200</v>
      </c>
      <c r="B589" t="s">
        <v>1412</v>
      </c>
      <c r="C589" t="s">
        <v>19</v>
      </c>
      <c r="D589" t="s">
        <v>32</v>
      </c>
      <c r="E589" t="s">
        <v>21</v>
      </c>
      <c r="F589" t="s">
        <v>22</v>
      </c>
      <c r="G589" t="s">
        <v>64</v>
      </c>
      <c r="H589" t="s">
        <v>115</v>
      </c>
      <c r="I589" t="s">
        <v>1413</v>
      </c>
      <c r="J589">
        <v>9.9474990000000005</v>
      </c>
      <c r="K589">
        <v>-84.087204</v>
      </c>
      <c r="L589" t="s">
        <v>1225</v>
      </c>
      <c r="M589" t="s">
        <v>36</v>
      </c>
      <c r="N589" t="s">
        <v>37</v>
      </c>
      <c r="O589" t="s">
        <v>38</v>
      </c>
      <c r="P589">
        <v>5</v>
      </c>
      <c r="Q589" t="s">
        <v>117</v>
      </c>
      <c r="S589" t="str">
        <f>_xlfn.XLOOKUP(UNIVERSO[[#This Row],[Ruta]],'[1]CUOTA RUTA'!A:A,'[1]CUOTA RUTA'!D:D)</f>
        <v>Cargar</v>
      </c>
    </row>
    <row r="590" spans="1:19" x14ac:dyDescent="0.25">
      <c r="A590">
        <v>1500005385</v>
      </c>
      <c r="B590" t="s">
        <v>1414</v>
      </c>
      <c r="C590" t="s">
        <v>19</v>
      </c>
      <c r="D590" t="s">
        <v>20</v>
      </c>
      <c r="E590" t="s">
        <v>21</v>
      </c>
      <c r="F590" t="s">
        <v>22</v>
      </c>
      <c r="G590" t="s">
        <v>23</v>
      </c>
      <c r="H590" t="s">
        <v>24</v>
      </c>
      <c r="I590" t="s">
        <v>1415</v>
      </c>
      <c r="J590">
        <v>9.9586930000000002</v>
      </c>
      <c r="K590">
        <v>-84.120717999999997</v>
      </c>
      <c r="L590" t="s">
        <v>1225</v>
      </c>
      <c r="M590" t="s">
        <v>27</v>
      </c>
      <c r="N590" t="s">
        <v>28</v>
      </c>
      <c r="O590" t="s">
        <v>29</v>
      </c>
      <c r="P590">
        <v>8</v>
      </c>
      <c r="Q590" t="s">
        <v>97</v>
      </c>
      <c r="S590" t="str">
        <f>_xlfn.XLOOKUP(UNIVERSO[[#This Row],[Ruta]],'[1]CUOTA RUTA'!A:A,'[1]CUOTA RUTA'!D:D)</f>
        <v>Cargar</v>
      </c>
    </row>
    <row r="591" spans="1:19" x14ac:dyDescent="0.25">
      <c r="A591">
        <v>1500005425</v>
      </c>
      <c r="B591" t="s">
        <v>1416</v>
      </c>
      <c r="C591" t="s">
        <v>19</v>
      </c>
      <c r="D591" t="s">
        <v>32</v>
      </c>
      <c r="E591" t="s">
        <v>21</v>
      </c>
      <c r="F591" t="s">
        <v>22</v>
      </c>
      <c r="G591" t="s">
        <v>33</v>
      </c>
      <c r="H591" t="s">
        <v>89</v>
      </c>
      <c r="I591" t="s">
        <v>1417</v>
      </c>
      <c r="J591">
        <v>9.8863690000000002</v>
      </c>
      <c r="K591">
        <v>-84.077431000000004</v>
      </c>
      <c r="L591" t="s">
        <v>1225</v>
      </c>
      <c r="M591" t="s">
        <v>71</v>
      </c>
      <c r="N591" t="s">
        <v>72</v>
      </c>
      <c r="O591" t="s">
        <v>73</v>
      </c>
      <c r="P591">
        <v>7</v>
      </c>
      <c r="Q591" t="s">
        <v>39</v>
      </c>
      <c r="S591" t="str">
        <f>_xlfn.XLOOKUP(UNIVERSO[[#This Row],[Ruta]],'[1]CUOTA RUTA'!A:A,'[1]CUOTA RUTA'!D:D)</f>
        <v>Cargar</v>
      </c>
    </row>
    <row r="592" spans="1:19" x14ac:dyDescent="0.25">
      <c r="A592">
        <v>1500005457</v>
      </c>
      <c r="B592" t="s">
        <v>1418</v>
      </c>
      <c r="C592" t="s">
        <v>19</v>
      </c>
      <c r="D592" t="s">
        <v>32</v>
      </c>
      <c r="E592" t="s">
        <v>21</v>
      </c>
      <c r="F592" t="s">
        <v>22</v>
      </c>
      <c r="G592" t="s">
        <v>33</v>
      </c>
      <c r="H592" t="s">
        <v>127</v>
      </c>
      <c r="I592" t="s">
        <v>1419</v>
      </c>
      <c r="J592">
        <v>9.8441866666669995</v>
      </c>
      <c r="K592">
        <v>-84.087273333330003</v>
      </c>
      <c r="L592" t="s">
        <v>1225</v>
      </c>
      <c r="M592" t="s">
        <v>54</v>
      </c>
      <c r="N592" t="s">
        <v>129</v>
      </c>
      <c r="O592" t="s">
        <v>130</v>
      </c>
      <c r="P592">
        <v>23</v>
      </c>
      <c r="Q592" t="s">
        <v>125</v>
      </c>
      <c r="S592" t="str">
        <f>_xlfn.XLOOKUP(UNIVERSO[[#This Row],[Ruta]],'[1]CUOTA RUTA'!A:A,'[1]CUOTA RUTA'!D:D)</f>
        <v>Cargar</v>
      </c>
    </row>
    <row r="593" spans="1:19" x14ac:dyDescent="0.25">
      <c r="A593">
        <v>1500005476</v>
      </c>
      <c r="B593" t="s">
        <v>1420</v>
      </c>
      <c r="C593" t="s">
        <v>19</v>
      </c>
      <c r="D593" t="s">
        <v>32</v>
      </c>
      <c r="E593" t="s">
        <v>21</v>
      </c>
      <c r="F593" t="s">
        <v>22</v>
      </c>
      <c r="G593" t="s">
        <v>64</v>
      </c>
      <c r="H593" t="s">
        <v>425</v>
      </c>
      <c r="I593" t="s">
        <v>1421</v>
      </c>
      <c r="J593">
        <v>9.8631434999999996</v>
      </c>
      <c r="K593">
        <v>-84.084287700000004</v>
      </c>
      <c r="L593" t="s">
        <v>1225</v>
      </c>
      <c r="M593" t="s">
        <v>71</v>
      </c>
      <c r="N593" t="s">
        <v>72</v>
      </c>
      <c r="O593" t="s">
        <v>73</v>
      </c>
      <c r="P593">
        <v>15</v>
      </c>
      <c r="Q593" t="s">
        <v>231</v>
      </c>
      <c r="S593" t="str">
        <f>_xlfn.XLOOKUP(UNIVERSO[[#This Row],[Ruta]],'[1]CUOTA RUTA'!A:A,'[1]CUOTA RUTA'!D:D)</f>
        <v>Cargar</v>
      </c>
    </row>
    <row r="594" spans="1:19" x14ac:dyDescent="0.25">
      <c r="A594">
        <v>1500005526</v>
      </c>
      <c r="B594" t="s">
        <v>1422</v>
      </c>
      <c r="C594" t="s">
        <v>19</v>
      </c>
      <c r="D594" t="s">
        <v>32</v>
      </c>
      <c r="E594" t="s">
        <v>62</v>
      </c>
      <c r="F594" t="s">
        <v>63</v>
      </c>
      <c r="G594" t="s">
        <v>33</v>
      </c>
      <c r="H594" t="s">
        <v>425</v>
      </c>
      <c r="I594" t="s">
        <v>1423</v>
      </c>
      <c r="J594">
        <v>9.8643199999999993</v>
      </c>
      <c r="K594">
        <v>-84.090599999999995</v>
      </c>
      <c r="L594" t="s">
        <v>1225</v>
      </c>
      <c r="M594" t="s">
        <v>71</v>
      </c>
      <c r="N594" t="s">
        <v>72</v>
      </c>
      <c r="O594" t="s">
        <v>73</v>
      </c>
      <c r="P594">
        <v>15</v>
      </c>
      <c r="Q594" t="s">
        <v>231</v>
      </c>
      <c r="S594" t="str">
        <f>_xlfn.XLOOKUP(UNIVERSO[[#This Row],[Ruta]],'[1]CUOTA RUTA'!A:A,'[1]CUOTA RUTA'!D:D)</f>
        <v>Cargar</v>
      </c>
    </row>
    <row r="595" spans="1:19" x14ac:dyDescent="0.25">
      <c r="A595">
        <v>1500005568</v>
      </c>
      <c r="B595" t="s">
        <v>1424</v>
      </c>
      <c r="C595" t="s">
        <v>19</v>
      </c>
      <c r="D595" t="s">
        <v>32</v>
      </c>
      <c r="E595" t="s">
        <v>21</v>
      </c>
      <c r="F595" t="s">
        <v>22</v>
      </c>
      <c r="G595" t="s">
        <v>64</v>
      </c>
      <c r="H595" t="s">
        <v>425</v>
      </c>
      <c r="I595" t="s">
        <v>1425</v>
      </c>
      <c r="J595">
        <v>9.8572100000000002</v>
      </c>
      <c r="K595">
        <v>-84.093177999999995</v>
      </c>
      <c r="L595" t="s">
        <v>1225</v>
      </c>
      <c r="M595" t="s">
        <v>71</v>
      </c>
      <c r="N595" t="s">
        <v>72</v>
      </c>
      <c r="O595" t="s">
        <v>73</v>
      </c>
      <c r="P595">
        <v>15</v>
      </c>
      <c r="Q595" t="s">
        <v>231</v>
      </c>
      <c r="S595" t="str">
        <f>_xlfn.XLOOKUP(UNIVERSO[[#This Row],[Ruta]],'[1]CUOTA RUTA'!A:A,'[1]CUOTA RUTA'!D:D)</f>
        <v>Cargar</v>
      </c>
    </row>
    <row r="596" spans="1:19" x14ac:dyDescent="0.25">
      <c r="A596">
        <v>1500005603</v>
      </c>
      <c r="B596" t="s">
        <v>1426</v>
      </c>
      <c r="C596" t="s">
        <v>19</v>
      </c>
      <c r="D596" t="s">
        <v>32</v>
      </c>
      <c r="E596" t="s">
        <v>21</v>
      </c>
      <c r="F596" t="s">
        <v>22</v>
      </c>
      <c r="G596" t="s">
        <v>64</v>
      </c>
      <c r="H596" t="s">
        <v>1383</v>
      </c>
      <c r="I596" t="s">
        <v>1427</v>
      </c>
      <c r="J596">
        <v>9.9153540000000007</v>
      </c>
      <c r="K596">
        <v>-84.086443000000003</v>
      </c>
      <c r="L596" t="s">
        <v>1225</v>
      </c>
      <c r="M596" t="s">
        <v>71</v>
      </c>
      <c r="N596" t="s">
        <v>72</v>
      </c>
      <c r="O596" t="s">
        <v>73</v>
      </c>
      <c r="P596">
        <v>3</v>
      </c>
      <c r="Q596" t="s">
        <v>101</v>
      </c>
      <c r="S596" t="str">
        <f>_xlfn.XLOOKUP(UNIVERSO[[#This Row],[Ruta]],'[1]CUOTA RUTA'!A:A,'[1]CUOTA RUTA'!D:D)</f>
        <v>Cargar</v>
      </c>
    </row>
    <row r="597" spans="1:19" x14ac:dyDescent="0.25">
      <c r="A597">
        <v>1500005636</v>
      </c>
      <c r="B597" t="s">
        <v>1428</v>
      </c>
      <c r="C597" t="s">
        <v>19</v>
      </c>
      <c r="D597" t="s">
        <v>32</v>
      </c>
      <c r="E597" t="s">
        <v>21</v>
      </c>
      <c r="F597" t="s">
        <v>22</v>
      </c>
      <c r="G597" t="s">
        <v>64</v>
      </c>
      <c r="H597" t="s">
        <v>1383</v>
      </c>
      <c r="I597" t="s">
        <v>1429</v>
      </c>
      <c r="J597">
        <v>9.9121799999999993</v>
      </c>
      <c r="K597">
        <v>-84.091671000000005</v>
      </c>
      <c r="L597" t="s">
        <v>1225</v>
      </c>
      <c r="M597" t="s">
        <v>71</v>
      </c>
      <c r="N597" t="s">
        <v>72</v>
      </c>
      <c r="O597" t="s">
        <v>73</v>
      </c>
      <c r="P597">
        <v>9</v>
      </c>
      <c r="Q597" t="s">
        <v>80</v>
      </c>
      <c r="S597" t="str">
        <f>_xlfn.XLOOKUP(UNIVERSO[[#This Row],[Ruta]],'[1]CUOTA RUTA'!A:A,'[1]CUOTA RUTA'!D:D)</f>
        <v>Cargar</v>
      </c>
    </row>
    <row r="598" spans="1:19" x14ac:dyDescent="0.25">
      <c r="A598">
        <v>1500005667</v>
      </c>
      <c r="B598" t="s">
        <v>1430</v>
      </c>
      <c r="C598" t="s">
        <v>19</v>
      </c>
      <c r="D598" t="s">
        <v>32</v>
      </c>
      <c r="E598" t="s">
        <v>21</v>
      </c>
      <c r="F598" t="s">
        <v>22</v>
      </c>
      <c r="G598" t="s">
        <v>23</v>
      </c>
      <c r="H598" t="s">
        <v>86</v>
      </c>
      <c r="I598" t="s">
        <v>1431</v>
      </c>
      <c r="J598">
        <v>9.9181249999999999</v>
      </c>
      <c r="K598">
        <v>-84.087798000000006</v>
      </c>
      <c r="L598" t="s">
        <v>1225</v>
      </c>
      <c r="M598" t="s">
        <v>71</v>
      </c>
      <c r="N598" t="s">
        <v>72</v>
      </c>
      <c r="O598" t="s">
        <v>73</v>
      </c>
      <c r="P598">
        <v>4</v>
      </c>
      <c r="Q598" t="s">
        <v>120</v>
      </c>
      <c r="S598" t="str">
        <f>_xlfn.XLOOKUP(UNIVERSO[[#This Row],[Ruta]],'[1]CUOTA RUTA'!A:A,'[1]CUOTA RUTA'!D:D)</f>
        <v>Cargar</v>
      </c>
    </row>
    <row r="599" spans="1:19" x14ac:dyDescent="0.25">
      <c r="A599">
        <v>1500005684</v>
      </c>
      <c r="B599" t="s">
        <v>1432</v>
      </c>
      <c r="C599" t="s">
        <v>19</v>
      </c>
      <c r="D599" t="s">
        <v>32</v>
      </c>
      <c r="E599" t="s">
        <v>21</v>
      </c>
      <c r="F599" t="s">
        <v>51</v>
      </c>
      <c r="G599" t="s">
        <v>23</v>
      </c>
      <c r="H599" t="s">
        <v>86</v>
      </c>
      <c r="I599" t="s">
        <v>1433</v>
      </c>
      <c r="J599">
        <v>9.9185990000000004</v>
      </c>
      <c r="K599">
        <v>-84.092930999999993</v>
      </c>
      <c r="L599" t="s">
        <v>1225</v>
      </c>
      <c r="M599" t="s">
        <v>71</v>
      </c>
      <c r="N599" t="s">
        <v>72</v>
      </c>
      <c r="O599" t="s">
        <v>73</v>
      </c>
      <c r="P599">
        <v>4</v>
      </c>
      <c r="Q599" t="s">
        <v>120</v>
      </c>
      <c r="S599" t="str">
        <f>_xlfn.XLOOKUP(UNIVERSO[[#This Row],[Ruta]],'[1]CUOTA RUTA'!A:A,'[1]CUOTA RUTA'!D:D)</f>
        <v>Cargar</v>
      </c>
    </row>
    <row r="600" spans="1:19" x14ac:dyDescent="0.25">
      <c r="A600">
        <v>1500005691</v>
      </c>
      <c r="B600" t="s">
        <v>1434</v>
      </c>
      <c r="C600" t="s">
        <v>19</v>
      </c>
      <c r="D600" t="s">
        <v>32</v>
      </c>
      <c r="E600" t="s">
        <v>21</v>
      </c>
      <c r="F600" t="s">
        <v>22</v>
      </c>
      <c r="G600" t="s">
        <v>64</v>
      </c>
      <c r="H600" t="s">
        <v>82</v>
      </c>
      <c r="I600" t="s">
        <v>1435</v>
      </c>
      <c r="J600">
        <v>9.9039940000000009</v>
      </c>
      <c r="K600">
        <v>-84.076472999999993</v>
      </c>
      <c r="L600" t="s">
        <v>1225</v>
      </c>
      <c r="M600" t="s">
        <v>71</v>
      </c>
      <c r="N600" t="s">
        <v>72</v>
      </c>
      <c r="O600" t="s">
        <v>73</v>
      </c>
      <c r="P600">
        <v>7</v>
      </c>
      <c r="Q600" t="s">
        <v>39</v>
      </c>
      <c r="S600" t="str">
        <f>_xlfn.XLOOKUP(UNIVERSO[[#This Row],[Ruta]],'[1]CUOTA RUTA'!A:A,'[1]CUOTA RUTA'!D:D)</f>
        <v>Cargar</v>
      </c>
    </row>
    <row r="601" spans="1:19" x14ac:dyDescent="0.25">
      <c r="A601">
        <v>1500005697</v>
      </c>
      <c r="B601" t="s">
        <v>424</v>
      </c>
      <c r="C601" t="s">
        <v>19</v>
      </c>
      <c r="D601" t="s">
        <v>32</v>
      </c>
      <c r="E601" t="s">
        <v>21</v>
      </c>
      <c r="F601" t="s">
        <v>22</v>
      </c>
      <c r="G601" t="s">
        <v>64</v>
      </c>
      <c r="H601" t="s">
        <v>1383</v>
      </c>
      <c r="I601" t="s">
        <v>1436</v>
      </c>
      <c r="J601">
        <v>9.9172100000000007</v>
      </c>
      <c r="K601">
        <v>-84.093800000000002</v>
      </c>
      <c r="L601" t="s">
        <v>1225</v>
      </c>
      <c r="M601" t="s">
        <v>71</v>
      </c>
      <c r="N601" t="s">
        <v>72</v>
      </c>
      <c r="O601" t="s">
        <v>73</v>
      </c>
      <c r="P601">
        <v>3</v>
      </c>
      <c r="Q601" t="s">
        <v>101</v>
      </c>
      <c r="S601" t="str">
        <f>_xlfn.XLOOKUP(UNIVERSO[[#This Row],[Ruta]],'[1]CUOTA RUTA'!A:A,'[1]CUOTA RUTA'!D:D)</f>
        <v>Cargar</v>
      </c>
    </row>
    <row r="602" spans="1:19" x14ac:dyDescent="0.25">
      <c r="A602">
        <v>1500005818</v>
      </c>
      <c r="B602" t="s">
        <v>1437</v>
      </c>
      <c r="C602" t="s">
        <v>19</v>
      </c>
      <c r="D602" t="s">
        <v>32</v>
      </c>
      <c r="E602" t="s">
        <v>21</v>
      </c>
      <c r="F602" t="s">
        <v>22</v>
      </c>
      <c r="G602" t="s">
        <v>33</v>
      </c>
      <c r="H602" t="s">
        <v>89</v>
      </c>
      <c r="I602" t="s">
        <v>1438</v>
      </c>
      <c r="J602">
        <v>9.8838679999999997</v>
      </c>
      <c r="K602">
        <v>-84.080444</v>
      </c>
      <c r="L602" t="s">
        <v>1225</v>
      </c>
      <c r="M602" t="s">
        <v>71</v>
      </c>
      <c r="N602" t="s">
        <v>72</v>
      </c>
      <c r="O602" t="s">
        <v>73</v>
      </c>
      <c r="P602">
        <v>16</v>
      </c>
      <c r="Q602" t="s">
        <v>60</v>
      </c>
      <c r="S602" t="str">
        <f>_xlfn.XLOOKUP(UNIVERSO[[#This Row],[Ruta]],'[1]CUOTA RUTA'!A:A,'[1]CUOTA RUTA'!D:D)</f>
        <v>Cargar</v>
      </c>
    </row>
    <row r="603" spans="1:19" x14ac:dyDescent="0.25">
      <c r="A603">
        <v>1500005825</v>
      </c>
      <c r="B603" t="s">
        <v>1439</v>
      </c>
      <c r="C603" t="s">
        <v>19</v>
      </c>
      <c r="D603" t="s">
        <v>32</v>
      </c>
      <c r="E603" t="s">
        <v>21</v>
      </c>
      <c r="F603" t="s">
        <v>22</v>
      </c>
      <c r="G603" t="s">
        <v>64</v>
      </c>
      <c r="H603" t="s">
        <v>89</v>
      </c>
      <c r="I603" t="s">
        <v>1440</v>
      </c>
      <c r="J603">
        <v>9.8850843899999994</v>
      </c>
      <c r="K603">
        <v>-84.087675770000004</v>
      </c>
      <c r="L603" t="s">
        <v>1225</v>
      </c>
      <c r="M603" t="s">
        <v>71</v>
      </c>
      <c r="N603" t="s">
        <v>72</v>
      </c>
      <c r="O603" t="s">
        <v>73</v>
      </c>
      <c r="P603">
        <v>17</v>
      </c>
      <c r="Q603" t="s">
        <v>287</v>
      </c>
      <c r="S603" t="str">
        <f>_xlfn.XLOOKUP(UNIVERSO[[#This Row],[Ruta]],'[1]CUOTA RUTA'!A:A,'[1]CUOTA RUTA'!D:D)</f>
        <v>Cargar</v>
      </c>
    </row>
    <row r="604" spans="1:19" x14ac:dyDescent="0.25">
      <c r="A604">
        <v>1500005849</v>
      </c>
      <c r="B604" t="s">
        <v>1441</v>
      </c>
      <c r="C604" t="s">
        <v>19</v>
      </c>
      <c r="D604" t="s">
        <v>32</v>
      </c>
      <c r="E604" t="s">
        <v>21</v>
      </c>
      <c r="F604" t="s">
        <v>22</v>
      </c>
      <c r="G604" t="s">
        <v>23</v>
      </c>
      <c r="H604" t="s">
        <v>425</v>
      </c>
      <c r="I604" t="s">
        <v>1442</v>
      </c>
      <c r="J604">
        <v>9.8767596999999991</v>
      </c>
      <c r="K604">
        <v>-84.085594830000005</v>
      </c>
      <c r="L604" t="s">
        <v>1225</v>
      </c>
      <c r="M604" t="s">
        <v>71</v>
      </c>
      <c r="N604" t="s">
        <v>72</v>
      </c>
      <c r="O604" t="s">
        <v>73</v>
      </c>
      <c r="P604">
        <v>17</v>
      </c>
      <c r="Q604" t="s">
        <v>287</v>
      </c>
      <c r="S604" t="str">
        <f>_xlfn.XLOOKUP(UNIVERSO[[#This Row],[Ruta]],'[1]CUOTA RUTA'!A:A,'[1]CUOTA RUTA'!D:D)</f>
        <v>Cargar</v>
      </c>
    </row>
    <row r="605" spans="1:19" x14ac:dyDescent="0.25">
      <c r="A605">
        <v>1500005980</v>
      </c>
      <c r="B605" t="s">
        <v>1443</v>
      </c>
      <c r="C605" t="s">
        <v>19</v>
      </c>
      <c r="D605" t="s">
        <v>20</v>
      </c>
      <c r="E605" t="s">
        <v>21</v>
      </c>
      <c r="F605" t="s">
        <v>22</v>
      </c>
      <c r="G605" t="s">
        <v>33</v>
      </c>
      <c r="H605" t="s">
        <v>913</v>
      </c>
      <c r="I605" t="s">
        <v>1444</v>
      </c>
      <c r="J605">
        <v>9.9621300000000002</v>
      </c>
      <c r="K605">
        <v>-84.14658</v>
      </c>
      <c r="L605" t="s">
        <v>1225</v>
      </c>
      <c r="M605" t="s">
        <v>27</v>
      </c>
      <c r="N605" t="s">
        <v>28</v>
      </c>
      <c r="O605" t="s">
        <v>29</v>
      </c>
      <c r="P605">
        <v>2</v>
      </c>
      <c r="Q605" t="s">
        <v>150</v>
      </c>
      <c r="S605" t="str">
        <f>_xlfn.XLOOKUP(UNIVERSO[[#This Row],[Ruta]],'[1]CUOTA RUTA'!A:A,'[1]CUOTA RUTA'!D:D)</f>
        <v>Cargar</v>
      </c>
    </row>
    <row r="606" spans="1:19" x14ac:dyDescent="0.25">
      <c r="A606">
        <v>1500005981</v>
      </c>
      <c r="B606" t="s">
        <v>1445</v>
      </c>
      <c r="C606" t="s">
        <v>19</v>
      </c>
      <c r="D606" t="s">
        <v>32</v>
      </c>
      <c r="E606" t="s">
        <v>21</v>
      </c>
      <c r="F606" t="s">
        <v>22</v>
      </c>
      <c r="G606" t="s">
        <v>33</v>
      </c>
      <c r="H606" t="s">
        <v>82</v>
      </c>
      <c r="I606" t="s">
        <v>1446</v>
      </c>
      <c r="J606">
        <v>9.8962400000000006</v>
      </c>
      <c r="K606">
        <v>-84.072900000000004</v>
      </c>
      <c r="L606" t="s">
        <v>1225</v>
      </c>
      <c r="M606" t="s">
        <v>71</v>
      </c>
      <c r="N606" t="s">
        <v>72</v>
      </c>
      <c r="O606" t="s">
        <v>73</v>
      </c>
      <c r="P606">
        <v>7</v>
      </c>
      <c r="Q606" t="s">
        <v>39</v>
      </c>
      <c r="S606" t="str">
        <f>_xlfn.XLOOKUP(UNIVERSO[[#This Row],[Ruta]],'[1]CUOTA RUTA'!A:A,'[1]CUOTA RUTA'!D:D)</f>
        <v>Cargar</v>
      </c>
    </row>
    <row r="607" spans="1:19" x14ac:dyDescent="0.25">
      <c r="A607">
        <v>1500006022</v>
      </c>
      <c r="B607" t="s">
        <v>1447</v>
      </c>
      <c r="C607" t="s">
        <v>19</v>
      </c>
      <c r="D607" t="s">
        <v>32</v>
      </c>
      <c r="E607" t="s">
        <v>21</v>
      </c>
      <c r="F607" t="s">
        <v>51</v>
      </c>
      <c r="G607" t="s">
        <v>23</v>
      </c>
      <c r="H607" t="s">
        <v>115</v>
      </c>
      <c r="I607" t="s">
        <v>1448</v>
      </c>
      <c r="J607">
        <v>9.9772762000000004</v>
      </c>
      <c r="K607">
        <v>-84.0943963</v>
      </c>
      <c r="L607" t="s">
        <v>1225</v>
      </c>
      <c r="M607" t="s">
        <v>36</v>
      </c>
      <c r="N607" t="s">
        <v>37</v>
      </c>
      <c r="O607" t="s">
        <v>38</v>
      </c>
      <c r="P607">
        <v>1</v>
      </c>
      <c r="Q607" t="s">
        <v>155</v>
      </c>
      <c r="S607" t="str">
        <f>_xlfn.XLOOKUP(UNIVERSO[[#This Row],[Ruta]],'[1]CUOTA RUTA'!A:A,'[1]CUOTA RUTA'!D:D)</f>
        <v>Cargar</v>
      </c>
    </row>
    <row r="608" spans="1:19" x14ac:dyDescent="0.25">
      <c r="A608">
        <v>1500006040</v>
      </c>
      <c r="B608" t="s">
        <v>1449</v>
      </c>
      <c r="C608" t="s">
        <v>19</v>
      </c>
      <c r="D608" t="s">
        <v>32</v>
      </c>
      <c r="E608" t="s">
        <v>21</v>
      </c>
      <c r="F608" t="s">
        <v>22</v>
      </c>
      <c r="G608" t="s">
        <v>33</v>
      </c>
      <c r="H608" t="s">
        <v>115</v>
      </c>
      <c r="I608" t="s">
        <v>1450</v>
      </c>
      <c r="J608">
        <v>9.9583220000000008</v>
      </c>
      <c r="K608">
        <v>-84.089080999999993</v>
      </c>
      <c r="L608" t="s">
        <v>1225</v>
      </c>
      <c r="M608" t="s">
        <v>36</v>
      </c>
      <c r="N608" t="s">
        <v>37</v>
      </c>
      <c r="O608" t="s">
        <v>38</v>
      </c>
      <c r="P608">
        <v>6</v>
      </c>
      <c r="Q608" t="s">
        <v>49</v>
      </c>
      <c r="S608" t="str">
        <f>_xlfn.XLOOKUP(UNIVERSO[[#This Row],[Ruta]],'[1]CUOTA RUTA'!A:A,'[1]CUOTA RUTA'!D:D)</f>
        <v>Cargar</v>
      </c>
    </row>
    <row r="609" spans="1:19" x14ac:dyDescent="0.25">
      <c r="A609">
        <v>1500006217</v>
      </c>
      <c r="B609" t="s">
        <v>1451</v>
      </c>
      <c r="C609" t="s">
        <v>19</v>
      </c>
      <c r="D609" t="s">
        <v>32</v>
      </c>
      <c r="E609" t="s">
        <v>21</v>
      </c>
      <c r="F609" t="s">
        <v>22</v>
      </c>
      <c r="G609" t="s">
        <v>64</v>
      </c>
      <c r="H609" t="s">
        <v>115</v>
      </c>
      <c r="I609" t="s">
        <v>1452</v>
      </c>
      <c r="J609">
        <v>9.9624699999999997</v>
      </c>
      <c r="K609">
        <v>-84.082700000000003</v>
      </c>
      <c r="L609" t="s">
        <v>1225</v>
      </c>
      <c r="M609" t="s">
        <v>36</v>
      </c>
      <c r="N609" t="s">
        <v>37</v>
      </c>
      <c r="O609" t="s">
        <v>38</v>
      </c>
      <c r="P609">
        <v>2</v>
      </c>
      <c r="Q609" t="s">
        <v>150</v>
      </c>
      <c r="S609" t="str">
        <f>_xlfn.XLOOKUP(UNIVERSO[[#This Row],[Ruta]],'[1]CUOTA RUTA'!A:A,'[1]CUOTA RUTA'!D:D)</f>
        <v>Cargar</v>
      </c>
    </row>
    <row r="610" spans="1:19" x14ac:dyDescent="0.25">
      <c r="A610">
        <v>1500006242</v>
      </c>
      <c r="B610" t="s">
        <v>1453</v>
      </c>
      <c r="C610" t="s">
        <v>19</v>
      </c>
      <c r="D610" t="s">
        <v>32</v>
      </c>
      <c r="E610" t="s">
        <v>21</v>
      </c>
      <c r="F610" t="s">
        <v>22</v>
      </c>
      <c r="G610" t="s">
        <v>23</v>
      </c>
      <c r="H610" t="s">
        <v>115</v>
      </c>
      <c r="I610" t="s">
        <v>1454</v>
      </c>
      <c r="J610">
        <v>9.9657999999999998</v>
      </c>
      <c r="K610">
        <v>-84.080500000000001</v>
      </c>
      <c r="L610" t="s">
        <v>1225</v>
      </c>
      <c r="M610" t="s">
        <v>36</v>
      </c>
      <c r="N610" t="s">
        <v>37</v>
      </c>
      <c r="O610" t="s">
        <v>38</v>
      </c>
      <c r="P610">
        <v>2</v>
      </c>
      <c r="Q610" t="s">
        <v>150</v>
      </c>
      <c r="S610" t="str">
        <f>_xlfn.XLOOKUP(UNIVERSO[[#This Row],[Ruta]],'[1]CUOTA RUTA'!A:A,'[1]CUOTA RUTA'!D:D)</f>
        <v>Cargar</v>
      </c>
    </row>
    <row r="611" spans="1:19" x14ac:dyDescent="0.25">
      <c r="A611">
        <v>1500006405</v>
      </c>
      <c r="B611" t="s">
        <v>1455</v>
      </c>
      <c r="C611" t="s">
        <v>19</v>
      </c>
      <c r="D611" t="s">
        <v>32</v>
      </c>
      <c r="E611" t="s">
        <v>21</v>
      </c>
      <c r="F611" t="s">
        <v>22</v>
      </c>
      <c r="G611" t="s">
        <v>23</v>
      </c>
      <c r="H611" t="s">
        <v>34</v>
      </c>
      <c r="I611" t="s">
        <v>1456</v>
      </c>
      <c r="J611">
        <v>9.9020779999999995</v>
      </c>
      <c r="K611">
        <v>-84.014598000000007</v>
      </c>
      <c r="L611" t="s">
        <v>1225</v>
      </c>
      <c r="M611" t="s">
        <v>36</v>
      </c>
      <c r="N611" t="s">
        <v>37</v>
      </c>
      <c r="O611" t="s">
        <v>38</v>
      </c>
      <c r="P611">
        <v>23</v>
      </c>
      <c r="Q611" t="s">
        <v>125</v>
      </c>
      <c r="S611" t="str">
        <f>_xlfn.XLOOKUP(UNIVERSO[[#This Row],[Ruta]],'[1]CUOTA RUTA'!A:A,'[1]CUOTA RUTA'!D:D)</f>
        <v>Cargar</v>
      </c>
    </row>
    <row r="612" spans="1:19" x14ac:dyDescent="0.25">
      <c r="A612">
        <v>1500006412</v>
      </c>
      <c r="B612" t="s">
        <v>1457</v>
      </c>
      <c r="C612" t="s">
        <v>19</v>
      </c>
      <c r="D612" t="s">
        <v>32</v>
      </c>
      <c r="E612" t="s">
        <v>21</v>
      </c>
      <c r="F612" t="s">
        <v>22</v>
      </c>
      <c r="G612" t="s">
        <v>64</v>
      </c>
      <c r="H612" t="s">
        <v>1191</v>
      </c>
      <c r="I612" t="s">
        <v>1458</v>
      </c>
      <c r="J612">
        <v>9.9011519999999997</v>
      </c>
      <c r="K612">
        <v>-84.006895</v>
      </c>
      <c r="L612" t="s">
        <v>1225</v>
      </c>
      <c r="M612" t="s">
        <v>36</v>
      </c>
      <c r="N612" t="s">
        <v>37</v>
      </c>
      <c r="O612" t="s">
        <v>38</v>
      </c>
      <c r="P612">
        <v>17</v>
      </c>
      <c r="Q612" t="s">
        <v>287</v>
      </c>
      <c r="S612" t="str">
        <f>_xlfn.XLOOKUP(UNIVERSO[[#This Row],[Ruta]],'[1]CUOTA RUTA'!A:A,'[1]CUOTA RUTA'!D:D)</f>
        <v>Cargar</v>
      </c>
    </row>
    <row r="613" spans="1:19" x14ac:dyDescent="0.25">
      <c r="A613">
        <v>1500006591</v>
      </c>
      <c r="B613" t="s">
        <v>1459</v>
      </c>
      <c r="C613" t="s">
        <v>19</v>
      </c>
      <c r="D613" t="s">
        <v>20</v>
      </c>
      <c r="E613" t="s">
        <v>21</v>
      </c>
      <c r="F613" t="s">
        <v>22</v>
      </c>
      <c r="G613" t="s">
        <v>33</v>
      </c>
      <c r="H613" t="s">
        <v>913</v>
      </c>
      <c r="I613" t="s">
        <v>1460</v>
      </c>
      <c r="J613">
        <v>9.9633000000000003</v>
      </c>
      <c r="K613">
        <v>-84.149820000000005</v>
      </c>
      <c r="L613" t="s">
        <v>1225</v>
      </c>
      <c r="M613" t="s">
        <v>27</v>
      </c>
      <c r="N613" t="s">
        <v>28</v>
      </c>
      <c r="O613" t="s">
        <v>29</v>
      </c>
      <c r="P613">
        <v>1</v>
      </c>
      <c r="Q613" t="s">
        <v>155</v>
      </c>
      <c r="S613" t="str">
        <f>_xlfn.XLOOKUP(UNIVERSO[[#This Row],[Ruta]],'[1]CUOTA RUTA'!A:A,'[1]CUOTA RUTA'!D:D)</f>
        <v>Cargar</v>
      </c>
    </row>
    <row r="614" spans="1:19" x14ac:dyDescent="0.25">
      <c r="A614">
        <v>1500006609</v>
      </c>
      <c r="B614" t="s">
        <v>1461</v>
      </c>
      <c r="C614" t="s">
        <v>19</v>
      </c>
      <c r="D614" t="s">
        <v>32</v>
      </c>
      <c r="E614" t="s">
        <v>21</v>
      </c>
      <c r="F614" t="s">
        <v>22</v>
      </c>
      <c r="G614" t="s">
        <v>33</v>
      </c>
      <c r="H614" t="s">
        <v>92</v>
      </c>
      <c r="I614" t="s">
        <v>1462</v>
      </c>
      <c r="J614">
        <v>9.963419</v>
      </c>
      <c r="K614">
        <v>-84.018485999999996</v>
      </c>
      <c r="L614" t="s">
        <v>1225</v>
      </c>
      <c r="M614" t="s">
        <v>94</v>
      </c>
      <c r="N614" t="s">
        <v>95</v>
      </c>
      <c r="O614" t="s">
        <v>96</v>
      </c>
      <c r="P614">
        <v>3</v>
      </c>
      <c r="Q614" t="s">
        <v>101</v>
      </c>
      <c r="S614" t="str">
        <f>_xlfn.XLOOKUP(UNIVERSO[[#This Row],[Ruta]],'[1]CUOTA RUTA'!A:A,'[1]CUOTA RUTA'!D:D)</f>
        <v>Cargar</v>
      </c>
    </row>
    <row r="615" spans="1:19" x14ac:dyDescent="0.25">
      <c r="A615">
        <v>1500006643</v>
      </c>
      <c r="B615" t="s">
        <v>1463</v>
      </c>
      <c r="C615" t="s">
        <v>19</v>
      </c>
      <c r="D615" t="s">
        <v>32</v>
      </c>
      <c r="E615" t="s">
        <v>21</v>
      </c>
      <c r="F615" t="s">
        <v>22</v>
      </c>
      <c r="G615" t="s">
        <v>33</v>
      </c>
      <c r="H615" t="s">
        <v>76</v>
      </c>
      <c r="I615" t="s">
        <v>1464</v>
      </c>
      <c r="J615">
        <v>9.9671559999999992</v>
      </c>
      <c r="K615">
        <v>-84.014292999999995</v>
      </c>
      <c r="L615" t="s">
        <v>1225</v>
      </c>
      <c r="M615" t="s">
        <v>36</v>
      </c>
      <c r="N615" t="s">
        <v>37</v>
      </c>
      <c r="O615" t="s">
        <v>38</v>
      </c>
      <c r="P615">
        <v>21</v>
      </c>
      <c r="Q615" t="s">
        <v>239</v>
      </c>
      <c r="S615" t="str">
        <f>_xlfn.XLOOKUP(UNIVERSO[[#This Row],[Ruta]],'[1]CUOTA RUTA'!A:A,'[1]CUOTA RUTA'!D:D)</f>
        <v>Cargar</v>
      </c>
    </row>
    <row r="616" spans="1:19" x14ac:dyDescent="0.25">
      <c r="A616">
        <v>1500006887</v>
      </c>
      <c r="B616" t="s">
        <v>1465</v>
      </c>
      <c r="C616" t="s">
        <v>19</v>
      </c>
      <c r="D616" t="s">
        <v>32</v>
      </c>
      <c r="E616" t="s">
        <v>21</v>
      </c>
      <c r="F616" t="s">
        <v>22</v>
      </c>
      <c r="G616" t="s">
        <v>33</v>
      </c>
      <c r="H616" t="s">
        <v>65</v>
      </c>
      <c r="I616" t="s">
        <v>1466</v>
      </c>
      <c r="J616">
        <v>9.9146699999999992</v>
      </c>
      <c r="K616">
        <v>-83.974400000000003</v>
      </c>
      <c r="L616" t="s">
        <v>1225</v>
      </c>
      <c r="M616" t="s">
        <v>36</v>
      </c>
      <c r="N616" t="s">
        <v>37</v>
      </c>
      <c r="O616" t="s">
        <v>38</v>
      </c>
      <c r="P616">
        <v>19</v>
      </c>
      <c r="Q616" t="s">
        <v>67</v>
      </c>
      <c r="S616" t="str">
        <f>_xlfn.XLOOKUP(UNIVERSO[[#This Row],[Ruta]],'[1]CUOTA RUTA'!A:A,'[1]CUOTA RUTA'!D:D)</f>
        <v>Cargar</v>
      </c>
    </row>
    <row r="617" spans="1:19" x14ac:dyDescent="0.25">
      <c r="A617">
        <v>1500006929</v>
      </c>
      <c r="B617" t="s">
        <v>1467</v>
      </c>
      <c r="C617" t="s">
        <v>19</v>
      </c>
      <c r="D617" t="s">
        <v>32</v>
      </c>
      <c r="E617" t="s">
        <v>21</v>
      </c>
      <c r="F617" t="s">
        <v>22</v>
      </c>
      <c r="G617" t="s">
        <v>33</v>
      </c>
      <c r="H617" t="s">
        <v>106</v>
      </c>
      <c r="I617" t="s">
        <v>1468</v>
      </c>
      <c r="J617">
        <v>9.9130409999999998</v>
      </c>
      <c r="K617">
        <v>-84.111037999999994</v>
      </c>
      <c r="L617" t="s">
        <v>1225</v>
      </c>
      <c r="M617" t="s">
        <v>71</v>
      </c>
      <c r="N617" t="s">
        <v>72</v>
      </c>
      <c r="O617" t="s">
        <v>73</v>
      </c>
      <c r="P617">
        <v>11</v>
      </c>
      <c r="Q617" t="s">
        <v>108</v>
      </c>
      <c r="S617" t="str">
        <f>_xlfn.XLOOKUP(UNIVERSO[[#This Row],[Ruta]],'[1]CUOTA RUTA'!A:A,'[1]CUOTA RUTA'!D:D)</f>
        <v>Cargar</v>
      </c>
    </row>
    <row r="618" spans="1:19" x14ac:dyDescent="0.25">
      <c r="A618">
        <v>1500007096</v>
      </c>
      <c r="B618" t="s">
        <v>1469</v>
      </c>
      <c r="C618" t="s">
        <v>19</v>
      </c>
      <c r="D618" t="s">
        <v>32</v>
      </c>
      <c r="E618" t="s">
        <v>21</v>
      </c>
      <c r="F618" t="s">
        <v>22</v>
      </c>
      <c r="G618" t="s">
        <v>33</v>
      </c>
      <c r="H618" t="s">
        <v>134</v>
      </c>
      <c r="I618" t="s">
        <v>1470</v>
      </c>
      <c r="J618">
        <v>9.9495900000000006</v>
      </c>
      <c r="K618">
        <v>-84.066900000000004</v>
      </c>
      <c r="L618" t="s">
        <v>1225</v>
      </c>
      <c r="M618" t="s">
        <v>94</v>
      </c>
      <c r="N618" t="s">
        <v>95</v>
      </c>
      <c r="O618" t="s">
        <v>96</v>
      </c>
      <c r="P618">
        <v>9</v>
      </c>
      <c r="Q618" t="s">
        <v>80</v>
      </c>
      <c r="S618" t="str">
        <f>_xlfn.XLOOKUP(UNIVERSO[[#This Row],[Ruta]],'[1]CUOTA RUTA'!A:A,'[1]CUOTA RUTA'!D:D)</f>
        <v>Cargar</v>
      </c>
    </row>
    <row r="619" spans="1:19" x14ac:dyDescent="0.25">
      <c r="A619">
        <v>1500007111</v>
      </c>
      <c r="B619" t="s">
        <v>1471</v>
      </c>
      <c r="C619" t="s">
        <v>19</v>
      </c>
      <c r="D619" t="s">
        <v>32</v>
      </c>
      <c r="E619" t="s">
        <v>21</v>
      </c>
      <c r="F619" t="s">
        <v>22</v>
      </c>
      <c r="G619" t="s">
        <v>23</v>
      </c>
      <c r="H619" t="s">
        <v>183</v>
      </c>
      <c r="I619" t="s">
        <v>1472</v>
      </c>
      <c r="J619">
        <v>9.9515100000000007</v>
      </c>
      <c r="K619">
        <v>-84.069500000000005</v>
      </c>
      <c r="L619" t="s">
        <v>1225</v>
      </c>
      <c r="M619" t="s">
        <v>36</v>
      </c>
      <c r="N619" t="s">
        <v>37</v>
      </c>
      <c r="O619" t="s">
        <v>38</v>
      </c>
      <c r="P619">
        <v>3</v>
      </c>
      <c r="Q619" t="s">
        <v>101</v>
      </c>
      <c r="S619" t="str">
        <f>_xlfn.XLOOKUP(UNIVERSO[[#This Row],[Ruta]],'[1]CUOTA RUTA'!A:A,'[1]CUOTA RUTA'!D:D)</f>
        <v>Cargar</v>
      </c>
    </row>
    <row r="620" spans="1:19" x14ac:dyDescent="0.25">
      <c r="A620">
        <v>1500007116</v>
      </c>
      <c r="B620" t="s">
        <v>1473</v>
      </c>
      <c r="C620" t="s">
        <v>19</v>
      </c>
      <c r="D620" t="s">
        <v>32</v>
      </c>
      <c r="E620" t="s">
        <v>21</v>
      </c>
      <c r="F620" t="s">
        <v>22</v>
      </c>
      <c r="G620" t="s">
        <v>33</v>
      </c>
      <c r="H620" t="s">
        <v>183</v>
      </c>
      <c r="I620" t="s">
        <v>1474</v>
      </c>
      <c r="J620">
        <v>9.9516799999999996</v>
      </c>
      <c r="K620">
        <v>-84.07</v>
      </c>
      <c r="L620" t="s">
        <v>1225</v>
      </c>
      <c r="M620" t="s">
        <v>36</v>
      </c>
      <c r="N620" t="s">
        <v>37</v>
      </c>
      <c r="O620" t="s">
        <v>38</v>
      </c>
      <c r="P620">
        <v>3</v>
      </c>
      <c r="Q620" t="s">
        <v>101</v>
      </c>
      <c r="S620" t="str">
        <f>_xlfn.XLOOKUP(UNIVERSO[[#This Row],[Ruta]],'[1]CUOTA RUTA'!A:A,'[1]CUOTA RUTA'!D:D)</f>
        <v>Cargar</v>
      </c>
    </row>
    <row r="621" spans="1:19" x14ac:dyDescent="0.25">
      <c r="A621">
        <v>1500007151</v>
      </c>
      <c r="B621" t="s">
        <v>1475</v>
      </c>
      <c r="C621" t="s">
        <v>19</v>
      </c>
      <c r="D621" t="s">
        <v>32</v>
      </c>
      <c r="E621" t="s">
        <v>21</v>
      </c>
      <c r="F621" t="s">
        <v>22</v>
      </c>
      <c r="G621" t="s">
        <v>64</v>
      </c>
      <c r="H621" t="s">
        <v>698</v>
      </c>
      <c r="I621" t="s">
        <v>1476</v>
      </c>
      <c r="J621">
        <v>9.94876</v>
      </c>
      <c r="K621">
        <v>-84.0642</v>
      </c>
      <c r="L621" t="s">
        <v>1225</v>
      </c>
      <c r="M621" t="s">
        <v>94</v>
      </c>
      <c r="N621" t="s">
        <v>95</v>
      </c>
      <c r="O621" t="s">
        <v>96</v>
      </c>
      <c r="P621">
        <v>9</v>
      </c>
      <c r="Q621" t="s">
        <v>80</v>
      </c>
      <c r="S621" t="str">
        <f>_xlfn.XLOOKUP(UNIVERSO[[#This Row],[Ruta]],'[1]CUOTA RUTA'!A:A,'[1]CUOTA RUTA'!D:D)</f>
        <v>Cargar</v>
      </c>
    </row>
    <row r="622" spans="1:19" x14ac:dyDescent="0.25">
      <c r="A622">
        <v>1500007237</v>
      </c>
      <c r="B622" t="s">
        <v>1477</v>
      </c>
      <c r="C622" t="s">
        <v>19</v>
      </c>
      <c r="D622" t="s">
        <v>32</v>
      </c>
      <c r="E622" t="s">
        <v>21</v>
      </c>
      <c r="F622" t="s">
        <v>22</v>
      </c>
      <c r="G622" t="s">
        <v>64</v>
      </c>
      <c r="H622" t="s">
        <v>115</v>
      </c>
      <c r="I622" t="s">
        <v>1478</v>
      </c>
      <c r="J622">
        <v>9.9433699999999998</v>
      </c>
      <c r="K622">
        <v>-84.070289000000002</v>
      </c>
      <c r="L622" t="s">
        <v>1225</v>
      </c>
      <c r="M622" t="s">
        <v>36</v>
      </c>
      <c r="N622" t="s">
        <v>37</v>
      </c>
      <c r="O622" t="s">
        <v>38</v>
      </c>
      <c r="P622">
        <v>4</v>
      </c>
      <c r="Q622" t="s">
        <v>120</v>
      </c>
      <c r="S622" t="str">
        <f>_xlfn.XLOOKUP(UNIVERSO[[#This Row],[Ruta]],'[1]CUOTA RUTA'!A:A,'[1]CUOTA RUTA'!D:D)</f>
        <v>Cargar</v>
      </c>
    </row>
    <row r="623" spans="1:19" x14ac:dyDescent="0.25">
      <c r="A623">
        <v>1500007304</v>
      </c>
      <c r="B623" t="s">
        <v>1479</v>
      </c>
      <c r="C623" t="s">
        <v>19</v>
      </c>
      <c r="D623" t="s">
        <v>20</v>
      </c>
      <c r="E623" t="s">
        <v>21</v>
      </c>
      <c r="F623" t="s">
        <v>22</v>
      </c>
      <c r="G623" t="s">
        <v>23</v>
      </c>
      <c r="H623" t="s">
        <v>722</v>
      </c>
      <c r="I623" t="s">
        <v>1480</v>
      </c>
      <c r="J623">
        <v>9.9430192000000002</v>
      </c>
      <c r="K623">
        <v>-84.152277999999995</v>
      </c>
      <c r="L623" t="s">
        <v>1225</v>
      </c>
      <c r="M623" t="s">
        <v>27</v>
      </c>
      <c r="N623" t="s">
        <v>28</v>
      </c>
      <c r="O623" t="s">
        <v>29</v>
      </c>
      <c r="P623">
        <v>22</v>
      </c>
      <c r="Q623" t="s">
        <v>30</v>
      </c>
      <c r="S623" t="str">
        <f>_xlfn.XLOOKUP(UNIVERSO[[#This Row],[Ruta]],'[1]CUOTA RUTA'!A:A,'[1]CUOTA RUTA'!D:D)</f>
        <v>Cargar</v>
      </c>
    </row>
    <row r="624" spans="1:19" x14ac:dyDescent="0.25">
      <c r="A624">
        <v>1500007353</v>
      </c>
      <c r="B624" t="s">
        <v>1481</v>
      </c>
      <c r="C624" t="s">
        <v>19</v>
      </c>
      <c r="D624" t="s">
        <v>20</v>
      </c>
      <c r="E624" t="s">
        <v>21</v>
      </c>
      <c r="F624" t="s">
        <v>22</v>
      </c>
      <c r="G624" t="s">
        <v>23</v>
      </c>
      <c r="H624" t="s">
        <v>277</v>
      </c>
      <c r="I624" t="s">
        <v>1482</v>
      </c>
      <c r="J624">
        <v>9.9435000000000002</v>
      </c>
      <c r="K624">
        <v>-84.159099999999995</v>
      </c>
      <c r="L624" t="s">
        <v>1225</v>
      </c>
      <c r="M624" t="s">
        <v>54</v>
      </c>
      <c r="N624" t="s">
        <v>55</v>
      </c>
      <c r="O624" t="s">
        <v>56</v>
      </c>
      <c r="P624">
        <v>13</v>
      </c>
      <c r="Q624" t="s">
        <v>161</v>
      </c>
      <c r="S624" t="str">
        <f>_xlfn.XLOOKUP(UNIVERSO[[#This Row],[Ruta]],'[1]CUOTA RUTA'!A:A,'[1]CUOTA RUTA'!D:D)</f>
        <v>Cargar</v>
      </c>
    </row>
    <row r="625" spans="1:19" x14ac:dyDescent="0.25">
      <c r="A625">
        <v>1500007451</v>
      </c>
      <c r="B625" t="s">
        <v>1344</v>
      </c>
      <c r="C625" t="s">
        <v>19</v>
      </c>
      <c r="D625" t="s">
        <v>20</v>
      </c>
      <c r="E625" t="s">
        <v>21</v>
      </c>
      <c r="F625" t="s">
        <v>22</v>
      </c>
      <c r="G625" t="s">
        <v>23</v>
      </c>
      <c r="H625" t="s">
        <v>52</v>
      </c>
      <c r="I625" t="s">
        <v>1483</v>
      </c>
      <c r="J625">
        <v>9.9239096</v>
      </c>
      <c r="K625">
        <v>-84.1406305</v>
      </c>
      <c r="L625" t="s">
        <v>1225</v>
      </c>
      <c r="M625" t="s">
        <v>54</v>
      </c>
      <c r="N625" t="s">
        <v>55</v>
      </c>
      <c r="O625" t="s">
        <v>56</v>
      </c>
      <c r="P625">
        <v>13</v>
      </c>
      <c r="Q625" t="s">
        <v>161</v>
      </c>
      <c r="S625" t="str">
        <f>_xlfn.XLOOKUP(UNIVERSO[[#This Row],[Ruta]],'[1]CUOTA RUTA'!A:A,'[1]CUOTA RUTA'!D:D)</f>
        <v>Cargar</v>
      </c>
    </row>
    <row r="626" spans="1:19" x14ac:dyDescent="0.25">
      <c r="A626">
        <v>1500007523</v>
      </c>
      <c r="B626" t="s">
        <v>1484</v>
      </c>
      <c r="C626" t="s">
        <v>19</v>
      </c>
      <c r="D626" t="s">
        <v>32</v>
      </c>
      <c r="E626" t="s">
        <v>21</v>
      </c>
      <c r="F626" t="s">
        <v>22</v>
      </c>
      <c r="G626" t="s">
        <v>64</v>
      </c>
      <c r="H626" t="s">
        <v>69</v>
      </c>
      <c r="I626" t="s">
        <v>1485</v>
      </c>
      <c r="J626">
        <v>9.861206666667</v>
      </c>
      <c r="K626">
        <v>-84.061948333329994</v>
      </c>
      <c r="L626" t="s">
        <v>1225</v>
      </c>
      <c r="M626" t="s">
        <v>71</v>
      </c>
      <c r="N626" t="s">
        <v>72</v>
      </c>
      <c r="O626" t="s">
        <v>73</v>
      </c>
      <c r="P626">
        <v>22</v>
      </c>
      <c r="Q626" t="s">
        <v>30</v>
      </c>
      <c r="S626" t="str">
        <f>_xlfn.XLOOKUP(UNIVERSO[[#This Row],[Ruta]],'[1]CUOTA RUTA'!A:A,'[1]CUOTA RUTA'!D:D)</f>
        <v>Cargar</v>
      </c>
    </row>
    <row r="627" spans="1:19" x14ac:dyDescent="0.25">
      <c r="A627">
        <v>1500007595</v>
      </c>
      <c r="B627" t="s">
        <v>1486</v>
      </c>
      <c r="C627" t="s">
        <v>19</v>
      </c>
      <c r="D627" t="s">
        <v>32</v>
      </c>
      <c r="E627" t="s">
        <v>21</v>
      </c>
      <c r="F627" t="s">
        <v>22</v>
      </c>
      <c r="G627" t="s">
        <v>64</v>
      </c>
      <c r="H627" t="s">
        <v>159</v>
      </c>
      <c r="I627" t="s">
        <v>1487</v>
      </c>
      <c r="J627">
        <v>9.9041200000000007</v>
      </c>
      <c r="K627">
        <v>-84.111199999999997</v>
      </c>
      <c r="L627" t="s">
        <v>1225</v>
      </c>
      <c r="M627" t="s">
        <v>71</v>
      </c>
      <c r="N627" t="s">
        <v>72</v>
      </c>
      <c r="O627" t="s">
        <v>73</v>
      </c>
      <c r="P627">
        <v>13</v>
      </c>
      <c r="Q627" t="s">
        <v>161</v>
      </c>
      <c r="S627" t="str">
        <f>_xlfn.XLOOKUP(UNIVERSO[[#This Row],[Ruta]],'[1]CUOTA RUTA'!A:A,'[1]CUOTA RUTA'!D:D)</f>
        <v>Cargar</v>
      </c>
    </row>
    <row r="628" spans="1:19" x14ac:dyDescent="0.25">
      <c r="A628">
        <v>1500007753</v>
      </c>
      <c r="B628" t="s">
        <v>1488</v>
      </c>
      <c r="C628" t="s">
        <v>19</v>
      </c>
      <c r="D628" t="s">
        <v>32</v>
      </c>
      <c r="E628" t="s">
        <v>21</v>
      </c>
      <c r="F628" t="s">
        <v>22</v>
      </c>
      <c r="G628" t="s">
        <v>23</v>
      </c>
      <c r="H628" t="s">
        <v>183</v>
      </c>
      <c r="I628" t="s">
        <v>1489</v>
      </c>
      <c r="J628">
        <v>9.9686249999999994</v>
      </c>
      <c r="K628">
        <v>-84.037897000000001</v>
      </c>
      <c r="L628" t="s">
        <v>1225</v>
      </c>
      <c r="M628" t="s">
        <v>36</v>
      </c>
      <c r="N628" t="s">
        <v>37</v>
      </c>
      <c r="O628" t="s">
        <v>38</v>
      </c>
      <c r="P628">
        <v>23</v>
      </c>
      <c r="Q628" t="s">
        <v>125</v>
      </c>
      <c r="S628" t="str">
        <f>_xlfn.XLOOKUP(UNIVERSO[[#This Row],[Ruta]],'[1]CUOTA RUTA'!A:A,'[1]CUOTA RUTA'!D:D)</f>
        <v>Cargar</v>
      </c>
    </row>
    <row r="629" spans="1:19" x14ac:dyDescent="0.25">
      <c r="A629">
        <v>1500007767</v>
      </c>
      <c r="B629" t="s">
        <v>1490</v>
      </c>
      <c r="C629" t="s">
        <v>19</v>
      </c>
      <c r="D629" t="s">
        <v>32</v>
      </c>
      <c r="E629" t="s">
        <v>21</v>
      </c>
      <c r="F629" t="s">
        <v>22</v>
      </c>
      <c r="G629" t="s">
        <v>23</v>
      </c>
      <c r="H629" t="s">
        <v>76</v>
      </c>
      <c r="I629" t="s">
        <v>1491</v>
      </c>
      <c r="J629">
        <v>9.9681999999999995</v>
      </c>
      <c r="K629">
        <v>-84.012799999999999</v>
      </c>
      <c r="L629" t="s">
        <v>1225</v>
      </c>
      <c r="M629" t="s">
        <v>36</v>
      </c>
      <c r="N629" t="s">
        <v>37</v>
      </c>
      <c r="O629" t="s">
        <v>38</v>
      </c>
      <c r="P629">
        <v>21</v>
      </c>
      <c r="Q629" t="s">
        <v>239</v>
      </c>
      <c r="S629" t="str">
        <f>_xlfn.XLOOKUP(UNIVERSO[[#This Row],[Ruta]],'[1]CUOTA RUTA'!A:A,'[1]CUOTA RUTA'!D:D)</f>
        <v>Cargar</v>
      </c>
    </row>
    <row r="630" spans="1:19" x14ac:dyDescent="0.25">
      <c r="A630">
        <v>1500007793</v>
      </c>
      <c r="B630" t="s">
        <v>1492</v>
      </c>
      <c r="C630" t="s">
        <v>19</v>
      </c>
      <c r="D630" t="s">
        <v>32</v>
      </c>
      <c r="E630" t="s">
        <v>21</v>
      </c>
      <c r="F630" t="s">
        <v>22</v>
      </c>
      <c r="G630" t="s">
        <v>33</v>
      </c>
      <c r="H630" t="s">
        <v>625</v>
      </c>
      <c r="I630" t="s">
        <v>1493</v>
      </c>
      <c r="J630">
        <v>9.9794619999999998</v>
      </c>
      <c r="K630">
        <v>-84.041195999999999</v>
      </c>
      <c r="L630" t="s">
        <v>1225</v>
      </c>
      <c r="M630" t="s">
        <v>94</v>
      </c>
      <c r="N630" t="s">
        <v>95</v>
      </c>
      <c r="O630" t="s">
        <v>96</v>
      </c>
      <c r="P630">
        <v>6</v>
      </c>
      <c r="Q630" t="s">
        <v>49</v>
      </c>
      <c r="S630" t="str">
        <f>_xlfn.XLOOKUP(UNIVERSO[[#This Row],[Ruta]],'[1]CUOTA RUTA'!A:A,'[1]CUOTA RUTA'!D:D)</f>
        <v>Cargar</v>
      </c>
    </row>
    <row r="631" spans="1:19" x14ac:dyDescent="0.25">
      <c r="A631">
        <v>1500007819</v>
      </c>
      <c r="B631" t="s">
        <v>1494</v>
      </c>
      <c r="C631" t="s">
        <v>19</v>
      </c>
      <c r="D631" t="s">
        <v>20</v>
      </c>
      <c r="E631" t="s">
        <v>21</v>
      </c>
      <c r="F631" t="s">
        <v>51</v>
      </c>
      <c r="G631" t="s">
        <v>23</v>
      </c>
      <c r="H631" t="s">
        <v>24</v>
      </c>
      <c r="I631" t="s">
        <v>1495</v>
      </c>
      <c r="J631">
        <v>9.9831489999999992</v>
      </c>
      <c r="K631">
        <v>-84.113753000000003</v>
      </c>
      <c r="L631" t="s">
        <v>1225</v>
      </c>
      <c r="M631" t="s">
        <v>27</v>
      </c>
      <c r="N631" t="s">
        <v>28</v>
      </c>
      <c r="O631" t="s">
        <v>29</v>
      </c>
      <c r="P631">
        <v>6</v>
      </c>
      <c r="Q631" t="s">
        <v>49</v>
      </c>
      <c r="S631" t="str">
        <f>_xlfn.XLOOKUP(UNIVERSO[[#This Row],[Ruta]],'[1]CUOTA RUTA'!A:A,'[1]CUOTA RUTA'!D:D)</f>
        <v>Cargar</v>
      </c>
    </row>
    <row r="632" spans="1:19" x14ac:dyDescent="0.25">
      <c r="A632">
        <v>1500008015</v>
      </c>
      <c r="B632" t="s">
        <v>1496</v>
      </c>
      <c r="C632" t="s">
        <v>19</v>
      </c>
      <c r="D632" t="s">
        <v>32</v>
      </c>
      <c r="E632" t="s">
        <v>21</v>
      </c>
      <c r="F632" t="s">
        <v>22</v>
      </c>
      <c r="G632" t="s">
        <v>64</v>
      </c>
      <c r="H632" t="s">
        <v>112</v>
      </c>
      <c r="I632" t="s">
        <v>1497</v>
      </c>
      <c r="J632">
        <v>9.9746780000000008</v>
      </c>
      <c r="K632">
        <v>-84.095867999999996</v>
      </c>
      <c r="L632" t="s">
        <v>1225</v>
      </c>
      <c r="M632" t="s">
        <v>94</v>
      </c>
      <c r="N632" t="s">
        <v>95</v>
      </c>
      <c r="O632" t="s">
        <v>96</v>
      </c>
      <c r="P632">
        <v>11</v>
      </c>
      <c r="Q632" t="s">
        <v>108</v>
      </c>
      <c r="S632" t="str">
        <f>_xlfn.XLOOKUP(UNIVERSO[[#This Row],[Ruta]],'[1]CUOTA RUTA'!A:A,'[1]CUOTA RUTA'!D:D)</f>
        <v>Cargar</v>
      </c>
    </row>
    <row r="633" spans="1:19" x14ac:dyDescent="0.25">
      <c r="A633">
        <v>1500008085</v>
      </c>
      <c r="B633" t="s">
        <v>1498</v>
      </c>
      <c r="C633" t="s">
        <v>19</v>
      </c>
      <c r="D633" t="s">
        <v>32</v>
      </c>
      <c r="E633" t="s">
        <v>21</v>
      </c>
      <c r="F633" t="s">
        <v>51</v>
      </c>
      <c r="G633" t="s">
        <v>23</v>
      </c>
      <c r="H633" t="s">
        <v>134</v>
      </c>
      <c r="I633" t="s">
        <v>1499</v>
      </c>
      <c r="J633">
        <v>9.9812499999999993</v>
      </c>
      <c r="K633">
        <v>-84.091004999999996</v>
      </c>
      <c r="L633" t="s">
        <v>1225</v>
      </c>
      <c r="M633" t="s">
        <v>94</v>
      </c>
      <c r="N633" t="s">
        <v>95</v>
      </c>
      <c r="O633" t="s">
        <v>96</v>
      </c>
      <c r="P633">
        <v>10</v>
      </c>
      <c r="Q633" t="s">
        <v>136</v>
      </c>
      <c r="S633" t="str">
        <f>_xlfn.XLOOKUP(UNIVERSO[[#This Row],[Ruta]],'[1]CUOTA RUTA'!A:A,'[1]CUOTA RUTA'!D:D)</f>
        <v>Cargar</v>
      </c>
    </row>
    <row r="634" spans="1:19" x14ac:dyDescent="0.25">
      <c r="A634">
        <v>1500008111</v>
      </c>
      <c r="B634" t="s">
        <v>653</v>
      </c>
      <c r="C634" t="s">
        <v>19</v>
      </c>
      <c r="D634" t="s">
        <v>20</v>
      </c>
      <c r="E634" t="s">
        <v>21</v>
      </c>
      <c r="F634" t="s">
        <v>22</v>
      </c>
      <c r="G634" t="s">
        <v>33</v>
      </c>
      <c r="H634" t="s">
        <v>518</v>
      </c>
      <c r="I634" t="s">
        <v>1500</v>
      </c>
      <c r="J634">
        <v>9.9871327000000001</v>
      </c>
      <c r="K634">
        <v>-84.096504699999997</v>
      </c>
      <c r="L634" t="s">
        <v>1225</v>
      </c>
      <c r="M634" t="s">
        <v>27</v>
      </c>
      <c r="N634" t="s">
        <v>28</v>
      </c>
      <c r="O634" t="s">
        <v>29</v>
      </c>
      <c r="P634">
        <v>19</v>
      </c>
      <c r="Q634" t="s">
        <v>67</v>
      </c>
      <c r="S634" t="str">
        <f>_xlfn.XLOOKUP(UNIVERSO[[#This Row],[Ruta]],'[1]CUOTA RUTA'!A:A,'[1]CUOTA RUTA'!D:D)</f>
        <v>Cargar</v>
      </c>
    </row>
    <row r="635" spans="1:19" x14ac:dyDescent="0.25">
      <c r="A635">
        <v>1500008287</v>
      </c>
      <c r="B635" t="s">
        <v>1501</v>
      </c>
      <c r="C635" t="s">
        <v>19</v>
      </c>
      <c r="D635" t="s">
        <v>32</v>
      </c>
      <c r="E635" t="s">
        <v>21</v>
      </c>
      <c r="F635" t="s">
        <v>22</v>
      </c>
      <c r="G635" t="s">
        <v>33</v>
      </c>
      <c r="H635" t="s">
        <v>112</v>
      </c>
      <c r="I635" t="s">
        <v>1502</v>
      </c>
      <c r="J635">
        <v>9.9758765999999994</v>
      </c>
      <c r="K635">
        <v>-84.090229399999998</v>
      </c>
      <c r="L635" t="s">
        <v>1225</v>
      </c>
      <c r="M635" t="s">
        <v>94</v>
      </c>
      <c r="N635" t="s">
        <v>95</v>
      </c>
      <c r="O635" t="s">
        <v>96</v>
      </c>
      <c r="P635">
        <v>10</v>
      </c>
      <c r="Q635" t="s">
        <v>136</v>
      </c>
      <c r="S635" t="str">
        <f>_xlfn.XLOOKUP(UNIVERSO[[#This Row],[Ruta]],'[1]CUOTA RUTA'!A:A,'[1]CUOTA RUTA'!D:D)</f>
        <v>Cargar</v>
      </c>
    </row>
    <row r="636" spans="1:19" x14ac:dyDescent="0.25">
      <c r="A636">
        <v>1500008312</v>
      </c>
      <c r="B636" t="s">
        <v>1503</v>
      </c>
      <c r="C636" t="s">
        <v>19</v>
      </c>
      <c r="D636" t="s">
        <v>32</v>
      </c>
      <c r="E636" t="s">
        <v>21</v>
      </c>
      <c r="F636" t="s">
        <v>51</v>
      </c>
      <c r="G636" t="s">
        <v>23</v>
      </c>
      <c r="H636" t="s">
        <v>441</v>
      </c>
      <c r="I636" t="s">
        <v>1504</v>
      </c>
      <c r="J636">
        <v>9.8890550000000008</v>
      </c>
      <c r="K636">
        <v>-84.058623333330004</v>
      </c>
      <c r="L636" t="s">
        <v>1225</v>
      </c>
      <c r="M636" t="s">
        <v>71</v>
      </c>
      <c r="N636" t="s">
        <v>72</v>
      </c>
      <c r="O636" t="s">
        <v>73</v>
      </c>
      <c r="P636">
        <v>18</v>
      </c>
      <c r="Q636" t="s">
        <v>84</v>
      </c>
      <c r="S636" t="str">
        <f>_xlfn.XLOOKUP(UNIVERSO[[#This Row],[Ruta]],'[1]CUOTA RUTA'!A:A,'[1]CUOTA RUTA'!D:D)</f>
        <v>Cargar</v>
      </c>
    </row>
    <row r="637" spans="1:19" x14ac:dyDescent="0.25">
      <c r="A637">
        <v>1500008329</v>
      </c>
      <c r="B637" t="s">
        <v>821</v>
      </c>
      <c r="C637" t="s">
        <v>19</v>
      </c>
      <c r="D637" t="s">
        <v>32</v>
      </c>
      <c r="E637" t="s">
        <v>21</v>
      </c>
      <c r="F637" t="s">
        <v>22</v>
      </c>
      <c r="G637" t="s">
        <v>23</v>
      </c>
      <c r="H637" t="s">
        <v>86</v>
      </c>
      <c r="I637" t="s">
        <v>1505</v>
      </c>
      <c r="J637">
        <v>9.8881800000000002</v>
      </c>
      <c r="K637">
        <v>-84.0411</v>
      </c>
      <c r="L637" t="s">
        <v>1225</v>
      </c>
      <c r="M637" t="s">
        <v>71</v>
      </c>
      <c r="N637" t="s">
        <v>72</v>
      </c>
      <c r="O637" t="s">
        <v>73</v>
      </c>
      <c r="P637">
        <v>23</v>
      </c>
      <c r="Q637" t="s">
        <v>125</v>
      </c>
      <c r="S637" t="str">
        <f>_xlfn.XLOOKUP(UNIVERSO[[#This Row],[Ruta]],'[1]CUOTA RUTA'!A:A,'[1]CUOTA RUTA'!D:D)</f>
        <v>Cargar</v>
      </c>
    </row>
    <row r="638" spans="1:19" x14ac:dyDescent="0.25">
      <c r="A638">
        <v>1500008495</v>
      </c>
      <c r="B638" t="s">
        <v>832</v>
      </c>
      <c r="C638" t="s">
        <v>19</v>
      </c>
      <c r="D638" t="s">
        <v>20</v>
      </c>
      <c r="E638" t="s">
        <v>21</v>
      </c>
      <c r="F638" t="s">
        <v>22</v>
      </c>
      <c r="G638" t="s">
        <v>23</v>
      </c>
      <c r="H638" t="s">
        <v>1506</v>
      </c>
      <c r="I638" t="s">
        <v>1507</v>
      </c>
      <c r="J638">
        <v>9.9837500000000006</v>
      </c>
      <c r="K638">
        <v>-84.112319999999997</v>
      </c>
      <c r="L638" t="s">
        <v>1225</v>
      </c>
      <c r="M638" t="s">
        <v>27</v>
      </c>
      <c r="N638" t="s">
        <v>28</v>
      </c>
      <c r="O638" t="s">
        <v>29</v>
      </c>
      <c r="P638">
        <v>6</v>
      </c>
      <c r="Q638" t="s">
        <v>49</v>
      </c>
      <c r="S638" t="str">
        <f>_xlfn.XLOOKUP(UNIVERSO[[#This Row],[Ruta]],'[1]CUOTA RUTA'!A:A,'[1]CUOTA RUTA'!D:D)</f>
        <v>Cargar</v>
      </c>
    </row>
    <row r="639" spans="1:19" x14ac:dyDescent="0.25">
      <c r="A639">
        <v>1500008512</v>
      </c>
      <c r="B639" t="s">
        <v>1508</v>
      </c>
      <c r="C639" t="s">
        <v>19</v>
      </c>
      <c r="D639" t="s">
        <v>32</v>
      </c>
      <c r="E639" t="s">
        <v>21</v>
      </c>
      <c r="F639" t="s">
        <v>22</v>
      </c>
      <c r="G639" t="s">
        <v>33</v>
      </c>
      <c r="H639" t="s">
        <v>698</v>
      </c>
      <c r="I639" t="s">
        <v>1509</v>
      </c>
      <c r="J639">
        <v>9.9566780000000001</v>
      </c>
      <c r="K639">
        <v>-84.031600999999995</v>
      </c>
      <c r="L639" t="s">
        <v>1225</v>
      </c>
      <c r="M639" t="s">
        <v>94</v>
      </c>
      <c r="N639" t="s">
        <v>95</v>
      </c>
      <c r="O639" t="s">
        <v>96</v>
      </c>
      <c r="P639">
        <v>7</v>
      </c>
      <c r="Q639" t="s">
        <v>39</v>
      </c>
      <c r="S639" t="str">
        <f>_xlfn.XLOOKUP(UNIVERSO[[#This Row],[Ruta]],'[1]CUOTA RUTA'!A:A,'[1]CUOTA RUTA'!D:D)</f>
        <v>Cargar</v>
      </c>
    </row>
    <row r="640" spans="1:19" x14ac:dyDescent="0.25">
      <c r="A640">
        <v>1500008632</v>
      </c>
      <c r="B640" t="s">
        <v>1510</v>
      </c>
      <c r="C640" t="s">
        <v>19</v>
      </c>
      <c r="D640" t="s">
        <v>32</v>
      </c>
      <c r="E640" t="s">
        <v>21</v>
      </c>
      <c r="F640" t="s">
        <v>22</v>
      </c>
      <c r="G640" t="s">
        <v>33</v>
      </c>
      <c r="H640" t="s">
        <v>1191</v>
      </c>
      <c r="I640" t="s">
        <v>1511</v>
      </c>
      <c r="J640">
        <v>9.8987300000000005</v>
      </c>
      <c r="K640">
        <v>-84.028047999999998</v>
      </c>
      <c r="L640" t="s">
        <v>1225</v>
      </c>
      <c r="M640" t="s">
        <v>36</v>
      </c>
      <c r="N640" t="s">
        <v>37</v>
      </c>
      <c r="O640" t="s">
        <v>38</v>
      </c>
      <c r="P640">
        <v>15</v>
      </c>
      <c r="Q640" t="s">
        <v>231</v>
      </c>
      <c r="S640" t="str">
        <f>_xlfn.XLOOKUP(UNIVERSO[[#This Row],[Ruta]],'[1]CUOTA RUTA'!A:A,'[1]CUOTA RUTA'!D:D)</f>
        <v>Cargar</v>
      </c>
    </row>
    <row r="641" spans="1:19" x14ac:dyDescent="0.25">
      <c r="A641">
        <v>1500008887</v>
      </c>
      <c r="B641" t="s">
        <v>1512</v>
      </c>
      <c r="C641" t="s">
        <v>19</v>
      </c>
      <c r="D641" t="s">
        <v>32</v>
      </c>
      <c r="E641" t="s">
        <v>21</v>
      </c>
      <c r="F641" t="s">
        <v>22</v>
      </c>
      <c r="G641" t="s">
        <v>33</v>
      </c>
      <c r="H641" t="s">
        <v>115</v>
      </c>
      <c r="I641" t="s">
        <v>1513</v>
      </c>
      <c r="J641">
        <v>9.9612180000000006</v>
      </c>
      <c r="K641">
        <v>-84.095802000000006</v>
      </c>
      <c r="L641" t="s">
        <v>1225</v>
      </c>
      <c r="M641" t="s">
        <v>36</v>
      </c>
      <c r="N641" t="s">
        <v>37</v>
      </c>
      <c r="O641" t="s">
        <v>38</v>
      </c>
      <c r="P641">
        <v>6</v>
      </c>
      <c r="Q641" t="s">
        <v>49</v>
      </c>
      <c r="S641" t="str">
        <f>_xlfn.XLOOKUP(UNIVERSO[[#This Row],[Ruta]],'[1]CUOTA RUTA'!A:A,'[1]CUOTA RUTA'!D:D)</f>
        <v>Cargar</v>
      </c>
    </row>
    <row r="642" spans="1:19" x14ac:dyDescent="0.25">
      <c r="A642">
        <v>1500008965</v>
      </c>
      <c r="B642" t="s">
        <v>1514</v>
      </c>
      <c r="C642" t="s">
        <v>19</v>
      </c>
      <c r="D642" t="s">
        <v>32</v>
      </c>
      <c r="E642" t="s">
        <v>62</v>
      </c>
      <c r="F642" t="s">
        <v>63</v>
      </c>
      <c r="G642" t="s">
        <v>23</v>
      </c>
      <c r="H642" t="s">
        <v>112</v>
      </c>
      <c r="I642" t="s">
        <v>1515</v>
      </c>
      <c r="J642">
        <v>9.9746132999999997</v>
      </c>
      <c r="K642">
        <v>-84.096176400000004</v>
      </c>
      <c r="L642" t="s">
        <v>1225</v>
      </c>
      <c r="M642" t="s">
        <v>94</v>
      </c>
      <c r="N642" t="s">
        <v>95</v>
      </c>
      <c r="O642" t="s">
        <v>96</v>
      </c>
      <c r="P642">
        <v>11</v>
      </c>
      <c r="Q642" t="s">
        <v>108</v>
      </c>
      <c r="S642" t="str">
        <f>_xlfn.XLOOKUP(UNIVERSO[[#This Row],[Ruta]],'[1]CUOTA RUTA'!A:A,'[1]CUOTA RUTA'!D:D)</f>
        <v>Cargar</v>
      </c>
    </row>
    <row r="643" spans="1:19" x14ac:dyDescent="0.25">
      <c r="A643">
        <v>1500009022</v>
      </c>
      <c r="B643" t="s">
        <v>1516</v>
      </c>
      <c r="C643" t="s">
        <v>19</v>
      </c>
      <c r="D643" t="s">
        <v>32</v>
      </c>
      <c r="E643" t="s">
        <v>21</v>
      </c>
      <c r="F643" t="s">
        <v>22</v>
      </c>
      <c r="G643" t="s">
        <v>33</v>
      </c>
      <c r="H643" t="s">
        <v>183</v>
      </c>
      <c r="I643" t="s">
        <v>1517</v>
      </c>
      <c r="J643">
        <v>9.9659933333329995</v>
      </c>
      <c r="K643">
        <v>-84.053961666660001</v>
      </c>
      <c r="L643" t="s">
        <v>1225</v>
      </c>
      <c r="M643" t="s">
        <v>36</v>
      </c>
      <c r="N643" t="s">
        <v>37</v>
      </c>
      <c r="O643" t="s">
        <v>38</v>
      </c>
      <c r="P643">
        <v>22</v>
      </c>
      <c r="Q643" t="s">
        <v>30</v>
      </c>
      <c r="S643" t="str">
        <f>_xlfn.XLOOKUP(UNIVERSO[[#This Row],[Ruta]],'[1]CUOTA RUTA'!A:A,'[1]CUOTA RUTA'!D:D)</f>
        <v>Cargar</v>
      </c>
    </row>
    <row r="644" spans="1:19" x14ac:dyDescent="0.25">
      <c r="A644">
        <v>1500009044</v>
      </c>
      <c r="B644" t="s">
        <v>1518</v>
      </c>
      <c r="C644" t="s">
        <v>19</v>
      </c>
      <c r="D644" t="s">
        <v>32</v>
      </c>
      <c r="E644" t="s">
        <v>21</v>
      </c>
      <c r="F644" t="s">
        <v>22</v>
      </c>
      <c r="G644" t="s">
        <v>23</v>
      </c>
      <c r="H644" t="s">
        <v>183</v>
      </c>
      <c r="I644" t="s">
        <v>1519</v>
      </c>
      <c r="J644">
        <v>9.9673933333329998</v>
      </c>
      <c r="K644">
        <v>-84.048929999999999</v>
      </c>
      <c r="L644" t="s">
        <v>1225</v>
      </c>
      <c r="M644" t="s">
        <v>36</v>
      </c>
      <c r="N644" t="s">
        <v>37</v>
      </c>
      <c r="O644" t="s">
        <v>38</v>
      </c>
      <c r="P644">
        <v>22</v>
      </c>
      <c r="Q644" t="s">
        <v>30</v>
      </c>
      <c r="S644" t="str">
        <f>_xlfn.XLOOKUP(UNIVERSO[[#This Row],[Ruta]],'[1]CUOTA RUTA'!A:A,'[1]CUOTA RUTA'!D:D)</f>
        <v>Cargar</v>
      </c>
    </row>
    <row r="645" spans="1:19" x14ac:dyDescent="0.25">
      <c r="A645">
        <v>1500009084</v>
      </c>
      <c r="B645" t="s">
        <v>1520</v>
      </c>
      <c r="C645" t="s">
        <v>19</v>
      </c>
      <c r="D645" t="s">
        <v>32</v>
      </c>
      <c r="E645" t="s">
        <v>21</v>
      </c>
      <c r="F645" t="s">
        <v>22</v>
      </c>
      <c r="G645" t="s">
        <v>33</v>
      </c>
      <c r="H645" t="s">
        <v>625</v>
      </c>
      <c r="I645" t="s">
        <v>1521</v>
      </c>
      <c r="J645">
        <v>9.9778502000000007</v>
      </c>
      <c r="K645">
        <v>-84.041489999999996</v>
      </c>
      <c r="L645" t="s">
        <v>1225</v>
      </c>
      <c r="M645" t="s">
        <v>94</v>
      </c>
      <c r="N645" t="s">
        <v>95</v>
      </c>
      <c r="O645" t="s">
        <v>96</v>
      </c>
      <c r="P645">
        <v>7</v>
      </c>
      <c r="Q645" t="s">
        <v>39</v>
      </c>
      <c r="S645" t="str">
        <f>_xlfn.XLOOKUP(UNIVERSO[[#This Row],[Ruta]],'[1]CUOTA RUTA'!A:A,'[1]CUOTA RUTA'!D:D)</f>
        <v>Cargar</v>
      </c>
    </row>
    <row r="646" spans="1:19" x14ac:dyDescent="0.25">
      <c r="A646">
        <v>1500009117</v>
      </c>
      <c r="B646" t="s">
        <v>1522</v>
      </c>
      <c r="C646" t="s">
        <v>19</v>
      </c>
      <c r="D646" t="s">
        <v>32</v>
      </c>
      <c r="E646" t="s">
        <v>21</v>
      </c>
      <c r="F646" t="s">
        <v>22</v>
      </c>
      <c r="G646" t="s">
        <v>33</v>
      </c>
      <c r="H646" t="s">
        <v>183</v>
      </c>
      <c r="I646" t="s">
        <v>1523</v>
      </c>
      <c r="J646">
        <v>9.9629100000000008</v>
      </c>
      <c r="K646">
        <v>-84.042400000000001</v>
      </c>
      <c r="L646" t="s">
        <v>1225</v>
      </c>
      <c r="M646" t="s">
        <v>36</v>
      </c>
      <c r="N646" t="s">
        <v>37</v>
      </c>
      <c r="O646" t="s">
        <v>38</v>
      </c>
      <c r="P646">
        <v>22</v>
      </c>
      <c r="Q646" t="s">
        <v>30</v>
      </c>
      <c r="S646" t="str">
        <f>_xlfn.XLOOKUP(UNIVERSO[[#This Row],[Ruta]],'[1]CUOTA RUTA'!A:A,'[1]CUOTA RUTA'!D:D)</f>
        <v>Cargar</v>
      </c>
    </row>
    <row r="647" spans="1:19" x14ac:dyDescent="0.25">
      <c r="A647">
        <v>1500009128</v>
      </c>
      <c r="B647" t="s">
        <v>1524</v>
      </c>
      <c r="C647" t="s">
        <v>19</v>
      </c>
      <c r="D647" t="s">
        <v>32</v>
      </c>
      <c r="E647" t="s">
        <v>21</v>
      </c>
      <c r="F647" t="s">
        <v>22</v>
      </c>
      <c r="G647" t="s">
        <v>64</v>
      </c>
      <c r="H647" t="s">
        <v>148</v>
      </c>
      <c r="I647" t="s">
        <v>1525</v>
      </c>
      <c r="J647">
        <v>9.9735899999999997</v>
      </c>
      <c r="K647">
        <v>-84.024100000000004</v>
      </c>
      <c r="L647" t="s">
        <v>1225</v>
      </c>
      <c r="M647" t="s">
        <v>94</v>
      </c>
      <c r="N647" t="s">
        <v>95</v>
      </c>
      <c r="O647" t="s">
        <v>96</v>
      </c>
      <c r="P647">
        <v>2</v>
      </c>
      <c r="Q647" t="s">
        <v>150</v>
      </c>
      <c r="S647" t="str">
        <f>_xlfn.XLOOKUP(UNIVERSO[[#This Row],[Ruta]],'[1]CUOTA RUTA'!A:A,'[1]CUOTA RUTA'!D:D)</f>
        <v>Cargar</v>
      </c>
    </row>
    <row r="648" spans="1:19" x14ac:dyDescent="0.25">
      <c r="A648">
        <v>1500009161</v>
      </c>
      <c r="B648" t="s">
        <v>1526</v>
      </c>
      <c r="C648" t="s">
        <v>19</v>
      </c>
      <c r="D648" t="s">
        <v>32</v>
      </c>
      <c r="E648" t="s">
        <v>21</v>
      </c>
      <c r="F648" t="s">
        <v>51</v>
      </c>
      <c r="G648" t="s">
        <v>23</v>
      </c>
      <c r="H648" t="s">
        <v>134</v>
      </c>
      <c r="I648" t="s">
        <v>1527</v>
      </c>
      <c r="J648">
        <v>9.9683480000000007</v>
      </c>
      <c r="K648">
        <v>-83.999390000000005</v>
      </c>
      <c r="L648" t="s">
        <v>1225</v>
      </c>
      <c r="M648" t="s">
        <v>94</v>
      </c>
      <c r="N648" t="s">
        <v>95</v>
      </c>
      <c r="O648" t="s">
        <v>96</v>
      </c>
      <c r="P648">
        <v>12</v>
      </c>
      <c r="Q648" t="s">
        <v>42</v>
      </c>
      <c r="S648" t="str">
        <f>_xlfn.XLOOKUP(UNIVERSO[[#This Row],[Ruta]],'[1]CUOTA RUTA'!A:A,'[1]CUOTA RUTA'!D:D)</f>
        <v>Cargar</v>
      </c>
    </row>
    <row r="649" spans="1:19" x14ac:dyDescent="0.25">
      <c r="A649">
        <v>1500009216</v>
      </c>
      <c r="B649" t="s">
        <v>1528</v>
      </c>
      <c r="C649" t="s">
        <v>19</v>
      </c>
      <c r="D649" t="s">
        <v>32</v>
      </c>
      <c r="E649" t="s">
        <v>21</v>
      </c>
      <c r="F649" t="s">
        <v>22</v>
      </c>
      <c r="G649" t="s">
        <v>33</v>
      </c>
      <c r="H649" t="s">
        <v>92</v>
      </c>
      <c r="I649" t="s">
        <v>1529</v>
      </c>
      <c r="J649">
        <v>9.9779710000000001</v>
      </c>
      <c r="K649">
        <v>-84.006962999999999</v>
      </c>
      <c r="L649" t="s">
        <v>1225</v>
      </c>
      <c r="M649" t="s">
        <v>94</v>
      </c>
      <c r="N649" t="s">
        <v>95</v>
      </c>
      <c r="O649" t="s">
        <v>96</v>
      </c>
      <c r="P649">
        <v>1</v>
      </c>
      <c r="Q649" t="s">
        <v>155</v>
      </c>
      <c r="S649" t="str">
        <f>_xlfn.XLOOKUP(UNIVERSO[[#This Row],[Ruta]],'[1]CUOTA RUTA'!A:A,'[1]CUOTA RUTA'!D:D)</f>
        <v>Cargar</v>
      </c>
    </row>
    <row r="650" spans="1:19" x14ac:dyDescent="0.25">
      <c r="A650">
        <v>1500009222</v>
      </c>
      <c r="B650" t="s">
        <v>1530</v>
      </c>
      <c r="C650" t="s">
        <v>19</v>
      </c>
      <c r="D650" t="s">
        <v>32</v>
      </c>
      <c r="E650" t="s">
        <v>21</v>
      </c>
      <c r="F650" t="s">
        <v>22</v>
      </c>
      <c r="G650" t="s">
        <v>33</v>
      </c>
      <c r="H650" t="s">
        <v>92</v>
      </c>
      <c r="I650" t="s">
        <v>1531</v>
      </c>
      <c r="J650">
        <v>9.9777699999999996</v>
      </c>
      <c r="K650">
        <v>-84.006900000000002</v>
      </c>
      <c r="L650" t="s">
        <v>1225</v>
      </c>
      <c r="M650" t="s">
        <v>94</v>
      </c>
      <c r="N650" t="s">
        <v>95</v>
      </c>
      <c r="O650" t="s">
        <v>96</v>
      </c>
      <c r="P650">
        <v>1</v>
      </c>
      <c r="Q650" t="s">
        <v>155</v>
      </c>
      <c r="S650" t="str">
        <f>_xlfn.XLOOKUP(UNIVERSO[[#This Row],[Ruta]],'[1]CUOTA RUTA'!A:A,'[1]CUOTA RUTA'!D:D)</f>
        <v>Cargar</v>
      </c>
    </row>
    <row r="651" spans="1:19" x14ac:dyDescent="0.25">
      <c r="A651">
        <v>1500009236</v>
      </c>
      <c r="B651" t="s">
        <v>1532</v>
      </c>
      <c r="C651" t="s">
        <v>19</v>
      </c>
      <c r="D651" t="s">
        <v>32</v>
      </c>
      <c r="E651" t="s">
        <v>21</v>
      </c>
      <c r="F651" t="s">
        <v>22</v>
      </c>
      <c r="G651" t="s">
        <v>33</v>
      </c>
      <c r="H651" t="s">
        <v>148</v>
      </c>
      <c r="I651" t="s">
        <v>1533</v>
      </c>
      <c r="J651">
        <v>9.9823202000000002</v>
      </c>
      <c r="K651">
        <v>-84.009416799999997</v>
      </c>
      <c r="L651" t="s">
        <v>1225</v>
      </c>
      <c r="M651" t="s">
        <v>94</v>
      </c>
      <c r="N651" t="s">
        <v>95</v>
      </c>
      <c r="O651" t="s">
        <v>96</v>
      </c>
      <c r="P651">
        <v>1</v>
      </c>
      <c r="Q651" t="s">
        <v>155</v>
      </c>
      <c r="S651" t="str">
        <f>_xlfn.XLOOKUP(UNIVERSO[[#This Row],[Ruta]],'[1]CUOTA RUTA'!A:A,'[1]CUOTA RUTA'!D:D)</f>
        <v>Cargar</v>
      </c>
    </row>
    <row r="652" spans="1:19" x14ac:dyDescent="0.25">
      <c r="A652">
        <v>1500009639</v>
      </c>
      <c r="B652" t="s">
        <v>1534</v>
      </c>
      <c r="C652" t="s">
        <v>19</v>
      </c>
      <c r="D652" t="s">
        <v>32</v>
      </c>
      <c r="E652" t="s">
        <v>21</v>
      </c>
      <c r="F652" t="s">
        <v>22</v>
      </c>
      <c r="G652" t="s">
        <v>33</v>
      </c>
      <c r="H652" t="s">
        <v>159</v>
      </c>
      <c r="I652" t="s">
        <v>1535</v>
      </c>
      <c r="J652">
        <v>9.8994859999999996</v>
      </c>
      <c r="K652">
        <v>-84.110664</v>
      </c>
      <c r="L652" t="s">
        <v>1225</v>
      </c>
      <c r="M652" t="s">
        <v>71</v>
      </c>
      <c r="N652" t="s">
        <v>72</v>
      </c>
      <c r="O652" t="s">
        <v>73</v>
      </c>
      <c r="P652">
        <v>13</v>
      </c>
      <c r="Q652" t="s">
        <v>161</v>
      </c>
      <c r="S652" t="str">
        <f>_xlfn.XLOOKUP(UNIVERSO[[#This Row],[Ruta]],'[1]CUOTA RUTA'!A:A,'[1]CUOTA RUTA'!D:D)</f>
        <v>Cargar</v>
      </c>
    </row>
    <row r="653" spans="1:19" x14ac:dyDescent="0.25">
      <c r="A653">
        <v>1500009674</v>
      </c>
      <c r="B653" t="s">
        <v>1536</v>
      </c>
      <c r="C653" t="s">
        <v>19</v>
      </c>
      <c r="D653" t="s">
        <v>20</v>
      </c>
      <c r="E653" t="s">
        <v>21</v>
      </c>
      <c r="F653" t="s">
        <v>22</v>
      </c>
      <c r="G653" t="s">
        <v>33</v>
      </c>
      <c r="H653" t="s">
        <v>143</v>
      </c>
      <c r="I653" t="s">
        <v>1537</v>
      </c>
      <c r="J653">
        <v>9.94887385</v>
      </c>
      <c r="K653">
        <v>-84.113464769999993</v>
      </c>
      <c r="L653" t="s">
        <v>1225</v>
      </c>
      <c r="M653" t="s">
        <v>27</v>
      </c>
      <c r="N653" t="s">
        <v>28</v>
      </c>
      <c r="O653" t="s">
        <v>29</v>
      </c>
      <c r="P653">
        <v>10</v>
      </c>
      <c r="Q653" t="s">
        <v>136</v>
      </c>
      <c r="S653" t="str">
        <f>_xlfn.XLOOKUP(UNIVERSO[[#This Row],[Ruta]],'[1]CUOTA RUTA'!A:A,'[1]CUOTA RUTA'!D:D)</f>
        <v>Cargar</v>
      </c>
    </row>
    <row r="654" spans="1:19" x14ac:dyDescent="0.25">
      <c r="A654">
        <v>1500010028</v>
      </c>
      <c r="B654" t="s">
        <v>1538</v>
      </c>
      <c r="C654" t="s">
        <v>19</v>
      </c>
      <c r="D654" t="s">
        <v>32</v>
      </c>
      <c r="E654" t="s">
        <v>21</v>
      </c>
      <c r="F654" t="s">
        <v>22</v>
      </c>
      <c r="G654" t="s">
        <v>64</v>
      </c>
      <c r="H654" t="s">
        <v>106</v>
      </c>
      <c r="I654" t="s">
        <v>1539</v>
      </c>
      <c r="J654">
        <v>9.9141929999999991</v>
      </c>
      <c r="K654">
        <v>-84.111628999999994</v>
      </c>
      <c r="L654" t="s">
        <v>1225</v>
      </c>
      <c r="M654" t="s">
        <v>71</v>
      </c>
      <c r="N654" t="s">
        <v>72</v>
      </c>
      <c r="O654" t="s">
        <v>73</v>
      </c>
      <c r="P654">
        <v>11</v>
      </c>
      <c r="Q654" t="s">
        <v>108</v>
      </c>
      <c r="S654" t="str">
        <f>_xlfn.XLOOKUP(UNIVERSO[[#This Row],[Ruta]],'[1]CUOTA RUTA'!A:A,'[1]CUOTA RUTA'!D:D)</f>
        <v>Cargar</v>
      </c>
    </row>
    <row r="655" spans="1:19" x14ac:dyDescent="0.25">
      <c r="A655">
        <v>1500010046</v>
      </c>
      <c r="B655" t="s">
        <v>1540</v>
      </c>
      <c r="C655" t="s">
        <v>19</v>
      </c>
      <c r="D655" t="s">
        <v>32</v>
      </c>
      <c r="E655" t="s">
        <v>21</v>
      </c>
      <c r="F655" t="s">
        <v>22</v>
      </c>
      <c r="G655" t="s">
        <v>64</v>
      </c>
      <c r="H655" t="s">
        <v>159</v>
      </c>
      <c r="I655" t="s">
        <v>1541</v>
      </c>
      <c r="J655">
        <v>9.9020600000000005</v>
      </c>
      <c r="K655">
        <v>-84.104100000000003</v>
      </c>
      <c r="L655" t="s">
        <v>1225</v>
      </c>
      <c r="M655" t="s">
        <v>71</v>
      </c>
      <c r="N655" t="s">
        <v>72</v>
      </c>
      <c r="O655" t="s">
        <v>73</v>
      </c>
      <c r="P655">
        <v>13</v>
      </c>
      <c r="Q655" t="s">
        <v>161</v>
      </c>
      <c r="S655" t="str">
        <f>_xlfn.XLOOKUP(UNIVERSO[[#This Row],[Ruta]],'[1]CUOTA RUTA'!A:A,'[1]CUOTA RUTA'!D:D)</f>
        <v>Cargar</v>
      </c>
    </row>
    <row r="656" spans="1:19" x14ac:dyDescent="0.25">
      <c r="A656">
        <v>1500010058</v>
      </c>
      <c r="B656" t="s">
        <v>1542</v>
      </c>
      <c r="C656" t="s">
        <v>19</v>
      </c>
      <c r="D656" t="s">
        <v>32</v>
      </c>
      <c r="E656" t="s">
        <v>21</v>
      </c>
      <c r="F656" t="s">
        <v>22</v>
      </c>
      <c r="G656" t="s">
        <v>33</v>
      </c>
      <c r="H656" t="s">
        <v>159</v>
      </c>
      <c r="I656" t="s">
        <v>1543</v>
      </c>
      <c r="J656">
        <v>9.8999640000000007</v>
      </c>
      <c r="K656">
        <v>-84.111641000000006</v>
      </c>
      <c r="L656" t="s">
        <v>1225</v>
      </c>
      <c r="M656" t="s">
        <v>71</v>
      </c>
      <c r="N656" t="s">
        <v>72</v>
      </c>
      <c r="O656" t="s">
        <v>73</v>
      </c>
      <c r="P656">
        <v>13</v>
      </c>
      <c r="Q656" t="s">
        <v>161</v>
      </c>
      <c r="S656" t="str">
        <f>_xlfn.XLOOKUP(UNIVERSO[[#This Row],[Ruta]],'[1]CUOTA RUTA'!A:A,'[1]CUOTA RUTA'!D:D)</f>
        <v>Cargar</v>
      </c>
    </row>
    <row r="657" spans="1:19" x14ac:dyDescent="0.25">
      <c r="A657">
        <v>1500010069</v>
      </c>
      <c r="B657" t="s">
        <v>1544</v>
      </c>
      <c r="C657" t="s">
        <v>19</v>
      </c>
      <c r="D657" t="s">
        <v>32</v>
      </c>
      <c r="E657" t="s">
        <v>21</v>
      </c>
      <c r="F657" t="s">
        <v>22</v>
      </c>
      <c r="G657" t="s">
        <v>33</v>
      </c>
      <c r="H657" t="s">
        <v>159</v>
      </c>
      <c r="I657" t="s">
        <v>1545</v>
      </c>
      <c r="J657">
        <v>9.904928</v>
      </c>
      <c r="K657">
        <v>-84.106110000000001</v>
      </c>
      <c r="L657" t="s">
        <v>1225</v>
      </c>
      <c r="M657" t="s">
        <v>71</v>
      </c>
      <c r="N657" t="s">
        <v>72</v>
      </c>
      <c r="O657" t="s">
        <v>73</v>
      </c>
      <c r="P657">
        <v>13</v>
      </c>
      <c r="Q657" t="s">
        <v>161</v>
      </c>
      <c r="S657" t="str">
        <f>_xlfn.XLOOKUP(UNIVERSO[[#This Row],[Ruta]],'[1]CUOTA RUTA'!A:A,'[1]CUOTA RUTA'!D:D)</f>
        <v>Cargar</v>
      </c>
    </row>
    <row r="658" spans="1:19" x14ac:dyDescent="0.25">
      <c r="A658">
        <v>1500010163</v>
      </c>
      <c r="B658" t="s">
        <v>1546</v>
      </c>
      <c r="C658" t="s">
        <v>19</v>
      </c>
      <c r="D658" t="s">
        <v>32</v>
      </c>
      <c r="E658" t="s">
        <v>21</v>
      </c>
      <c r="F658" t="s">
        <v>22</v>
      </c>
      <c r="G658" t="s">
        <v>33</v>
      </c>
      <c r="H658" t="s">
        <v>159</v>
      </c>
      <c r="I658" t="s">
        <v>1547</v>
      </c>
      <c r="J658">
        <v>9.8877000000000006</v>
      </c>
      <c r="K658">
        <v>-84.115600000000001</v>
      </c>
      <c r="L658" t="s">
        <v>1225</v>
      </c>
      <c r="M658" t="s">
        <v>71</v>
      </c>
      <c r="N658" t="s">
        <v>72</v>
      </c>
      <c r="O658" t="s">
        <v>73</v>
      </c>
      <c r="P658">
        <v>14</v>
      </c>
      <c r="Q658" t="s">
        <v>181</v>
      </c>
      <c r="S658" t="str">
        <f>_xlfn.XLOOKUP(UNIVERSO[[#This Row],[Ruta]],'[1]CUOTA RUTA'!A:A,'[1]CUOTA RUTA'!D:D)</f>
        <v>Cargar</v>
      </c>
    </row>
    <row r="659" spans="1:19" x14ac:dyDescent="0.25">
      <c r="A659">
        <v>1500010535</v>
      </c>
      <c r="B659" t="s">
        <v>1548</v>
      </c>
      <c r="C659" t="s">
        <v>19</v>
      </c>
      <c r="D659" t="s">
        <v>32</v>
      </c>
      <c r="E659" t="s">
        <v>21</v>
      </c>
      <c r="F659" t="s">
        <v>22</v>
      </c>
      <c r="G659" t="s">
        <v>64</v>
      </c>
      <c r="H659" t="s">
        <v>625</v>
      </c>
      <c r="I659" t="s">
        <v>1549</v>
      </c>
      <c r="J659">
        <v>10.011566666666999</v>
      </c>
      <c r="K659">
        <v>-84.056444999999997</v>
      </c>
      <c r="L659" t="s">
        <v>1225</v>
      </c>
      <c r="M659" t="s">
        <v>94</v>
      </c>
      <c r="N659" t="s">
        <v>95</v>
      </c>
      <c r="O659" t="s">
        <v>96</v>
      </c>
      <c r="P659">
        <v>6</v>
      </c>
      <c r="Q659" t="s">
        <v>49</v>
      </c>
      <c r="S659" t="str">
        <f>_xlfn.XLOOKUP(UNIVERSO[[#This Row],[Ruta]],'[1]CUOTA RUTA'!A:A,'[1]CUOTA RUTA'!D:D)</f>
        <v>Cargar</v>
      </c>
    </row>
    <row r="660" spans="1:19" x14ac:dyDescent="0.25">
      <c r="A660">
        <v>1500010944</v>
      </c>
      <c r="B660" t="s">
        <v>1550</v>
      </c>
      <c r="C660" t="s">
        <v>19</v>
      </c>
      <c r="D660" t="s">
        <v>32</v>
      </c>
      <c r="E660" t="s">
        <v>21</v>
      </c>
      <c r="F660" t="s">
        <v>22</v>
      </c>
      <c r="G660" t="s">
        <v>64</v>
      </c>
      <c r="H660" t="s">
        <v>148</v>
      </c>
      <c r="I660" t="s">
        <v>1551</v>
      </c>
      <c r="J660">
        <v>9.9754129999999996</v>
      </c>
      <c r="K660">
        <v>-83.966707999999997</v>
      </c>
      <c r="L660" t="s">
        <v>1225</v>
      </c>
      <c r="M660" t="s">
        <v>94</v>
      </c>
      <c r="N660" t="s">
        <v>95</v>
      </c>
      <c r="O660" t="s">
        <v>96</v>
      </c>
      <c r="P660">
        <v>12</v>
      </c>
      <c r="Q660" t="s">
        <v>42</v>
      </c>
      <c r="S660" t="str">
        <f>_xlfn.XLOOKUP(UNIVERSO[[#This Row],[Ruta]],'[1]CUOTA RUTA'!A:A,'[1]CUOTA RUTA'!D:D)</f>
        <v>Cargar</v>
      </c>
    </row>
    <row r="661" spans="1:19" x14ac:dyDescent="0.25">
      <c r="A661">
        <v>1500010959</v>
      </c>
      <c r="B661" t="s">
        <v>1552</v>
      </c>
      <c r="C661" t="s">
        <v>19</v>
      </c>
      <c r="D661" t="s">
        <v>32</v>
      </c>
      <c r="E661" t="s">
        <v>21</v>
      </c>
      <c r="F661" t="s">
        <v>22</v>
      </c>
      <c r="G661" t="s">
        <v>33</v>
      </c>
      <c r="H661" t="s">
        <v>134</v>
      </c>
      <c r="I661" t="s">
        <v>1553</v>
      </c>
      <c r="J661">
        <v>9.9610900000000004</v>
      </c>
      <c r="K661">
        <v>-84.047899999999998</v>
      </c>
      <c r="L661" t="s">
        <v>1225</v>
      </c>
      <c r="M661" t="s">
        <v>94</v>
      </c>
      <c r="N661" t="s">
        <v>95</v>
      </c>
      <c r="O661" t="s">
        <v>96</v>
      </c>
      <c r="P661">
        <v>8</v>
      </c>
      <c r="Q661" t="s">
        <v>97</v>
      </c>
      <c r="S661" t="str">
        <f>_xlfn.XLOOKUP(UNIVERSO[[#This Row],[Ruta]],'[1]CUOTA RUTA'!A:A,'[1]CUOTA RUTA'!D:D)</f>
        <v>Cargar</v>
      </c>
    </row>
    <row r="662" spans="1:19" x14ac:dyDescent="0.25">
      <c r="A662">
        <v>1500011013</v>
      </c>
      <c r="B662" t="s">
        <v>1554</v>
      </c>
      <c r="C662" t="s">
        <v>19</v>
      </c>
      <c r="D662" t="s">
        <v>20</v>
      </c>
      <c r="E662" t="s">
        <v>21</v>
      </c>
      <c r="F662" t="s">
        <v>22</v>
      </c>
      <c r="G662" t="s">
        <v>23</v>
      </c>
      <c r="H662" t="s">
        <v>52</v>
      </c>
      <c r="I662" t="s">
        <v>1555</v>
      </c>
      <c r="J662">
        <v>9.9174358999999992</v>
      </c>
      <c r="K662">
        <v>-84.130586899999997</v>
      </c>
      <c r="L662" t="s">
        <v>1225</v>
      </c>
      <c r="M662" t="s">
        <v>54</v>
      </c>
      <c r="N662" t="s">
        <v>55</v>
      </c>
      <c r="O662" t="s">
        <v>56</v>
      </c>
      <c r="P662">
        <v>13</v>
      </c>
      <c r="Q662" t="s">
        <v>161</v>
      </c>
      <c r="S662" t="str">
        <f>_xlfn.XLOOKUP(UNIVERSO[[#This Row],[Ruta]],'[1]CUOTA RUTA'!A:A,'[1]CUOTA RUTA'!D:D)</f>
        <v>Cargar</v>
      </c>
    </row>
    <row r="663" spans="1:19" x14ac:dyDescent="0.25">
      <c r="A663">
        <v>1500011022</v>
      </c>
      <c r="B663" t="s">
        <v>1463</v>
      </c>
      <c r="C663" t="s">
        <v>19</v>
      </c>
      <c r="D663" t="s">
        <v>20</v>
      </c>
      <c r="E663" t="s">
        <v>21</v>
      </c>
      <c r="F663" t="s">
        <v>22</v>
      </c>
      <c r="G663" t="s">
        <v>23</v>
      </c>
      <c r="H663" t="s">
        <v>52</v>
      </c>
      <c r="I663" t="s">
        <v>1556</v>
      </c>
      <c r="J663">
        <v>9.9097013</v>
      </c>
      <c r="K663">
        <v>-84.134455900000006</v>
      </c>
      <c r="L663" t="s">
        <v>1225</v>
      </c>
      <c r="M663" t="s">
        <v>54</v>
      </c>
      <c r="N663" t="s">
        <v>55</v>
      </c>
      <c r="O663" t="s">
        <v>56</v>
      </c>
      <c r="P663">
        <v>12</v>
      </c>
      <c r="Q663" t="s">
        <v>42</v>
      </c>
      <c r="S663" t="str">
        <f>_xlfn.XLOOKUP(UNIVERSO[[#This Row],[Ruta]],'[1]CUOTA RUTA'!A:A,'[1]CUOTA RUTA'!D:D)</f>
        <v>Cargar</v>
      </c>
    </row>
    <row r="664" spans="1:19" x14ac:dyDescent="0.25">
      <c r="A664">
        <v>1500011042</v>
      </c>
      <c r="B664" t="s">
        <v>1557</v>
      </c>
      <c r="C664" t="s">
        <v>19</v>
      </c>
      <c r="D664" t="s">
        <v>20</v>
      </c>
      <c r="E664" t="s">
        <v>21</v>
      </c>
      <c r="F664" t="s">
        <v>22</v>
      </c>
      <c r="G664" t="s">
        <v>23</v>
      </c>
      <c r="H664" t="s">
        <v>52</v>
      </c>
      <c r="I664" t="s">
        <v>1558</v>
      </c>
      <c r="J664">
        <v>9.9058255000000006</v>
      </c>
      <c r="K664">
        <v>-84.139867600000002</v>
      </c>
      <c r="L664" t="s">
        <v>1225</v>
      </c>
      <c r="M664" t="s">
        <v>54</v>
      </c>
      <c r="N664" t="s">
        <v>55</v>
      </c>
      <c r="O664" t="s">
        <v>56</v>
      </c>
      <c r="P664">
        <v>12</v>
      </c>
      <c r="Q664" t="s">
        <v>42</v>
      </c>
      <c r="S664" t="str">
        <f>_xlfn.XLOOKUP(UNIVERSO[[#This Row],[Ruta]],'[1]CUOTA RUTA'!A:A,'[1]CUOTA RUTA'!D:D)</f>
        <v>Cargar</v>
      </c>
    </row>
    <row r="665" spans="1:19" x14ac:dyDescent="0.25">
      <c r="A665">
        <v>1500011170</v>
      </c>
      <c r="B665" t="s">
        <v>1559</v>
      </c>
      <c r="C665" t="s">
        <v>19</v>
      </c>
      <c r="D665" t="s">
        <v>266</v>
      </c>
      <c r="E665" t="s">
        <v>21</v>
      </c>
      <c r="F665" t="s">
        <v>22</v>
      </c>
      <c r="G665" t="s">
        <v>23</v>
      </c>
      <c r="H665" t="s">
        <v>404</v>
      </c>
      <c r="I665" t="s">
        <v>1560</v>
      </c>
      <c r="J665">
        <v>9.8517333333329997</v>
      </c>
      <c r="K665">
        <v>-83.900348333330001</v>
      </c>
      <c r="L665" t="s">
        <v>1225</v>
      </c>
      <c r="M665" t="s">
        <v>36</v>
      </c>
      <c r="N665" t="s">
        <v>316</v>
      </c>
      <c r="O665" t="s">
        <v>317</v>
      </c>
      <c r="P665">
        <v>17</v>
      </c>
      <c r="Q665" t="s">
        <v>287</v>
      </c>
      <c r="S665" t="str">
        <f>_xlfn.XLOOKUP(UNIVERSO[[#This Row],[Ruta]],'[1]CUOTA RUTA'!A:A,'[1]CUOTA RUTA'!D:D)</f>
        <v>Cargar</v>
      </c>
    </row>
    <row r="666" spans="1:19" x14ac:dyDescent="0.25">
      <c r="A666">
        <v>1500011301</v>
      </c>
      <c r="B666" t="s">
        <v>1561</v>
      </c>
      <c r="C666" t="s">
        <v>19</v>
      </c>
      <c r="D666" t="s">
        <v>20</v>
      </c>
      <c r="E666" t="s">
        <v>21</v>
      </c>
      <c r="F666" t="s">
        <v>22</v>
      </c>
      <c r="G666" t="s">
        <v>23</v>
      </c>
      <c r="H666" t="s">
        <v>52</v>
      </c>
      <c r="I666" t="s">
        <v>1562</v>
      </c>
      <c r="J666">
        <v>9.8968500000000006</v>
      </c>
      <c r="K666">
        <v>-84.141220000000004</v>
      </c>
      <c r="L666" t="s">
        <v>1225</v>
      </c>
      <c r="M666" t="s">
        <v>54</v>
      </c>
      <c r="N666" t="s">
        <v>55</v>
      </c>
      <c r="O666" t="s">
        <v>56</v>
      </c>
      <c r="P666">
        <v>13</v>
      </c>
      <c r="Q666" t="s">
        <v>161</v>
      </c>
      <c r="S666" t="str">
        <f>_xlfn.XLOOKUP(UNIVERSO[[#This Row],[Ruta]],'[1]CUOTA RUTA'!A:A,'[1]CUOTA RUTA'!D:D)</f>
        <v>Cargar</v>
      </c>
    </row>
    <row r="667" spans="1:19" x14ac:dyDescent="0.25">
      <c r="A667">
        <v>1500011307</v>
      </c>
      <c r="B667" t="s">
        <v>1563</v>
      </c>
      <c r="C667" t="s">
        <v>19</v>
      </c>
      <c r="D667" t="s">
        <v>20</v>
      </c>
      <c r="E667" t="s">
        <v>21</v>
      </c>
      <c r="F667" t="s">
        <v>22</v>
      </c>
      <c r="G667" t="s">
        <v>23</v>
      </c>
      <c r="H667" t="s">
        <v>277</v>
      </c>
      <c r="I667" t="s">
        <v>1564</v>
      </c>
      <c r="J667">
        <v>9.9023000000000003</v>
      </c>
      <c r="K667">
        <v>-84.138800000000003</v>
      </c>
      <c r="L667" t="s">
        <v>1225</v>
      </c>
      <c r="M667" t="s">
        <v>54</v>
      </c>
      <c r="N667" t="s">
        <v>55</v>
      </c>
      <c r="O667" t="s">
        <v>56</v>
      </c>
      <c r="P667">
        <v>13</v>
      </c>
      <c r="Q667" t="s">
        <v>161</v>
      </c>
      <c r="S667" t="str">
        <f>_xlfn.XLOOKUP(UNIVERSO[[#This Row],[Ruta]],'[1]CUOTA RUTA'!A:A,'[1]CUOTA RUTA'!D:D)</f>
        <v>Cargar</v>
      </c>
    </row>
    <row r="668" spans="1:19" x14ac:dyDescent="0.25">
      <c r="A668">
        <v>1500011308</v>
      </c>
      <c r="B668" t="s">
        <v>1565</v>
      </c>
      <c r="C668" t="s">
        <v>19</v>
      </c>
      <c r="D668" t="s">
        <v>20</v>
      </c>
      <c r="E668" t="s">
        <v>21</v>
      </c>
      <c r="F668" t="s">
        <v>22</v>
      </c>
      <c r="G668" t="s">
        <v>64</v>
      </c>
      <c r="H668" t="s">
        <v>52</v>
      </c>
      <c r="I668" t="s">
        <v>1566</v>
      </c>
      <c r="J668">
        <v>9.90395</v>
      </c>
      <c r="K668">
        <v>-84.153469999999999</v>
      </c>
      <c r="L668" t="s">
        <v>1225</v>
      </c>
      <c r="M668" t="s">
        <v>54</v>
      </c>
      <c r="N668" t="s">
        <v>55</v>
      </c>
      <c r="O668" t="s">
        <v>56</v>
      </c>
      <c r="P668">
        <v>12</v>
      </c>
      <c r="Q668" t="s">
        <v>42</v>
      </c>
      <c r="S668" t="str">
        <f>_xlfn.XLOOKUP(UNIVERSO[[#This Row],[Ruta]],'[1]CUOTA RUTA'!A:A,'[1]CUOTA RUTA'!D:D)</f>
        <v>Cargar</v>
      </c>
    </row>
    <row r="669" spans="1:19" x14ac:dyDescent="0.25">
      <c r="A669">
        <v>1500011313</v>
      </c>
      <c r="B669" t="s">
        <v>1567</v>
      </c>
      <c r="C669" t="s">
        <v>19</v>
      </c>
      <c r="D669" t="s">
        <v>20</v>
      </c>
      <c r="E669" t="s">
        <v>21</v>
      </c>
      <c r="F669" t="s">
        <v>51</v>
      </c>
      <c r="G669" t="s">
        <v>23</v>
      </c>
      <c r="H669" t="s">
        <v>277</v>
      </c>
      <c r="I669" t="s">
        <v>1568</v>
      </c>
      <c r="J669">
        <v>9.9049700000000005</v>
      </c>
      <c r="K669">
        <v>-84.13373</v>
      </c>
      <c r="L669" t="s">
        <v>1225</v>
      </c>
      <c r="M669" t="s">
        <v>54</v>
      </c>
      <c r="N669" t="s">
        <v>55</v>
      </c>
      <c r="O669" t="s">
        <v>56</v>
      </c>
      <c r="P669">
        <v>12</v>
      </c>
      <c r="Q669" t="s">
        <v>42</v>
      </c>
      <c r="S669" t="str">
        <f>_xlfn.XLOOKUP(UNIVERSO[[#This Row],[Ruta]],'[1]CUOTA RUTA'!A:A,'[1]CUOTA RUTA'!D:D)</f>
        <v>Cargar</v>
      </c>
    </row>
    <row r="670" spans="1:19" x14ac:dyDescent="0.25">
      <c r="A670">
        <v>1500011377</v>
      </c>
      <c r="B670" t="s">
        <v>1569</v>
      </c>
      <c r="C670" t="s">
        <v>19</v>
      </c>
      <c r="D670" t="s">
        <v>32</v>
      </c>
      <c r="E670" t="s">
        <v>21</v>
      </c>
      <c r="F670" t="s">
        <v>22</v>
      </c>
      <c r="G670" t="s">
        <v>33</v>
      </c>
      <c r="H670" t="s">
        <v>138</v>
      </c>
      <c r="I670" t="s">
        <v>1570</v>
      </c>
      <c r="J670">
        <v>9.9347569999999994</v>
      </c>
      <c r="K670">
        <v>-84.045910000000006</v>
      </c>
      <c r="L670" t="s">
        <v>1225</v>
      </c>
      <c r="M670" t="s">
        <v>36</v>
      </c>
      <c r="N670" t="s">
        <v>37</v>
      </c>
      <c r="O670" t="s">
        <v>38</v>
      </c>
      <c r="P670">
        <v>8</v>
      </c>
      <c r="Q670" t="s">
        <v>97</v>
      </c>
      <c r="S670" t="str">
        <f>_xlfn.XLOOKUP(UNIVERSO[[#This Row],[Ruta]],'[1]CUOTA RUTA'!A:A,'[1]CUOTA RUTA'!D:D)</f>
        <v>Cargar</v>
      </c>
    </row>
    <row r="671" spans="1:19" x14ac:dyDescent="0.25">
      <c r="A671">
        <v>1500011403</v>
      </c>
      <c r="B671" t="s">
        <v>1571</v>
      </c>
      <c r="C671" t="s">
        <v>19</v>
      </c>
      <c r="D671" t="s">
        <v>32</v>
      </c>
      <c r="E671" t="s">
        <v>21</v>
      </c>
      <c r="F671" t="s">
        <v>22</v>
      </c>
      <c r="G671" t="s">
        <v>64</v>
      </c>
      <c r="H671" t="s">
        <v>82</v>
      </c>
      <c r="I671" t="s">
        <v>1572</v>
      </c>
      <c r="J671">
        <v>9.8870699999999996</v>
      </c>
      <c r="K671">
        <v>-84.0625</v>
      </c>
      <c r="L671" t="s">
        <v>1225</v>
      </c>
      <c r="M671" t="s">
        <v>71</v>
      </c>
      <c r="N671" t="s">
        <v>72</v>
      </c>
      <c r="O671" t="s">
        <v>73</v>
      </c>
      <c r="P671">
        <v>19</v>
      </c>
      <c r="Q671" t="s">
        <v>67</v>
      </c>
      <c r="S671" t="str">
        <f>_xlfn.XLOOKUP(UNIVERSO[[#This Row],[Ruta]],'[1]CUOTA RUTA'!A:A,'[1]CUOTA RUTA'!D:D)</f>
        <v>Cargar</v>
      </c>
    </row>
    <row r="672" spans="1:19" x14ac:dyDescent="0.25">
      <c r="A672">
        <v>1500011410</v>
      </c>
      <c r="B672" t="s">
        <v>1573</v>
      </c>
      <c r="C672" t="s">
        <v>19</v>
      </c>
      <c r="D672" t="s">
        <v>32</v>
      </c>
      <c r="E672" t="s">
        <v>21</v>
      </c>
      <c r="F672" t="s">
        <v>22</v>
      </c>
      <c r="G672" t="s">
        <v>33</v>
      </c>
      <c r="H672" t="s">
        <v>69</v>
      </c>
      <c r="I672" t="s">
        <v>1574</v>
      </c>
      <c r="J672">
        <v>9.8797440000000005</v>
      </c>
      <c r="K672">
        <v>-84.063618000000005</v>
      </c>
      <c r="L672" t="s">
        <v>1225</v>
      </c>
      <c r="M672" t="s">
        <v>71</v>
      </c>
      <c r="N672" t="s">
        <v>72</v>
      </c>
      <c r="O672" t="s">
        <v>73</v>
      </c>
      <c r="P672">
        <v>19</v>
      </c>
      <c r="Q672" t="s">
        <v>67</v>
      </c>
      <c r="S672" t="str">
        <f>_xlfn.XLOOKUP(UNIVERSO[[#This Row],[Ruta]],'[1]CUOTA RUTA'!A:A,'[1]CUOTA RUTA'!D:D)</f>
        <v>Cargar</v>
      </c>
    </row>
    <row r="673" spans="1:19" x14ac:dyDescent="0.25">
      <c r="A673">
        <v>1500011507</v>
      </c>
      <c r="B673" t="s">
        <v>1575</v>
      </c>
      <c r="C673" t="s">
        <v>19</v>
      </c>
      <c r="D673" t="s">
        <v>32</v>
      </c>
      <c r="E673" t="s">
        <v>21</v>
      </c>
      <c r="F673" t="s">
        <v>22</v>
      </c>
      <c r="G673" t="s">
        <v>33</v>
      </c>
      <c r="H673" t="s">
        <v>69</v>
      </c>
      <c r="I673" t="s">
        <v>1576</v>
      </c>
      <c r="J673">
        <v>9.8655266666669998</v>
      </c>
      <c r="K673">
        <v>-84.051836666659995</v>
      </c>
      <c r="L673" t="s">
        <v>1225</v>
      </c>
      <c r="M673" t="s">
        <v>71</v>
      </c>
      <c r="N673" t="s">
        <v>72</v>
      </c>
      <c r="O673" t="s">
        <v>73</v>
      </c>
      <c r="P673">
        <v>20</v>
      </c>
      <c r="Q673" t="s">
        <v>74</v>
      </c>
      <c r="S673" t="str">
        <f>_xlfn.XLOOKUP(UNIVERSO[[#This Row],[Ruta]],'[1]CUOTA RUTA'!A:A,'[1]CUOTA RUTA'!D:D)</f>
        <v>Cargar</v>
      </c>
    </row>
    <row r="674" spans="1:19" x14ac:dyDescent="0.25">
      <c r="A674">
        <v>1500011514</v>
      </c>
      <c r="B674" t="s">
        <v>1577</v>
      </c>
      <c r="C674" t="s">
        <v>19</v>
      </c>
      <c r="D674" t="s">
        <v>32</v>
      </c>
      <c r="E674" t="s">
        <v>21</v>
      </c>
      <c r="F674" t="s">
        <v>22</v>
      </c>
      <c r="G674" t="s">
        <v>33</v>
      </c>
      <c r="H674" t="s">
        <v>69</v>
      </c>
      <c r="I674" t="s">
        <v>1578</v>
      </c>
      <c r="J674">
        <v>9.8689450000000001</v>
      </c>
      <c r="K674">
        <v>-84.045665</v>
      </c>
      <c r="L674" t="s">
        <v>1225</v>
      </c>
      <c r="M674" t="s">
        <v>71</v>
      </c>
      <c r="N674" t="s">
        <v>72</v>
      </c>
      <c r="O674" t="s">
        <v>73</v>
      </c>
      <c r="P674">
        <v>21</v>
      </c>
      <c r="Q674" t="s">
        <v>239</v>
      </c>
      <c r="S674" t="str">
        <f>_xlfn.XLOOKUP(UNIVERSO[[#This Row],[Ruta]],'[1]CUOTA RUTA'!A:A,'[1]CUOTA RUTA'!D:D)</f>
        <v>Cargar</v>
      </c>
    </row>
    <row r="675" spans="1:19" x14ac:dyDescent="0.25">
      <c r="A675">
        <v>1500011538</v>
      </c>
      <c r="B675" t="s">
        <v>1579</v>
      </c>
      <c r="C675" t="s">
        <v>19</v>
      </c>
      <c r="D675" t="s">
        <v>32</v>
      </c>
      <c r="E675" t="s">
        <v>21</v>
      </c>
      <c r="F675" t="s">
        <v>22</v>
      </c>
      <c r="G675" t="s">
        <v>23</v>
      </c>
      <c r="H675" t="s">
        <v>69</v>
      </c>
      <c r="I675" t="s">
        <v>1580</v>
      </c>
      <c r="J675">
        <v>9.8691666666670006</v>
      </c>
      <c r="K675">
        <v>-84.054356666659999</v>
      </c>
      <c r="L675" t="s">
        <v>1225</v>
      </c>
      <c r="M675" t="s">
        <v>71</v>
      </c>
      <c r="N675" t="s">
        <v>72</v>
      </c>
      <c r="O675" t="s">
        <v>73</v>
      </c>
      <c r="P675">
        <v>20</v>
      </c>
      <c r="Q675" t="s">
        <v>74</v>
      </c>
      <c r="S675" t="str">
        <f>_xlfn.XLOOKUP(UNIVERSO[[#This Row],[Ruta]],'[1]CUOTA RUTA'!A:A,'[1]CUOTA RUTA'!D:D)</f>
        <v>Cargar</v>
      </c>
    </row>
    <row r="676" spans="1:19" x14ac:dyDescent="0.25">
      <c r="A676">
        <v>1500011547</v>
      </c>
      <c r="B676" t="s">
        <v>1394</v>
      </c>
      <c r="C676" t="s">
        <v>19</v>
      </c>
      <c r="D676" t="s">
        <v>32</v>
      </c>
      <c r="E676" t="s">
        <v>21</v>
      </c>
      <c r="F676" t="s">
        <v>22</v>
      </c>
      <c r="G676" t="s">
        <v>33</v>
      </c>
      <c r="H676" t="s">
        <v>69</v>
      </c>
      <c r="I676" t="s">
        <v>1581</v>
      </c>
      <c r="J676">
        <v>9.8586449999999992</v>
      </c>
      <c r="K676">
        <v>-84.054296666659994</v>
      </c>
      <c r="L676" t="s">
        <v>1225</v>
      </c>
      <c r="M676" t="s">
        <v>71</v>
      </c>
      <c r="N676" t="s">
        <v>72</v>
      </c>
      <c r="O676" t="s">
        <v>73</v>
      </c>
      <c r="P676">
        <v>21</v>
      </c>
      <c r="Q676" t="s">
        <v>239</v>
      </c>
      <c r="S676" t="str">
        <f>_xlfn.XLOOKUP(UNIVERSO[[#This Row],[Ruta]],'[1]CUOTA RUTA'!A:A,'[1]CUOTA RUTA'!D:D)</f>
        <v>Cargar</v>
      </c>
    </row>
    <row r="677" spans="1:19" x14ac:dyDescent="0.25">
      <c r="A677">
        <v>1500011578</v>
      </c>
      <c r="B677" t="s">
        <v>1582</v>
      </c>
      <c r="C677" t="s">
        <v>19</v>
      </c>
      <c r="D677" t="s">
        <v>32</v>
      </c>
      <c r="E677" t="s">
        <v>21</v>
      </c>
      <c r="F677" t="s">
        <v>51</v>
      </c>
      <c r="G677" t="s">
        <v>23</v>
      </c>
      <c r="H677" t="s">
        <v>441</v>
      </c>
      <c r="I677" t="s">
        <v>1583</v>
      </c>
      <c r="J677">
        <v>9.8549140000000008</v>
      </c>
      <c r="K677">
        <v>-84.051261999999994</v>
      </c>
      <c r="L677" t="s">
        <v>1225</v>
      </c>
      <c r="M677" t="s">
        <v>71</v>
      </c>
      <c r="N677" t="s">
        <v>72</v>
      </c>
      <c r="O677" t="s">
        <v>73</v>
      </c>
      <c r="P677">
        <v>22</v>
      </c>
      <c r="Q677" t="s">
        <v>30</v>
      </c>
      <c r="S677" t="str">
        <f>_xlfn.XLOOKUP(UNIVERSO[[#This Row],[Ruta]],'[1]CUOTA RUTA'!A:A,'[1]CUOTA RUTA'!D:D)</f>
        <v>Cargar</v>
      </c>
    </row>
    <row r="678" spans="1:19" x14ac:dyDescent="0.25">
      <c r="A678">
        <v>1500011622</v>
      </c>
      <c r="B678" t="s">
        <v>1584</v>
      </c>
      <c r="C678" t="s">
        <v>19</v>
      </c>
      <c r="D678" t="s">
        <v>32</v>
      </c>
      <c r="E678" t="s">
        <v>21</v>
      </c>
      <c r="F678" t="s">
        <v>22</v>
      </c>
      <c r="G678" t="s">
        <v>33</v>
      </c>
      <c r="H678" t="s">
        <v>179</v>
      </c>
      <c r="I678" t="s">
        <v>1585</v>
      </c>
      <c r="J678">
        <v>9.8859270000000006</v>
      </c>
      <c r="K678">
        <v>-84.028191000000007</v>
      </c>
      <c r="L678" t="s">
        <v>1225</v>
      </c>
      <c r="M678" t="s">
        <v>36</v>
      </c>
      <c r="N678" t="s">
        <v>37</v>
      </c>
      <c r="O678" t="s">
        <v>38</v>
      </c>
      <c r="P678">
        <v>16</v>
      </c>
      <c r="Q678" t="s">
        <v>60</v>
      </c>
      <c r="S678" t="str">
        <f>_xlfn.XLOOKUP(UNIVERSO[[#This Row],[Ruta]],'[1]CUOTA RUTA'!A:A,'[1]CUOTA RUTA'!D:D)</f>
        <v>Cargar</v>
      </c>
    </row>
    <row r="679" spans="1:19" x14ac:dyDescent="0.25">
      <c r="A679">
        <v>1500011644</v>
      </c>
      <c r="B679" t="s">
        <v>1586</v>
      </c>
      <c r="C679" t="s">
        <v>19</v>
      </c>
      <c r="D679" t="s">
        <v>32</v>
      </c>
      <c r="E679" t="s">
        <v>21</v>
      </c>
      <c r="F679" t="s">
        <v>22</v>
      </c>
      <c r="G679" t="s">
        <v>33</v>
      </c>
      <c r="H679" t="s">
        <v>1191</v>
      </c>
      <c r="I679" t="s">
        <v>1587</v>
      </c>
      <c r="J679">
        <v>9.8983100000000004</v>
      </c>
      <c r="K679">
        <v>-84.003922000000003</v>
      </c>
      <c r="L679" t="s">
        <v>1225</v>
      </c>
      <c r="M679" t="s">
        <v>36</v>
      </c>
      <c r="N679" t="s">
        <v>37</v>
      </c>
      <c r="O679" t="s">
        <v>38</v>
      </c>
      <c r="P679">
        <v>17</v>
      </c>
      <c r="Q679" t="s">
        <v>287</v>
      </c>
      <c r="S679" t="str">
        <f>_xlfn.XLOOKUP(UNIVERSO[[#This Row],[Ruta]],'[1]CUOTA RUTA'!A:A,'[1]CUOTA RUTA'!D:D)</f>
        <v>Cargar</v>
      </c>
    </row>
    <row r="680" spans="1:19" x14ac:dyDescent="0.25">
      <c r="A680">
        <v>1500011647</v>
      </c>
      <c r="B680" t="s">
        <v>1588</v>
      </c>
      <c r="C680" t="s">
        <v>19</v>
      </c>
      <c r="D680" t="s">
        <v>32</v>
      </c>
      <c r="E680" t="s">
        <v>21</v>
      </c>
      <c r="F680" t="s">
        <v>22</v>
      </c>
      <c r="G680" t="s">
        <v>64</v>
      </c>
      <c r="H680" t="s">
        <v>1191</v>
      </c>
      <c r="I680" t="s">
        <v>1589</v>
      </c>
      <c r="J680">
        <v>9.8986619999999998</v>
      </c>
      <c r="K680">
        <v>-83.998692000000005</v>
      </c>
      <c r="L680" t="s">
        <v>1225</v>
      </c>
      <c r="M680" t="s">
        <v>36</v>
      </c>
      <c r="N680" t="s">
        <v>37</v>
      </c>
      <c r="O680" t="s">
        <v>38</v>
      </c>
      <c r="P680">
        <v>18</v>
      </c>
      <c r="Q680" t="s">
        <v>84</v>
      </c>
      <c r="S680" t="str">
        <f>_xlfn.XLOOKUP(UNIVERSO[[#This Row],[Ruta]],'[1]CUOTA RUTA'!A:A,'[1]CUOTA RUTA'!D:D)</f>
        <v>Cargar</v>
      </c>
    </row>
    <row r="681" spans="1:19" x14ac:dyDescent="0.25">
      <c r="A681">
        <v>1500011670</v>
      </c>
      <c r="B681" t="s">
        <v>1590</v>
      </c>
      <c r="C681" t="s">
        <v>19</v>
      </c>
      <c r="D681" t="s">
        <v>32</v>
      </c>
      <c r="E681" t="s">
        <v>21</v>
      </c>
      <c r="F681" t="s">
        <v>22</v>
      </c>
      <c r="G681" t="s">
        <v>23</v>
      </c>
      <c r="H681" t="s">
        <v>179</v>
      </c>
      <c r="I681" t="s">
        <v>1591</v>
      </c>
      <c r="J681">
        <v>9.8898050000000008</v>
      </c>
      <c r="K681">
        <v>-84.023939999999996</v>
      </c>
      <c r="L681" t="s">
        <v>1225</v>
      </c>
      <c r="M681" t="s">
        <v>36</v>
      </c>
      <c r="N681" t="s">
        <v>37</v>
      </c>
      <c r="O681" t="s">
        <v>38</v>
      </c>
      <c r="P681">
        <v>15</v>
      </c>
      <c r="Q681" t="s">
        <v>231</v>
      </c>
      <c r="S681" t="str">
        <f>_xlfn.XLOOKUP(UNIVERSO[[#This Row],[Ruta]],'[1]CUOTA RUTA'!A:A,'[1]CUOTA RUTA'!D:D)</f>
        <v>Cargar</v>
      </c>
    </row>
    <row r="682" spans="1:19" x14ac:dyDescent="0.25">
      <c r="A682">
        <v>1500011921</v>
      </c>
      <c r="B682" t="s">
        <v>1592</v>
      </c>
      <c r="C682" t="s">
        <v>19</v>
      </c>
      <c r="D682" t="s">
        <v>32</v>
      </c>
      <c r="E682" t="s">
        <v>21</v>
      </c>
      <c r="F682" t="s">
        <v>22</v>
      </c>
      <c r="G682" t="s">
        <v>64</v>
      </c>
      <c r="H682" t="s">
        <v>625</v>
      </c>
      <c r="I682" t="s">
        <v>1593</v>
      </c>
      <c r="J682">
        <v>9.9988316666669999</v>
      </c>
      <c r="K682">
        <v>-84.062438333329993</v>
      </c>
      <c r="L682" t="s">
        <v>1225</v>
      </c>
      <c r="M682" t="s">
        <v>94</v>
      </c>
      <c r="N682" t="s">
        <v>95</v>
      </c>
      <c r="O682" t="s">
        <v>96</v>
      </c>
      <c r="P682">
        <v>6</v>
      </c>
      <c r="Q682" t="s">
        <v>49</v>
      </c>
      <c r="S682" t="str">
        <f>_xlfn.XLOOKUP(UNIVERSO[[#This Row],[Ruta]],'[1]CUOTA RUTA'!A:A,'[1]CUOTA RUTA'!D:D)</f>
        <v>Cargar</v>
      </c>
    </row>
    <row r="683" spans="1:19" x14ac:dyDescent="0.25">
      <c r="A683">
        <v>1500012042</v>
      </c>
      <c r="B683" t="s">
        <v>1594</v>
      </c>
      <c r="C683" t="s">
        <v>19</v>
      </c>
      <c r="D683" t="s">
        <v>32</v>
      </c>
      <c r="E683" t="s">
        <v>21</v>
      </c>
      <c r="F683" t="s">
        <v>22</v>
      </c>
      <c r="G683" t="s">
        <v>23</v>
      </c>
      <c r="H683" t="s">
        <v>625</v>
      </c>
      <c r="I683" t="s">
        <v>1595</v>
      </c>
      <c r="J683">
        <v>9.9826016666669997</v>
      </c>
      <c r="K683">
        <v>-84.053055000000001</v>
      </c>
      <c r="L683" t="s">
        <v>1225</v>
      </c>
      <c r="M683" t="s">
        <v>94</v>
      </c>
      <c r="N683" t="s">
        <v>95</v>
      </c>
      <c r="O683" t="s">
        <v>96</v>
      </c>
      <c r="P683">
        <v>6</v>
      </c>
      <c r="Q683" t="s">
        <v>49</v>
      </c>
      <c r="S683" t="str">
        <f>_xlfn.XLOOKUP(UNIVERSO[[#This Row],[Ruta]],'[1]CUOTA RUTA'!A:A,'[1]CUOTA RUTA'!D:D)</f>
        <v>Cargar</v>
      </c>
    </row>
    <row r="684" spans="1:19" x14ac:dyDescent="0.25">
      <c r="A684">
        <v>1500012157</v>
      </c>
      <c r="B684" t="s">
        <v>1596</v>
      </c>
      <c r="C684" t="s">
        <v>19</v>
      </c>
      <c r="D684" t="s">
        <v>32</v>
      </c>
      <c r="E684" t="s">
        <v>21</v>
      </c>
      <c r="F684" t="s">
        <v>22</v>
      </c>
      <c r="G684" t="s">
        <v>33</v>
      </c>
      <c r="H684" t="s">
        <v>103</v>
      </c>
      <c r="I684" t="s">
        <v>1597</v>
      </c>
      <c r="J684">
        <v>9.9315859999999994</v>
      </c>
      <c r="K684">
        <v>-84.092277999999993</v>
      </c>
      <c r="L684" t="s">
        <v>1225</v>
      </c>
      <c r="M684" t="s">
        <v>71</v>
      </c>
      <c r="N684" t="s">
        <v>72</v>
      </c>
      <c r="O684" t="s">
        <v>73</v>
      </c>
      <c r="P684">
        <v>5</v>
      </c>
      <c r="Q684" t="s">
        <v>117</v>
      </c>
      <c r="S684" t="str">
        <f>_xlfn.XLOOKUP(UNIVERSO[[#This Row],[Ruta]],'[1]CUOTA RUTA'!A:A,'[1]CUOTA RUTA'!D:D)</f>
        <v>Cargar</v>
      </c>
    </row>
    <row r="685" spans="1:19" x14ac:dyDescent="0.25">
      <c r="A685">
        <v>1500012307</v>
      </c>
      <c r="B685" t="s">
        <v>1598</v>
      </c>
      <c r="C685" t="s">
        <v>19</v>
      </c>
      <c r="D685" t="s">
        <v>32</v>
      </c>
      <c r="E685" t="s">
        <v>21</v>
      </c>
      <c r="F685" t="s">
        <v>22</v>
      </c>
      <c r="G685" t="s">
        <v>33</v>
      </c>
      <c r="H685" t="s">
        <v>127</v>
      </c>
      <c r="I685" t="s">
        <v>1599</v>
      </c>
      <c r="J685">
        <v>9.8021433333329995</v>
      </c>
      <c r="K685">
        <v>-84.124783333330001</v>
      </c>
      <c r="L685" t="s">
        <v>1225</v>
      </c>
      <c r="M685" t="s">
        <v>54</v>
      </c>
      <c r="N685" t="s">
        <v>129</v>
      </c>
      <c r="O685" t="s">
        <v>130</v>
      </c>
      <c r="P685">
        <v>22</v>
      </c>
      <c r="Q685" t="s">
        <v>30</v>
      </c>
      <c r="S685" t="str">
        <f>_xlfn.XLOOKUP(UNIVERSO[[#This Row],[Ruta]],'[1]CUOTA RUTA'!A:A,'[1]CUOTA RUTA'!D:D)</f>
        <v>Cargar</v>
      </c>
    </row>
    <row r="686" spans="1:19" x14ac:dyDescent="0.25">
      <c r="A686">
        <v>1500012324</v>
      </c>
      <c r="B686" t="s">
        <v>1600</v>
      </c>
      <c r="C686" t="s">
        <v>19</v>
      </c>
      <c r="D686" t="s">
        <v>32</v>
      </c>
      <c r="E686" t="s">
        <v>21</v>
      </c>
      <c r="F686" t="s">
        <v>51</v>
      </c>
      <c r="G686" t="s">
        <v>23</v>
      </c>
      <c r="H686" t="s">
        <v>127</v>
      </c>
      <c r="I686" t="s">
        <v>1601</v>
      </c>
      <c r="J686">
        <v>9.7987883333330004</v>
      </c>
      <c r="K686">
        <v>-84.162634999999995</v>
      </c>
      <c r="L686" t="s">
        <v>1225</v>
      </c>
      <c r="M686" t="s">
        <v>54</v>
      </c>
      <c r="N686" t="s">
        <v>129</v>
      </c>
      <c r="O686" t="s">
        <v>130</v>
      </c>
      <c r="P686">
        <v>23</v>
      </c>
      <c r="Q686" t="s">
        <v>125</v>
      </c>
      <c r="S686" t="str">
        <f>_xlfn.XLOOKUP(UNIVERSO[[#This Row],[Ruta]],'[1]CUOTA RUTA'!A:A,'[1]CUOTA RUTA'!D:D)</f>
        <v>Cargar</v>
      </c>
    </row>
    <row r="687" spans="1:19" x14ac:dyDescent="0.25">
      <c r="A687">
        <v>1500012400</v>
      </c>
      <c r="B687" t="s">
        <v>1602</v>
      </c>
      <c r="C687" t="s">
        <v>19</v>
      </c>
      <c r="D687" t="s">
        <v>32</v>
      </c>
      <c r="E687" t="s">
        <v>21</v>
      </c>
      <c r="F687" t="s">
        <v>22</v>
      </c>
      <c r="G687" t="s">
        <v>33</v>
      </c>
      <c r="H687" t="s">
        <v>698</v>
      </c>
      <c r="I687" t="s">
        <v>1603</v>
      </c>
      <c r="J687">
        <v>9.9557389999999995</v>
      </c>
      <c r="K687">
        <v>-84.029358000000002</v>
      </c>
      <c r="L687" t="s">
        <v>1225</v>
      </c>
      <c r="M687" t="s">
        <v>94</v>
      </c>
      <c r="N687" t="s">
        <v>95</v>
      </c>
      <c r="O687" t="s">
        <v>96</v>
      </c>
      <c r="P687">
        <v>8</v>
      </c>
      <c r="Q687" t="s">
        <v>97</v>
      </c>
      <c r="S687" t="str">
        <f>_xlfn.XLOOKUP(UNIVERSO[[#This Row],[Ruta]],'[1]CUOTA RUTA'!A:A,'[1]CUOTA RUTA'!D:D)</f>
        <v>Cargar</v>
      </c>
    </row>
    <row r="688" spans="1:19" x14ac:dyDescent="0.25">
      <c r="A688">
        <v>1500012467</v>
      </c>
      <c r="B688" t="s">
        <v>1604</v>
      </c>
      <c r="C688" t="s">
        <v>19</v>
      </c>
      <c r="D688" t="s">
        <v>32</v>
      </c>
      <c r="E688" t="s">
        <v>21</v>
      </c>
      <c r="F688" t="s">
        <v>22</v>
      </c>
      <c r="G688" t="s">
        <v>64</v>
      </c>
      <c r="H688" t="s">
        <v>76</v>
      </c>
      <c r="I688" t="s">
        <v>1605</v>
      </c>
      <c r="J688">
        <v>9.9664699999999993</v>
      </c>
      <c r="K688">
        <v>-84.006752000000006</v>
      </c>
      <c r="L688" t="s">
        <v>1225</v>
      </c>
      <c r="M688" t="s">
        <v>36</v>
      </c>
      <c r="N688" t="s">
        <v>37</v>
      </c>
      <c r="O688" t="s">
        <v>38</v>
      </c>
      <c r="P688">
        <v>20</v>
      </c>
      <c r="Q688" t="s">
        <v>74</v>
      </c>
      <c r="S688" t="str">
        <f>_xlfn.XLOOKUP(UNIVERSO[[#This Row],[Ruta]],'[1]CUOTA RUTA'!A:A,'[1]CUOTA RUTA'!D:D)</f>
        <v>Cargar</v>
      </c>
    </row>
    <row r="689" spans="1:19" x14ac:dyDescent="0.25">
      <c r="A689">
        <v>1500012539</v>
      </c>
      <c r="B689" t="s">
        <v>1606</v>
      </c>
      <c r="C689" t="s">
        <v>19</v>
      </c>
      <c r="D689" t="s">
        <v>32</v>
      </c>
      <c r="E689" t="s">
        <v>21</v>
      </c>
      <c r="F689" t="s">
        <v>22</v>
      </c>
      <c r="G689" t="s">
        <v>33</v>
      </c>
      <c r="H689" t="s">
        <v>127</v>
      </c>
      <c r="I689" t="s">
        <v>1607</v>
      </c>
      <c r="J689">
        <v>9.787116666667</v>
      </c>
      <c r="K689">
        <v>-84.106515000000002</v>
      </c>
      <c r="L689" t="s">
        <v>1225</v>
      </c>
      <c r="M689" t="s">
        <v>54</v>
      </c>
      <c r="N689" t="s">
        <v>129</v>
      </c>
      <c r="O689" t="s">
        <v>130</v>
      </c>
      <c r="P689">
        <v>22</v>
      </c>
      <c r="Q689" t="s">
        <v>30</v>
      </c>
      <c r="S689" t="str">
        <f>_xlfn.XLOOKUP(UNIVERSO[[#This Row],[Ruta]],'[1]CUOTA RUTA'!A:A,'[1]CUOTA RUTA'!D:D)</f>
        <v>Cargar</v>
      </c>
    </row>
    <row r="690" spans="1:19" x14ac:dyDescent="0.25">
      <c r="A690">
        <v>1500012634</v>
      </c>
      <c r="B690" t="s">
        <v>1608</v>
      </c>
      <c r="C690" t="s">
        <v>19</v>
      </c>
      <c r="D690" t="s">
        <v>32</v>
      </c>
      <c r="E690" t="s">
        <v>21</v>
      </c>
      <c r="F690" t="s">
        <v>22</v>
      </c>
      <c r="G690" t="s">
        <v>33</v>
      </c>
      <c r="H690" t="s">
        <v>425</v>
      </c>
      <c r="I690" t="s">
        <v>1609</v>
      </c>
      <c r="J690">
        <v>9.8613219999999995</v>
      </c>
      <c r="K690">
        <v>-84.098442000000006</v>
      </c>
      <c r="L690" t="s">
        <v>1225</v>
      </c>
      <c r="M690" t="s">
        <v>71</v>
      </c>
      <c r="N690" t="s">
        <v>72</v>
      </c>
      <c r="O690" t="s">
        <v>73</v>
      </c>
      <c r="P690">
        <v>14</v>
      </c>
      <c r="Q690" t="s">
        <v>181</v>
      </c>
      <c r="S690" t="str">
        <f>_xlfn.XLOOKUP(UNIVERSO[[#This Row],[Ruta]],'[1]CUOTA RUTA'!A:A,'[1]CUOTA RUTA'!D:D)</f>
        <v>Cargar</v>
      </c>
    </row>
    <row r="691" spans="1:19" x14ac:dyDescent="0.25">
      <c r="A691">
        <v>1500012896</v>
      </c>
      <c r="B691" t="s">
        <v>1610</v>
      </c>
      <c r="C691" t="s">
        <v>19</v>
      </c>
      <c r="D691" t="s">
        <v>32</v>
      </c>
      <c r="E691" t="s">
        <v>21</v>
      </c>
      <c r="F691" t="s">
        <v>22</v>
      </c>
      <c r="G691" t="s">
        <v>23</v>
      </c>
      <c r="H691" t="s">
        <v>134</v>
      </c>
      <c r="I691" t="s">
        <v>1611</v>
      </c>
      <c r="J691">
        <v>9.9343900000000005</v>
      </c>
      <c r="K691">
        <v>-84.0880717</v>
      </c>
      <c r="L691" t="s">
        <v>1225</v>
      </c>
      <c r="M691" t="s">
        <v>94</v>
      </c>
      <c r="N691" t="s">
        <v>95</v>
      </c>
      <c r="O691" t="s">
        <v>96</v>
      </c>
      <c r="P691">
        <v>12</v>
      </c>
      <c r="Q691" t="s">
        <v>42</v>
      </c>
      <c r="S691" t="str">
        <f>_xlfn.XLOOKUP(UNIVERSO[[#This Row],[Ruta]],'[1]CUOTA RUTA'!A:A,'[1]CUOTA RUTA'!D:D)</f>
        <v>Cargar</v>
      </c>
    </row>
    <row r="692" spans="1:19" x14ac:dyDescent="0.25">
      <c r="A692">
        <v>1500012900</v>
      </c>
      <c r="B692" t="s">
        <v>1612</v>
      </c>
      <c r="C692" t="s">
        <v>19</v>
      </c>
      <c r="D692" t="s">
        <v>32</v>
      </c>
      <c r="E692" t="s">
        <v>21</v>
      </c>
      <c r="F692" t="s">
        <v>22</v>
      </c>
      <c r="G692" t="s">
        <v>33</v>
      </c>
      <c r="H692" t="s">
        <v>148</v>
      </c>
      <c r="I692" t="s">
        <v>1613</v>
      </c>
      <c r="J692">
        <v>9.9872483333329996</v>
      </c>
      <c r="K692">
        <v>-84.020043333329994</v>
      </c>
      <c r="L692" t="s">
        <v>1225</v>
      </c>
      <c r="M692" t="s">
        <v>94</v>
      </c>
      <c r="N692" t="s">
        <v>95</v>
      </c>
      <c r="O692" t="s">
        <v>96</v>
      </c>
      <c r="P692">
        <v>3</v>
      </c>
      <c r="Q692" t="s">
        <v>101</v>
      </c>
      <c r="S692" t="str">
        <f>_xlfn.XLOOKUP(UNIVERSO[[#This Row],[Ruta]],'[1]CUOTA RUTA'!A:A,'[1]CUOTA RUTA'!D:D)</f>
        <v>Cargar</v>
      </c>
    </row>
    <row r="693" spans="1:19" x14ac:dyDescent="0.25">
      <c r="A693">
        <v>1500012903</v>
      </c>
      <c r="B693" t="s">
        <v>1614</v>
      </c>
      <c r="C693" t="s">
        <v>19</v>
      </c>
      <c r="D693" t="s">
        <v>32</v>
      </c>
      <c r="E693" t="s">
        <v>21</v>
      </c>
      <c r="F693" t="s">
        <v>22</v>
      </c>
      <c r="G693" t="s">
        <v>33</v>
      </c>
      <c r="H693" t="s">
        <v>148</v>
      </c>
      <c r="I693" t="s">
        <v>1615</v>
      </c>
      <c r="J693">
        <v>9.9849399999999999</v>
      </c>
      <c r="K693">
        <v>-84.012900000000002</v>
      </c>
      <c r="L693" t="s">
        <v>1225</v>
      </c>
      <c r="M693" t="s">
        <v>94</v>
      </c>
      <c r="N693" t="s">
        <v>95</v>
      </c>
      <c r="O693" t="s">
        <v>96</v>
      </c>
      <c r="P693">
        <v>1</v>
      </c>
      <c r="Q693" t="s">
        <v>155</v>
      </c>
      <c r="S693" t="str">
        <f>_xlfn.XLOOKUP(UNIVERSO[[#This Row],[Ruta]],'[1]CUOTA RUTA'!A:A,'[1]CUOTA RUTA'!D:D)</f>
        <v>Cargar</v>
      </c>
    </row>
    <row r="694" spans="1:19" x14ac:dyDescent="0.25">
      <c r="A694">
        <v>1500012926</v>
      </c>
      <c r="B694" t="s">
        <v>1616</v>
      </c>
      <c r="C694" t="s">
        <v>19</v>
      </c>
      <c r="D694" t="s">
        <v>32</v>
      </c>
      <c r="E694" t="s">
        <v>21</v>
      </c>
      <c r="F694" t="s">
        <v>22</v>
      </c>
      <c r="G694" t="s">
        <v>64</v>
      </c>
      <c r="H694" t="s">
        <v>148</v>
      </c>
      <c r="I694" t="s">
        <v>1617</v>
      </c>
      <c r="J694">
        <v>9.9646650000000001</v>
      </c>
      <c r="K694">
        <v>-84.040584999999993</v>
      </c>
      <c r="L694" t="s">
        <v>1225</v>
      </c>
      <c r="M694" t="s">
        <v>94</v>
      </c>
      <c r="N694" t="s">
        <v>95</v>
      </c>
      <c r="O694" t="s">
        <v>96</v>
      </c>
      <c r="P694">
        <v>7</v>
      </c>
      <c r="Q694" t="s">
        <v>39</v>
      </c>
      <c r="S694" t="str">
        <f>_xlfn.XLOOKUP(UNIVERSO[[#This Row],[Ruta]],'[1]CUOTA RUTA'!A:A,'[1]CUOTA RUTA'!D:D)</f>
        <v>Cargar</v>
      </c>
    </row>
    <row r="695" spans="1:19" x14ac:dyDescent="0.25">
      <c r="A695">
        <v>1500013496</v>
      </c>
      <c r="B695" t="s">
        <v>1618</v>
      </c>
      <c r="C695" t="s">
        <v>19</v>
      </c>
      <c r="D695" t="s">
        <v>266</v>
      </c>
      <c r="E695" t="s">
        <v>21</v>
      </c>
      <c r="F695" t="s">
        <v>22</v>
      </c>
      <c r="G695" t="s">
        <v>33</v>
      </c>
      <c r="H695" t="s">
        <v>321</v>
      </c>
      <c r="I695" t="s">
        <v>1619</v>
      </c>
      <c r="J695">
        <v>9.7966885999999995</v>
      </c>
      <c r="K695">
        <v>-83.854536300000007</v>
      </c>
      <c r="L695" t="s">
        <v>1225</v>
      </c>
      <c r="M695" t="s">
        <v>54</v>
      </c>
      <c r="N695" t="s">
        <v>274</v>
      </c>
      <c r="O695" t="s">
        <v>275</v>
      </c>
      <c r="P695">
        <v>23</v>
      </c>
      <c r="Q695" t="s">
        <v>125</v>
      </c>
      <c r="S695" t="str">
        <f>_xlfn.XLOOKUP(UNIVERSO[[#This Row],[Ruta]],'[1]CUOTA RUTA'!A:A,'[1]CUOTA RUTA'!D:D)</f>
        <v>Cargar</v>
      </c>
    </row>
    <row r="696" spans="1:19" x14ac:dyDescent="0.25">
      <c r="A696">
        <v>1500014174</v>
      </c>
      <c r="B696" t="s">
        <v>1620</v>
      </c>
      <c r="C696" t="s">
        <v>19</v>
      </c>
      <c r="D696" t="s">
        <v>266</v>
      </c>
      <c r="E696" t="s">
        <v>21</v>
      </c>
      <c r="F696" t="s">
        <v>22</v>
      </c>
      <c r="G696" t="s">
        <v>33</v>
      </c>
      <c r="H696" t="s">
        <v>1011</v>
      </c>
      <c r="I696" t="s">
        <v>1621</v>
      </c>
      <c r="J696">
        <v>9.8234764000000006</v>
      </c>
      <c r="K696">
        <v>-83.805701299999996</v>
      </c>
      <c r="L696" t="s">
        <v>1225</v>
      </c>
      <c r="M696" t="s">
        <v>54</v>
      </c>
      <c r="N696" t="s">
        <v>274</v>
      </c>
      <c r="O696" t="s">
        <v>275</v>
      </c>
      <c r="P696">
        <v>21</v>
      </c>
      <c r="Q696" t="s">
        <v>239</v>
      </c>
      <c r="S696" t="str">
        <f>_xlfn.XLOOKUP(UNIVERSO[[#This Row],[Ruta]],'[1]CUOTA RUTA'!A:A,'[1]CUOTA RUTA'!D:D)</f>
        <v>Cargar</v>
      </c>
    </row>
    <row r="697" spans="1:19" x14ac:dyDescent="0.25">
      <c r="A697">
        <v>1500014382</v>
      </c>
      <c r="B697" t="s">
        <v>1622</v>
      </c>
      <c r="C697" t="s">
        <v>19</v>
      </c>
      <c r="D697" t="s">
        <v>266</v>
      </c>
      <c r="E697" t="s">
        <v>21</v>
      </c>
      <c r="F697" t="s">
        <v>22</v>
      </c>
      <c r="G697" t="s">
        <v>23</v>
      </c>
      <c r="H697" t="s">
        <v>366</v>
      </c>
      <c r="I697" t="s">
        <v>1623</v>
      </c>
      <c r="J697">
        <v>9.8409049999999993</v>
      </c>
      <c r="K697">
        <v>-83.918102000000005</v>
      </c>
      <c r="L697" t="s">
        <v>1225</v>
      </c>
      <c r="M697" t="s">
        <v>36</v>
      </c>
      <c r="N697" t="s">
        <v>316</v>
      </c>
      <c r="O697" t="s">
        <v>317</v>
      </c>
      <c r="P697">
        <v>17</v>
      </c>
      <c r="Q697" t="s">
        <v>287</v>
      </c>
      <c r="S697" t="str">
        <f>_xlfn.XLOOKUP(UNIVERSO[[#This Row],[Ruta]],'[1]CUOTA RUTA'!A:A,'[1]CUOTA RUTA'!D:D)</f>
        <v>Cargar</v>
      </c>
    </row>
    <row r="698" spans="1:19" x14ac:dyDescent="0.25">
      <c r="A698">
        <v>1500014675</v>
      </c>
      <c r="B698" t="s">
        <v>1624</v>
      </c>
      <c r="C698" t="s">
        <v>19</v>
      </c>
      <c r="D698" t="s">
        <v>32</v>
      </c>
      <c r="E698" t="s">
        <v>21</v>
      </c>
      <c r="F698" t="s">
        <v>22</v>
      </c>
      <c r="G698" t="s">
        <v>33</v>
      </c>
      <c r="H698" t="s">
        <v>92</v>
      </c>
      <c r="I698" t="s">
        <v>1625</v>
      </c>
      <c r="J698">
        <v>9.9787710000000001</v>
      </c>
      <c r="K698">
        <v>-84.011756000000005</v>
      </c>
      <c r="L698" t="s">
        <v>1225</v>
      </c>
      <c r="M698" t="s">
        <v>94</v>
      </c>
      <c r="N698" t="s">
        <v>95</v>
      </c>
      <c r="O698" t="s">
        <v>96</v>
      </c>
      <c r="P698">
        <v>1</v>
      </c>
      <c r="Q698" t="s">
        <v>155</v>
      </c>
      <c r="S698" t="str">
        <f>_xlfn.XLOOKUP(UNIVERSO[[#This Row],[Ruta]],'[1]CUOTA RUTA'!A:A,'[1]CUOTA RUTA'!D:D)</f>
        <v>Cargar</v>
      </c>
    </row>
    <row r="699" spans="1:19" x14ac:dyDescent="0.25">
      <c r="A699">
        <v>1500014725</v>
      </c>
      <c r="B699" t="s">
        <v>1626</v>
      </c>
      <c r="C699" t="s">
        <v>19</v>
      </c>
      <c r="D699" t="s">
        <v>32</v>
      </c>
      <c r="E699" t="s">
        <v>21</v>
      </c>
      <c r="F699" t="s">
        <v>22</v>
      </c>
      <c r="G699" t="s">
        <v>64</v>
      </c>
      <c r="H699" t="s">
        <v>179</v>
      </c>
      <c r="I699" t="s">
        <v>1627</v>
      </c>
      <c r="J699">
        <v>9.8866119999999995</v>
      </c>
      <c r="K699">
        <v>-84.038978999999998</v>
      </c>
      <c r="L699" t="s">
        <v>1225</v>
      </c>
      <c r="M699" t="s">
        <v>36</v>
      </c>
      <c r="N699" t="s">
        <v>37</v>
      </c>
      <c r="O699" t="s">
        <v>38</v>
      </c>
      <c r="P699">
        <v>16</v>
      </c>
      <c r="Q699" t="s">
        <v>60</v>
      </c>
      <c r="S699" t="str">
        <f>_xlfn.XLOOKUP(UNIVERSO[[#This Row],[Ruta]],'[1]CUOTA RUTA'!A:A,'[1]CUOTA RUTA'!D:D)</f>
        <v>Cargar</v>
      </c>
    </row>
    <row r="700" spans="1:19" x14ac:dyDescent="0.25">
      <c r="A700">
        <v>1500014772</v>
      </c>
      <c r="B700" t="s">
        <v>1628</v>
      </c>
      <c r="C700" t="s">
        <v>19</v>
      </c>
      <c r="D700" t="s">
        <v>32</v>
      </c>
      <c r="E700" t="s">
        <v>21</v>
      </c>
      <c r="F700" t="s">
        <v>22</v>
      </c>
      <c r="G700" t="s">
        <v>33</v>
      </c>
      <c r="H700" t="s">
        <v>1191</v>
      </c>
      <c r="I700" t="s">
        <v>1629</v>
      </c>
      <c r="J700">
        <v>9.8969500000000004</v>
      </c>
      <c r="K700">
        <v>-84.003960000000006</v>
      </c>
      <c r="L700" t="s">
        <v>1225</v>
      </c>
      <c r="M700" t="s">
        <v>36</v>
      </c>
      <c r="N700" t="s">
        <v>37</v>
      </c>
      <c r="O700" t="s">
        <v>38</v>
      </c>
      <c r="P700">
        <v>17</v>
      </c>
      <c r="Q700" t="s">
        <v>287</v>
      </c>
      <c r="S700" t="str">
        <f>_xlfn.XLOOKUP(UNIVERSO[[#This Row],[Ruta]],'[1]CUOTA RUTA'!A:A,'[1]CUOTA RUTA'!D:D)</f>
        <v>Cargar</v>
      </c>
    </row>
    <row r="701" spans="1:19" x14ac:dyDescent="0.25">
      <c r="A701">
        <v>1500014792</v>
      </c>
      <c r="B701" t="s">
        <v>1630</v>
      </c>
      <c r="C701" t="s">
        <v>19</v>
      </c>
      <c r="D701" t="s">
        <v>32</v>
      </c>
      <c r="E701" t="s">
        <v>21</v>
      </c>
      <c r="F701" t="s">
        <v>22</v>
      </c>
      <c r="G701" t="s">
        <v>33</v>
      </c>
      <c r="H701" t="s">
        <v>92</v>
      </c>
      <c r="I701" t="s">
        <v>1631</v>
      </c>
      <c r="J701">
        <v>9.976972</v>
      </c>
      <c r="K701">
        <v>-84.002669999999995</v>
      </c>
      <c r="L701" t="s">
        <v>1225</v>
      </c>
      <c r="M701" t="s">
        <v>94</v>
      </c>
      <c r="N701" t="s">
        <v>95</v>
      </c>
      <c r="O701" t="s">
        <v>96</v>
      </c>
      <c r="P701">
        <v>4</v>
      </c>
      <c r="Q701" t="s">
        <v>120</v>
      </c>
      <c r="S701" t="str">
        <f>_xlfn.XLOOKUP(UNIVERSO[[#This Row],[Ruta]],'[1]CUOTA RUTA'!A:A,'[1]CUOTA RUTA'!D:D)</f>
        <v>Cargar</v>
      </c>
    </row>
    <row r="702" spans="1:19" x14ac:dyDescent="0.25">
      <c r="A702">
        <v>1500014952</v>
      </c>
      <c r="B702" t="s">
        <v>1632</v>
      </c>
      <c r="C702" t="s">
        <v>19</v>
      </c>
      <c r="D702" t="s">
        <v>266</v>
      </c>
      <c r="E702" t="s">
        <v>21</v>
      </c>
      <c r="F702" t="s">
        <v>51</v>
      </c>
      <c r="G702" t="s">
        <v>23</v>
      </c>
      <c r="H702" t="s">
        <v>314</v>
      </c>
      <c r="I702" t="s">
        <v>1633</v>
      </c>
      <c r="J702">
        <v>9.8731399999999994</v>
      </c>
      <c r="K702">
        <v>-83.912045000000006</v>
      </c>
      <c r="L702" t="s">
        <v>1225</v>
      </c>
      <c r="M702" t="s">
        <v>36</v>
      </c>
      <c r="N702" t="s">
        <v>316</v>
      </c>
      <c r="O702" t="s">
        <v>317</v>
      </c>
      <c r="P702">
        <v>16</v>
      </c>
      <c r="Q702" t="s">
        <v>60</v>
      </c>
      <c r="S702" t="str">
        <f>_xlfn.XLOOKUP(UNIVERSO[[#This Row],[Ruta]],'[1]CUOTA RUTA'!A:A,'[1]CUOTA RUTA'!D:D)</f>
        <v>Cargar</v>
      </c>
    </row>
    <row r="703" spans="1:19" x14ac:dyDescent="0.25">
      <c r="A703">
        <v>1500015003</v>
      </c>
      <c r="B703" t="s">
        <v>1634</v>
      </c>
      <c r="C703" t="s">
        <v>19</v>
      </c>
      <c r="D703" t="s">
        <v>32</v>
      </c>
      <c r="E703" t="s">
        <v>21</v>
      </c>
      <c r="F703" t="s">
        <v>22</v>
      </c>
      <c r="G703" t="s">
        <v>33</v>
      </c>
      <c r="H703" t="s">
        <v>92</v>
      </c>
      <c r="I703" t="s">
        <v>1635</v>
      </c>
      <c r="J703">
        <v>9.9754129999999996</v>
      </c>
      <c r="K703">
        <v>-84.966707999999997</v>
      </c>
      <c r="L703" t="s">
        <v>1225</v>
      </c>
      <c r="M703" t="s">
        <v>94</v>
      </c>
      <c r="N703" t="s">
        <v>95</v>
      </c>
      <c r="O703" t="s">
        <v>96</v>
      </c>
      <c r="P703">
        <v>12</v>
      </c>
      <c r="Q703" t="s">
        <v>42</v>
      </c>
      <c r="S703" t="str">
        <f>_xlfn.XLOOKUP(UNIVERSO[[#This Row],[Ruta]],'[1]CUOTA RUTA'!A:A,'[1]CUOTA RUTA'!D:D)</f>
        <v>Cargar</v>
      </c>
    </row>
    <row r="704" spans="1:19" x14ac:dyDescent="0.25">
      <c r="A704">
        <v>1500015004</v>
      </c>
      <c r="B704" t="s">
        <v>954</v>
      </c>
      <c r="C704" t="s">
        <v>19</v>
      </c>
      <c r="D704" t="s">
        <v>32</v>
      </c>
      <c r="E704" t="s">
        <v>21</v>
      </c>
      <c r="F704" t="s">
        <v>22</v>
      </c>
      <c r="G704" t="s">
        <v>33</v>
      </c>
      <c r="H704" t="s">
        <v>148</v>
      </c>
      <c r="I704" t="s">
        <v>1636</v>
      </c>
      <c r="J704">
        <v>9.9704669999999993</v>
      </c>
      <c r="K704">
        <v>-84.026066999999998</v>
      </c>
      <c r="L704" t="s">
        <v>1225</v>
      </c>
      <c r="M704" t="s">
        <v>94</v>
      </c>
      <c r="N704" t="s">
        <v>95</v>
      </c>
      <c r="O704" t="s">
        <v>96</v>
      </c>
      <c r="P704">
        <v>2</v>
      </c>
      <c r="Q704" t="s">
        <v>150</v>
      </c>
      <c r="S704" t="str">
        <f>_xlfn.XLOOKUP(UNIVERSO[[#This Row],[Ruta]],'[1]CUOTA RUTA'!A:A,'[1]CUOTA RUTA'!D:D)</f>
        <v>Cargar</v>
      </c>
    </row>
    <row r="705" spans="1:19" x14ac:dyDescent="0.25">
      <c r="A705">
        <v>1500015086</v>
      </c>
      <c r="B705" t="s">
        <v>1637</v>
      </c>
      <c r="C705" t="s">
        <v>19</v>
      </c>
      <c r="D705" t="s">
        <v>32</v>
      </c>
      <c r="E705" t="s">
        <v>21</v>
      </c>
      <c r="F705" t="s">
        <v>22</v>
      </c>
      <c r="G705" t="s">
        <v>23</v>
      </c>
      <c r="H705" t="s">
        <v>138</v>
      </c>
      <c r="I705" t="s">
        <v>1638</v>
      </c>
      <c r="J705">
        <v>9.9814699999999998</v>
      </c>
      <c r="K705">
        <v>-84.089563299999995</v>
      </c>
      <c r="L705" t="s">
        <v>1225</v>
      </c>
      <c r="M705" t="s">
        <v>36</v>
      </c>
      <c r="N705" t="s">
        <v>37</v>
      </c>
      <c r="O705" t="s">
        <v>38</v>
      </c>
      <c r="P705">
        <v>1</v>
      </c>
      <c r="Q705" t="s">
        <v>155</v>
      </c>
      <c r="S705" t="str">
        <f>_xlfn.XLOOKUP(UNIVERSO[[#This Row],[Ruta]],'[1]CUOTA RUTA'!A:A,'[1]CUOTA RUTA'!D:D)</f>
        <v>Cargar</v>
      </c>
    </row>
    <row r="706" spans="1:19" x14ac:dyDescent="0.25">
      <c r="A706">
        <v>1500015135</v>
      </c>
      <c r="B706" t="s">
        <v>1639</v>
      </c>
      <c r="C706" t="s">
        <v>19</v>
      </c>
      <c r="D706" t="s">
        <v>32</v>
      </c>
      <c r="E706" t="s">
        <v>21</v>
      </c>
      <c r="F706" t="s">
        <v>22</v>
      </c>
      <c r="G706" t="s">
        <v>33</v>
      </c>
      <c r="H706" t="s">
        <v>82</v>
      </c>
      <c r="I706" t="s">
        <v>1640</v>
      </c>
      <c r="J706">
        <v>9.8991480000000003</v>
      </c>
      <c r="K706">
        <v>-84.057439000000002</v>
      </c>
      <c r="L706" t="s">
        <v>1225</v>
      </c>
      <c r="M706" t="s">
        <v>71</v>
      </c>
      <c r="N706" t="s">
        <v>72</v>
      </c>
      <c r="O706" t="s">
        <v>73</v>
      </c>
      <c r="P706">
        <v>18</v>
      </c>
      <c r="Q706" t="s">
        <v>84</v>
      </c>
      <c r="S706" t="str">
        <f>_xlfn.XLOOKUP(UNIVERSO[[#This Row],[Ruta]],'[1]CUOTA RUTA'!A:A,'[1]CUOTA RUTA'!D:D)</f>
        <v>Cargar</v>
      </c>
    </row>
    <row r="707" spans="1:19" x14ac:dyDescent="0.25">
      <c r="A707">
        <v>1500015168</v>
      </c>
      <c r="B707" t="s">
        <v>1641</v>
      </c>
      <c r="C707" t="s">
        <v>19</v>
      </c>
      <c r="D707" t="s">
        <v>32</v>
      </c>
      <c r="E707" t="s">
        <v>21</v>
      </c>
      <c r="F707" t="s">
        <v>22</v>
      </c>
      <c r="G707" t="s">
        <v>23</v>
      </c>
      <c r="H707" t="s">
        <v>441</v>
      </c>
      <c r="I707" t="s">
        <v>1642</v>
      </c>
      <c r="J707">
        <v>9.9802333000000001</v>
      </c>
      <c r="K707">
        <v>-84.094128299999994</v>
      </c>
      <c r="L707" t="s">
        <v>1225</v>
      </c>
      <c r="M707" t="s">
        <v>71</v>
      </c>
      <c r="N707" t="s">
        <v>72</v>
      </c>
      <c r="O707" t="s">
        <v>73</v>
      </c>
      <c r="P707">
        <v>23</v>
      </c>
      <c r="Q707" t="s">
        <v>125</v>
      </c>
      <c r="S707" t="str">
        <f>_xlfn.XLOOKUP(UNIVERSO[[#This Row],[Ruta]],'[1]CUOTA RUTA'!A:A,'[1]CUOTA RUTA'!D:D)</f>
        <v>Cargar</v>
      </c>
    </row>
    <row r="708" spans="1:19" x14ac:dyDescent="0.25">
      <c r="A708">
        <v>1500015207</v>
      </c>
      <c r="B708" t="s">
        <v>1643</v>
      </c>
      <c r="C708" t="s">
        <v>19</v>
      </c>
      <c r="D708" t="s">
        <v>20</v>
      </c>
      <c r="E708" t="s">
        <v>62</v>
      </c>
      <c r="F708" t="s">
        <v>63</v>
      </c>
      <c r="G708" t="s">
        <v>64</v>
      </c>
      <c r="H708" t="s">
        <v>722</v>
      </c>
      <c r="I708" t="s">
        <v>1644</v>
      </c>
      <c r="J708">
        <v>9.9406999999999996</v>
      </c>
      <c r="K708">
        <v>-84.144220000000004</v>
      </c>
      <c r="L708" t="s">
        <v>1225</v>
      </c>
      <c r="M708" t="s">
        <v>27</v>
      </c>
      <c r="N708" t="s">
        <v>28</v>
      </c>
      <c r="O708" t="s">
        <v>29</v>
      </c>
      <c r="P708">
        <v>22</v>
      </c>
      <c r="Q708" t="s">
        <v>30</v>
      </c>
      <c r="S708" t="str">
        <f>_xlfn.XLOOKUP(UNIVERSO[[#This Row],[Ruta]],'[1]CUOTA RUTA'!A:A,'[1]CUOTA RUTA'!D:D)</f>
        <v>Cargar</v>
      </c>
    </row>
    <row r="709" spans="1:19" x14ac:dyDescent="0.25">
      <c r="A709">
        <v>1500015500</v>
      </c>
      <c r="B709" t="s">
        <v>1645</v>
      </c>
      <c r="C709" t="s">
        <v>19</v>
      </c>
      <c r="D709" t="s">
        <v>20</v>
      </c>
      <c r="E709" t="s">
        <v>21</v>
      </c>
      <c r="F709" t="s">
        <v>22</v>
      </c>
      <c r="G709" t="s">
        <v>33</v>
      </c>
      <c r="H709" t="s">
        <v>913</v>
      </c>
      <c r="I709" t="s">
        <v>1646</v>
      </c>
      <c r="J709">
        <v>9.9617500000000003</v>
      </c>
      <c r="K709">
        <v>-84.151719999999997</v>
      </c>
      <c r="L709" t="s">
        <v>1225</v>
      </c>
      <c r="M709" t="s">
        <v>27</v>
      </c>
      <c r="N709" t="s">
        <v>28</v>
      </c>
      <c r="O709" t="s">
        <v>29</v>
      </c>
      <c r="P709">
        <v>1</v>
      </c>
      <c r="Q709" t="s">
        <v>155</v>
      </c>
      <c r="S709" t="str">
        <f>_xlfn.XLOOKUP(UNIVERSO[[#This Row],[Ruta]],'[1]CUOTA RUTA'!A:A,'[1]CUOTA RUTA'!D:D)</f>
        <v>Cargar</v>
      </c>
    </row>
    <row r="710" spans="1:19" x14ac:dyDescent="0.25">
      <c r="A710">
        <v>1500015547</v>
      </c>
      <c r="B710" t="s">
        <v>1647</v>
      </c>
      <c r="C710" t="s">
        <v>19</v>
      </c>
      <c r="D710" t="s">
        <v>32</v>
      </c>
      <c r="E710" t="s">
        <v>21</v>
      </c>
      <c r="F710" t="s">
        <v>22</v>
      </c>
      <c r="G710" t="s">
        <v>33</v>
      </c>
      <c r="H710" t="s">
        <v>138</v>
      </c>
      <c r="I710" t="s">
        <v>1648</v>
      </c>
      <c r="J710">
        <v>9.9537966999999998</v>
      </c>
      <c r="K710">
        <v>-84.013184999999993</v>
      </c>
      <c r="L710" t="s">
        <v>1225</v>
      </c>
      <c r="M710" t="s">
        <v>36</v>
      </c>
      <c r="N710" t="s">
        <v>37</v>
      </c>
      <c r="O710" t="s">
        <v>38</v>
      </c>
      <c r="P710">
        <v>21</v>
      </c>
      <c r="Q710" t="s">
        <v>239</v>
      </c>
      <c r="S710" t="str">
        <f>_xlfn.XLOOKUP(UNIVERSO[[#This Row],[Ruta]],'[1]CUOTA RUTA'!A:A,'[1]CUOTA RUTA'!D:D)</f>
        <v>Cargar</v>
      </c>
    </row>
    <row r="711" spans="1:19" x14ac:dyDescent="0.25">
      <c r="A711">
        <v>1500015808</v>
      </c>
      <c r="B711" t="s">
        <v>1649</v>
      </c>
      <c r="C711" t="s">
        <v>19</v>
      </c>
      <c r="D711" t="s">
        <v>32</v>
      </c>
      <c r="E711" t="s">
        <v>21</v>
      </c>
      <c r="F711" t="s">
        <v>22</v>
      </c>
      <c r="G711" t="s">
        <v>33</v>
      </c>
      <c r="H711" t="s">
        <v>148</v>
      </c>
      <c r="I711" t="s">
        <v>1650</v>
      </c>
      <c r="J711">
        <v>9.9803940000000004</v>
      </c>
      <c r="K711">
        <v>-84.018889999999999</v>
      </c>
      <c r="L711" t="s">
        <v>1225</v>
      </c>
      <c r="M711" t="s">
        <v>94</v>
      </c>
      <c r="N711" t="s">
        <v>95</v>
      </c>
      <c r="O711" t="s">
        <v>96</v>
      </c>
      <c r="P711">
        <v>1</v>
      </c>
      <c r="Q711" t="s">
        <v>155</v>
      </c>
      <c r="S711" t="str">
        <f>_xlfn.XLOOKUP(UNIVERSO[[#This Row],[Ruta]],'[1]CUOTA RUTA'!A:A,'[1]CUOTA RUTA'!D:D)</f>
        <v>Cargar</v>
      </c>
    </row>
    <row r="712" spans="1:19" x14ac:dyDescent="0.25">
      <c r="A712">
        <v>1500016069</v>
      </c>
      <c r="B712" t="s">
        <v>1651</v>
      </c>
      <c r="C712" t="s">
        <v>19</v>
      </c>
      <c r="D712" t="s">
        <v>32</v>
      </c>
      <c r="E712" t="s">
        <v>21</v>
      </c>
      <c r="F712" t="s">
        <v>22</v>
      </c>
      <c r="G712" t="s">
        <v>33</v>
      </c>
      <c r="H712" t="s">
        <v>148</v>
      </c>
      <c r="I712" t="s">
        <v>1652</v>
      </c>
      <c r="J712">
        <v>9.9766200000000005</v>
      </c>
      <c r="K712">
        <v>-84.022099999999995</v>
      </c>
      <c r="L712" t="s">
        <v>1225</v>
      </c>
      <c r="M712" t="s">
        <v>94</v>
      </c>
      <c r="N712" t="s">
        <v>95</v>
      </c>
      <c r="O712" t="s">
        <v>96</v>
      </c>
      <c r="P712">
        <v>1</v>
      </c>
      <c r="Q712" t="s">
        <v>155</v>
      </c>
      <c r="S712" t="str">
        <f>_xlfn.XLOOKUP(UNIVERSO[[#This Row],[Ruta]],'[1]CUOTA RUTA'!A:A,'[1]CUOTA RUTA'!D:D)</f>
        <v>Cargar</v>
      </c>
    </row>
    <row r="713" spans="1:19" x14ac:dyDescent="0.25">
      <c r="A713">
        <v>1500016572</v>
      </c>
      <c r="B713" t="s">
        <v>1653</v>
      </c>
      <c r="C713" t="s">
        <v>19</v>
      </c>
      <c r="D713" t="s">
        <v>32</v>
      </c>
      <c r="E713" t="s">
        <v>21</v>
      </c>
      <c r="F713" t="s">
        <v>22</v>
      </c>
      <c r="G713" t="s">
        <v>33</v>
      </c>
      <c r="H713" t="s">
        <v>92</v>
      </c>
      <c r="I713" t="s">
        <v>1654</v>
      </c>
      <c r="J713">
        <v>9.9701930000000001</v>
      </c>
      <c r="K713">
        <v>-84.005341000000001</v>
      </c>
      <c r="L713" t="s">
        <v>1225</v>
      </c>
      <c r="M713" t="s">
        <v>94</v>
      </c>
      <c r="N713" t="s">
        <v>95</v>
      </c>
      <c r="O713" t="s">
        <v>96</v>
      </c>
      <c r="P713">
        <v>4</v>
      </c>
      <c r="Q713" t="s">
        <v>120</v>
      </c>
      <c r="S713" t="str">
        <f>_xlfn.XLOOKUP(UNIVERSO[[#This Row],[Ruta]],'[1]CUOTA RUTA'!A:A,'[1]CUOTA RUTA'!D:D)</f>
        <v>Cargar</v>
      </c>
    </row>
    <row r="714" spans="1:19" x14ac:dyDescent="0.25">
      <c r="A714">
        <v>1500016848</v>
      </c>
      <c r="B714" t="s">
        <v>1655</v>
      </c>
      <c r="C714" t="s">
        <v>19</v>
      </c>
      <c r="D714" t="s">
        <v>32</v>
      </c>
      <c r="E714" t="s">
        <v>21</v>
      </c>
      <c r="F714" t="s">
        <v>22</v>
      </c>
      <c r="G714" t="s">
        <v>33</v>
      </c>
      <c r="H714" t="s">
        <v>138</v>
      </c>
      <c r="I714" t="s">
        <v>1656</v>
      </c>
      <c r="J714">
        <v>9.9309399999999997</v>
      </c>
      <c r="K714">
        <v>-84.034400000000005</v>
      </c>
      <c r="L714" t="s">
        <v>1225</v>
      </c>
      <c r="M714" t="s">
        <v>36</v>
      </c>
      <c r="N714" t="s">
        <v>37</v>
      </c>
      <c r="O714" t="s">
        <v>38</v>
      </c>
      <c r="P714">
        <v>9</v>
      </c>
      <c r="Q714" t="s">
        <v>80</v>
      </c>
      <c r="S714" t="str">
        <f>_xlfn.XLOOKUP(UNIVERSO[[#This Row],[Ruta]],'[1]CUOTA RUTA'!A:A,'[1]CUOTA RUTA'!D:D)</f>
        <v>Cargar</v>
      </c>
    </row>
    <row r="715" spans="1:19" x14ac:dyDescent="0.25">
      <c r="A715">
        <v>1500017032</v>
      </c>
      <c r="B715" t="s">
        <v>1657</v>
      </c>
      <c r="C715" t="s">
        <v>19</v>
      </c>
      <c r="D715" t="s">
        <v>32</v>
      </c>
      <c r="E715" t="s">
        <v>21</v>
      </c>
      <c r="F715" t="s">
        <v>22</v>
      </c>
      <c r="G715" t="s">
        <v>33</v>
      </c>
      <c r="H715" t="s">
        <v>92</v>
      </c>
      <c r="I715" t="s">
        <v>1658</v>
      </c>
      <c r="J715">
        <v>9.9713996999999992</v>
      </c>
      <c r="K715">
        <v>-84.005934600000003</v>
      </c>
      <c r="L715" t="s">
        <v>1225</v>
      </c>
      <c r="M715" t="s">
        <v>94</v>
      </c>
      <c r="N715" t="s">
        <v>95</v>
      </c>
      <c r="O715" t="s">
        <v>96</v>
      </c>
      <c r="P715">
        <v>4</v>
      </c>
      <c r="Q715" t="s">
        <v>120</v>
      </c>
      <c r="S715" t="str">
        <f>_xlfn.XLOOKUP(UNIVERSO[[#This Row],[Ruta]],'[1]CUOTA RUTA'!A:A,'[1]CUOTA RUTA'!D:D)</f>
        <v>Cargar</v>
      </c>
    </row>
    <row r="716" spans="1:19" x14ac:dyDescent="0.25">
      <c r="A716">
        <v>1500017154</v>
      </c>
      <c r="B716" t="s">
        <v>1659</v>
      </c>
      <c r="C716" t="s">
        <v>19</v>
      </c>
      <c r="D716" t="s">
        <v>20</v>
      </c>
      <c r="E716" t="s">
        <v>21</v>
      </c>
      <c r="F716" t="s">
        <v>22</v>
      </c>
      <c r="G716" t="s">
        <v>33</v>
      </c>
      <c r="H716" t="s">
        <v>24</v>
      </c>
      <c r="I716" t="s">
        <v>1660</v>
      </c>
      <c r="J716">
        <v>9.9960935099999997</v>
      </c>
      <c r="K716">
        <v>-84.097377589999994</v>
      </c>
      <c r="L716" t="s">
        <v>1225</v>
      </c>
      <c r="M716" t="s">
        <v>27</v>
      </c>
      <c r="N716" t="s">
        <v>28</v>
      </c>
      <c r="O716" t="s">
        <v>29</v>
      </c>
      <c r="P716">
        <v>18</v>
      </c>
      <c r="Q716" t="s">
        <v>84</v>
      </c>
      <c r="S716" t="str">
        <f>_xlfn.XLOOKUP(UNIVERSO[[#This Row],[Ruta]],'[1]CUOTA RUTA'!A:A,'[1]CUOTA RUTA'!D:D)</f>
        <v>Cargar</v>
      </c>
    </row>
    <row r="717" spans="1:19" x14ac:dyDescent="0.25">
      <c r="A717">
        <v>1500017187</v>
      </c>
      <c r="B717" t="s">
        <v>1661</v>
      </c>
      <c r="C717" t="s">
        <v>19</v>
      </c>
      <c r="D717" t="s">
        <v>32</v>
      </c>
      <c r="E717" t="s">
        <v>21</v>
      </c>
      <c r="F717" t="s">
        <v>22</v>
      </c>
      <c r="G717" t="s">
        <v>33</v>
      </c>
      <c r="H717" t="s">
        <v>1383</v>
      </c>
      <c r="I717" t="s">
        <v>1662</v>
      </c>
      <c r="J717">
        <v>9.9028299999999998</v>
      </c>
      <c r="K717">
        <v>-84.089600000000004</v>
      </c>
      <c r="L717" t="s">
        <v>1225</v>
      </c>
      <c r="M717" t="s">
        <v>71</v>
      </c>
      <c r="N717" t="s">
        <v>72</v>
      </c>
      <c r="O717" t="s">
        <v>73</v>
      </c>
      <c r="P717">
        <v>6</v>
      </c>
      <c r="Q717" t="s">
        <v>49</v>
      </c>
      <c r="S717" t="str">
        <f>_xlfn.XLOOKUP(UNIVERSO[[#This Row],[Ruta]],'[1]CUOTA RUTA'!A:A,'[1]CUOTA RUTA'!D:D)</f>
        <v>Cargar</v>
      </c>
    </row>
    <row r="718" spans="1:19" x14ac:dyDescent="0.25">
      <c r="A718">
        <v>1500017231</v>
      </c>
      <c r="B718" t="s">
        <v>1663</v>
      </c>
      <c r="C718" t="s">
        <v>19</v>
      </c>
      <c r="D718" t="s">
        <v>32</v>
      </c>
      <c r="E718" t="s">
        <v>21</v>
      </c>
      <c r="F718" t="s">
        <v>51</v>
      </c>
      <c r="G718" t="s">
        <v>23</v>
      </c>
      <c r="H718" t="s">
        <v>86</v>
      </c>
      <c r="I718" t="s">
        <v>1664</v>
      </c>
      <c r="J718">
        <v>9.9799377000000007</v>
      </c>
      <c r="K718">
        <v>-84.091492200000005</v>
      </c>
      <c r="L718" t="s">
        <v>1225</v>
      </c>
      <c r="M718" t="s">
        <v>71</v>
      </c>
      <c r="N718" t="s">
        <v>72</v>
      </c>
      <c r="O718" t="s">
        <v>73</v>
      </c>
      <c r="P718">
        <v>23</v>
      </c>
      <c r="Q718" t="s">
        <v>125</v>
      </c>
      <c r="S718" t="str">
        <f>_xlfn.XLOOKUP(UNIVERSO[[#This Row],[Ruta]],'[1]CUOTA RUTA'!A:A,'[1]CUOTA RUTA'!D:D)</f>
        <v>Cargar</v>
      </c>
    </row>
    <row r="719" spans="1:19" x14ac:dyDescent="0.25">
      <c r="A719">
        <v>1500017295</v>
      </c>
      <c r="B719" t="s">
        <v>1108</v>
      </c>
      <c r="C719" t="s">
        <v>19</v>
      </c>
      <c r="D719" t="s">
        <v>32</v>
      </c>
      <c r="E719" t="s">
        <v>21</v>
      </c>
      <c r="F719" t="s">
        <v>22</v>
      </c>
      <c r="G719" t="s">
        <v>33</v>
      </c>
      <c r="H719" t="s">
        <v>179</v>
      </c>
      <c r="I719" t="s">
        <v>1665</v>
      </c>
      <c r="J719">
        <v>9.8881029999999992</v>
      </c>
      <c r="K719">
        <v>-84.028672999999998</v>
      </c>
      <c r="L719" t="s">
        <v>1225</v>
      </c>
      <c r="M719" t="s">
        <v>36</v>
      </c>
      <c r="N719" t="s">
        <v>37</v>
      </c>
      <c r="O719" t="s">
        <v>38</v>
      </c>
      <c r="P719">
        <v>16</v>
      </c>
      <c r="Q719" t="s">
        <v>60</v>
      </c>
      <c r="S719" t="str">
        <f>_xlfn.XLOOKUP(UNIVERSO[[#This Row],[Ruta]],'[1]CUOTA RUTA'!A:A,'[1]CUOTA RUTA'!D:D)</f>
        <v>Cargar</v>
      </c>
    </row>
    <row r="720" spans="1:19" x14ac:dyDescent="0.25">
      <c r="A720">
        <v>1500017350</v>
      </c>
      <c r="B720" t="s">
        <v>1666</v>
      </c>
      <c r="C720" t="s">
        <v>19</v>
      </c>
      <c r="D720" t="s">
        <v>32</v>
      </c>
      <c r="E720" t="s">
        <v>21</v>
      </c>
      <c r="F720" t="s">
        <v>22</v>
      </c>
      <c r="G720" t="s">
        <v>33</v>
      </c>
      <c r="H720" t="s">
        <v>115</v>
      </c>
      <c r="I720" t="s">
        <v>1667</v>
      </c>
      <c r="J720">
        <v>9.9425399999999993</v>
      </c>
      <c r="K720">
        <v>-84.078900000000004</v>
      </c>
      <c r="L720" t="s">
        <v>1225</v>
      </c>
      <c r="M720" t="s">
        <v>36</v>
      </c>
      <c r="N720" t="s">
        <v>37</v>
      </c>
      <c r="O720" t="s">
        <v>38</v>
      </c>
      <c r="P720">
        <v>5</v>
      </c>
      <c r="Q720" t="s">
        <v>117</v>
      </c>
      <c r="S720" t="str">
        <f>_xlfn.XLOOKUP(UNIVERSO[[#This Row],[Ruta]],'[1]CUOTA RUTA'!A:A,'[1]CUOTA RUTA'!D:D)</f>
        <v>Cargar</v>
      </c>
    </row>
    <row r="721" spans="1:19" x14ac:dyDescent="0.25">
      <c r="A721">
        <v>1500017379</v>
      </c>
      <c r="B721" t="s">
        <v>1668</v>
      </c>
      <c r="C721" t="s">
        <v>19</v>
      </c>
      <c r="D721" t="s">
        <v>20</v>
      </c>
      <c r="E721" t="s">
        <v>21</v>
      </c>
      <c r="F721" t="s">
        <v>22</v>
      </c>
      <c r="G721" t="s">
        <v>23</v>
      </c>
      <c r="H721" t="s">
        <v>143</v>
      </c>
      <c r="I721" t="s">
        <v>1669</v>
      </c>
      <c r="J721">
        <v>9.9472866</v>
      </c>
      <c r="K721">
        <v>-84.143400700000001</v>
      </c>
      <c r="L721" t="s">
        <v>1225</v>
      </c>
      <c r="M721" t="s">
        <v>27</v>
      </c>
      <c r="N721" t="s">
        <v>28</v>
      </c>
      <c r="O721" t="s">
        <v>29</v>
      </c>
      <c r="P721">
        <v>22</v>
      </c>
      <c r="Q721" t="s">
        <v>30</v>
      </c>
      <c r="S721" t="str">
        <f>_xlfn.XLOOKUP(UNIVERSO[[#This Row],[Ruta]],'[1]CUOTA RUTA'!A:A,'[1]CUOTA RUTA'!D:D)</f>
        <v>Cargar</v>
      </c>
    </row>
    <row r="722" spans="1:19" x14ac:dyDescent="0.25">
      <c r="A722">
        <v>1500017522</v>
      </c>
      <c r="B722" t="s">
        <v>1670</v>
      </c>
      <c r="C722" t="s">
        <v>19</v>
      </c>
      <c r="D722" t="s">
        <v>32</v>
      </c>
      <c r="E722" t="s">
        <v>21</v>
      </c>
      <c r="F722" t="s">
        <v>22</v>
      </c>
      <c r="G722" t="s">
        <v>64</v>
      </c>
      <c r="H722" t="s">
        <v>698</v>
      </c>
      <c r="I722" t="s">
        <v>1671</v>
      </c>
      <c r="J722">
        <v>9.9450389999999995</v>
      </c>
      <c r="K722">
        <v>-84.052238000000003</v>
      </c>
      <c r="L722" t="s">
        <v>1225</v>
      </c>
      <c r="M722" t="s">
        <v>94</v>
      </c>
      <c r="N722" t="s">
        <v>95</v>
      </c>
      <c r="O722" t="s">
        <v>96</v>
      </c>
      <c r="P722">
        <v>9</v>
      </c>
      <c r="Q722" t="s">
        <v>80</v>
      </c>
      <c r="S722" t="str">
        <f>_xlfn.XLOOKUP(UNIVERSO[[#This Row],[Ruta]],'[1]CUOTA RUTA'!A:A,'[1]CUOTA RUTA'!D:D)</f>
        <v>Cargar</v>
      </c>
    </row>
    <row r="723" spans="1:19" x14ac:dyDescent="0.25">
      <c r="A723">
        <v>1500017537</v>
      </c>
      <c r="B723" t="s">
        <v>1672</v>
      </c>
      <c r="C723" t="s">
        <v>19</v>
      </c>
      <c r="D723" t="s">
        <v>32</v>
      </c>
      <c r="E723" t="s">
        <v>21</v>
      </c>
      <c r="F723" t="s">
        <v>22</v>
      </c>
      <c r="G723" t="s">
        <v>64</v>
      </c>
      <c r="H723" t="s">
        <v>625</v>
      </c>
      <c r="I723" t="s">
        <v>1673</v>
      </c>
      <c r="J723">
        <v>9.9923966666670001</v>
      </c>
      <c r="K723">
        <v>-84.041370000000001</v>
      </c>
      <c r="L723" t="s">
        <v>1225</v>
      </c>
      <c r="M723" t="s">
        <v>94</v>
      </c>
      <c r="N723" t="s">
        <v>95</v>
      </c>
      <c r="O723" t="s">
        <v>96</v>
      </c>
      <c r="P723">
        <v>6</v>
      </c>
      <c r="Q723" t="s">
        <v>49</v>
      </c>
      <c r="S723" t="str">
        <f>_xlfn.XLOOKUP(UNIVERSO[[#This Row],[Ruta]],'[1]CUOTA RUTA'!A:A,'[1]CUOTA RUTA'!D:D)</f>
        <v>Cargar</v>
      </c>
    </row>
    <row r="724" spans="1:19" x14ac:dyDescent="0.25">
      <c r="A724">
        <v>1500017874</v>
      </c>
      <c r="B724" t="s">
        <v>1674</v>
      </c>
      <c r="C724" t="s">
        <v>19</v>
      </c>
      <c r="D724" t="s">
        <v>32</v>
      </c>
      <c r="E724" t="s">
        <v>21</v>
      </c>
      <c r="F724" t="s">
        <v>22</v>
      </c>
      <c r="G724" t="s">
        <v>64</v>
      </c>
      <c r="H724" t="s">
        <v>92</v>
      </c>
      <c r="I724" t="s">
        <v>1675</v>
      </c>
      <c r="J724">
        <v>9.9685000000000006</v>
      </c>
      <c r="K724">
        <v>-84.018299999999996</v>
      </c>
      <c r="L724" t="s">
        <v>1225</v>
      </c>
      <c r="M724" t="s">
        <v>94</v>
      </c>
      <c r="N724" t="s">
        <v>95</v>
      </c>
      <c r="O724" t="s">
        <v>96</v>
      </c>
      <c r="P724">
        <v>3</v>
      </c>
      <c r="Q724" t="s">
        <v>101</v>
      </c>
      <c r="S724" t="str">
        <f>_xlfn.XLOOKUP(UNIVERSO[[#This Row],[Ruta]],'[1]CUOTA RUTA'!A:A,'[1]CUOTA RUTA'!D:D)</f>
        <v>Cargar</v>
      </c>
    </row>
    <row r="725" spans="1:19" x14ac:dyDescent="0.25">
      <c r="A725">
        <v>1500018080</v>
      </c>
      <c r="B725" t="s">
        <v>1676</v>
      </c>
      <c r="C725" t="s">
        <v>19</v>
      </c>
      <c r="D725" t="s">
        <v>32</v>
      </c>
      <c r="E725" t="s">
        <v>21</v>
      </c>
      <c r="F725" t="s">
        <v>22</v>
      </c>
      <c r="G725" t="s">
        <v>23</v>
      </c>
      <c r="H725" t="s">
        <v>86</v>
      </c>
      <c r="I725" t="s">
        <v>1677</v>
      </c>
      <c r="J725">
        <v>9.9021000000000008</v>
      </c>
      <c r="K725">
        <v>-84.110208999999998</v>
      </c>
      <c r="L725" t="s">
        <v>1225</v>
      </c>
      <c r="M725" t="s">
        <v>71</v>
      </c>
      <c r="N725" t="s">
        <v>72</v>
      </c>
      <c r="O725" t="s">
        <v>73</v>
      </c>
      <c r="P725">
        <v>13</v>
      </c>
      <c r="Q725" t="s">
        <v>161</v>
      </c>
      <c r="S725" t="str">
        <f>_xlfn.XLOOKUP(UNIVERSO[[#This Row],[Ruta]],'[1]CUOTA RUTA'!A:A,'[1]CUOTA RUTA'!D:D)</f>
        <v>Cargar</v>
      </c>
    </row>
    <row r="726" spans="1:19" x14ac:dyDescent="0.25">
      <c r="A726">
        <v>1500018136</v>
      </c>
      <c r="B726" t="s">
        <v>1678</v>
      </c>
      <c r="C726" t="s">
        <v>19</v>
      </c>
      <c r="D726" t="s">
        <v>32</v>
      </c>
      <c r="E726" t="s">
        <v>21</v>
      </c>
      <c r="F726" t="s">
        <v>22</v>
      </c>
      <c r="G726" t="s">
        <v>64</v>
      </c>
      <c r="H726" t="s">
        <v>148</v>
      </c>
      <c r="I726" t="s">
        <v>1679</v>
      </c>
      <c r="J726">
        <v>9.9779800000000005</v>
      </c>
      <c r="K726">
        <v>-83.997900000000001</v>
      </c>
      <c r="L726" t="s">
        <v>1225</v>
      </c>
      <c r="M726" t="s">
        <v>94</v>
      </c>
      <c r="N726" t="s">
        <v>95</v>
      </c>
      <c r="O726" t="s">
        <v>96</v>
      </c>
      <c r="P726">
        <v>4</v>
      </c>
      <c r="Q726" t="s">
        <v>120</v>
      </c>
      <c r="S726" t="str">
        <f>_xlfn.XLOOKUP(UNIVERSO[[#This Row],[Ruta]],'[1]CUOTA RUTA'!A:A,'[1]CUOTA RUTA'!D:D)</f>
        <v>Cargar</v>
      </c>
    </row>
    <row r="727" spans="1:19" x14ac:dyDescent="0.25">
      <c r="A727">
        <v>1500018614</v>
      </c>
      <c r="B727" t="s">
        <v>1680</v>
      </c>
      <c r="C727" t="s">
        <v>19</v>
      </c>
      <c r="D727" t="s">
        <v>32</v>
      </c>
      <c r="E727" t="s">
        <v>21</v>
      </c>
      <c r="F727" t="s">
        <v>22</v>
      </c>
      <c r="G727" t="s">
        <v>33</v>
      </c>
      <c r="H727" t="s">
        <v>65</v>
      </c>
      <c r="I727" t="s">
        <v>1681</v>
      </c>
      <c r="J727">
        <v>9.899324</v>
      </c>
      <c r="K727">
        <v>-83.981200000000001</v>
      </c>
      <c r="L727" t="s">
        <v>1225</v>
      </c>
      <c r="M727" t="s">
        <v>36</v>
      </c>
      <c r="N727" t="s">
        <v>37</v>
      </c>
      <c r="O727" t="s">
        <v>38</v>
      </c>
      <c r="P727">
        <v>19</v>
      </c>
      <c r="Q727" t="s">
        <v>67</v>
      </c>
      <c r="S727" t="str">
        <f>_xlfn.XLOOKUP(UNIVERSO[[#This Row],[Ruta]],'[1]CUOTA RUTA'!A:A,'[1]CUOTA RUTA'!D:D)</f>
        <v>Cargar</v>
      </c>
    </row>
    <row r="728" spans="1:19" x14ac:dyDescent="0.25">
      <c r="A728">
        <v>1500018648</v>
      </c>
      <c r="B728" t="s">
        <v>1682</v>
      </c>
      <c r="C728" t="s">
        <v>19</v>
      </c>
      <c r="D728" t="s">
        <v>266</v>
      </c>
      <c r="E728" t="s">
        <v>21</v>
      </c>
      <c r="F728" t="s">
        <v>22</v>
      </c>
      <c r="G728" t="s">
        <v>33</v>
      </c>
      <c r="H728" t="s">
        <v>703</v>
      </c>
      <c r="I728" t="s">
        <v>1683</v>
      </c>
      <c r="J728">
        <v>9.8385110000000005</v>
      </c>
      <c r="K728">
        <v>-83.948079199999995</v>
      </c>
      <c r="L728" t="s">
        <v>1225</v>
      </c>
      <c r="M728" t="s">
        <v>36</v>
      </c>
      <c r="N728" t="s">
        <v>316</v>
      </c>
      <c r="O728" t="s">
        <v>317</v>
      </c>
      <c r="P728">
        <v>19</v>
      </c>
      <c r="Q728" t="s">
        <v>67</v>
      </c>
      <c r="S728" t="str">
        <f>_xlfn.XLOOKUP(UNIVERSO[[#This Row],[Ruta]],'[1]CUOTA RUTA'!A:A,'[1]CUOTA RUTA'!D:D)</f>
        <v>Cargar</v>
      </c>
    </row>
    <row r="729" spans="1:19" x14ac:dyDescent="0.25">
      <c r="A729">
        <v>1500018668</v>
      </c>
      <c r="B729" t="s">
        <v>1684</v>
      </c>
      <c r="C729" t="s">
        <v>19</v>
      </c>
      <c r="D729" t="s">
        <v>32</v>
      </c>
      <c r="E729" t="s">
        <v>21</v>
      </c>
      <c r="F729" t="s">
        <v>22</v>
      </c>
      <c r="G729" t="s">
        <v>33</v>
      </c>
      <c r="H729" t="s">
        <v>89</v>
      </c>
      <c r="I729" t="s">
        <v>1685</v>
      </c>
      <c r="J729">
        <v>9.9065779999999997</v>
      </c>
      <c r="K729">
        <v>-84.084289999999996</v>
      </c>
      <c r="L729" t="s">
        <v>1225</v>
      </c>
      <c r="M729" t="s">
        <v>71</v>
      </c>
      <c r="N729" t="s">
        <v>72</v>
      </c>
      <c r="O729" t="s">
        <v>73</v>
      </c>
      <c r="P729">
        <v>6</v>
      </c>
      <c r="Q729" t="s">
        <v>49</v>
      </c>
      <c r="S729" t="str">
        <f>_xlfn.XLOOKUP(UNIVERSO[[#This Row],[Ruta]],'[1]CUOTA RUTA'!A:A,'[1]CUOTA RUTA'!D:D)</f>
        <v>Cargar</v>
      </c>
    </row>
    <row r="730" spans="1:19" x14ac:dyDescent="0.25">
      <c r="A730">
        <v>1500018715</v>
      </c>
      <c r="B730" t="s">
        <v>1686</v>
      </c>
      <c r="C730" t="s">
        <v>19</v>
      </c>
      <c r="D730" t="s">
        <v>32</v>
      </c>
      <c r="E730" t="s">
        <v>21</v>
      </c>
      <c r="F730" t="s">
        <v>22</v>
      </c>
      <c r="G730" t="s">
        <v>64</v>
      </c>
      <c r="H730" t="s">
        <v>698</v>
      </c>
      <c r="I730" t="s">
        <v>1687</v>
      </c>
      <c r="J730">
        <v>9.95505</v>
      </c>
      <c r="K730">
        <v>-84.055199999999999</v>
      </c>
      <c r="L730" t="s">
        <v>1225</v>
      </c>
      <c r="M730" t="s">
        <v>94</v>
      </c>
      <c r="N730" t="s">
        <v>95</v>
      </c>
      <c r="O730" t="s">
        <v>96</v>
      </c>
      <c r="P730">
        <v>9</v>
      </c>
      <c r="Q730" t="s">
        <v>80</v>
      </c>
      <c r="S730" t="str">
        <f>_xlfn.XLOOKUP(UNIVERSO[[#This Row],[Ruta]],'[1]CUOTA RUTA'!A:A,'[1]CUOTA RUTA'!D:D)</f>
        <v>Cargar</v>
      </c>
    </row>
    <row r="731" spans="1:19" x14ac:dyDescent="0.25">
      <c r="A731">
        <v>1500018809</v>
      </c>
      <c r="B731" t="s">
        <v>1688</v>
      </c>
      <c r="C731" t="s">
        <v>19</v>
      </c>
      <c r="D731" t="s">
        <v>32</v>
      </c>
      <c r="E731" t="s">
        <v>21</v>
      </c>
      <c r="F731" t="s">
        <v>22</v>
      </c>
      <c r="G731" t="s">
        <v>33</v>
      </c>
      <c r="H731" t="s">
        <v>69</v>
      </c>
      <c r="I731" t="s">
        <v>1689</v>
      </c>
      <c r="J731">
        <v>9.8787783333330008</v>
      </c>
      <c r="K731">
        <v>-84.033935</v>
      </c>
      <c r="L731" t="s">
        <v>1225</v>
      </c>
      <c r="M731" t="s">
        <v>71</v>
      </c>
      <c r="N731" t="s">
        <v>72</v>
      </c>
      <c r="O731" t="s">
        <v>73</v>
      </c>
      <c r="P731">
        <v>23</v>
      </c>
      <c r="Q731" t="s">
        <v>125</v>
      </c>
      <c r="S731" t="str">
        <f>_xlfn.XLOOKUP(UNIVERSO[[#This Row],[Ruta]],'[1]CUOTA RUTA'!A:A,'[1]CUOTA RUTA'!D:D)</f>
        <v>Cargar</v>
      </c>
    </row>
    <row r="732" spans="1:19" x14ac:dyDescent="0.25">
      <c r="A732">
        <v>1500018832</v>
      </c>
      <c r="B732" t="s">
        <v>1690</v>
      </c>
      <c r="C732" t="s">
        <v>19</v>
      </c>
      <c r="D732" t="s">
        <v>32</v>
      </c>
      <c r="E732" t="s">
        <v>21</v>
      </c>
      <c r="F732" t="s">
        <v>22</v>
      </c>
      <c r="G732" t="s">
        <v>33</v>
      </c>
      <c r="H732" t="s">
        <v>148</v>
      </c>
      <c r="I732" t="s">
        <v>1691</v>
      </c>
      <c r="J732">
        <v>9.9853500000000004</v>
      </c>
      <c r="K732">
        <v>-84.026899999999998</v>
      </c>
      <c r="L732" t="s">
        <v>1225</v>
      </c>
      <c r="M732" t="s">
        <v>94</v>
      </c>
      <c r="N732" t="s">
        <v>95</v>
      </c>
      <c r="O732" t="s">
        <v>96</v>
      </c>
      <c r="P732">
        <v>2</v>
      </c>
      <c r="Q732" t="s">
        <v>150</v>
      </c>
      <c r="S732" t="str">
        <f>_xlfn.XLOOKUP(UNIVERSO[[#This Row],[Ruta]],'[1]CUOTA RUTA'!A:A,'[1]CUOTA RUTA'!D:D)</f>
        <v>Cargar</v>
      </c>
    </row>
    <row r="733" spans="1:19" x14ac:dyDescent="0.25">
      <c r="A733">
        <v>1500019947</v>
      </c>
      <c r="B733" t="s">
        <v>1692</v>
      </c>
      <c r="C733" t="s">
        <v>19</v>
      </c>
      <c r="D733" t="s">
        <v>32</v>
      </c>
      <c r="E733" t="s">
        <v>21</v>
      </c>
      <c r="F733" t="s">
        <v>51</v>
      </c>
      <c r="G733" t="s">
        <v>23</v>
      </c>
      <c r="H733" t="s">
        <v>103</v>
      </c>
      <c r="I733" t="s">
        <v>1693</v>
      </c>
      <c r="J733">
        <v>9.9136833333329992</v>
      </c>
      <c r="K733">
        <v>-84.113138333329999</v>
      </c>
      <c r="L733" t="s">
        <v>1225</v>
      </c>
      <c r="M733" t="s">
        <v>71</v>
      </c>
      <c r="N733" t="s">
        <v>72</v>
      </c>
      <c r="O733" t="s">
        <v>73</v>
      </c>
      <c r="P733">
        <v>11</v>
      </c>
      <c r="Q733" t="s">
        <v>108</v>
      </c>
      <c r="S733" t="str">
        <f>_xlfn.XLOOKUP(UNIVERSO[[#This Row],[Ruta]],'[1]CUOTA RUTA'!A:A,'[1]CUOTA RUTA'!D:D)</f>
        <v>Cargar</v>
      </c>
    </row>
    <row r="734" spans="1:19" x14ac:dyDescent="0.25">
      <c r="A734">
        <v>1500020408</v>
      </c>
      <c r="B734" t="s">
        <v>1694</v>
      </c>
      <c r="C734" t="s">
        <v>19</v>
      </c>
      <c r="D734" t="s">
        <v>32</v>
      </c>
      <c r="E734" t="s">
        <v>62</v>
      </c>
      <c r="F734" t="s">
        <v>63</v>
      </c>
      <c r="G734" t="s">
        <v>64</v>
      </c>
      <c r="H734" t="s">
        <v>106</v>
      </c>
      <c r="I734" t="s">
        <v>1695</v>
      </c>
      <c r="J734">
        <v>9.9155859999999993</v>
      </c>
      <c r="K734">
        <v>-84.102530999999999</v>
      </c>
      <c r="L734" t="s">
        <v>1225</v>
      </c>
      <c r="M734" t="s">
        <v>71</v>
      </c>
      <c r="N734" t="s">
        <v>72</v>
      </c>
      <c r="O734" t="s">
        <v>73</v>
      </c>
      <c r="P734">
        <v>10</v>
      </c>
      <c r="Q734" t="s">
        <v>136</v>
      </c>
      <c r="S734" t="str">
        <f>_xlfn.XLOOKUP(UNIVERSO[[#This Row],[Ruta]],'[1]CUOTA RUTA'!A:A,'[1]CUOTA RUTA'!D:D)</f>
        <v>Cargar</v>
      </c>
    </row>
    <row r="735" spans="1:19" x14ac:dyDescent="0.25">
      <c r="A735">
        <v>1500020432</v>
      </c>
      <c r="B735" t="s">
        <v>1696</v>
      </c>
      <c r="C735" t="s">
        <v>19</v>
      </c>
      <c r="D735" t="s">
        <v>32</v>
      </c>
      <c r="E735" t="s">
        <v>21</v>
      </c>
      <c r="F735" t="s">
        <v>22</v>
      </c>
      <c r="G735" t="s">
        <v>33</v>
      </c>
      <c r="H735" t="s">
        <v>148</v>
      </c>
      <c r="I735" t="s">
        <v>1697</v>
      </c>
      <c r="J735">
        <v>9.9813360000000007</v>
      </c>
      <c r="K735">
        <v>-84.003189000000006</v>
      </c>
      <c r="L735" t="s">
        <v>1225</v>
      </c>
      <c r="M735" t="s">
        <v>94</v>
      </c>
      <c r="N735" t="s">
        <v>95</v>
      </c>
      <c r="O735" t="s">
        <v>96</v>
      </c>
      <c r="P735">
        <v>4</v>
      </c>
      <c r="Q735" t="s">
        <v>120</v>
      </c>
      <c r="S735" t="str">
        <f>_xlfn.XLOOKUP(UNIVERSO[[#This Row],[Ruta]],'[1]CUOTA RUTA'!A:A,'[1]CUOTA RUTA'!D:D)</f>
        <v>Cargar</v>
      </c>
    </row>
    <row r="736" spans="1:19" x14ac:dyDescent="0.25">
      <c r="A736">
        <v>1500020749</v>
      </c>
      <c r="B736" t="s">
        <v>1698</v>
      </c>
      <c r="C736" t="s">
        <v>19</v>
      </c>
      <c r="D736" t="s">
        <v>32</v>
      </c>
      <c r="E736" t="s">
        <v>21</v>
      </c>
      <c r="F736" t="s">
        <v>22</v>
      </c>
      <c r="G736" t="s">
        <v>33</v>
      </c>
      <c r="H736" t="s">
        <v>127</v>
      </c>
      <c r="I736" t="s">
        <v>1699</v>
      </c>
      <c r="J736">
        <v>9.7949300000000008</v>
      </c>
      <c r="K736">
        <v>-84.163899999999998</v>
      </c>
      <c r="L736" t="s">
        <v>1225</v>
      </c>
      <c r="M736" t="s">
        <v>54</v>
      </c>
      <c r="N736" t="s">
        <v>129</v>
      </c>
      <c r="O736" t="s">
        <v>130</v>
      </c>
      <c r="P736">
        <v>23</v>
      </c>
      <c r="Q736" t="s">
        <v>125</v>
      </c>
      <c r="S736" t="str">
        <f>_xlfn.XLOOKUP(UNIVERSO[[#This Row],[Ruta]],'[1]CUOTA RUTA'!A:A,'[1]CUOTA RUTA'!D:D)</f>
        <v>Cargar</v>
      </c>
    </row>
    <row r="737" spans="1:19" x14ac:dyDescent="0.25">
      <c r="A737">
        <v>1500021790</v>
      </c>
      <c r="B737" t="s">
        <v>1700</v>
      </c>
      <c r="C737" t="s">
        <v>19</v>
      </c>
      <c r="D737" t="s">
        <v>32</v>
      </c>
      <c r="E737" t="s">
        <v>21</v>
      </c>
      <c r="F737" t="s">
        <v>22</v>
      </c>
      <c r="G737" t="s">
        <v>33</v>
      </c>
      <c r="H737" t="s">
        <v>76</v>
      </c>
      <c r="I737" t="s">
        <v>1701</v>
      </c>
      <c r="J737">
        <v>9.9679199999999994</v>
      </c>
      <c r="K737">
        <v>-84.014300000000006</v>
      </c>
      <c r="L737" t="s">
        <v>1225</v>
      </c>
      <c r="M737" t="s">
        <v>36</v>
      </c>
      <c r="N737" t="s">
        <v>37</v>
      </c>
      <c r="O737" t="s">
        <v>38</v>
      </c>
      <c r="P737">
        <v>21</v>
      </c>
      <c r="Q737" t="s">
        <v>239</v>
      </c>
      <c r="S737" t="str">
        <f>_xlfn.XLOOKUP(UNIVERSO[[#This Row],[Ruta]],'[1]CUOTA RUTA'!A:A,'[1]CUOTA RUTA'!D:D)</f>
        <v>Cargar</v>
      </c>
    </row>
    <row r="738" spans="1:19" x14ac:dyDescent="0.25">
      <c r="A738">
        <v>1500022064</v>
      </c>
      <c r="B738" t="s">
        <v>1702</v>
      </c>
      <c r="C738" t="s">
        <v>19</v>
      </c>
      <c r="D738" t="s">
        <v>266</v>
      </c>
      <c r="E738" t="s">
        <v>21</v>
      </c>
      <c r="F738" t="s">
        <v>22</v>
      </c>
      <c r="G738" t="s">
        <v>64</v>
      </c>
      <c r="H738" t="s">
        <v>321</v>
      </c>
      <c r="I738" t="s">
        <v>1703</v>
      </c>
      <c r="J738">
        <v>9.8975307790109994</v>
      </c>
      <c r="K738">
        <v>-83.690945625129999</v>
      </c>
      <c r="L738" t="s">
        <v>1225</v>
      </c>
      <c r="M738" t="s">
        <v>54</v>
      </c>
      <c r="N738" t="s">
        <v>274</v>
      </c>
      <c r="O738" t="s">
        <v>275</v>
      </c>
      <c r="P738">
        <v>24</v>
      </c>
      <c r="Q738" t="s">
        <v>947</v>
      </c>
      <c r="S738" t="str">
        <f>_xlfn.XLOOKUP(UNIVERSO[[#This Row],[Ruta]],'[1]CUOTA RUTA'!A:A,'[1]CUOTA RUTA'!D:D)</f>
        <v>Cargar</v>
      </c>
    </row>
    <row r="739" spans="1:19" x14ac:dyDescent="0.25">
      <c r="A739">
        <v>1500022424</v>
      </c>
      <c r="B739" t="s">
        <v>1704</v>
      </c>
      <c r="C739" t="s">
        <v>19</v>
      </c>
      <c r="D739" t="s">
        <v>32</v>
      </c>
      <c r="E739" t="s">
        <v>21</v>
      </c>
      <c r="F739" t="s">
        <v>22</v>
      </c>
      <c r="G739" t="s">
        <v>64</v>
      </c>
      <c r="H739" t="s">
        <v>625</v>
      </c>
      <c r="I739" t="s">
        <v>1705</v>
      </c>
      <c r="J739">
        <v>10.018308333333</v>
      </c>
      <c r="K739">
        <v>-84.048466666660005</v>
      </c>
      <c r="L739" t="s">
        <v>1225</v>
      </c>
      <c r="M739" t="s">
        <v>94</v>
      </c>
      <c r="N739" t="s">
        <v>95</v>
      </c>
      <c r="O739" t="s">
        <v>96</v>
      </c>
      <c r="P739">
        <v>5</v>
      </c>
      <c r="Q739" t="s">
        <v>117</v>
      </c>
      <c r="S739" t="str">
        <f>_xlfn.XLOOKUP(UNIVERSO[[#This Row],[Ruta]],'[1]CUOTA RUTA'!A:A,'[1]CUOTA RUTA'!D:D)</f>
        <v>Cargar</v>
      </c>
    </row>
    <row r="740" spans="1:19" x14ac:dyDescent="0.25">
      <c r="A740">
        <v>1500022518</v>
      </c>
      <c r="B740" t="s">
        <v>1706</v>
      </c>
      <c r="C740" t="s">
        <v>19</v>
      </c>
      <c r="D740" t="s">
        <v>186</v>
      </c>
      <c r="E740" t="s">
        <v>21</v>
      </c>
      <c r="F740" t="s">
        <v>22</v>
      </c>
      <c r="G740" t="s">
        <v>64</v>
      </c>
      <c r="H740" t="s">
        <v>241</v>
      </c>
      <c r="I740" t="s">
        <v>1707</v>
      </c>
      <c r="J740">
        <v>10.001010000000001</v>
      </c>
      <c r="K740">
        <v>-83.179630000000003</v>
      </c>
      <c r="L740" t="s">
        <v>1225</v>
      </c>
      <c r="M740" t="s">
        <v>189</v>
      </c>
      <c r="N740" t="s">
        <v>190</v>
      </c>
      <c r="O740" t="s">
        <v>191</v>
      </c>
      <c r="P740">
        <v>19</v>
      </c>
      <c r="Q740" t="s">
        <v>67</v>
      </c>
      <c r="S740" t="str">
        <f>_xlfn.XLOOKUP(UNIVERSO[[#This Row],[Ruta]],'[1]CUOTA RUTA'!A:A,'[1]CUOTA RUTA'!D:D)</f>
        <v>Cargar</v>
      </c>
    </row>
    <row r="741" spans="1:19" x14ac:dyDescent="0.25">
      <c r="A741">
        <v>1500022541</v>
      </c>
      <c r="B741" t="s">
        <v>718</v>
      </c>
      <c r="C741" t="s">
        <v>19</v>
      </c>
      <c r="D741" t="s">
        <v>266</v>
      </c>
      <c r="E741" t="s">
        <v>21</v>
      </c>
      <c r="F741" t="s">
        <v>22</v>
      </c>
      <c r="G741" t="s">
        <v>33</v>
      </c>
      <c r="H741" t="s">
        <v>314</v>
      </c>
      <c r="I741" t="s">
        <v>1708</v>
      </c>
      <c r="J741">
        <v>9.8717807999999998</v>
      </c>
      <c r="K741">
        <v>-83.902518200000003</v>
      </c>
      <c r="L741" t="s">
        <v>1225</v>
      </c>
      <c r="M741" t="s">
        <v>36</v>
      </c>
      <c r="N741" t="s">
        <v>316</v>
      </c>
      <c r="O741" t="s">
        <v>317</v>
      </c>
      <c r="P741">
        <v>16</v>
      </c>
      <c r="Q741" t="s">
        <v>60</v>
      </c>
      <c r="S741" t="str">
        <f>_xlfn.XLOOKUP(UNIVERSO[[#This Row],[Ruta]],'[1]CUOTA RUTA'!A:A,'[1]CUOTA RUTA'!D:D)</f>
        <v>Cargar</v>
      </c>
    </row>
    <row r="742" spans="1:19" x14ac:dyDescent="0.25">
      <c r="A742">
        <v>1500022580</v>
      </c>
      <c r="B742" t="s">
        <v>1709</v>
      </c>
      <c r="C742" t="s">
        <v>19</v>
      </c>
      <c r="D742" t="s">
        <v>32</v>
      </c>
      <c r="E742" t="s">
        <v>21</v>
      </c>
      <c r="F742" t="s">
        <v>22</v>
      </c>
      <c r="G742" t="s">
        <v>33</v>
      </c>
      <c r="H742" t="s">
        <v>134</v>
      </c>
      <c r="I742" t="s">
        <v>1710</v>
      </c>
      <c r="J742">
        <v>9.9892632999999993</v>
      </c>
      <c r="K742">
        <v>-84.059323300000003</v>
      </c>
      <c r="L742" t="s">
        <v>1225</v>
      </c>
      <c r="M742" t="s">
        <v>94</v>
      </c>
      <c r="N742" t="s">
        <v>95</v>
      </c>
      <c r="O742" t="s">
        <v>96</v>
      </c>
      <c r="P742">
        <v>6</v>
      </c>
      <c r="Q742" t="s">
        <v>49</v>
      </c>
      <c r="S742" t="str">
        <f>_xlfn.XLOOKUP(UNIVERSO[[#This Row],[Ruta]],'[1]CUOTA RUTA'!A:A,'[1]CUOTA RUTA'!D:D)</f>
        <v>Cargar</v>
      </c>
    </row>
    <row r="743" spans="1:19" x14ac:dyDescent="0.25">
      <c r="A743">
        <v>1500022834</v>
      </c>
      <c r="B743" t="s">
        <v>1711</v>
      </c>
      <c r="C743" t="s">
        <v>19</v>
      </c>
      <c r="D743" t="s">
        <v>186</v>
      </c>
      <c r="E743" t="s">
        <v>21</v>
      </c>
      <c r="F743" t="s">
        <v>22</v>
      </c>
      <c r="G743" t="s">
        <v>33</v>
      </c>
      <c r="H743" t="s">
        <v>237</v>
      </c>
      <c r="I743" t="s">
        <v>1712</v>
      </c>
      <c r="J743">
        <v>10.10627</v>
      </c>
      <c r="K743">
        <v>-83.249976000000004</v>
      </c>
      <c r="L743" t="s">
        <v>1225</v>
      </c>
      <c r="M743" t="s">
        <v>189</v>
      </c>
      <c r="N743" t="s">
        <v>190</v>
      </c>
      <c r="O743" t="s">
        <v>191</v>
      </c>
      <c r="P743">
        <v>23</v>
      </c>
      <c r="Q743" t="s">
        <v>125</v>
      </c>
      <c r="S743" t="str">
        <f>_xlfn.XLOOKUP(UNIVERSO[[#This Row],[Ruta]],'[1]CUOTA RUTA'!A:A,'[1]CUOTA RUTA'!D:D)</f>
        <v>Cargar</v>
      </c>
    </row>
    <row r="744" spans="1:19" x14ac:dyDescent="0.25">
      <c r="A744">
        <v>1500023005</v>
      </c>
      <c r="B744" t="s">
        <v>1713</v>
      </c>
      <c r="C744" t="s">
        <v>19</v>
      </c>
      <c r="D744" t="s">
        <v>20</v>
      </c>
      <c r="E744" t="s">
        <v>21</v>
      </c>
      <c r="F744" t="s">
        <v>22</v>
      </c>
      <c r="G744" t="s">
        <v>33</v>
      </c>
      <c r="H744" t="s">
        <v>913</v>
      </c>
      <c r="I744" t="s">
        <v>1714</v>
      </c>
      <c r="J744">
        <v>9.9620800000000003</v>
      </c>
      <c r="K744">
        <v>-84.150069999999999</v>
      </c>
      <c r="L744" t="s">
        <v>1225</v>
      </c>
      <c r="M744" t="s">
        <v>27</v>
      </c>
      <c r="N744" t="s">
        <v>28</v>
      </c>
      <c r="O744" t="s">
        <v>29</v>
      </c>
      <c r="P744">
        <v>1</v>
      </c>
      <c r="Q744" t="s">
        <v>155</v>
      </c>
      <c r="S744" t="str">
        <f>_xlfn.XLOOKUP(UNIVERSO[[#This Row],[Ruta]],'[1]CUOTA RUTA'!A:A,'[1]CUOTA RUTA'!D:D)</f>
        <v>Cargar</v>
      </c>
    </row>
    <row r="745" spans="1:19" x14ac:dyDescent="0.25">
      <c r="A745">
        <v>1500023009</v>
      </c>
      <c r="B745" t="s">
        <v>1715</v>
      </c>
      <c r="C745" t="s">
        <v>19</v>
      </c>
      <c r="D745" t="s">
        <v>20</v>
      </c>
      <c r="E745" t="s">
        <v>21</v>
      </c>
      <c r="F745" t="s">
        <v>22</v>
      </c>
      <c r="G745" t="s">
        <v>23</v>
      </c>
      <c r="H745" t="s">
        <v>24</v>
      </c>
      <c r="I745" t="s">
        <v>1716</v>
      </c>
      <c r="J745">
        <v>9.9670529999999999</v>
      </c>
      <c r="K745">
        <v>-84.117789999999999</v>
      </c>
      <c r="L745" t="s">
        <v>1225</v>
      </c>
      <c r="M745" t="s">
        <v>27</v>
      </c>
      <c r="N745" t="s">
        <v>28</v>
      </c>
      <c r="O745" t="s">
        <v>29</v>
      </c>
      <c r="P745">
        <v>7</v>
      </c>
      <c r="Q745" t="s">
        <v>39</v>
      </c>
      <c r="S745" t="str">
        <f>_xlfn.XLOOKUP(UNIVERSO[[#This Row],[Ruta]],'[1]CUOTA RUTA'!A:A,'[1]CUOTA RUTA'!D:D)</f>
        <v>Cargar</v>
      </c>
    </row>
    <row r="746" spans="1:19" x14ac:dyDescent="0.25">
      <c r="A746">
        <v>1500023198</v>
      </c>
      <c r="B746" t="s">
        <v>1717</v>
      </c>
      <c r="C746" t="s">
        <v>19</v>
      </c>
      <c r="D746" t="s">
        <v>20</v>
      </c>
      <c r="E746" t="s">
        <v>62</v>
      </c>
      <c r="F746" t="s">
        <v>63</v>
      </c>
      <c r="G746" t="s">
        <v>33</v>
      </c>
      <c r="H746" t="s">
        <v>874</v>
      </c>
      <c r="I746" t="s">
        <v>1718</v>
      </c>
      <c r="J746">
        <v>9.9941999999999993</v>
      </c>
      <c r="K746">
        <v>-84.121099999999998</v>
      </c>
      <c r="L746" t="s">
        <v>1225</v>
      </c>
      <c r="M746" t="s">
        <v>27</v>
      </c>
      <c r="N746" t="s">
        <v>28</v>
      </c>
      <c r="O746" t="s">
        <v>29</v>
      </c>
      <c r="P746">
        <v>5</v>
      </c>
      <c r="Q746" t="s">
        <v>117</v>
      </c>
      <c r="S746" t="str">
        <f>_xlfn.XLOOKUP(UNIVERSO[[#This Row],[Ruta]],'[1]CUOTA RUTA'!A:A,'[1]CUOTA RUTA'!D:D)</f>
        <v>Cargar</v>
      </c>
    </row>
    <row r="747" spans="1:19" x14ac:dyDescent="0.25">
      <c r="A747">
        <v>1500023215</v>
      </c>
      <c r="B747" t="s">
        <v>1719</v>
      </c>
      <c r="C747" t="s">
        <v>19</v>
      </c>
      <c r="D747" t="s">
        <v>20</v>
      </c>
      <c r="E747" t="s">
        <v>62</v>
      </c>
      <c r="F747" t="s">
        <v>63</v>
      </c>
      <c r="G747" t="s">
        <v>64</v>
      </c>
      <c r="H747" t="s">
        <v>975</v>
      </c>
      <c r="I747" t="s">
        <v>1720</v>
      </c>
      <c r="J747">
        <v>9.99699983</v>
      </c>
      <c r="K747">
        <v>-84.11473479</v>
      </c>
      <c r="L747" t="s">
        <v>1225</v>
      </c>
      <c r="M747" t="s">
        <v>27</v>
      </c>
      <c r="N747" t="s">
        <v>28</v>
      </c>
      <c r="O747" t="s">
        <v>29</v>
      </c>
      <c r="P747">
        <v>13</v>
      </c>
      <c r="Q747" t="s">
        <v>161</v>
      </c>
      <c r="S747" t="str">
        <f>_xlfn.XLOOKUP(UNIVERSO[[#This Row],[Ruta]],'[1]CUOTA RUTA'!A:A,'[1]CUOTA RUTA'!D:D)</f>
        <v>Cargar</v>
      </c>
    </row>
    <row r="748" spans="1:19" x14ac:dyDescent="0.25">
      <c r="A748">
        <v>1500023464</v>
      </c>
      <c r="B748" t="s">
        <v>1721</v>
      </c>
      <c r="C748" t="s">
        <v>19</v>
      </c>
      <c r="D748" t="s">
        <v>32</v>
      </c>
      <c r="E748" t="s">
        <v>21</v>
      </c>
      <c r="F748" t="s">
        <v>22</v>
      </c>
      <c r="G748" t="s">
        <v>64</v>
      </c>
      <c r="H748" t="s">
        <v>174</v>
      </c>
      <c r="I748" t="s">
        <v>1722</v>
      </c>
      <c r="J748">
        <v>9.9361499999999996</v>
      </c>
      <c r="K748">
        <v>-84.085800000000006</v>
      </c>
      <c r="L748" t="s">
        <v>1225</v>
      </c>
      <c r="M748" t="s">
        <v>71</v>
      </c>
      <c r="N748" t="s">
        <v>72</v>
      </c>
      <c r="O748" t="s">
        <v>73</v>
      </c>
      <c r="P748">
        <v>1</v>
      </c>
      <c r="Q748" t="s">
        <v>155</v>
      </c>
      <c r="S748" t="str">
        <f>_xlfn.XLOOKUP(UNIVERSO[[#This Row],[Ruta]],'[1]CUOTA RUTA'!A:A,'[1]CUOTA RUTA'!D:D)</f>
        <v>Cargar</v>
      </c>
    </row>
    <row r="749" spans="1:19" x14ac:dyDescent="0.25">
      <c r="A749">
        <v>1500024072</v>
      </c>
      <c r="B749" t="s">
        <v>1723</v>
      </c>
      <c r="C749" t="s">
        <v>19</v>
      </c>
      <c r="D749" t="s">
        <v>20</v>
      </c>
      <c r="E749" t="s">
        <v>21</v>
      </c>
      <c r="F749" t="s">
        <v>22</v>
      </c>
      <c r="G749" t="s">
        <v>64</v>
      </c>
      <c r="H749" t="s">
        <v>901</v>
      </c>
      <c r="I749" t="s">
        <v>1724</v>
      </c>
      <c r="J749">
        <v>10.057059000000001</v>
      </c>
      <c r="K749">
        <v>-84.445312999999999</v>
      </c>
      <c r="L749" t="s">
        <v>1225</v>
      </c>
      <c r="M749" t="s">
        <v>46</v>
      </c>
      <c r="N749" t="s">
        <v>47</v>
      </c>
      <c r="O749" t="s">
        <v>48</v>
      </c>
      <c r="P749">
        <v>8</v>
      </c>
      <c r="Q749" t="s">
        <v>97</v>
      </c>
      <c r="S749" t="str">
        <f>_xlfn.XLOOKUP(UNIVERSO[[#This Row],[Ruta]],'[1]CUOTA RUTA'!A:A,'[1]CUOTA RUTA'!D:D)</f>
        <v>Cargar</v>
      </c>
    </row>
    <row r="750" spans="1:19" x14ac:dyDescent="0.25">
      <c r="A750">
        <v>1500024134</v>
      </c>
      <c r="B750" t="s">
        <v>1725</v>
      </c>
      <c r="C750" t="s">
        <v>19</v>
      </c>
      <c r="D750" t="s">
        <v>20</v>
      </c>
      <c r="E750" t="s">
        <v>21</v>
      </c>
      <c r="F750" t="s">
        <v>22</v>
      </c>
      <c r="G750" t="s">
        <v>33</v>
      </c>
      <c r="H750" t="s">
        <v>308</v>
      </c>
      <c r="I750" t="s">
        <v>1726</v>
      </c>
      <c r="J750">
        <v>9.8768499999999992</v>
      </c>
      <c r="K750">
        <v>-84.388630000000006</v>
      </c>
      <c r="L750" t="s">
        <v>1225</v>
      </c>
      <c r="M750" t="s">
        <v>54</v>
      </c>
      <c r="N750" t="s">
        <v>55</v>
      </c>
      <c r="O750" t="s">
        <v>56</v>
      </c>
      <c r="P750">
        <v>21</v>
      </c>
      <c r="Q750" t="s">
        <v>239</v>
      </c>
      <c r="S750" t="str">
        <f>_xlfn.XLOOKUP(UNIVERSO[[#This Row],[Ruta]],'[1]CUOTA RUTA'!A:A,'[1]CUOTA RUTA'!D:D)</f>
        <v>Cargar</v>
      </c>
    </row>
    <row r="751" spans="1:19" x14ac:dyDescent="0.25">
      <c r="A751">
        <v>1500024788</v>
      </c>
      <c r="B751" t="s">
        <v>1378</v>
      </c>
      <c r="C751" t="s">
        <v>19</v>
      </c>
      <c r="D751" t="s">
        <v>349</v>
      </c>
      <c r="E751" t="s">
        <v>21</v>
      </c>
      <c r="F751" t="s">
        <v>22</v>
      </c>
      <c r="G751" t="s">
        <v>33</v>
      </c>
      <c r="H751" t="s">
        <v>350</v>
      </c>
      <c r="I751" t="s">
        <v>1727</v>
      </c>
      <c r="J751">
        <v>10.350828</v>
      </c>
      <c r="K751">
        <v>-85.790480000000002</v>
      </c>
      <c r="L751" t="s">
        <v>1225</v>
      </c>
      <c r="M751" t="s">
        <v>352</v>
      </c>
      <c r="N751" t="s">
        <v>353</v>
      </c>
      <c r="O751" t="s">
        <v>354</v>
      </c>
      <c r="P751">
        <v>5</v>
      </c>
      <c r="Q751" t="s">
        <v>117</v>
      </c>
      <c r="S751" t="str">
        <f>_xlfn.XLOOKUP(UNIVERSO[[#This Row],[Ruta]],'[1]CUOTA RUTA'!A:A,'[1]CUOTA RUTA'!D:D)</f>
        <v>Cargar</v>
      </c>
    </row>
    <row r="752" spans="1:19" x14ac:dyDescent="0.25">
      <c r="A752">
        <v>1500024800</v>
      </c>
      <c r="B752" t="s">
        <v>1728</v>
      </c>
      <c r="C752" t="s">
        <v>19</v>
      </c>
      <c r="D752" t="s">
        <v>349</v>
      </c>
      <c r="E752" t="s">
        <v>21</v>
      </c>
      <c r="F752" t="s">
        <v>22</v>
      </c>
      <c r="G752" t="s">
        <v>23</v>
      </c>
      <c r="H752" t="s">
        <v>448</v>
      </c>
      <c r="I752" t="s">
        <v>1729</v>
      </c>
      <c r="J752">
        <v>10.287890000000001</v>
      </c>
      <c r="K752">
        <v>-85.850082999999998</v>
      </c>
      <c r="L752" t="s">
        <v>1225</v>
      </c>
      <c r="M752" t="s">
        <v>352</v>
      </c>
      <c r="N752" t="s">
        <v>353</v>
      </c>
      <c r="O752" t="s">
        <v>354</v>
      </c>
      <c r="P752">
        <v>6</v>
      </c>
      <c r="Q752" t="s">
        <v>49</v>
      </c>
      <c r="S752" t="str">
        <f>_xlfn.XLOOKUP(UNIVERSO[[#This Row],[Ruta]],'[1]CUOTA RUTA'!A:A,'[1]CUOTA RUTA'!D:D)</f>
        <v>Cargar</v>
      </c>
    </row>
    <row r="753" spans="1:19" x14ac:dyDescent="0.25">
      <c r="A753">
        <v>1500024877</v>
      </c>
      <c r="B753" t="s">
        <v>595</v>
      </c>
      <c r="C753" t="s">
        <v>19</v>
      </c>
      <c r="D753" t="s">
        <v>349</v>
      </c>
      <c r="E753" t="s">
        <v>21</v>
      </c>
      <c r="F753" t="s">
        <v>51</v>
      </c>
      <c r="G753" t="s">
        <v>23</v>
      </c>
      <c r="H753" t="s">
        <v>908</v>
      </c>
      <c r="I753" t="s">
        <v>1730</v>
      </c>
      <c r="J753">
        <v>9.9325690000000009</v>
      </c>
      <c r="K753">
        <v>-85.651286999999996</v>
      </c>
      <c r="L753" t="s">
        <v>1225</v>
      </c>
      <c r="M753" t="s">
        <v>352</v>
      </c>
      <c r="N753" t="s">
        <v>353</v>
      </c>
      <c r="O753" t="s">
        <v>354</v>
      </c>
      <c r="P753">
        <v>7</v>
      </c>
      <c r="Q753" t="s">
        <v>39</v>
      </c>
      <c r="S753" t="str">
        <f>_xlfn.XLOOKUP(UNIVERSO[[#This Row],[Ruta]],'[1]CUOTA RUTA'!A:A,'[1]CUOTA RUTA'!D:D)</f>
        <v>Cargar</v>
      </c>
    </row>
    <row r="754" spans="1:19" x14ac:dyDescent="0.25">
      <c r="A754">
        <v>1500024908</v>
      </c>
      <c r="B754" t="s">
        <v>1731</v>
      </c>
      <c r="C754" t="s">
        <v>19</v>
      </c>
      <c r="D754" t="s">
        <v>337</v>
      </c>
      <c r="E754" t="s">
        <v>21</v>
      </c>
      <c r="F754" t="s">
        <v>51</v>
      </c>
      <c r="G754" t="s">
        <v>23</v>
      </c>
      <c r="H754" t="s">
        <v>1732</v>
      </c>
      <c r="I754" t="s">
        <v>1733</v>
      </c>
      <c r="J754">
        <v>10.4482</v>
      </c>
      <c r="K754">
        <v>-85.768630000000002</v>
      </c>
      <c r="L754" t="s">
        <v>1225</v>
      </c>
      <c r="M754" t="s">
        <v>327</v>
      </c>
      <c r="N754" t="s">
        <v>340</v>
      </c>
      <c r="O754" t="s">
        <v>341</v>
      </c>
      <c r="P754">
        <v>18</v>
      </c>
      <c r="Q754" t="s">
        <v>84</v>
      </c>
      <c r="S754" t="str">
        <f>_xlfn.XLOOKUP(UNIVERSO[[#This Row],[Ruta]],'[1]CUOTA RUTA'!A:A,'[1]CUOTA RUTA'!D:D)</f>
        <v>Cargar</v>
      </c>
    </row>
    <row r="755" spans="1:19" x14ac:dyDescent="0.25">
      <c r="A755">
        <v>1500024935</v>
      </c>
      <c r="B755" t="s">
        <v>1734</v>
      </c>
      <c r="C755" t="s">
        <v>19</v>
      </c>
      <c r="D755" t="s">
        <v>337</v>
      </c>
      <c r="E755" t="s">
        <v>21</v>
      </c>
      <c r="F755" t="s">
        <v>22</v>
      </c>
      <c r="G755" t="s">
        <v>33</v>
      </c>
      <c r="H755" t="s">
        <v>343</v>
      </c>
      <c r="I755" t="s">
        <v>1735</v>
      </c>
      <c r="J755">
        <v>10.388097630000001</v>
      </c>
      <c r="K755">
        <v>-85.668188409999999</v>
      </c>
      <c r="L755" t="s">
        <v>1225</v>
      </c>
      <c r="M755" t="s">
        <v>327</v>
      </c>
      <c r="N755" t="s">
        <v>340</v>
      </c>
      <c r="O755" t="s">
        <v>341</v>
      </c>
      <c r="P755">
        <v>17</v>
      </c>
      <c r="Q755" t="s">
        <v>287</v>
      </c>
      <c r="S755" t="str">
        <f>_xlfn.XLOOKUP(UNIVERSO[[#This Row],[Ruta]],'[1]CUOTA RUTA'!A:A,'[1]CUOTA RUTA'!D:D)</f>
        <v>Cargar</v>
      </c>
    </row>
    <row r="756" spans="1:19" x14ac:dyDescent="0.25">
      <c r="A756">
        <v>1500025095</v>
      </c>
      <c r="B756" t="s">
        <v>1736</v>
      </c>
      <c r="C756" t="s">
        <v>19</v>
      </c>
      <c r="D756" t="s">
        <v>349</v>
      </c>
      <c r="E756" t="s">
        <v>21</v>
      </c>
      <c r="F756" t="s">
        <v>22</v>
      </c>
      <c r="G756" t="s">
        <v>33</v>
      </c>
      <c r="H756" t="s">
        <v>356</v>
      </c>
      <c r="I756" t="s">
        <v>1737</v>
      </c>
      <c r="J756">
        <v>10.128791</v>
      </c>
      <c r="K756">
        <v>-85.411372999999998</v>
      </c>
      <c r="L756" t="s">
        <v>1225</v>
      </c>
      <c r="M756" t="s">
        <v>352</v>
      </c>
      <c r="N756" t="s">
        <v>353</v>
      </c>
      <c r="O756" t="s">
        <v>354</v>
      </c>
      <c r="P756">
        <v>12</v>
      </c>
      <c r="Q756" t="s">
        <v>42</v>
      </c>
      <c r="S756" t="str">
        <f>_xlfn.XLOOKUP(UNIVERSO[[#This Row],[Ruta]],'[1]CUOTA RUTA'!A:A,'[1]CUOTA RUTA'!D:D)</f>
        <v>Cargar</v>
      </c>
    </row>
    <row r="757" spans="1:19" x14ac:dyDescent="0.25">
      <c r="A757">
        <v>1500025119</v>
      </c>
      <c r="B757" t="s">
        <v>1738</v>
      </c>
      <c r="C757" t="s">
        <v>19</v>
      </c>
      <c r="D757" t="s">
        <v>349</v>
      </c>
      <c r="E757" t="s">
        <v>21</v>
      </c>
      <c r="F757" t="s">
        <v>22</v>
      </c>
      <c r="G757" t="s">
        <v>33</v>
      </c>
      <c r="H757" t="s">
        <v>448</v>
      </c>
      <c r="I757" t="s">
        <v>1739</v>
      </c>
      <c r="J757">
        <v>10.256759000000001</v>
      </c>
      <c r="K757">
        <v>-85.491089000000002</v>
      </c>
      <c r="L757" t="s">
        <v>1225</v>
      </c>
      <c r="M757" t="s">
        <v>352</v>
      </c>
      <c r="N757" t="s">
        <v>353</v>
      </c>
      <c r="O757" t="s">
        <v>354</v>
      </c>
      <c r="P757">
        <v>3</v>
      </c>
      <c r="Q757" t="s">
        <v>101</v>
      </c>
      <c r="S757" t="str">
        <f>_xlfn.XLOOKUP(UNIVERSO[[#This Row],[Ruta]],'[1]CUOTA RUTA'!A:A,'[1]CUOTA RUTA'!D:D)</f>
        <v>Cargar</v>
      </c>
    </row>
    <row r="758" spans="1:19" x14ac:dyDescent="0.25">
      <c r="A758">
        <v>1500025363</v>
      </c>
      <c r="B758" t="s">
        <v>1740</v>
      </c>
      <c r="C758" t="s">
        <v>19</v>
      </c>
      <c r="D758" t="s">
        <v>244</v>
      </c>
      <c r="E758" t="s">
        <v>21</v>
      </c>
      <c r="F758" t="s">
        <v>22</v>
      </c>
      <c r="G758" t="s">
        <v>64</v>
      </c>
      <c r="H758" t="s">
        <v>566</v>
      </c>
      <c r="I758" t="s">
        <v>1741</v>
      </c>
      <c r="J758">
        <v>9.370628</v>
      </c>
      <c r="K758">
        <v>-83.692706999999999</v>
      </c>
      <c r="L758" t="s">
        <v>1225</v>
      </c>
      <c r="M758" t="s">
        <v>46</v>
      </c>
      <c r="N758" t="s">
        <v>247</v>
      </c>
      <c r="O758" t="s">
        <v>248</v>
      </c>
      <c r="P758">
        <v>15</v>
      </c>
      <c r="Q758" t="s">
        <v>231</v>
      </c>
      <c r="S758" t="str">
        <f>_xlfn.XLOOKUP(UNIVERSO[[#This Row],[Ruta]],'[1]CUOTA RUTA'!A:A,'[1]CUOTA RUTA'!D:D)</f>
        <v>Cargar</v>
      </c>
    </row>
    <row r="759" spans="1:19" x14ac:dyDescent="0.25">
      <c r="A759">
        <v>1500025388</v>
      </c>
      <c r="B759" t="s">
        <v>1742</v>
      </c>
      <c r="C759" t="s">
        <v>19</v>
      </c>
      <c r="D759" t="s">
        <v>20</v>
      </c>
      <c r="E759" t="s">
        <v>21</v>
      </c>
      <c r="F759" t="s">
        <v>22</v>
      </c>
      <c r="G759" t="s">
        <v>64</v>
      </c>
      <c r="H759" t="s">
        <v>458</v>
      </c>
      <c r="I759" t="s">
        <v>1743</v>
      </c>
      <c r="J759">
        <v>9.9796175999999992</v>
      </c>
      <c r="K759">
        <v>-84.303022999999996</v>
      </c>
      <c r="L759" t="s">
        <v>1225</v>
      </c>
      <c r="M759" t="s">
        <v>54</v>
      </c>
      <c r="N759" t="s">
        <v>55</v>
      </c>
      <c r="O759" t="s">
        <v>56</v>
      </c>
      <c r="P759">
        <v>6</v>
      </c>
      <c r="Q759" t="s">
        <v>49</v>
      </c>
      <c r="S759" t="str">
        <f>_xlfn.XLOOKUP(UNIVERSO[[#This Row],[Ruta]],'[1]CUOTA RUTA'!A:A,'[1]CUOTA RUTA'!D:D)</f>
        <v>Cargar</v>
      </c>
    </row>
    <row r="760" spans="1:19" x14ac:dyDescent="0.25">
      <c r="A760">
        <v>1500025416</v>
      </c>
      <c r="B760" t="s">
        <v>1744</v>
      </c>
      <c r="C760" t="s">
        <v>19</v>
      </c>
      <c r="D760" t="s">
        <v>337</v>
      </c>
      <c r="E760" t="s">
        <v>21</v>
      </c>
      <c r="F760" t="s">
        <v>22</v>
      </c>
      <c r="G760" t="s">
        <v>33</v>
      </c>
      <c r="H760" t="s">
        <v>824</v>
      </c>
      <c r="I760" t="s">
        <v>1745</v>
      </c>
      <c r="J760">
        <v>10.9422671</v>
      </c>
      <c r="K760">
        <v>-85.681080420000001</v>
      </c>
      <c r="L760" t="s">
        <v>1225</v>
      </c>
      <c r="M760" t="s">
        <v>327</v>
      </c>
      <c r="N760" t="s">
        <v>340</v>
      </c>
      <c r="O760" t="s">
        <v>341</v>
      </c>
      <c r="P760">
        <v>15</v>
      </c>
      <c r="Q760" t="s">
        <v>231</v>
      </c>
      <c r="S760" t="str">
        <f>_xlfn.XLOOKUP(UNIVERSO[[#This Row],[Ruta]],'[1]CUOTA RUTA'!A:A,'[1]CUOTA RUTA'!D:D)</f>
        <v>Cargar</v>
      </c>
    </row>
    <row r="761" spans="1:19" x14ac:dyDescent="0.25">
      <c r="A761">
        <v>1500025568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t="s">
        <v>33</v>
      </c>
      <c r="H761" t="s">
        <v>901</v>
      </c>
      <c r="I761" t="s">
        <v>1746</v>
      </c>
      <c r="J761">
        <v>10.021649999999999</v>
      </c>
      <c r="K761">
        <v>-84.445149999999998</v>
      </c>
      <c r="L761" t="s">
        <v>1225</v>
      </c>
      <c r="M761" t="s">
        <v>46</v>
      </c>
      <c r="N761" t="s">
        <v>47</v>
      </c>
      <c r="O761" t="s">
        <v>48</v>
      </c>
      <c r="P761">
        <v>8</v>
      </c>
      <c r="Q761" t="s">
        <v>97</v>
      </c>
      <c r="S761" t="str">
        <f>_xlfn.XLOOKUP(UNIVERSO[[#This Row],[Ruta]],'[1]CUOTA RUTA'!A:A,'[1]CUOTA RUTA'!D:D)</f>
        <v>Cargar</v>
      </c>
    </row>
    <row r="762" spans="1:19" x14ac:dyDescent="0.25">
      <c r="A762">
        <v>1500025952</v>
      </c>
      <c r="B762" t="s">
        <v>1747</v>
      </c>
      <c r="C762" t="s">
        <v>19</v>
      </c>
      <c r="D762" t="s">
        <v>244</v>
      </c>
      <c r="E762" t="s">
        <v>21</v>
      </c>
      <c r="F762" t="s">
        <v>22</v>
      </c>
      <c r="G762" t="s">
        <v>33</v>
      </c>
      <c r="H762" t="s">
        <v>1294</v>
      </c>
      <c r="I762" t="s">
        <v>1748</v>
      </c>
      <c r="J762">
        <v>9.1621970000000008</v>
      </c>
      <c r="K762">
        <v>-83.333428999999995</v>
      </c>
      <c r="L762" t="s">
        <v>1225</v>
      </c>
      <c r="M762" t="s">
        <v>46</v>
      </c>
      <c r="N762" t="s">
        <v>247</v>
      </c>
      <c r="O762" t="s">
        <v>248</v>
      </c>
      <c r="P762">
        <v>12</v>
      </c>
      <c r="Q762" t="s">
        <v>42</v>
      </c>
      <c r="S762" t="str">
        <f>_xlfn.XLOOKUP(UNIVERSO[[#This Row],[Ruta]],'[1]CUOTA RUTA'!A:A,'[1]CUOTA RUTA'!D:D)</f>
        <v>Cargar</v>
      </c>
    </row>
    <row r="763" spans="1:19" x14ac:dyDescent="0.25">
      <c r="A763">
        <v>1500025957</v>
      </c>
      <c r="B763" t="s">
        <v>1749</v>
      </c>
      <c r="C763" t="s">
        <v>19</v>
      </c>
      <c r="D763" t="s">
        <v>244</v>
      </c>
      <c r="E763" t="s">
        <v>21</v>
      </c>
      <c r="F763" t="s">
        <v>22</v>
      </c>
      <c r="G763" t="s">
        <v>23</v>
      </c>
      <c r="H763" t="s">
        <v>767</v>
      </c>
      <c r="I763" t="s">
        <v>1750</v>
      </c>
      <c r="J763">
        <v>9.3781809999999997</v>
      </c>
      <c r="K763">
        <v>-83.708161000000004</v>
      </c>
      <c r="L763" t="s">
        <v>1225</v>
      </c>
      <c r="M763" t="s">
        <v>46</v>
      </c>
      <c r="N763" t="s">
        <v>247</v>
      </c>
      <c r="O763" t="s">
        <v>248</v>
      </c>
      <c r="P763">
        <v>15</v>
      </c>
      <c r="Q763" t="s">
        <v>231</v>
      </c>
      <c r="S763" t="str">
        <f>_xlfn.XLOOKUP(UNIVERSO[[#This Row],[Ruta]],'[1]CUOTA RUTA'!A:A,'[1]CUOTA RUTA'!D:D)</f>
        <v>Cargar</v>
      </c>
    </row>
    <row r="764" spans="1:19" x14ac:dyDescent="0.25">
      <c r="A764">
        <v>1500026163</v>
      </c>
      <c r="B764" t="s">
        <v>1751</v>
      </c>
      <c r="C764" t="s">
        <v>19</v>
      </c>
      <c r="D764" t="s">
        <v>324</v>
      </c>
      <c r="E764" t="s">
        <v>21</v>
      </c>
      <c r="F764" t="s">
        <v>22</v>
      </c>
      <c r="G764" t="s">
        <v>33</v>
      </c>
      <c r="H764" t="s">
        <v>511</v>
      </c>
      <c r="I764" t="s">
        <v>1752</v>
      </c>
      <c r="J764">
        <v>10.485200000000001</v>
      </c>
      <c r="K764">
        <v>-84.563410000000005</v>
      </c>
      <c r="L764" t="s">
        <v>1225</v>
      </c>
      <c r="M764" t="s">
        <v>327</v>
      </c>
      <c r="N764" t="s">
        <v>328</v>
      </c>
      <c r="O764" t="s">
        <v>329</v>
      </c>
      <c r="P764">
        <v>12</v>
      </c>
      <c r="Q764" t="s">
        <v>42</v>
      </c>
      <c r="S764" t="str">
        <f>_xlfn.XLOOKUP(UNIVERSO[[#This Row],[Ruta]],'[1]CUOTA RUTA'!A:A,'[1]CUOTA RUTA'!D:D)</f>
        <v>Cargar</v>
      </c>
    </row>
    <row r="765" spans="1:19" x14ac:dyDescent="0.25">
      <c r="A765">
        <v>1500026365</v>
      </c>
      <c r="B765" t="s">
        <v>1753</v>
      </c>
      <c r="C765" t="s">
        <v>19</v>
      </c>
      <c r="D765" t="s">
        <v>266</v>
      </c>
      <c r="E765" t="s">
        <v>21</v>
      </c>
      <c r="F765" t="s">
        <v>22</v>
      </c>
      <c r="G765" t="s">
        <v>23</v>
      </c>
      <c r="H765" t="s">
        <v>366</v>
      </c>
      <c r="I765" t="s">
        <v>1754</v>
      </c>
      <c r="J765">
        <v>9.8458216666669998</v>
      </c>
      <c r="K765">
        <v>-83.90796166666</v>
      </c>
      <c r="L765" t="s">
        <v>1225</v>
      </c>
      <c r="M765" t="s">
        <v>36</v>
      </c>
      <c r="N765" t="s">
        <v>316</v>
      </c>
      <c r="O765" t="s">
        <v>317</v>
      </c>
      <c r="P765">
        <v>17</v>
      </c>
      <c r="Q765" t="s">
        <v>287</v>
      </c>
      <c r="S765" t="str">
        <f>_xlfn.XLOOKUP(UNIVERSO[[#This Row],[Ruta]],'[1]CUOTA RUTA'!A:A,'[1]CUOTA RUTA'!D:D)</f>
        <v>Cargar</v>
      </c>
    </row>
    <row r="766" spans="1:19" x14ac:dyDescent="0.25">
      <c r="A766">
        <v>1500026523</v>
      </c>
      <c r="B766" t="s">
        <v>1755</v>
      </c>
      <c r="C766" t="s">
        <v>19</v>
      </c>
      <c r="D766" t="s">
        <v>244</v>
      </c>
      <c r="E766" t="s">
        <v>21</v>
      </c>
      <c r="F766" t="s">
        <v>22</v>
      </c>
      <c r="G766" t="s">
        <v>23</v>
      </c>
      <c r="H766" t="s">
        <v>1233</v>
      </c>
      <c r="I766" t="s">
        <v>1756</v>
      </c>
      <c r="J766">
        <v>9.2554370000000006</v>
      </c>
      <c r="K766">
        <v>-83.861281000000005</v>
      </c>
      <c r="L766" t="s">
        <v>1225</v>
      </c>
      <c r="M766" t="s">
        <v>46</v>
      </c>
      <c r="N766" t="s">
        <v>247</v>
      </c>
      <c r="O766" t="s">
        <v>248</v>
      </c>
      <c r="P766">
        <v>16</v>
      </c>
      <c r="Q766" t="s">
        <v>60</v>
      </c>
      <c r="S766" t="str">
        <f>_xlfn.XLOOKUP(UNIVERSO[[#This Row],[Ruta]],'[1]CUOTA RUTA'!A:A,'[1]CUOTA RUTA'!D:D)</f>
        <v>Cargar</v>
      </c>
    </row>
    <row r="767" spans="1:19" x14ac:dyDescent="0.25">
      <c r="A767">
        <v>1500026769</v>
      </c>
      <c r="B767" t="s">
        <v>1757</v>
      </c>
      <c r="C767" t="s">
        <v>19</v>
      </c>
      <c r="D767" t="s">
        <v>244</v>
      </c>
      <c r="E767" t="s">
        <v>21</v>
      </c>
      <c r="F767" t="s">
        <v>22</v>
      </c>
      <c r="G767" t="s">
        <v>23</v>
      </c>
      <c r="H767" t="s">
        <v>857</v>
      </c>
      <c r="I767" t="s">
        <v>1758</v>
      </c>
      <c r="J767">
        <v>9.3138000000000005</v>
      </c>
      <c r="K767">
        <v>-83.6404</v>
      </c>
      <c r="L767" t="s">
        <v>1225</v>
      </c>
      <c r="M767" t="s">
        <v>46</v>
      </c>
      <c r="N767" t="s">
        <v>247</v>
      </c>
      <c r="O767" t="s">
        <v>248</v>
      </c>
      <c r="P767">
        <v>13</v>
      </c>
      <c r="Q767" t="s">
        <v>161</v>
      </c>
      <c r="S767" t="str">
        <f>_xlfn.XLOOKUP(UNIVERSO[[#This Row],[Ruta]],'[1]CUOTA RUTA'!A:A,'[1]CUOTA RUTA'!D:D)</f>
        <v>Cargar</v>
      </c>
    </row>
    <row r="768" spans="1:19" x14ac:dyDescent="0.25">
      <c r="A768">
        <v>1500027011</v>
      </c>
      <c r="B768" t="s">
        <v>1759</v>
      </c>
      <c r="C768" t="s">
        <v>19</v>
      </c>
      <c r="D768" t="s">
        <v>324</v>
      </c>
      <c r="E768" t="s">
        <v>21</v>
      </c>
      <c r="F768" t="s">
        <v>22</v>
      </c>
      <c r="G768" t="s">
        <v>23</v>
      </c>
      <c r="H768" t="s">
        <v>511</v>
      </c>
      <c r="I768" t="s">
        <v>1760</v>
      </c>
      <c r="J768">
        <v>10.552380700000001</v>
      </c>
      <c r="K768">
        <v>-84.650355500000003</v>
      </c>
      <c r="L768" t="s">
        <v>1225</v>
      </c>
      <c r="M768" t="s">
        <v>327</v>
      </c>
      <c r="N768" t="s">
        <v>328</v>
      </c>
      <c r="O768" t="s">
        <v>329</v>
      </c>
      <c r="P768">
        <v>21</v>
      </c>
      <c r="Q768" t="s">
        <v>239</v>
      </c>
      <c r="S768" t="str">
        <f>_xlfn.XLOOKUP(UNIVERSO[[#This Row],[Ruta]],'[1]CUOTA RUTA'!A:A,'[1]CUOTA RUTA'!D:D)</f>
        <v>Cargar</v>
      </c>
    </row>
    <row r="769" spans="1:19" x14ac:dyDescent="0.25">
      <c r="A769">
        <v>1500027012</v>
      </c>
      <c r="B769" t="s">
        <v>1761</v>
      </c>
      <c r="C769" t="s">
        <v>19</v>
      </c>
      <c r="D769" t="s">
        <v>324</v>
      </c>
      <c r="E769" t="s">
        <v>21</v>
      </c>
      <c r="F769" t="s">
        <v>22</v>
      </c>
      <c r="G769" t="s">
        <v>33</v>
      </c>
      <c r="H769" t="s">
        <v>511</v>
      </c>
      <c r="I769" t="s">
        <v>1762</v>
      </c>
      <c r="J769">
        <v>10.5543</v>
      </c>
      <c r="K769">
        <v>-84.656469999999999</v>
      </c>
      <c r="L769" t="s">
        <v>1225</v>
      </c>
      <c r="M769" t="s">
        <v>327</v>
      </c>
      <c r="N769" t="s">
        <v>328</v>
      </c>
      <c r="O769" t="s">
        <v>329</v>
      </c>
      <c r="P769">
        <v>21</v>
      </c>
      <c r="Q769" t="s">
        <v>239</v>
      </c>
      <c r="S769" t="str">
        <f>_xlfn.XLOOKUP(UNIVERSO[[#This Row],[Ruta]],'[1]CUOTA RUTA'!A:A,'[1]CUOTA RUTA'!D:D)</f>
        <v>Cargar</v>
      </c>
    </row>
    <row r="770" spans="1:19" x14ac:dyDescent="0.25">
      <c r="A770">
        <v>1500027207</v>
      </c>
      <c r="B770" t="s">
        <v>1763</v>
      </c>
      <c r="C770" t="s">
        <v>19</v>
      </c>
      <c r="D770" t="s">
        <v>201</v>
      </c>
      <c r="E770" t="s">
        <v>21</v>
      </c>
      <c r="F770" t="s">
        <v>22</v>
      </c>
      <c r="G770" t="s">
        <v>23</v>
      </c>
      <c r="H770" t="s">
        <v>202</v>
      </c>
      <c r="I770" t="s">
        <v>1764</v>
      </c>
      <c r="J770">
        <v>9.9757099999999994</v>
      </c>
      <c r="K770">
        <v>-84.728890000000007</v>
      </c>
      <c r="L770" t="s">
        <v>1225</v>
      </c>
      <c r="M770" t="s">
        <v>204</v>
      </c>
      <c r="N770" t="s">
        <v>205</v>
      </c>
      <c r="O770" t="s">
        <v>206</v>
      </c>
      <c r="P770">
        <v>7</v>
      </c>
      <c r="Q770" t="s">
        <v>39</v>
      </c>
      <c r="S770" t="str">
        <f>_xlfn.XLOOKUP(UNIVERSO[[#This Row],[Ruta]],'[1]CUOTA RUTA'!A:A,'[1]CUOTA RUTA'!D:D)</f>
        <v>Cargar</v>
      </c>
    </row>
    <row r="771" spans="1:19" x14ac:dyDescent="0.25">
      <c r="A771">
        <v>1500027471</v>
      </c>
      <c r="B771" t="s">
        <v>1765</v>
      </c>
      <c r="C771" t="s">
        <v>19</v>
      </c>
      <c r="D771" t="s">
        <v>201</v>
      </c>
      <c r="E771" t="s">
        <v>21</v>
      </c>
      <c r="F771" t="s">
        <v>22</v>
      </c>
      <c r="G771" t="s">
        <v>64</v>
      </c>
      <c r="H771" t="s">
        <v>499</v>
      </c>
      <c r="I771" t="s">
        <v>1766</v>
      </c>
      <c r="J771">
        <v>9.8942584999999994</v>
      </c>
      <c r="K771">
        <v>-84.555343399999998</v>
      </c>
      <c r="L771" t="s">
        <v>1225</v>
      </c>
      <c r="M771" t="s">
        <v>204</v>
      </c>
      <c r="N771" t="s">
        <v>205</v>
      </c>
      <c r="O771" t="s">
        <v>206</v>
      </c>
      <c r="P771">
        <v>3</v>
      </c>
      <c r="Q771" t="s">
        <v>101</v>
      </c>
      <c r="S771" t="str">
        <f>_xlfn.XLOOKUP(UNIVERSO[[#This Row],[Ruta]],'[1]CUOTA RUTA'!A:A,'[1]CUOTA RUTA'!D:D)</f>
        <v>Cargar</v>
      </c>
    </row>
    <row r="772" spans="1:19" x14ac:dyDescent="0.25">
      <c r="A772">
        <v>1500027516</v>
      </c>
      <c r="B772" t="s">
        <v>1767</v>
      </c>
      <c r="C772" t="s">
        <v>19</v>
      </c>
      <c r="D772" t="s">
        <v>244</v>
      </c>
      <c r="E772" t="s">
        <v>21</v>
      </c>
      <c r="F772" t="s">
        <v>22</v>
      </c>
      <c r="G772" t="s">
        <v>33</v>
      </c>
      <c r="H772" t="s">
        <v>819</v>
      </c>
      <c r="I772" t="s">
        <v>1768</v>
      </c>
      <c r="J772">
        <v>9.5209399999999995</v>
      </c>
      <c r="K772">
        <v>-84.339399999999998</v>
      </c>
      <c r="L772" t="s">
        <v>1225</v>
      </c>
      <c r="M772" t="s">
        <v>46</v>
      </c>
      <c r="N772" t="s">
        <v>247</v>
      </c>
      <c r="O772" t="s">
        <v>248</v>
      </c>
      <c r="P772">
        <v>22</v>
      </c>
      <c r="Q772" t="s">
        <v>30</v>
      </c>
      <c r="S772" t="str">
        <f>_xlfn.XLOOKUP(UNIVERSO[[#This Row],[Ruta]],'[1]CUOTA RUTA'!A:A,'[1]CUOTA RUTA'!D:D)</f>
        <v>Cargar</v>
      </c>
    </row>
    <row r="773" spans="1:19" x14ac:dyDescent="0.25">
      <c r="A773">
        <v>1500027574</v>
      </c>
      <c r="B773" t="s">
        <v>1769</v>
      </c>
      <c r="C773" t="s">
        <v>19</v>
      </c>
      <c r="D773" t="s">
        <v>244</v>
      </c>
      <c r="E773" t="s">
        <v>21</v>
      </c>
      <c r="F773" t="s">
        <v>51</v>
      </c>
      <c r="G773" t="s">
        <v>23</v>
      </c>
      <c r="H773" t="s">
        <v>436</v>
      </c>
      <c r="I773" t="s">
        <v>1770</v>
      </c>
      <c r="J773">
        <v>9.4354209999999998</v>
      </c>
      <c r="K773">
        <v>-84.165677000000002</v>
      </c>
      <c r="L773" t="s">
        <v>1225</v>
      </c>
      <c r="M773" t="s">
        <v>46</v>
      </c>
      <c r="N773" t="s">
        <v>247</v>
      </c>
      <c r="O773" t="s">
        <v>248</v>
      </c>
      <c r="P773">
        <v>21</v>
      </c>
      <c r="Q773" t="s">
        <v>239</v>
      </c>
      <c r="S773" t="str">
        <f>_xlfn.XLOOKUP(UNIVERSO[[#This Row],[Ruta]],'[1]CUOTA RUTA'!A:A,'[1]CUOTA RUTA'!D:D)</f>
        <v>Cargar</v>
      </c>
    </row>
    <row r="774" spans="1:19" x14ac:dyDescent="0.25">
      <c r="A774">
        <v>1500028046</v>
      </c>
      <c r="B774" t="s">
        <v>1771</v>
      </c>
      <c r="C774" t="s">
        <v>19</v>
      </c>
      <c r="D774" t="s">
        <v>208</v>
      </c>
      <c r="E774" t="s">
        <v>21</v>
      </c>
      <c r="F774" t="s">
        <v>22</v>
      </c>
      <c r="G774" t="s">
        <v>33</v>
      </c>
      <c r="H774" t="s">
        <v>221</v>
      </c>
      <c r="I774" t="s">
        <v>1772</v>
      </c>
      <c r="J774">
        <v>10.12307</v>
      </c>
      <c r="K774">
        <v>-83.536100000000005</v>
      </c>
      <c r="L774" t="s">
        <v>1225</v>
      </c>
      <c r="M774" t="s">
        <v>189</v>
      </c>
      <c r="N774" t="s">
        <v>211</v>
      </c>
      <c r="O774" t="s">
        <v>212</v>
      </c>
      <c r="P774">
        <v>8</v>
      </c>
      <c r="Q774" t="s">
        <v>97</v>
      </c>
      <c r="S774" t="str">
        <f>_xlfn.XLOOKUP(UNIVERSO[[#This Row],[Ruta]],'[1]CUOTA RUTA'!A:A,'[1]CUOTA RUTA'!D:D)</f>
        <v>Cargar</v>
      </c>
    </row>
    <row r="775" spans="1:19" x14ac:dyDescent="0.25">
      <c r="A775">
        <v>1500028174</v>
      </c>
      <c r="B775" t="s">
        <v>1773</v>
      </c>
      <c r="C775" t="s">
        <v>19</v>
      </c>
      <c r="D775" t="s">
        <v>208</v>
      </c>
      <c r="E775" t="s">
        <v>21</v>
      </c>
      <c r="F775" t="s">
        <v>22</v>
      </c>
      <c r="G775" t="s">
        <v>64</v>
      </c>
      <c r="H775" t="s">
        <v>616</v>
      </c>
      <c r="I775" t="s">
        <v>1774</v>
      </c>
      <c r="J775">
        <v>10.35886</v>
      </c>
      <c r="K775">
        <v>-83.737399999999994</v>
      </c>
      <c r="L775" t="s">
        <v>1225</v>
      </c>
      <c r="M775" t="s">
        <v>189</v>
      </c>
      <c r="N775" t="s">
        <v>211</v>
      </c>
      <c r="O775" t="s">
        <v>212</v>
      </c>
      <c r="P775">
        <v>1</v>
      </c>
      <c r="Q775" t="s">
        <v>155</v>
      </c>
      <c r="S775" t="str">
        <f>_xlfn.XLOOKUP(UNIVERSO[[#This Row],[Ruta]],'[1]CUOTA RUTA'!A:A,'[1]CUOTA RUTA'!D:D)</f>
        <v>Cargar</v>
      </c>
    </row>
    <row r="776" spans="1:19" x14ac:dyDescent="0.25">
      <c r="A776">
        <v>1500028270</v>
      </c>
      <c r="B776" t="s">
        <v>1775</v>
      </c>
      <c r="C776" t="s">
        <v>19</v>
      </c>
      <c r="D776" t="s">
        <v>186</v>
      </c>
      <c r="E776" t="s">
        <v>21</v>
      </c>
      <c r="F776" t="s">
        <v>22</v>
      </c>
      <c r="G776" t="s">
        <v>33</v>
      </c>
      <c r="H776" t="s">
        <v>237</v>
      </c>
      <c r="I776" t="s">
        <v>1776</v>
      </c>
      <c r="J776">
        <v>10.059106</v>
      </c>
      <c r="K776">
        <v>-83.342279000000005</v>
      </c>
      <c r="L776" t="s">
        <v>1225</v>
      </c>
      <c r="M776" t="s">
        <v>189</v>
      </c>
      <c r="N776" t="s">
        <v>190</v>
      </c>
      <c r="O776" t="s">
        <v>191</v>
      </c>
      <c r="P776">
        <v>22</v>
      </c>
      <c r="Q776" t="s">
        <v>30</v>
      </c>
      <c r="S776" t="str">
        <f>_xlfn.XLOOKUP(UNIVERSO[[#This Row],[Ruta]],'[1]CUOTA RUTA'!A:A,'[1]CUOTA RUTA'!D:D)</f>
        <v>Cargar</v>
      </c>
    </row>
    <row r="777" spans="1:19" x14ac:dyDescent="0.25">
      <c r="A777">
        <v>1500028526</v>
      </c>
      <c r="B777" t="s">
        <v>1777</v>
      </c>
      <c r="C777" t="s">
        <v>19</v>
      </c>
      <c r="D777" t="s">
        <v>208</v>
      </c>
      <c r="E777" t="s">
        <v>21</v>
      </c>
      <c r="F777" t="s">
        <v>22</v>
      </c>
      <c r="G777" t="s">
        <v>64</v>
      </c>
      <c r="H777" t="s">
        <v>218</v>
      </c>
      <c r="I777" t="s">
        <v>1778</v>
      </c>
      <c r="J777">
        <v>10.239699999999999</v>
      </c>
      <c r="K777">
        <v>-83.785799999999995</v>
      </c>
      <c r="L777" t="s">
        <v>1225</v>
      </c>
      <c r="M777" t="s">
        <v>189</v>
      </c>
      <c r="N777" t="s">
        <v>211</v>
      </c>
      <c r="O777" t="s">
        <v>212</v>
      </c>
      <c r="P777">
        <v>5</v>
      </c>
      <c r="Q777" t="s">
        <v>117</v>
      </c>
      <c r="S777" t="str">
        <f>_xlfn.XLOOKUP(UNIVERSO[[#This Row],[Ruta]],'[1]CUOTA RUTA'!A:A,'[1]CUOTA RUTA'!D:D)</f>
        <v>Cargar</v>
      </c>
    </row>
    <row r="778" spans="1:19" x14ac:dyDescent="0.25">
      <c r="A778">
        <v>1500028576</v>
      </c>
      <c r="B778" t="s">
        <v>1779</v>
      </c>
      <c r="C778" t="s">
        <v>19</v>
      </c>
      <c r="D778" t="s">
        <v>208</v>
      </c>
      <c r="E778" t="s">
        <v>62</v>
      </c>
      <c r="F778" t="s">
        <v>63</v>
      </c>
      <c r="G778" t="s">
        <v>64</v>
      </c>
      <c r="H778" t="s">
        <v>417</v>
      </c>
      <c r="I778" t="s">
        <v>1780</v>
      </c>
      <c r="J778">
        <v>10.319950090000001</v>
      </c>
      <c r="K778">
        <v>-83.886104689999996</v>
      </c>
      <c r="L778" t="s">
        <v>1225</v>
      </c>
      <c r="M778" t="s">
        <v>189</v>
      </c>
      <c r="N778" t="s">
        <v>211</v>
      </c>
      <c r="O778" t="s">
        <v>212</v>
      </c>
      <c r="P778">
        <v>3</v>
      </c>
      <c r="Q778" t="s">
        <v>101</v>
      </c>
      <c r="S778" t="str">
        <f>_xlfn.XLOOKUP(UNIVERSO[[#This Row],[Ruta]],'[1]CUOTA RUTA'!A:A,'[1]CUOTA RUTA'!D:D)</f>
        <v>Cargar</v>
      </c>
    </row>
    <row r="779" spans="1:19" x14ac:dyDescent="0.25">
      <c r="A779">
        <v>1500028600</v>
      </c>
      <c r="B779" t="s">
        <v>1781</v>
      </c>
      <c r="C779" t="s">
        <v>19</v>
      </c>
      <c r="D779" t="s">
        <v>208</v>
      </c>
      <c r="E779" t="s">
        <v>21</v>
      </c>
      <c r="F779" t="s">
        <v>22</v>
      </c>
      <c r="G779" t="s">
        <v>64</v>
      </c>
      <c r="H779" t="s">
        <v>218</v>
      </c>
      <c r="I779" t="s">
        <v>1782</v>
      </c>
      <c r="J779">
        <v>10.28181</v>
      </c>
      <c r="K779">
        <v>-83.786500000000004</v>
      </c>
      <c r="L779" t="s">
        <v>1225</v>
      </c>
      <c r="M779" t="s">
        <v>189</v>
      </c>
      <c r="N779" t="s">
        <v>211</v>
      </c>
      <c r="O779" t="s">
        <v>212</v>
      </c>
      <c r="P779">
        <v>2</v>
      </c>
      <c r="Q779" t="s">
        <v>150</v>
      </c>
      <c r="S779" t="str">
        <f>_xlfn.XLOOKUP(UNIVERSO[[#This Row],[Ruta]],'[1]CUOTA RUTA'!A:A,'[1]CUOTA RUTA'!D:D)</f>
        <v>Cargar</v>
      </c>
    </row>
    <row r="780" spans="1:19" x14ac:dyDescent="0.25">
      <c r="A780">
        <v>1500028679</v>
      </c>
      <c r="B780" t="s">
        <v>1783</v>
      </c>
      <c r="C780" t="s">
        <v>19</v>
      </c>
      <c r="D780" t="s">
        <v>208</v>
      </c>
      <c r="E780" t="s">
        <v>62</v>
      </c>
      <c r="F780" t="s">
        <v>63</v>
      </c>
      <c r="G780" t="s">
        <v>64</v>
      </c>
      <c r="H780" t="s">
        <v>631</v>
      </c>
      <c r="I780" t="s">
        <v>1784</v>
      </c>
      <c r="J780">
        <v>10.53121</v>
      </c>
      <c r="K780">
        <v>-83.873599999999996</v>
      </c>
      <c r="L780" t="s">
        <v>1225</v>
      </c>
      <c r="M780" t="s">
        <v>189</v>
      </c>
      <c r="N780" t="s">
        <v>211</v>
      </c>
      <c r="O780" t="s">
        <v>212</v>
      </c>
      <c r="P780">
        <v>11</v>
      </c>
      <c r="Q780" t="s">
        <v>108</v>
      </c>
      <c r="S780" t="str">
        <f>_xlfn.XLOOKUP(UNIVERSO[[#This Row],[Ruta]],'[1]CUOTA RUTA'!A:A,'[1]CUOTA RUTA'!D:D)</f>
        <v>Cargar</v>
      </c>
    </row>
    <row r="781" spans="1:19" x14ac:dyDescent="0.25">
      <c r="A781">
        <v>1500028687</v>
      </c>
      <c r="B781" t="s">
        <v>1785</v>
      </c>
      <c r="C781" t="s">
        <v>19</v>
      </c>
      <c r="D781" t="s">
        <v>208</v>
      </c>
      <c r="E781" t="s">
        <v>62</v>
      </c>
      <c r="F781" t="s">
        <v>63</v>
      </c>
      <c r="G781" t="s">
        <v>64</v>
      </c>
      <c r="H781" t="s">
        <v>631</v>
      </c>
      <c r="I781" t="s">
        <v>1786</v>
      </c>
      <c r="J781">
        <v>10.449349</v>
      </c>
      <c r="K781">
        <v>-83.921868000000003</v>
      </c>
      <c r="L781" t="s">
        <v>1225</v>
      </c>
      <c r="M781" t="s">
        <v>189</v>
      </c>
      <c r="N781" t="s">
        <v>211</v>
      </c>
      <c r="O781" t="s">
        <v>212</v>
      </c>
      <c r="P781">
        <v>10</v>
      </c>
      <c r="Q781" t="s">
        <v>136</v>
      </c>
      <c r="S781" t="str">
        <f>_xlfn.XLOOKUP(UNIVERSO[[#This Row],[Ruta]],'[1]CUOTA RUTA'!A:A,'[1]CUOTA RUTA'!D:D)</f>
        <v>Cargar</v>
      </c>
    </row>
    <row r="782" spans="1:19" x14ac:dyDescent="0.25">
      <c r="A782">
        <v>1500028800</v>
      </c>
      <c r="B782" t="s">
        <v>1787</v>
      </c>
      <c r="C782" t="s">
        <v>19</v>
      </c>
      <c r="D782" t="s">
        <v>208</v>
      </c>
      <c r="E782" t="s">
        <v>21</v>
      </c>
      <c r="F782" t="s">
        <v>22</v>
      </c>
      <c r="G782" t="s">
        <v>33</v>
      </c>
      <c r="H782" t="s">
        <v>719</v>
      </c>
      <c r="I782" t="s">
        <v>1788</v>
      </c>
      <c r="J782">
        <v>10.365882470000001</v>
      </c>
      <c r="K782">
        <v>-83.740446849999998</v>
      </c>
      <c r="L782" t="s">
        <v>1225</v>
      </c>
      <c r="M782" t="s">
        <v>189</v>
      </c>
      <c r="N782" t="s">
        <v>211</v>
      </c>
      <c r="O782" t="s">
        <v>212</v>
      </c>
      <c r="P782">
        <v>1</v>
      </c>
      <c r="Q782" t="s">
        <v>155</v>
      </c>
      <c r="S782" t="str">
        <f>_xlfn.XLOOKUP(UNIVERSO[[#This Row],[Ruta]],'[1]CUOTA RUTA'!A:A,'[1]CUOTA RUTA'!D:D)</f>
        <v>Cargar</v>
      </c>
    </row>
    <row r="783" spans="1:19" x14ac:dyDescent="0.25">
      <c r="A783">
        <v>1500028830</v>
      </c>
      <c r="B783" t="s">
        <v>1789</v>
      </c>
      <c r="C783" t="s">
        <v>19</v>
      </c>
      <c r="D783" t="s">
        <v>208</v>
      </c>
      <c r="E783" t="s">
        <v>21</v>
      </c>
      <c r="F783" t="s">
        <v>22</v>
      </c>
      <c r="G783" t="s">
        <v>33</v>
      </c>
      <c r="H783" t="s">
        <v>719</v>
      </c>
      <c r="I783" t="s">
        <v>1790</v>
      </c>
      <c r="J783">
        <v>10.4033</v>
      </c>
      <c r="K783">
        <v>-84.132000000000005</v>
      </c>
      <c r="L783" t="s">
        <v>1225</v>
      </c>
      <c r="M783" t="s">
        <v>189</v>
      </c>
      <c r="N783" t="s">
        <v>211</v>
      </c>
      <c r="O783" t="s">
        <v>212</v>
      </c>
      <c r="P783">
        <v>11</v>
      </c>
      <c r="Q783" t="s">
        <v>108</v>
      </c>
      <c r="S783" t="str">
        <f>_xlfn.XLOOKUP(UNIVERSO[[#This Row],[Ruta]],'[1]CUOTA RUTA'!A:A,'[1]CUOTA RUTA'!D:D)</f>
        <v>Cargar</v>
      </c>
    </row>
    <row r="784" spans="1:19" x14ac:dyDescent="0.25">
      <c r="A784">
        <v>1500028891</v>
      </c>
      <c r="B784" t="s">
        <v>1791</v>
      </c>
      <c r="C784" t="s">
        <v>19</v>
      </c>
      <c r="D784" t="s">
        <v>208</v>
      </c>
      <c r="E784" t="s">
        <v>21</v>
      </c>
      <c r="F784" t="s">
        <v>22</v>
      </c>
      <c r="G784" t="s">
        <v>64</v>
      </c>
      <c r="H784" t="s">
        <v>209</v>
      </c>
      <c r="I784" t="s">
        <v>1792</v>
      </c>
      <c r="J784">
        <v>10.16971</v>
      </c>
      <c r="K784">
        <v>-83.606999999999999</v>
      </c>
      <c r="L784" t="s">
        <v>1225</v>
      </c>
      <c r="M784" t="s">
        <v>189</v>
      </c>
      <c r="N784" t="s">
        <v>211</v>
      </c>
      <c r="O784" t="s">
        <v>212</v>
      </c>
      <c r="P784">
        <v>7</v>
      </c>
      <c r="Q784" t="s">
        <v>39</v>
      </c>
      <c r="S784" t="str">
        <f>_xlfn.XLOOKUP(UNIVERSO[[#This Row],[Ruta]],'[1]CUOTA RUTA'!A:A,'[1]CUOTA RUTA'!D:D)</f>
        <v>Cargar</v>
      </c>
    </row>
    <row r="785" spans="1:19" x14ac:dyDescent="0.25">
      <c r="A785">
        <v>1500028911</v>
      </c>
      <c r="B785" t="s">
        <v>1793</v>
      </c>
      <c r="C785" t="s">
        <v>19</v>
      </c>
      <c r="D785" t="s">
        <v>208</v>
      </c>
      <c r="E785" t="s">
        <v>21</v>
      </c>
      <c r="F785" t="s">
        <v>22</v>
      </c>
      <c r="G785" t="s">
        <v>64</v>
      </c>
      <c r="H785" t="s">
        <v>1794</v>
      </c>
      <c r="I785" t="s">
        <v>1795</v>
      </c>
      <c r="J785">
        <v>10.35502</v>
      </c>
      <c r="K785">
        <v>-83.880799999999994</v>
      </c>
      <c r="L785" t="s">
        <v>1225</v>
      </c>
      <c r="M785" t="s">
        <v>189</v>
      </c>
      <c r="N785" t="s">
        <v>211</v>
      </c>
      <c r="O785" t="s">
        <v>212</v>
      </c>
      <c r="P785">
        <v>3</v>
      </c>
      <c r="Q785" t="s">
        <v>101</v>
      </c>
      <c r="S785" t="str">
        <f>_xlfn.XLOOKUP(UNIVERSO[[#This Row],[Ruta]],'[1]CUOTA RUTA'!A:A,'[1]CUOTA RUTA'!D:D)</f>
        <v>Cargar</v>
      </c>
    </row>
    <row r="786" spans="1:19" x14ac:dyDescent="0.25">
      <c r="A786">
        <v>1500028931</v>
      </c>
      <c r="B786" t="s">
        <v>1796</v>
      </c>
      <c r="C786" t="s">
        <v>19</v>
      </c>
      <c r="D786" t="s">
        <v>20</v>
      </c>
      <c r="E786" t="s">
        <v>21</v>
      </c>
      <c r="F786" t="s">
        <v>22</v>
      </c>
      <c r="G786" t="s">
        <v>23</v>
      </c>
      <c r="H786" t="s">
        <v>1021</v>
      </c>
      <c r="I786" t="s">
        <v>1797</v>
      </c>
      <c r="J786">
        <v>10.073472000000001</v>
      </c>
      <c r="K786">
        <v>-84.244237999999996</v>
      </c>
      <c r="L786" t="s">
        <v>1225</v>
      </c>
      <c r="M786" t="s">
        <v>46</v>
      </c>
      <c r="N786" t="s">
        <v>47</v>
      </c>
      <c r="O786" t="s">
        <v>48</v>
      </c>
      <c r="P786">
        <v>2</v>
      </c>
      <c r="Q786" t="s">
        <v>150</v>
      </c>
      <c r="S786" t="str">
        <f>_xlfn.XLOOKUP(UNIVERSO[[#This Row],[Ruta]],'[1]CUOTA RUTA'!A:A,'[1]CUOTA RUTA'!D:D)</f>
        <v>Cargar</v>
      </c>
    </row>
    <row r="787" spans="1:19" x14ac:dyDescent="0.25">
      <c r="A787">
        <v>1500028941</v>
      </c>
      <c r="B787" t="s">
        <v>1798</v>
      </c>
      <c r="C787" t="s">
        <v>19</v>
      </c>
      <c r="D787" t="s">
        <v>20</v>
      </c>
      <c r="E787" t="s">
        <v>21</v>
      </c>
      <c r="F787" t="s">
        <v>22</v>
      </c>
      <c r="G787" t="s">
        <v>33</v>
      </c>
      <c r="H787" t="s">
        <v>250</v>
      </c>
      <c r="I787" t="s">
        <v>1799</v>
      </c>
      <c r="J787">
        <v>10.02499235</v>
      </c>
      <c r="K787">
        <v>-84.251406040000006</v>
      </c>
      <c r="L787" t="s">
        <v>1225</v>
      </c>
      <c r="M787" t="s">
        <v>46</v>
      </c>
      <c r="N787" t="s">
        <v>47</v>
      </c>
      <c r="O787" t="s">
        <v>48</v>
      </c>
      <c r="P787">
        <v>3</v>
      </c>
      <c r="Q787" t="s">
        <v>101</v>
      </c>
      <c r="S787" t="str">
        <f>_xlfn.XLOOKUP(UNIVERSO[[#This Row],[Ruta]],'[1]CUOTA RUTA'!A:A,'[1]CUOTA RUTA'!D:D)</f>
        <v>Cargar</v>
      </c>
    </row>
    <row r="788" spans="1:19" x14ac:dyDescent="0.25">
      <c r="A788">
        <v>1500028951</v>
      </c>
      <c r="B788" t="s">
        <v>1800</v>
      </c>
      <c r="C788" t="s">
        <v>19</v>
      </c>
      <c r="D788" t="s">
        <v>20</v>
      </c>
      <c r="E788" t="s">
        <v>21</v>
      </c>
      <c r="F788" t="s">
        <v>22</v>
      </c>
      <c r="G788" t="s">
        <v>64</v>
      </c>
      <c r="H788" t="s">
        <v>250</v>
      </c>
      <c r="I788" t="s">
        <v>1801</v>
      </c>
      <c r="J788">
        <v>10.040819279999999</v>
      </c>
      <c r="K788">
        <v>-84.220184169999996</v>
      </c>
      <c r="L788" t="s">
        <v>1225</v>
      </c>
      <c r="M788" t="s">
        <v>46</v>
      </c>
      <c r="N788" t="s">
        <v>47</v>
      </c>
      <c r="O788" t="s">
        <v>48</v>
      </c>
      <c r="P788">
        <v>3</v>
      </c>
      <c r="Q788" t="s">
        <v>101</v>
      </c>
      <c r="S788" t="str">
        <f>_xlfn.XLOOKUP(UNIVERSO[[#This Row],[Ruta]],'[1]CUOTA RUTA'!A:A,'[1]CUOTA RUTA'!D:D)</f>
        <v>Cargar</v>
      </c>
    </row>
    <row r="789" spans="1:19" x14ac:dyDescent="0.25">
      <c r="A789">
        <v>1500029013</v>
      </c>
      <c r="B789" t="s">
        <v>1802</v>
      </c>
      <c r="C789" t="s">
        <v>19</v>
      </c>
      <c r="D789" t="s">
        <v>20</v>
      </c>
      <c r="E789" t="s">
        <v>21</v>
      </c>
      <c r="F789" t="s">
        <v>51</v>
      </c>
      <c r="G789" t="s">
        <v>23</v>
      </c>
      <c r="H789" t="s">
        <v>554</v>
      </c>
      <c r="I789" t="s">
        <v>1803</v>
      </c>
      <c r="J789">
        <v>10.019786</v>
      </c>
      <c r="K789">
        <v>-84.163325999999998</v>
      </c>
      <c r="L789" t="s">
        <v>1225</v>
      </c>
      <c r="M789" t="s">
        <v>27</v>
      </c>
      <c r="N789" t="s">
        <v>28</v>
      </c>
      <c r="O789" t="s">
        <v>29</v>
      </c>
      <c r="P789">
        <v>21</v>
      </c>
      <c r="Q789" t="s">
        <v>239</v>
      </c>
      <c r="S789" t="str">
        <f>_xlfn.XLOOKUP(UNIVERSO[[#This Row],[Ruta]],'[1]CUOTA RUTA'!A:A,'[1]CUOTA RUTA'!D:D)</f>
        <v>Cargar</v>
      </c>
    </row>
    <row r="790" spans="1:19" x14ac:dyDescent="0.25">
      <c r="A790">
        <v>1500029567</v>
      </c>
      <c r="B790" t="s">
        <v>1804</v>
      </c>
      <c r="C790" t="s">
        <v>19</v>
      </c>
      <c r="D790" t="s">
        <v>20</v>
      </c>
      <c r="E790" t="s">
        <v>21</v>
      </c>
      <c r="F790" t="s">
        <v>51</v>
      </c>
      <c r="G790" t="s">
        <v>23</v>
      </c>
      <c r="H790" t="s">
        <v>255</v>
      </c>
      <c r="I790" t="s">
        <v>1805</v>
      </c>
      <c r="J790">
        <v>10.090400000000001</v>
      </c>
      <c r="K790">
        <v>-84.318510000000003</v>
      </c>
      <c r="L790" t="s">
        <v>1225</v>
      </c>
      <c r="M790" t="s">
        <v>46</v>
      </c>
      <c r="N790" t="s">
        <v>47</v>
      </c>
      <c r="O790" t="s">
        <v>48</v>
      </c>
      <c r="P790">
        <v>4</v>
      </c>
      <c r="Q790" t="s">
        <v>120</v>
      </c>
      <c r="S790" t="str">
        <f>_xlfn.XLOOKUP(UNIVERSO[[#This Row],[Ruta]],'[1]CUOTA RUTA'!A:A,'[1]CUOTA RUTA'!D:D)</f>
        <v>Cargar</v>
      </c>
    </row>
    <row r="791" spans="1:19" x14ac:dyDescent="0.25">
      <c r="A791">
        <v>1500029609</v>
      </c>
      <c r="B791" t="s">
        <v>1806</v>
      </c>
      <c r="C791" t="s">
        <v>19</v>
      </c>
      <c r="D791" t="s">
        <v>20</v>
      </c>
      <c r="E791" t="s">
        <v>21</v>
      </c>
      <c r="F791" t="s">
        <v>22</v>
      </c>
      <c r="G791" t="s">
        <v>64</v>
      </c>
      <c r="H791" t="s">
        <v>901</v>
      </c>
      <c r="I791" t="s">
        <v>1807</v>
      </c>
      <c r="J791">
        <v>10.0340083</v>
      </c>
      <c r="K791">
        <v>-84.342235000000002</v>
      </c>
      <c r="L791" t="s">
        <v>1225</v>
      </c>
      <c r="M791" t="s">
        <v>46</v>
      </c>
      <c r="N791" t="s">
        <v>47</v>
      </c>
      <c r="O791" t="s">
        <v>48</v>
      </c>
      <c r="P791">
        <v>5</v>
      </c>
      <c r="Q791" t="s">
        <v>117</v>
      </c>
      <c r="S791" t="str">
        <f>_xlfn.XLOOKUP(UNIVERSO[[#This Row],[Ruta]],'[1]CUOTA RUTA'!A:A,'[1]CUOTA RUTA'!D:D)</f>
        <v>Cargar</v>
      </c>
    </row>
    <row r="792" spans="1:19" x14ac:dyDescent="0.25">
      <c r="A792">
        <v>1500030276</v>
      </c>
      <c r="B792" t="s">
        <v>1808</v>
      </c>
      <c r="C792" t="s">
        <v>19</v>
      </c>
      <c r="D792" t="s">
        <v>20</v>
      </c>
      <c r="E792" t="s">
        <v>21</v>
      </c>
      <c r="F792" t="s">
        <v>22</v>
      </c>
      <c r="G792" t="s">
        <v>23</v>
      </c>
      <c r="H792" t="s">
        <v>862</v>
      </c>
      <c r="I792" t="s">
        <v>1809</v>
      </c>
      <c r="J792">
        <v>9.9781499999999994</v>
      </c>
      <c r="K792">
        <v>-84.191379999999995</v>
      </c>
      <c r="L792" t="s">
        <v>1225</v>
      </c>
      <c r="M792" t="s">
        <v>27</v>
      </c>
      <c r="N792" t="s">
        <v>28</v>
      </c>
      <c r="O792" t="s">
        <v>29</v>
      </c>
      <c r="P792">
        <v>23</v>
      </c>
      <c r="Q792" t="s">
        <v>125</v>
      </c>
      <c r="S792" t="str">
        <f>_xlfn.XLOOKUP(UNIVERSO[[#This Row],[Ruta]],'[1]CUOTA RUTA'!A:A,'[1]CUOTA RUTA'!D:D)</f>
        <v>Cargar</v>
      </c>
    </row>
    <row r="793" spans="1:19" x14ac:dyDescent="0.25">
      <c r="A793">
        <v>1500030363</v>
      </c>
      <c r="B793" t="s">
        <v>1810</v>
      </c>
      <c r="C793" t="s">
        <v>19</v>
      </c>
      <c r="D793" t="s">
        <v>20</v>
      </c>
      <c r="E793" t="s">
        <v>21</v>
      </c>
      <c r="F793" t="s">
        <v>22</v>
      </c>
      <c r="G793" t="s">
        <v>33</v>
      </c>
      <c r="H793" t="s">
        <v>913</v>
      </c>
      <c r="I793" t="s">
        <v>1811</v>
      </c>
      <c r="J793">
        <v>9.9720458000000001</v>
      </c>
      <c r="K793">
        <v>-84.119275000000002</v>
      </c>
      <c r="L793" t="s">
        <v>1225</v>
      </c>
      <c r="M793" t="s">
        <v>27</v>
      </c>
      <c r="N793" t="s">
        <v>28</v>
      </c>
      <c r="O793" t="s">
        <v>29</v>
      </c>
      <c r="P793">
        <v>7</v>
      </c>
      <c r="Q793" t="s">
        <v>39</v>
      </c>
      <c r="S793" t="str">
        <f>_xlfn.XLOOKUP(UNIVERSO[[#This Row],[Ruta]],'[1]CUOTA RUTA'!A:A,'[1]CUOTA RUTA'!D:D)</f>
        <v>Cargar</v>
      </c>
    </row>
    <row r="794" spans="1:19" x14ac:dyDescent="0.25">
      <c r="A794">
        <v>1500030925</v>
      </c>
      <c r="B794" t="s">
        <v>1812</v>
      </c>
      <c r="C794" t="s">
        <v>19</v>
      </c>
      <c r="D794" t="s">
        <v>32</v>
      </c>
      <c r="E794" t="s">
        <v>21</v>
      </c>
      <c r="F794" t="s">
        <v>22</v>
      </c>
      <c r="G794" t="s">
        <v>33</v>
      </c>
      <c r="H794" t="s">
        <v>65</v>
      </c>
      <c r="I794" t="s">
        <v>1813</v>
      </c>
      <c r="J794">
        <v>9.9002879999999998</v>
      </c>
      <c r="K794">
        <v>-83.980046000000002</v>
      </c>
      <c r="L794" t="s">
        <v>1225</v>
      </c>
      <c r="M794" t="s">
        <v>36</v>
      </c>
      <c r="N794" t="s">
        <v>37</v>
      </c>
      <c r="O794" t="s">
        <v>38</v>
      </c>
      <c r="P794">
        <v>19</v>
      </c>
      <c r="Q794" t="s">
        <v>67</v>
      </c>
      <c r="S794" t="str">
        <f>_xlfn.XLOOKUP(UNIVERSO[[#This Row],[Ruta]],'[1]CUOTA RUTA'!A:A,'[1]CUOTA RUTA'!D:D)</f>
        <v>Cargar</v>
      </c>
    </row>
    <row r="795" spans="1:19" x14ac:dyDescent="0.25">
      <c r="A795">
        <v>1500031103</v>
      </c>
      <c r="B795" t="s">
        <v>1814</v>
      </c>
      <c r="C795" t="s">
        <v>19</v>
      </c>
      <c r="D795" t="s">
        <v>32</v>
      </c>
      <c r="E795" t="s">
        <v>21</v>
      </c>
      <c r="F795" t="s">
        <v>22</v>
      </c>
      <c r="G795" t="s">
        <v>33</v>
      </c>
      <c r="H795" t="s">
        <v>625</v>
      </c>
      <c r="I795" t="s">
        <v>1815</v>
      </c>
      <c r="J795">
        <v>9.9964099999999991</v>
      </c>
      <c r="K795">
        <v>-84.046881666659999</v>
      </c>
      <c r="L795" t="s">
        <v>1225</v>
      </c>
      <c r="M795" t="s">
        <v>94</v>
      </c>
      <c r="N795" t="s">
        <v>95</v>
      </c>
      <c r="O795" t="s">
        <v>96</v>
      </c>
      <c r="P795">
        <v>6</v>
      </c>
      <c r="Q795" t="s">
        <v>49</v>
      </c>
      <c r="S795" t="str">
        <f>_xlfn.XLOOKUP(UNIVERSO[[#This Row],[Ruta]],'[1]CUOTA RUTA'!A:A,'[1]CUOTA RUTA'!D:D)</f>
        <v>Cargar</v>
      </c>
    </row>
    <row r="796" spans="1:19" x14ac:dyDescent="0.25">
      <c r="A796">
        <v>1500031105</v>
      </c>
      <c r="B796" t="s">
        <v>1816</v>
      </c>
      <c r="C796" t="s">
        <v>19</v>
      </c>
      <c r="D796" t="s">
        <v>32</v>
      </c>
      <c r="E796" t="s">
        <v>21</v>
      </c>
      <c r="F796" t="s">
        <v>22</v>
      </c>
      <c r="G796" t="s">
        <v>33</v>
      </c>
      <c r="H796" t="s">
        <v>625</v>
      </c>
      <c r="I796" t="s">
        <v>1817</v>
      </c>
      <c r="J796">
        <v>10.004123333333</v>
      </c>
      <c r="K796">
        <v>-84.071668333329995</v>
      </c>
      <c r="L796" t="s">
        <v>1225</v>
      </c>
      <c r="M796" t="s">
        <v>94</v>
      </c>
      <c r="N796" t="s">
        <v>95</v>
      </c>
      <c r="O796" t="s">
        <v>96</v>
      </c>
      <c r="P796">
        <v>12</v>
      </c>
      <c r="Q796" t="s">
        <v>42</v>
      </c>
      <c r="S796" t="str">
        <f>_xlfn.XLOOKUP(UNIVERSO[[#This Row],[Ruta]],'[1]CUOTA RUTA'!A:A,'[1]CUOTA RUTA'!D:D)</f>
        <v>Cargar</v>
      </c>
    </row>
    <row r="797" spans="1:19" x14ac:dyDescent="0.25">
      <c r="A797">
        <v>1500031211</v>
      </c>
      <c r="B797" t="s">
        <v>1818</v>
      </c>
      <c r="C797" t="s">
        <v>19</v>
      </c>
      <c r="D797" t="s">
        <v>32</v>
      </c>
      <c r="E797" t="s">
        <v>21</v>
      </c>
      <c r="F797" t="s">
        <v>22</v>
      </c>
      <c r="G797" t="s">
        <v>64</v>
      </c>
      <c r="H797" t="s">
        <v>1191</v>
      </c>
      <c r="I797" t="s">
        <v>1819</v>
      </c>
      <c r="J797">
        <v>9.8963929999999998</v>
      </c>
      <c r="K797">
        <v>-83.999099999999999</v>
      </c>
      <c r="L797" t="s">
        <v>1225</v>
      </c>
      <c r="M797" t="s">
        <v>36</v>
      </c>
      <c r="N797" t="s">
        <v>37</v>
      </c>
      <c r="O797" t="s">
        <v>38</v>
      </c>
      <c r="P797">
        <v>18</v>
      </c>
      <c r="Q797" t="s">
        <v>84</v>
      </c>
      <c r="S797" t="str">
        <f>_xlfn.XLOOKUP(UNIVERSO[[#This Row],[Ruta]],'[1]CUOTA RUTA'!A:A,'[1]CUOTA RUTA'!D:D)</f>
        <v>Cargar</v>
      </c>
    </row>
    <row r="798" spans="1:19" x14ac:dyDescent="0.25">
      <c r="A798">
        <v>1500031445</v>
      </c>
      <c r="B798" t="s">
        <v>1820</v>
      </c>
      <c r="C798" t="s">
        <v>19</v>
      </c>
      <c r="D798" t="s">
        <v>266</v>
      </c>
      <c r="E798" t="s">
        <v>21</v>
      </c>
      <c r="F798" t="s">
        <v>22</v>
      </c>
      <c r="G798" t="s">
        <v>23</v>
      </c>
      <c r="H798" t="s">
        <v>404</v>
      </c>
      <c r="I798" t="s">
        <v>1821</v>
      </c>
      <c r="J798">
        <v>9.8431250000000006</v>
      </c>
      <c r="K798">
        <v>-83.866331666660002</v>
      </c>
      <c r="L798" t="s">
        <v>1225</v>
      </c>
      <c r="M798" t="s">
        <v>36</v>
      </c>
      <c r="N798" t="s">
        <v>316</v>
      </c>
      <c r="O798" t="s">
        <v>317</v>
      </c>
      <c r="P798">
        <v>23</v>
      </c>
      <c r="Q798" t="s">
        <v>125</v>
      </c>
      <c r="S798" t="str">
        <f>_xlfn.XLOOKUP(UNIVERSO[[#This Row],[Ruta]],'[1]CUOTA RUTA'!A:A,'[1]CUOTA RUTA'!D:D)</f>
        <v>Cargar</v>
      </c>
    </row>
    <row r="799" spans="1:19" x14ac:dyDescent="0.25">
      <c r="A799">
        <v>1500031501</v>
      </c>
      <c r="B799" t="s">
        <v>1822</v>
      </c>
      <c r="C799" t="s">
        <v>19</v>
      </c>
      <c r="D799" t="s">
        <v>266</v>
      </c>
      <c r="E799" t="s">
        <v>21</v>
      </c>
      <c r="F799" t="s">
        <v>22</v>
      </c>
      <c r="G799" t="s">
        <v>23</v>
      </c>
      <c r="H799" t="s">
        <v>407</v>
      </c>
      <c r="I799" t="s">
        <v>1823</v>
      </c>
      <c r="J799">
        <v>9.6539166000000005</v>
      </c>
      <c r="K799">
        <v>-83.968397400000001</v>
      </c>
      <c r="L799" t="s">
        <v>1225</v>
      </c>
      <c r="M799" t="s">
        <v>409</v>
      </c>
      <c r="N799" t="s">
        <v>410</v>
      </c>
      <c r="O799" t="s">
        <v>411</v>
      </c>
      <c r="P799">
        <v>23</v>
      </c>
      <c r="Q799" t="s">
        <v>125</v>
      </c>
      <c r="S799" t="str">
        <f>_xlfn.XLOOKUP(UNIVERSO[[#This Row],[Ruta]],'[1]CUOTA RUTA'!A:A,'[1]CUOTA RUTA'!D:D)</f>
        <v>Cargar</v>
      </c>
    </row>
    <row r="800" spans="1:19" x14ac:dyDescent="0.25">
      <c r="A800">
        <v>1500031586</v>
      </c>
      <c r="B800" t="s">
        <v>1824</v>
      </c>
      <c r="C800" t="s">
        <v>19</v>
      </c>
      <c r="D800" t="s">
        <v>32</v>
      </c>
      <c r="E800" t="s">
        <v>21</v>
      </c>
      <c r="F800" t="s">
        <v>51</v>
      </c>
      <c r="G800" t="s">
        <v>23</v>
      </c>
      <c r="H800" t="s">
        <v>625</v>
      </c>
      <c r="I800" t="s">
        <v>1825</v>
      </c>
      <c r="J800">
        <v>10.019871666666999</v>
      </c>
      <c r="K800">
        <v>-84.055723333329993</v>
      </c>
      <c r="L800" t="s">
        <v>1225</v>
      </c>
      <c r="M800" t="s">
        <v>94</v>
      </c>
      <c r="N800" t="s">
        <v>95</v>
      </c>
      <c r="O800" t="s">
        <v>96</v>
      </c>
      <c r="P800">
        <v>6</v>
      </c>
      <c r="Q800" t="s">
        <v>49</v>
      </c>
      <c r="S800" t="str">
        <f>_xlfn.XLOOKUP(UNIVERSO[[#This Row],[Ruta]],'[1]CUOTA RUTA'!A:A,'[1]CUOTA RUTA'!D:D)</f>
        <v>Cargar</v>
      </c>
    </row>
    <row r="801" spans="1:19" x14ac:dyDescent="0.25">
      <c r="A801">
        <v>1500031806</v>
      </c>
      <c r="B801" t="s">
        <v>1826</v>
      </c>
      <c r="C801" t="s">
        <v>19</v>
      </c>
      <c r="D801" t="s">
        <v>569</v>
      </c>
      <c r="E801" t="s">
        <v>21</v>
      </c>
      <c r="F801" t="s">
        <v>22</v>
      </c>
      <c r="G801" t="s">
        <v>23</v>
      </c>
      <c r="H801" t="s">
        <v>570</v>
      </c>
      <c r="I801" t="s">
        <v>571</v>
      </c>
      <c r="J801">
        <v>8.9627610000000004</v>
      </c>
      <c r="K801">
        <v>-83.524456000000001</v>
      </c>
      <c r="L801" t="s">
        <v>1225</v>
      </c>
      <c r="M801" t="s">
        <v>572</v>
      </c>
      <c r="N801" t="s">
        <v>573</v>
      </c>
      <c r="O801" t="s">
        <v>574</v>
      </c>
      <c r="P801">
        <v>22</v>
      </c>
      <c r="Q801" t="s">
        <v>30</v>
      </c>
      <c r="S801" t="str">
        <f>_xlfn.XLOOKUP(UNIVERSO[[#This Row],[Ruta]],'[1]CUOTA RUTA'!A:A,'[1]CUOTA RUTA'!D:D)</f>
        <v>Cargar</v>
      </c>
    </row>
    <row r="802" spans="1:19" x14ac:dyDescent="0.25">
      <c r="A802">
        <v>1500032115</v>
      </c>
      <c r="B802" t="s">
        <v>1827</v>
      </c>
      <c r="C802" t="s">
        <v>19</v>
      </c>
      <c r="D802" t="s">
        <v>337</v>
      </c>
      <c r="E802" t="s">
        <v>21</v>
      </c>
      <c r="F802" t="s">
        <v>22</v>
      </c>
      <c r="G802" t="s">
        <v>64</v>
      </c>
      <c r="H802" t="s">
        <v>483</v>
      </c>
      <c r="I802" t="s">
        <v>1828</v>
      </c>
      <c r="J802">
        <v>10.519080649999999</v>
      </c>
      <c r="K802">
        <v>-85.653122280000005</v>
      </c>
      <c r="L802" t="s">
        <v>1225</v>
      </c>
      <c r="M802" t="s">
        <v>327</v>
      </c>
      <c r="N802" t="s">
        <v>340</v>
      </c>
      <c r="O802" t="s">
        <v>341</v>
      </c>
      <c r="P802">
        <v>19</v>
      </c>
      <c r="Q802" t="s">
        <v>67</v>
      </c>
      <c r="S802" t="str">
        <f>_xlfn.XLOOKUP(UNIVERSO[[#This Row],[Ruta]],'[1]CUOTA RUTA'!A:A,'[1]CUOTA RUTA'!D:D)</f>
        <v>Cargar</v>
      </c>
    </row>
    <row r="803" spans="1:19" x14ac:dyDescent="0.25">
      <c r="A803">
        <v>1500032142</v>
      </c>
      <c r="B803" t="s">
        <v>1829</v>
      </c>
      <c r="C803" t="s">
        <v>19</v>
      </c>
      <c r="D803" t="s">
        <v>337</v>
      </c>
      <c r="E803" t="s">
        <v>21</v>
      </c>
      <c r="F803" t="s">
        <v>22</v>
      </c>
      <c r="G803" t="s">
        <v>23</v>
      </c>
      <c r="H803" t="s">
        <v>576</v>
      </c>
      <c r="I803" t="s">
        <v>1830</v>
      </c>
      <c r="J803">
        <v>10.543924000000001</v>
      </c>
      <c r="K803">
        <v>-85.706316000000001</v>
      </c>
      <c r="L803" t="s">
        <v>1225</v>
      </c>
      <c r="M803" t="s">
        <v>327</v>
      </c>
      <c r="N803" t="s">
        <v>340</v>
      </c>
      <c r="O803" t="s">
        <v>341</v>
      </c>
      <c r="P803">
        <v>19</v>
      </c>
      <c r="Q803" t="s">
        <v>67</v>
      </c>
      <c r="S803" t="str">
        <f>_xlfn.XLOOKUP(UNIVERSO[[#This Row],[Ruta]],'[1]CUOTA RUTA'!A:A,'[1]CUOTA RUTA'!D:D)</f>
        <v>Cargar</v>
      </c>
    </row>
    <row r="804" spans="1:19" x14ac:dyDescent="0.25">
      <c r="A804">
        <v>1500032189</v>
      </c>
      <c r="B804" t="s">
        <v>1831</v>
      </c>
      <c r="C804" t="s">
        <v>19</v>
      </c>
      <c r="D804" t="s">
        <v>337</v>
      </c>
      <c r="E804" t="s">
        <v>21</v>
      </c>
      <c r="F804" t="s">
        <v>22</v>
      </c>
      <c r="G804" t="s">
        <v>64</v>
      </c>
      <c r="H804" t="s">
        <v>483</v>
      </c>
      <c r="I804" t="s">
        <v>1832</v>
      </c>
      <c r="J804">
        <v>10.514512699999999</v>
      </c>
      <c r="K804">
        <v>-85.566785670000002</v>
      </c>
      <c r="L804" t="s">
        <v>1225</v>
      </c>
      <c r="M804" t="s">
        <v>327</v>
      </c>
      <c r="N804" t="s">
        <v>340</v>
      </c>
      <c r="O804" t="s">
        <v>341</v>
      </c>
      <c r="P804">
        <v>16</v>
      </c>
      <c r="Q804" t="s">
        <v>60</v>
      </c>
      <c r="S804" t="str">
        <f>_xlfn.XLOOKUP(UNIVERSO[[#This Row],[Ruta]],'[1]CUOTA RUTA'!A:A,'[1]CUOTA RUTA'!D:D)</f>
        <v>Cargar</v>
      </c>
    </row>
    <row r="805" spans="1:19" x14ac:dyDescent="0.25">
      <c r="A805">
        <v>1500032216</v>
      </c>
      <c r="B805" t="s">
        <v>1833</v>
      </c>
      <c r="C805" t="s">
        <v>19</v>
      </c>
      <c r="D805" t="s">
        <v>32</v>
      </c>
      <c r="E805" t="s">
        <v>21</v>
      </c>
      <c r="F805" t="s">
        <v>22</v>
      </c>
      <c r="G805" t="s">
        <v>33</v>
      </c>
      <c r="H805" t="s">
        <v>69</v>
      </c>
      <c r="I805" t="s">
        <v>1834</v>
      </c>
      <c r="J805">
        <v>9.8600133333330007</v>
      </c>
      <c r="K805">
        <v>-84.061125000000004</v>
      </c>
      <c r="L805" t="s">
        <v>1225</v>
      </c>
      <c r="M805" t="s">
        <v>71</v>
      </c>
      <c r="N805" t="s">
        <v>72</v>
      </c>
      <c r="O805" t="s">
        <v>73</v>
      </c>
      <c r="P805">
        <v>21</v>
      </c>
      <c r="Q805" t="s">
        <v>239</v>
      </c>
      <c r="S805" t="str">
        <f>_xlfn.XLOOKUP(UNIVERSO[[#This Row],[Ruta]],'[1]CUOTA RUTA'!A:A,'[1]CUOTA RUTA'!D:D)</f>
        <v>Cargar</v>
      </c>
    </row>
    <row r="806" spans="1:19" x14ac:dyDescent="0.25">
      <c r="A806">
        <v>1500032221</v>
      </c>
      <c r="B806" t="s">
        <v>1835</v>
      </c>
      <c r="C806" t="s">
        <v>19</v>
      </c>
      <c r="D806" t="s">
        <v>32</v>
      </c>
      <c r="E806" t="s">
        <v>21</v>
      </c>
      <c r="F806" t="s">
        <v>22</v>
      </c>
      <c r="G806" t="s">
        <v>64</v>
      </c>
      <c r="H806" t="s">
        <v>89</v>
      </c>
      <c r="I806" t="s">
        <v>1836</v>
      </c>
      <c r="J806">
        <v>9.8843779999999999</v>
      </c>
      <c r="K806">
        <v>-84.082301999999999</v>
      </c>
      <c r="L806" t="s">
        <v>1225</v>
      </c>
      <c r="M806" t="s">
        <v>71</v>
      </c>
      <c r="N806" t="s">
        <v>72</v>
      </c>
      <c r="O806" t="s">
        <v>73</v>
      </c>
      <c r="P806">
        <v>16</v>
      </c>
      <c r="Q806" t="s">
        <v>60</v>
      </c>
      <c r="S806" t="str">
        <f>_xlfn.XLOOKUP(UNIVERSO[[#This Row],[Ruta]],'[1]CUOTA RUTA'!A:A,'[1]CUOTA RUTA'!D:D)</f>
        <v>Cargar</v>
      </c>
    </row>
    <row r="807" spans="1:19" x14ac:dyDescent="0.25">
      <c r="A807">
        <v>1500032444</v>
      </c>
      <c r="B807" t="s">
        <v>1837</v>
      </c>
      <c r="C807" t="s">
        <v>19</v>
      </c>
      <c r="D807" t="s">
        <v>32</v>
      </c>
      <c r="E807" t="s">
        <v>21</v>
      </c>
      <c r="F807" t="s">
        <v>22</v>
      </c>
      <c r="G807" t="s">
        <v>64</v>
      </c>
      <c r="H807" t="s">
        <v>76</v>
      </c>
      <c r="I807" t="s">
        <v>1838</v>
      </c>
      <c r="J807">
        <v>9.9470069999999993</v>
      </c>
      <c r="K807">
        <v>-84.031120000000001</v>
      </c>
      <c r="L807" t="s">
        <v>1225</v>
      </c>
      <c r="M807" t="s">
        <v>36</v>
      </c>
      <c r="N807" t="s">
        <v>37</v>
      </c>
      <c r="O807" t="s">
        <v>38</v>
      </c>
      <c r="P807">
        <v>9</v>
      </c>
      <c r="Q807" t="s">
        <v>80</v>
      </c>
      <c r="S807" t="str">
        <f>_xlfn.XLOOKUP(UNIVERSO[[#This Row],[Ruta]],'[1]CUOTA RUTA'!A:A,'[1]CUOTA RUTA'!D:D)</f>
        <v>Cargar</v>
      </c>
    </row>
    <row r="808" spans="1:19" x14ac:dyDescent="0.25">
      <c r="A808">
        <v>1500032463</v>
      </c>
      <c r="B808" t="s">
        <v>1839</v>
      </c>
      <c r="C808" t="s">
        <v>19</v>
      </c>
      <c r="D808" t="s">
        <v>32</v>
      </c>
      <c r="E808" t="s">
        <v>21</v>
      </c>
      <c r="F808" t="s">
        <v>22</v>
      </c>
      <c r="G808" t="s">
        <v>64</v>
      </c>
      <c r="H808" t="s">
        <v>425</v>
      </c>
      <c r="I808" t="s">
        <v>1840</v>
      </c>
      <c r="J808">
        <v>9.8791610900000002</v>
      </c>
      <c r="K808">
        <v>-84.085780779999993</v>
      </c>
      <c r="L808" t="s">
        <v>1225</v>
      </c>
      <c r="M808" t="s">
        <v>71</v>
      </c>
      <c r="N808" t="s">
        <v>72</v>
      </c>
      <c r="O808" t="s">
        <v>73</v>
      </c>
      <c r="P808">
        <v>17</v>
      </c>
      <c r="Q808" t="s">
        <v>287</v>
      </c>
      <c r="S808" t="str">
        <f>_xlfn.XLOOKUP(UNIVERSO[[#This Row],[Ruta]],'[1]CUOTA RUTA'!A:A,'[1]CUOTA RUTA'!D:D)</f>
        <v>Cargar</v>
      </c>
    </row>
    <row r="809" spans="1:19" x14ac:dyDescent="0.25">
      <c r="A809">
        <v>1500033013</v>
      </c>
      <c r="B809" t="s">
        <v>1841</v>
      </c>
      <c r="C809" t="s">
        <v>19</v>
      </c>
      <c r="D809" t="s">
        <v>208</v>
      </c>
      <c r="E809" t="s">
        <v>21</v>
      </c>
      <c r="F809" t="s">
        <v>51</v>
      </c>
      <c r="G809" t="s">
        <v>23</v>
      </c>
      <c r="H809" t="s">
        <v>719</v>
      </c>
      <c r="I809" t="s">
        <v>1842</v>
      </c>
      <c r="J809">
        <v>10.36377865</v>
      </c>
      <c r="K809">
        <v>-83.736297800000003</v>
      </c>
      <c r="L809" t="s">
        <v>1225</v>
      </c>
      <c r="M809" t="s">
        <v>189</v>
      </c>
      <c r="N809" t="s">
        <v>211</v>
      </c>
      <c r="O809" t="s">
        <v>212</v>
      </c>
      <c r="P809">
        <v>1</v>
      </c>
      <c r="Q809" t="s">
        <v>155</v>
      </c>
      <c r="S809" t="str">
        <f>_xlfn.XLOOKUP(UNIVERSO[[#This Row],[Ruta]],'[1]CUOTA RUTA'!A:A,'[1]CUOTA RUTA'!D:D)</f>
        <v>Cargar</v>
      </c>
    </row>
    <row r="810" spans="1:19" x14ac:dyDescent="0.25">
      <c r="A810">
        <v>1500033068</v>
      </c>
      <c r="B810" t="s">
        <v>1843</v>
      </c>
      <c r="C810" t="s">
        <v>19</v>
      </c>
      <c r="D810" t="s">
        <v>208</v>
      </c>
      <c r="E810" t="s">
        <v>21</v>
      </c>
      <c r="F810" t="s">
        <v>22</v>
      </c>
      <c r="G810" t="s">
        <v>64</v>
      </c>
      <c r="H810" t="s">
        <v>502</v>
      </c>
      <c r="I810" t="s">
        <v>1844</v>
      </c>
      <c r="J810">
        <v>10.42592</v>
      </c>
      <c r="K810">
        <v>-83.723500000000001</v>
      </c>
      <c r="L810" t="s">
        <v>1225</v>
      </c>
      <c r="M810" t="s">
        <v>189</v>
      </c>
      <c r="N810" t="s">
        <v>211</v>
      </c>
      <c r="O810" t="s">
        <v>212</v>
      </c>
      <c r="P810">
        <v>2</v>
      </c>
      <c r="Q810" t="s">
        <v>150</v>
      </c>
      <c r="S810" t="str">
        <f>_xlfn.XLOOKUP(UNIVERSO[[#This Row],[Ruta]],'[1]CUOTA RUTA'!A:A,'[1]CUOTA RUTA'!D:D)</f>
        <v>Cargar</v>
      </c>
    </row>
    <row r="811" spans="1:19" x14ac:dyDescent="0.25">
      <c r="A811">
        <v>1500033099</v>
      </c>
      <c r="B811" t="s">
        <v>1845</v>
      </c>
      <c r="C811" t="s">
        <v>19</v>
      </c>
      <c r="D811" t="s">
        <v>208</v>
      </c>
      <c r="E811" t="s">
        <v>21</v>
      </c>
      <c r="F811" t="s">
        <v>22</v>
      </c>
      <c r="G811" t="s">
        <v>33</v>
      </c>
      <c r="H811" t="s">
        <v>631</v>
      </c>
      <c r="I811" t="s">
        <v>1846</v>
      </c>
      <c r="J811">
        <v>10.10298774</v>
      </c>
      <c r="K811">
        <v>-83.430736789999997</v>
      </c>
      <c r="L811" t="s">
        <v>1225</v>
      </c>
      <c r="M811" t="s">
        <v>189</v>
      </c>
      <c r="N811" t="s">
        <v>211</v>
      </c>
      <c r="O811" t="s">
        <v>212</v>
      </c>
      <c r="P811">
        <v>8</v>
      </c>
      <c r="Q811" t="s">
        <v>97</v>
      </c>
      <c r="S811" t="str">
        <f>_xlfn.XLOOKUP(UNIVERSO[[#This Row],[Ruta]],'[1]CUOTA RUTA'!A:A,'[1]CUOTA RUTA'!D:D)</f>
        <v>Cargar</v>
      </c>
    </row>
    <row r="812" spans="1:19" x14ac:dyDescent="0.25">
      <c r="A812">
        <v>1500033138</v>
      </c>
      <c r="B812" t="s">
        <v>1847</v>
      </c>
      <c r="C812" t="s">
        <v>19</v>
      </c>
      <c r="D812" t="s">
        <v>208</v>
      </c>
      <c r="E812" t="s">
        <v>21</v>
      </c>
      <c r="F812" t="s">
        <v>22</v>
      </c>
      <c r="G812" t="s">
        <v>33</v>
      </c>
      <c r="H812" t="s">
        <v>502</v>
      </c>
      <c r="I812" t="s">
        <v>1848</v>
      </c>
      <c r="J812">
        <v>10.2479</v>
      </c>
      <c r="K812">
        <v>-83.604799999999997</v>
      </c>
      <c r="L812" t="s">
        <v>1225</v>
      </c>
      <c r="M812" t="s">
        <v>189</v>
      </c>
      <c r="N812" t="s">
        <v>211</v>
      </c>
      <c r="O812" t="s">
        <v>212</v>
      </c>
      <c r="P812">
        <v>9</v>
      </c>
      <c r="Q812" t="s">
        <v>80</v>
      </c>
      <c r="S812" t="str">
        <f>_xlfn.XLOOKUP(UNIVERSO[[#This Row],[Ruta]],'[1]CUOTA RUTA'!A:A,'[1]CUOTA RUTA'!D:D)</f>
        <v>Cargar</v>
      </c>
    </row>
    <row r="813" spans="1:19" x14ac:dyDescent="0.25">
      <c r="A813">
        <v>1500033654</v>
      </c>
      <c r="B813" t="s">
        <v>1849</v>
      </c>
      <c r="C813" t="s">
        <v>19</v>
      </c>
      <c r="D813" t="s">
        <v>186</v>
      </c>
      <c r="E813" t="s">
        <v>21</v>
      </c>
      <c r="F813" t="s">
        <v>22</v>
      </c>
      <c r="G813" t="s">
        <v>33</v>
      </c>
      <c r="H813" t="s">
        <v>868</v>
      </c>
      <c r="I813" t="s">
        <v>1850</v>
      </c>
      <c r="J813">
        <v>9.991187</v>
      </c>
      <c r="K813">
        <v>-83.030317999999994</v>
      </c>
      <c r="L813" t="s">
        <v>1225</v>
      </c>
      <c r="M813" t="s">
        <v>189</v>
      </c>
      <c r="N813" t="s">
        <v>190</v>
      </c>
      <c r="O813" t="s">
        <v>191</v>
      </c>
      <c r="P813">
        <v>12</v>
      </c>
      <c r="Q813" t="s">
        <v>42</v>
      </c>
      <c r="S813" t="str">
        <f>_xlfn.XLOOKUP(UNIVERSO[[#This Row],[Ruta]],'[1]CUOTA RUTA'!A:A,'[1]CUOTA RUTA'!D:D)</f>
        <v>Cargar</v>
      </c>
    </row>
    <row r="814" spans="1:19" x14ac:dyDescent="0.25">
      <c r="A814">
        <v>1500033667</v>
      </c>
      <c r="B814" t="s">
        <v>1851</v>
      </c>
      <c r="C814" t="s">
        <v>19</v>
      </c>
      <c r="D814" t="s">
        <v>201</v>
      </c>
      <c r="E814" t="s">
        <v>21</v>
      </c>
      <c r="F814" t="s">
        <v>22</v>
      </c>
      <c r="G814" t="s">
        <v>64</v>
      </c>
      <c r="H814" t="s">
        <v>533</v>
      </c>
      <c r="I814" t="s">
        <v>1852</v>
      </c>
      <c r="J814">
        <v>9.9123513489339992</v>
      </c>
      <c r="K814">
        <v>-84.514971808409996</v>
      </c>
      <c r="L814" t="s">
        <v>1225</v>
      </c>
      <c r="M814" t="s">
        <v>204</v>
      </c>
      <c r="N814" t="s">
        <v>205</v>
      </c>
      <c r="O814" t="s">
        <v>206</v>
      </c>
      <c r="P814">
        <v>2</v>
      </c>
      <c r="Q814" t="s">
        <v>150</v>
      </c>
      <c r="S814" t="str">
        <f>_xlfn.XLOOKUP(UNIVERSO[[#This Row],[Ruta]],'[1]CUOTA RUTA'!A:A,'[1]CUOTA RUTA'!D:D)</f>
        <v>Cargar</v>
      </c>
    </row>
    <row r="815" spans="1:19" x14ac:dyDescent="0.25">
      <c r="A815">
        <v>1500033724</v>
      </c>
      <c r="B815" t="s">
        <v>1853</v>
      </c>
      <c r="C815" t="s">
        <v>19</v>
      </c>
      <c r="D815" t="s">
        <v>201</v>
      </c>
      <c r="E815" t="s">
        <v>21</v>
      </c>
      <c r="F815" t="s">
        <v>22</v>
      </c>
      <c r="G815" t="s">
        <v>33</v>
      </c>
      <c r="H815" t="s">
        <v>491</v>
      </c>
      <c r="I815" t="s">
        <v>1854</v>
      </c>
      <c r="J815">
        <v>9.7082913000000008</v>
      </c>
      <c r="K815">
        <v>-84.636028899999999</v>
      </c>
      <c r="L815" t="s">
        <v>1225</v>
      </c>
      <c r="M815" t="s">
        <v>204</v>
      </c>
      <c r="N815" t="s">
        <v>205</v>
      </c>
      <c r="O815" t="s">
        <v>206</v>
      </c>
      <c r="P815">
        <v>4</v>
      </c>
      <c r="Q815" t="s">
        <v>120</v>
      </c>
      <c r="S815" t="str">
        <f>_xlfn.XLOOKUP(UNIVERSO[[#This Row],[Ruta]],'[1]CUOTA RUTA'!A:A,'[1]CUOTA RUTA'!D:D)</f>
        <v>Cargar</v>
      </c>
    </row>
    <row r="816" spans="1:19" x14ac:dyDescent="0.25">
      <c r="A816">
        <v>1500033833</v>
      </c>
      <c r="B816" t="s">
        <v>1855</v>
      </c>
      <c r="C816" t="s">
        <v>19</v>
      </c>
      <c r="D816" t="s">
        <v>266</v>
      </c>
      <c r="E816" t="s">
        <v>21</v>
      </c>
      <c r="F816" t="s">
        <v>22</v>
      </c>
      <c r="G816" t="s">
        <v>64</v>
      </c>
      <c r="H816" t="s">
        <v>321</v>
      </c>
      <c r="I816" t="s">
        <v>1856</v>
      </c>
      <c r="J816">
        <v>9.7673816666669993</v>
      </c>
      <c r="K816">
        <v>-84.014941666659993</v>
      </c>
      <c r="L816" t="s">
        <v>1225</v>
      </c>
      <c r="M816" t="s">
        <v>54</v>
      </c>
      <c r="N816" t="s">
        <v>274</v>
      </c>
      <c r="O816" t="s">
        <v>275</v>
      </c>
      <c r="P816">
        <v>23</v>
      </c>
      <c r="Q816" t="s">
        <v>125</v>
      </c>
      <c r="S816" t="str">
        <f>_xlfn.XLOOKUP(UNIVERSO[[#This Row],[Ruta]],'[1]CUOTA RUTA'!A:A,'[1]CUOTA RUTA'!D:D)</f>
        <v>Cargar</v>
      </c>
    </row>
    <row r="817" spans="1:19" x14ac:dyDescent="0.25">
      <c r="A817">
        <v>1500033889</v>
      </c>
      <c r="B817" t="s">
        <v>1857</v>
      </c>
      <c r="C817" t="s">
        <v>19</v>
      </c>
      <c r="D817" t="s">
        <v>20</v>
      </c>
      <c r="E817" t="s">
        <v>21</v>
      </c>
      <c r="F817" t="s">
        <v>22</v>
      </c>
      <c r="G817" t="s">
        <v>23</v>
      </c>
      <c r="H817" t="s">
        <v>44</v>
      </c>
      <c r="I817" t="s">
        <v>1858</v>
      </c>
      <c r="J817">
        <v>10.097853649999999</v>
      </c>
      <c r="K817">
        <v>-84.344186879999995</v>
      </c>
      <c r="L817" t="s">
        <v>1225</v>
      </c>
      <c r="M817" t="s">
        <v>46</v>
      </c>
      <c r="N817" t="s">
        <v>47</v>
      </c>
      <c r="O817" t="s">
        <v>48</v>
      </c>
      <c r="P817">
        <v>4</v>
      </c>
      <c r="Q817" t="s">
        <v>120</v>
      </c>
      <c r="S817" t="str">
        <f>_xlfn.XLOOKUP(UNIVERSO[[#This Row],[Ruta]],'[1]CUOTA RUTA'!A:A,'[1]CUOTA RUTA'!D:D)</f>
        <v>Cargar</v>
      </c>
    </row>
    <row r="818" spans="1:19" x14ac:dyDescent="0.25">
      <c r="A818">
        <v>1500033892</v>
      </c>
      <c r="B818" t="s">
        <v>1859</v>
      </c>
      <c r="C818" t="s">
        <v>19</v>
      </c>
      <c r="D818" t="s">
        <v>20</v>
      </c>
      <c r="E818" t="s">
        <v>21</v>
      </c>
      <c r="F818" t="s">
        <v>22</v>
      </c>
      <c r="G818" t="s">
        <v>64</v>
      </c>
      <c r="H818" t="s">
        <v>743</v>
      </c>
      <c r="I818" t="s">
        <v>1860</v>
      </c>
      <c r="J818">
        <v>9.9492700000000003</v>
      </c>
      <c r="K818">
        <v>-84.368020000000001</v>
      </c>
      <c r="L818" t="s">
        <v>1225</v>
      </c>
      <c r="M818" t="s">
        <v>46</v>
      </c>
      <c r="N818" t="s">
        <v>47</v>
      </c>
      <c r="O818" t="s">
        <v>48</v>
      </c>
      <c r="P818">
        <v>12</v>
      </c>
      <c r="Q818" t="s">
        <v>42</v>
      </c>
      <c r="S818" t="str">
        <f>_xlfn.XLOOKUP(UNIVERSO[[#This Row],[Ruta]],'[1]CUOTA RUTA'!A:A,'[1]CUOTA RUTA'!D:D)</f>
        <v>Cargar</v>
      </c>
    </row>
    <row r="819" spans="1:19" x14ac:dyDescent="0.25">
      <c r="A819">
        <v>1500045022</v>
      </c>
      <c r="B819" t="s">
        <v>1861</v>
      </c>
      <c r="C819" t="s">
        <v>19</v>
      </c>
      <c r="D819" t="s">
        <v>208</v>
      </c>
      <c r="E819" t="s">
        <v>21</v>
      </c>
      <c r="F819" t="s">
        <v>22</v>
      </c>
      <c r="G819" t="s">
        <v>33</v>
      </c>
      <c r="H819" t="s">
        <v>218</v>
      </c>
      <c r="I819" t="s">
        <v>1862</v>
      </c>
      <c r="J819">
        <v>10.215540000000001</v>
      </c>
      <c r="K819">
        <v>-83.783699999999996</v>
      </c>
      <c r="L819" t="s">
        <v>1225</v>
      </c>
      <c r="M819" t="s">
        <v>189</v>
      </c>
      <c r="N819" t="s">
        <v>211</v>
      </c>
      <c r="O819" t="s">
        <v>212</v>
      </c>
      <c r="P819">
        <v>5</v>
      </c>
      <c r="Q819" t="s">
        <v>117</v>
      </c>
      <c r="S819" t="str">
        <f>_xlfn.XLOOKUP(UNIVERSO[[#This Row],[Ruta]],'[1]CUOTA RUTA'!A:A,'[1]CUOTA RUTA'!D:D)</f>
        <v>Cargar</v>
      </c>
    </row>
    <row r="820" spans="1:19" x14ac:dyDescent="0.25">
      <c r="A820">
        <v>1500045047</v>
      </c>
      <c r="B820" t="s">
        <v>1863</v>
      </c>
      <c r="C820" t="s">
        <v>19</v>
      </c>
      <c r="D820" t="s">
        <v>208</v>
      </c>
      <c r="E820" t="s">
        <v>21</v>
      </c>
      <c r="F820" t="s">
        <v>22</v>
      </c>
      <c r="G820" t="s">
        <v>23</v>
      </c>
      <c r="H820" t="s">
        <v>224</v>
      </c>
      <c r="I820" t="s">
        <v>1864</v>
      </c>
      <c r="J820">
        <v>10.213240000000001</v>
      </c>
      <c r="K820">
        <v>-83.794799999999995</v>
      </c>
      <c r="L820" t="s">
        <v>1225</v>
      </c>
      <c r="M820" t="s">
        <v>189</v>
      </c>
      <c r="N820" t="s">
        <v>211</v>
      </c>
      <c r="O820" t="s">
        <v>212</v>
      </c>
      <c r="P820">
        <v>4</v>
      </c>
      <c r="Q820" t="s">
        <v>120</v>
      </c>
      <c r="S820" t="str">
        <f>_xlfn.XLOOKUP(UNIVERSO[[#This Row],[Ruta]],'[1]CUOTA RUTA'!A:A,'[1]CUOTA RUTA'!D:D)</f>
        <v>Cargar</v>
      </c>
    </row>
    <row r="821" spans="1:19" x14ac:dyDescent="0.25">
      <c r="A821">
        <v>1500045082</v>
      </c>
      <c r="B821" t="s">
        <v>1865</v>
      </c>
      <c r="C821" t="s">
        <v>19</v>
      </c>
      <c r="D821" t="s">
        <v>208</v>
      </c>
      <c r="E821" t="s">
        <v>21</v>
      </c>
      <c r="F821" t="s">
        <v>22</v>
      </c>
      <c r="G821" t="s">
        <v>33</v>
      </c>
      <c r="H821" t="s">
        <v>218</v>
      </c>
      <c r="I821" t="s">
        <v>1866</v>
      </c>
      <c r="J821">
        <v>10.206860000000001</v>
      </c>
      <c r="K821">
        <v>-83.798199999999994</v>
      </c>
      <c r="L821" t="s">
        <v>1225</v>
      </c>
      <c r="M821" t="s">
        <v>189</v>
      </c>
      <c r="N821" t="s">
        <v>211</v>
      </c>
      <c r="O821" t="s">
        <v>212</v>
      </c>
      <c r="P821">
        <v>5</v>
      </c>
      <c r="Q821" t="s">
        <v>117</v>
      </c>
      <c r="S821" t="str">
        <f>_xlfn.XLOOKUP(UNIVERSO[[#This Row],[Ruta]],'[1]CUOTA RUTA'!A:A,'[1]CUOTA RUTA'!D:D)</f>
        <v>Cargar</v>
      </c>
    </row>
    <row r="822" spans="1:19" x14ac:dyDescent="0.25">
      <c r="A822">
        <v>1500045165</v>
      </c>
      <c r="B822" t="s">
        <v>1867</v>
      </c>
      <c r="C822" t="s">
        <v>19</v>
      </c>
      <c r="D822" t="s">
        <v>208</v>
      </c>
      <c r="E822" t="s">
        <v>21</v>
      </c>
      <c r="F822" t="s">
        <v>22</v>
      </c>
      <c r="G822" t="s">
        <v>33</v>
      </c>
      <c r="H822" t="s">
        <v>502</v>
      </c>
      <c r="I822" t="s">
        <v>1868</v>
      </c>
      <c r="J822">
        <v>10.283916809999999</v>
      </c>
      <c r="K822">
        <v>-83.619405299999997</v>
      </c>
      <c r="L822" t="s">
        <v>1225</v>
      </c>
      <c r="M822" t="s">
        <v>189</v>
      </c>
      <c r="N822" t="s">
        <v>211</v>
      </c>
      <c r="O822" t="s">
        <v>212</v>
      </c>
      <c r="P822">
        <v>6</v>
      </c>
      <c r="Q822" t="s">
        <v>49</v>
      </c>
      <c r="S822" t="str">
        <f>_xlfn.XLOOKUP(UNIVERSO[[#This Row],[Ruta]],'[1]CUOTA RUTA'!A:A,'[1]CUOTA RUTA'!D:D)</f>
        <v>Cargar</v>
      </c>
    </row>
    <row r="823" spans="1:19" x14ac:dyDescent="0.25">
      <c r="A823">
        <v>1500045177</v>
      </c>
      <c r="B823" t="s">
        <v>1869</v>
      </c>
      <c r="C823" t="s">
        <v>19</v>
      </c>
      <c r="D823" t="s">
        <v>208</v>
      </c>
      <c r="E823" t="s">
        <v>21</v>
      </c>
      <c r="F823" t="s">
        <v>22</v>
      </c>
      <c r="G823" t="s">
        <v>33</v>
      </c>
      <c r="H823" t="s">
        <v>502</v>
      </c>
      <c r="I823" t="s">
        <v>1870</v>
      </c>
      <c r="J823">
        <v>10.25018</v>
      </c>
      <c r="K823">
        <v>-83.649799999999999</v>
      </c>
      <c r="L823" t="s">
        <v>1225</v>
      </c>
      <c r="M823" t="s">
        <v>189</v>
      </c>
      <c r="N823" t="s">
        <v>211</v>
      </c>
      <c r="O823" t="s">
        <v>212</v>
      </c>
      <c r="P823">
        <v>6</v>
      </c>
      <c r="Q823" t="s">
        <v>49</v>
      </c>
      <c r="S823" t="str">
        <f>_xlfn.XLOOKUP(UNIVERSO[[#This Row],[Ruta]],'[1]CUOTA RUTA'!A:A,'[1]CUOTA RUTA'!D:D)</f>
        <v>Cargar</v>
      </c>
    </row>
    <row r="824" spans="1:19" x14ac:dyDescent="0.25">
      <c r="A824">
        <v>1500045211</v>
      </c>
      <c r="B824" t="s">
        <v>1871</v>
      </c>
      <c r="C824" t="s">
        <v>19</v>
      </c>
      <c r="D824" t="s">
        <v>208</v>
      </c>
      <c r="E824" t="s">
        <v>21</v>
      </c>
      <c r="F824" t="s">
        <v>51</v>
      </c>
      <c r="G824" t="s">
        <v>23</v>
      </c>
      <c r="H824" t="s">
        <v>224</v>
      </c>
      <c r="I824" t="s">
        <v>1872</v>
      </c>
      <c r="J824">
        <v>10.45214</v>
      </c>
      <c r="K824">
        <v>-84.024829999999994</v>
      </c>
      <c r="L824" t="s">
        <v>1225</v>
      </c>
      <c r="M824" t="s">
        <v>189</v>
      </c>
      <c r="N824" t="s">
        <v>211</v>
      </c>
      <c r="O824" t="s">
        <v>212</v>
      </c>
      <c r="P824">
        <v>10</v>
      </c>
      <c r="Q824" t="s">
        <v>136</v>
      </c>
      <c r="S824" t="str">
        <f>_xlfn.XLOOKUP(UNIVERSO[[#This Row],[Ruta]],'[1]CUOTA RUTA'!A:A,'[1]CUOTA RUTA'!D:D)</f>
        <v>Cargar</v>
      </c>
    </row>
    <row r="825" spans="1:19" x14ac:dyDescent="0.25">
      <c r="A825">
        <v>1500045226</v>
      </c>
      <c r="B825" t="s">
        <v>1873</v>
      </c>
      <c r="C825" t="s">
        <v>19</v>
      </c>
      <c r="D825" t="s">
        <v>208</v>
      </c>
      <c r="E825" t="s">
        <v>21</v>
      </c>
      <c r="F825" t="s">
        <v>22</v>
      </c>
      <c r="G825" t="s">
        <v>64</v>
      </c>
      <c r="H825" t="s">
        <v>502</v>
      </c>
      <c r="I825" t="s">
        <v>1874</v>
      </c>
      <c r="J825">
        <v>10.28806</v>
      </c>
      <c r="K825">
        <v>-83.537800000000004</v>
      </c>
      <c r="L825" t="s">
        <v>1225</v>
      </c>
      <c r="M825" t="s">
        <v>189</v>
      </c>
      <c r="N825" t="s">
        <v>211</v>
      </c>
      <c r="O825" t="s">
        <v>212</v>
      </c>
      <c r="P825">
        <v>9</v>
      </c>
      <c r="Q825" t="s">
        <v>80</v>
      </c>
      <c r="S825" t="str">
        <f>_xlfn.XLOOKUP(UNIVERSO[[#This Row],[Ruta]],'[1]CUOTA RUTA'!A:A,'[1]CUOTA RUTA'!D:D)</f>
        <v>Cargar</v>
      </c>
    </row>
    <row r="826" spans="1:19" x14ac:dyDescent="0.25">
      <c r="A826">
        <v>1500045243</v>
      </c>
      <c r="B826" t="s">
        <v>1875</v>
      </c>
      <c r="C826" t="s">
        <v>19</v>
      </c>
      <c r="D826" t="s">
        <v>208</v>
      </c>
      <c r="E826" t="s">
        <v>21</v>
      </c>
      <c r="F826" t="s">
        <v>22</v>
      </c>
      <c r="G826" t="s">
        <v>33</v>
      </c>
      <c r="H826" t="s">
        <v>502</v>
      </c>
      <c r="I826" t="s">
        <v>1876</v>
      </c>
      <c r="J826">
        <v>10.264189999999999</v>
      </c>
      <c r="K826">
        <v>-83.549700000000001</v>
      </c>
      <c r="L826" t="s">
        <v>1225</v>
      </c>
      <c r="M826" t="s">
        <v>189</v>
      </c>
      <c r="N826" t="s">
        <v>211</v>
      </c>
      <c r="O826" t="s">
        <v>212</v>
      </c>
      <c r="P826">
        <v>9</v>
      </c>
      <c r="Q826" t="s">
        <v>80</v>
      </c>
      <c r="S826" t="str">
        <f>_xlfn.XLOOKUP(UNIVERSO[[#This Row],[Ruta]],'[1]CUOTA RUTA'!A:A,'[1]CUOTA RUTA'!D:D)</f>
        <v>Cargar</v>
      </c>
    </row>
    <row r="827" spans="1:19" x14ac:dyDescent="0.25">
      <c r="A827">
        <v>1500045248</v>
      </c>
      <c r="B827" t="s">
        <v>1877</v>
      </c>
      <c r="C827" t="s">
        <v>19</v>
      </c>
      <c r="D827" t="s">
        <v>208</v>
      </c>
      <c r="E827" t="s">
        <v>21</v>
      </c>
      <c r="F827" t="s">
        <v>22</v>
      </c>
      <c r="G827" t="s">
        <v>64</v>
      </c>
      <c r="H827" t="s">
        <v>502</v>
      </c>
      <c r="I827" t="s">
        <v>1878</v>
      </c>
      <c r="J827">
        <v>10.244770000000001</v>
      </c>
      <c r="K827">
        <v>-83.5535</v>
      </c>
      <c r="L827" t="s">
        <v>1225</v>
      </c>
      <c r="M827" t="s">
        <v>189</v>
      </c>
      <c r="N827" t="s">
        <v>211</v>
      </c>
      <c r="O827" t="s">
        <v>212</v>
      </c>
      <c r="P827">
        <v>9</v>
      </c>
      <c r="Q827" t="s">
        <v>80</v>
      </c>
      <c r="S827" t="str">
        <f>_xlfn.XLOOKUP(UNIVERSO[[#This Row],[Ruta]],'[1]CUOTA RUTA'!A:A,'[1]CUOTA RUTA'!D:D)</f>
        <v>Cargar</v>
      </c>
    </row>
    <row r="828" spans="1:19" x14ac:dyDescent="0.25">
      <c r="A828">
        <v>1500045316</v>
      </c>
      <c r="B828" t="s">
        <v>1879</v>
      </c>
      <c r="C828" t="s">
        <v>19</v>
      </c>
      <c r="D828" t="s">
        <v>208</v>
      </c>
      <c r="E828" t="s">
        <v>21</v>
      </c>
      <c r="F828" t="s">
        <v>22</v>
      </c>
      <c r="G828" t="s">
        <v>23</v>
      </c>
      <c r="H828" t="s">
        <v>417</v>
      </c>
      <c r="I828" t="s">
        <v>1880</v>
      </c>
      <c r="J828">
        <v>10.213649999999999</v>
      </c>
      <c r="K828">
        <v>-83.793700000000001</v>
      </c>
      <c r="L828" t="s">
        <v>1225</v>
      </c>
      <c r="M828" t="s">
        <v>189</v>
      </c>
      <c r="N828" t="s">
        <v>211</v>
      </c>
      <c r="O828" t="s">
        <v>212</v>
      </c>
      <c r="P828">
        <v>4</v>
      </c>
      <c r="Q828" t="s">
        <v>120</v>
      </c>
      <c r="S828" t="str">
        <f>_xlfn.XLOOKUP(UNIVERSO[[#This Row],[Ruta]],'[1]CUOTA RUTA'!A:A,'[1]CUOTA RUTA'!D:D)</f>
        <v>Cargar</v>
      </c>
    </row>
    <row r="829" spans="1:19" x14ac:dyDescent="0.25">
      <c r="A829">
        <v>1500045424</v>
      </c>
      <c r="B829" t="s">
        <v>1881</v>
      </c>
      <c r="C829" t="s">
        <v>19</v>
      </c>
      <c r="D829" t="s">
        <v>208</v>
      </c>
      <c r="E829" t="s">
        <v>21</v>
      </c>
      <c r="F829" t="s">
        <v>22</v>
      </c>
      <c r="G829" t="s">
        <v>64</v>
      </c>
      <c r="H829" t="s">
        <v>502</v>
      </c>
      <c r="I829" t="s">
        <v>1882</v>
      </c>
      <c r="J829">
        <v>10.4974892</v>
      </c>
      <c r="K829">
        <v>-83.616709499999999</v>
      </c>
      <c r="L829" t="s">
        <v>1225</v>
      </c>
      <c r="M829" t="s">
        <v>189</v>
      </c>
      <c r="N829" t="s">
        <v>211</v>
      </c>
      <c r="O829" t="s">
        <v>212</v>
      </c>
      <c r="P829">
        <v>7</v>
      </c>
      <c r="Q829" t="s">
        <v>39</v>
      </c>
      <c r="S829" t="str">
        <f>_xlfn.XLOOKUP(UNIVERSO[[#This Row],[Ruta]],'[1]CUOTA RUTA'!A:A,'[1]CUOTA RUTA'!D:D)</f>
        <v>Cargar</v>
      </c>
    </row>
    <row r="830" spans="1:19" x14ac:dyDescent="0.25">
      <c r="A830">
        <v>1500045442</v>
      </c>
      <c r="B830" t="s">
        <v>1883</v>
      </c>
      <c r="C830" t="s">
        <v>19</v>
      </c>
      <c r="D830" t="s">
        <v>208</v>
      </c>
      <c r="E830" t="s">
        <v>21</v>
      </c>
      <c r="F830" t="s">
        <v>51</v>
      </c>
      <c r="G830" t="s">
        <v>23</v>
      </c>
      <c r="H830" t="s">
        <v>502</v>
      </c>
      <c r="I830" t="s">
        <v>1884</v>
      </c>
      <c r="J830">
        <v>10.385960000000001</v>
      </c>
      <c r="K830">
        <v>-83.716999999999999</v>
      </c>
      <c r="L830" t="s">
        <v>1225</v>
      </c>
      <c r="M830" t="s">
        <v>189</v>
      </c>
      <c r="N830" t="s">
        <v>211</v>
      </c>
      <c r="O830" t="s">
        <v>212</v>
      </c>
      <c r="P830">
        <v>2</v>
      </c>
      <c r="Q830" t="s">
        <v>150</v>
      </c>
      <c r="S830" t="str">
        <f>_xlfn.XLOOKUP(UNIVERSO[[#This Row],[Ruta]],'[1]CUOTA RUTA'!A:A,'[1]CUOTA RUTA'!D:D)</f>
        <v>Cargar</v>
      </c>
    </row>
    <row r="831" spans="1:19" x14ac:dyDescent="0.25">
      <c r="A831">
        <v>1500045504</v>
      </c>
      <c r="B831" t="s">
        <v>1885</v>
      </c>
      <c r="C831" t="s">
        <v>19</v>
      </c>
      <c r="D831" t="s">
        <v>208</v>
      </c>
      <c r="E831" t="s">
        <v>21</v>
      </c>
      <c r="F831" t="s">
        <v>22</v>
      </c>
      <c r="G831" t="s">
        <v>23</v>
      </c>
      <c r="H831" t="s">
        <v>719</v>
      </c>
      <c r="I831" t="s">
        <v>1886</v>
      </c>
      <c r="J831">
        <v>10.37743</v>
      </c>
      <c r="K831">
        <v>-83.749899999999997</v>
      </c>
      <c r="L831" t="s">
        <v>1225</v>
      </c>
      <c r="M831" t="s">
        <v>189</v>
      </c>
      <c r="N831" t="s">
        <v>211</v>
      </c>
      <c r="O831" t="s">
        <v>212</v>
      </c>
      <c r="P831">
        <v>1</v>
      </c>
      <c r="Q831" t="s">
        <v>155</v>
      </c>
      <c r="S831" t="str">
        <f>_xlfn.XLOOKUP(UNIVERSO[[#This Row],[Ruta]],'[1]CUOTA RUTA'!A:A,'[1]CUOTA RUTA'!D:D)</f>
        <v>Cargar</v>
      </c>
    </row>
    <row r="832" spans="1:19" x14ac:dyDescent="0.25">
      <c r="A832">
        <v>1500045506</v>
      </c>
      <c r="B832" t="s">
        <v>1887</v>
      </c>
      <c r="C832" t="s">
        <v>19</v>
      </c>
      <c r="D832" t="s">
        <v>208</v>
      </c>
      <c r="E832" t="s">
        <v>21</v>
      </c>
      <c r="F832" t="s">
        <v>22</v>
      </c>
      <c r="G832" t="s">
        <v>64</v>
      </c>
      <c r="H832" t="s">
        <v>502</v>
      </c>
      <c r="I832" t="s">
        <v>1888</v>
      </c>
      <c r="J832">
        <v>10.37773</v>
      </c>
      <c r="K832">
        <v>-83.747799999999998</v>
      </c>
      <c r="L832" t="s">
        <v>1225</v>
      </c>
      <c r="M832" t="s">
        <v>189</v>
      </c>
      <c r="N832" t="s">
        <v>211</v>
      </c>
      <c r="O832" t="s">
        <v>212</v>
      </c>
      <c r="P832">
        <v>1</v>
      </c>
      <c r="Q832" t="s">
        <v>155</v>
      </c>
      <c r="S832" t="str">
        <f>_xlfn.XLOOKUP(UNIVERSO[[#This Row],[Ruta]],'[1]CUOTA RUTA'!A:A,'[1]CUOTA RUTA'!D:D)</f>
        <v>Cargar</v>
      </c>
    </row>
    <row r="833" spans="1:19" x14ac:dyDescent="0.25">
      <c r="A833">
        <v>1500045515</v>
      </c>
      <c r="B833" t="s">
        <v>1889</v>
      </c>
      <c r="C833" t="s">
        <v>19</v>
      </c>
      <c r="D833" t="s">
        <v>208</v>
      </c>
      <c r="E833" t="s">
        <v>21</v>
      </c>
      <c r="F833" t="s">
        <v>22</v>
      </c>
      <c r="G833" t="s">
        <v>64</v>
      </c>
      <c r="H833" t="s">
        <v>502</v>
      </c>
      <c r="I833" t="s">
        <v>1890</v>
      </c>
      <c r="J833">
        <v>10.413360000000001</v>
      </c>
      <c r="K833">
        <v>-83.751599999999996</v>
      </c>
      <c r="L833" t="s">
        <v>1225</v>
      </c>
      <c r="M833" t="s">
        <v>189</v>
      </c>
      <c r="N833" t="s">
        <v>211</v>
      </c>
      <c r="O833" t="s">
        <v>212</v>
      </c>
      <c r="P833">
        <v>2</v>
      </c>
      <c r="Q833" t="s">
        <v>150</v>
      </c>
      <c r="S833" t="str">
        <f>_xlfn.XLOOKUP(UNIVERSO[[#This Row],[Ruta]],'[1]CUOTA RUTA'!A:A,'[1]CUOTA RUTA'!D:D)</f>
        <v>Cargar</v>
      </c>
    </row>
    <row r="834" spans="1:19" x14ac:dyDescent="0.25">
      <c r="A834">
        <v>1500045525</v>
      </c>
      <c r="B834" t="s">
        <v>1891</v>
      </c>
      <c r="C834" t="s">
        <v>19</v>
      </c>
      <c r="D834" t="s">
        <v>208</v>
      </c>
      <c r="E834" t="s">
        <v>21</v>
      </c>
      <c r="F834" t="s">
        <v>22</v>
      </c>
      <c r="G834" t="s">
        <v>64</v>
      </c>
      <c r="H834" t="s">
        <v>719</v>
      </c>
      <c r="I834" t="s">
        <v>1892</v>
      </c>
      <c r="J834">
        <v>10.374689999999999</v>
      </c>
      <c r="K834">
        <v>-83.744600000000005</v>
      </c>
      <c r="L834" t="s">
        <v>1225</v>
      </c>
      <c r="M834" t="s">
        <v>189</v>
      </c>
      <c r="N834" t="s">
        <v>211</v>
      </c>
      <c r="O834" t="s">
        <v>212</v>
      </c>
      <c r="P834">
        <v>1</v>
      </c>
      <c r="Q834" t="s">
        <v>155</v>
      </c>
      <c r="S834" t="str">
        <f>_xlfn.XLOOKUP(UNIVERSO[[#This Row],[Ruta]],'[1]CUOTA RUTA'!A:A,'[1]CUOTA RUTA'!D:D)</f>
        <v>Cargar</v>
      </c>
    </row>
    <row r="835" spans="1:19" x14ac:dyDescent="0.25">
      <c r="A835">
        <v>1500045531</v>
      </c>
      <c r="B835" t="s">
        <v>1893</v>
      </c>
      <c r="C835" t="s">
        <v>19</v>
      </c>
      <c r="D835" t="s">
        <v>208</v>
      </c>
      <c r="E835" t="s">
        <v>21</v>
      </c>
      <c r="F835" t="s">
        <v>22</v>
      </c>
      <c r="G835" t="s">
        <v>33</v>
      </c>
      <c r="H835" t="s">
        <v>502</v>
      </c>
      <c r="I835" t="s">
        <v>1894</v>
      </c>
      <c r="J835">
        <v>10.39486</v>
      </c>
      <c r="K835">
        <v>-83.787199999999999</v>
      </c>
      <c r="L835" t="s">
        <v>1225</v>
      </c>
      <c r="M835" t="s">
        <v>189</v>
      </c>
      <c r="N835" t="s">
        <v>211</v>
      </c>
      <c r="O835" t="s">
        <v>212</v>
      </c>
      <c r="P835">
        <v>2</v>
      </c>
      <c r="Q835" t="s">
        <v>150</v>
      </c>
      <c r="S835" t="str">
        <f>_xlfn.XLOOKUP(UNIVERSO[[#This Row],[Ruta]],'[1]CUOTA RUTA'!A:A,'[1]CUOTA RUTA'!D:D)</f>
        <v>Cargar</v>
      </c>
    </row>
    <row r="836" spans="1:19" x14ac:dyDescent="0.25">
      <c r="A836">
        <v>1500045548</v>
      </c>
      <c r="B836" t="s">
        <v>1895</v>
      </c>
      <c r="C836" t="s">
        <v>19</v>
      </c>
      <c r="D836" t="s">
        <v>208</v>
      </c>
      <c r="E836" t="s">
        <v>62</v>
      </c>
      <c r="F836" t="s">
        <v>63</v>
      </c>
      <c r="G836" t="s">
        <v>64</v>
      </c>
      <c r="H836" t="s">
        <v>719</v>
      </c>
      <c r="I836" t="s">
        <v>1896</v>
      </c>
      <c r="J836">
        <v>10.09735</v>
      </c>
      <c r="K836">
        <v>-83.505300000000005</v>
      </c>
      <c r="L836" t="s">
        <v>1225</v>
      </c>
      <c r="M836" t="s">
        <v>189</v>
      </c>
      <c r="N836" t="s">
        <v>211</v>
      </c>
      <c r="O836" t="s">
        <v>212</v>
      </c>
      <c r="P836">
        <v>8</v>
      </c>
      <c r="Q836" t="s">
        <v>97</v>
      </c>
      <c r="S836" t="str">
        <f>_xlfn.XLOOKUP(UNIVERSO[[#This Row],[Ruta]],'[1]CUOTA RUTA'!A:A,'[1]CUOTA RUTA'!D:D)</f>
        <v>Cargar</v>
      </c>
    </row>
    <row r="837" spans="1:19" x14ac:dyDescent="0.25">
      <c r="A837">
        <v>1500045590</v>
      </c>
      <c r="B837" t="s">
        <v>1897</v>
      </c>
      <c r="C837" t="s">
        <v>19</v>
      </c>
      <c r="D837" t="s">
        <v>208</v>
      </c>
      <c r="E837" t="s">
        <v>21</v>
      </c>
      <c r="F837" t="s">
        <v>51</v>
      </c>
      <c r="G837" t="s">
        <v>23</v>
      </c>
      <c r="H837" t="s">
        <v>224</v>
      </c>
      <c r="I837" t="s">
        <v>1898</v>
      </c>
      <c r="J837">
        <v>10.10037</v>
      </c>
      <c r="K837">
        <v>-83.5047</v>
      </c>
      <c r="L837" t="s">
        <v>1225</v>
      </c>
      <c r="M837" t="s">
        <v>189</v>
      </c>
      <c r="N837" t="s">
        <v>211</v>
      </c>
      <c r="O837" t="s">
        <v>212</v>
      </c>
      <c r="P837">
        <v>8</v>
      </c>
      <c r="Q837" t="s">
        <v>97</v>
      </c>
      <c r="S837" t="str">
        <f>_xlfn.XLOOKUP(UNIVERSO[[#This Row],[Ruta]],'[1]CUOTA RUTA'!A:A,'[1]CUOTA RUTA'!D:D)</f>
        <v>Cargar</v>
      </c>
    </row>
    <row r="838" spans="1:19" x14ac:dyDescent="0.25">
      <c r="A838">
        <v>1500045657</v>
      </c>
      <c r="B838" t="s">
        <v>1899</v>
      </c>
      <c r="C838" t="s">
        <v>19</v>
      </c>
      <c r="D838" t="s">
        <v>208</v>
      </c>
      <c r="E838" t="s">
        <v>21</v>
      </c>
      <c r="F838" t="s">
        <v>22</v>
      </c>
      <c r="G838" t="s">
        <v>64</v>
      </c>
      <c r="H838" t="s">
        <v>1794</v>
      </c>
      <c r="I838" t="s">
        <v>1900</v>
      </c>
      <c r="J838">
        <v>10.21204</v>
      </c>
      <c r="K838">
        <v>-83.781970000000001</v>
      </c>
      <c r="L838" t="s">
        <v>1225</v>
      </c>
      <c r="M838" t="s">
        <v>189</v>
      </c>
      <c r="N838" t="s">
        <v>211</v>
      </c>
      <c r="O838" t="s">
        <v>212</v>
      </c>
      <c r="P838">
        <v>4</v>
      </c>
      <c r="Q838" t="s">
        <v>120</v>
      </c>
      <c r="S838" t="str">
        <f>_xlfn.XLOOKUP(UNIVERSO[[#This Row],[Ruta]],'[1]CUOTA RUTA'!A:A,'[1]CUOTA RUTA'!D:D)</f>
        <v>Cargar</v>
      </c>
    </row>
    <row r="839" spans="1:19" x14ac:dyDescent="0.25">
      <c r="A839">
        <v>1500045761</v>
      </c>
      <c r="B839" t="s">
        <v>832</v>
      </c>
      <c r="C839" t="s">
        <v>19</v>
      </c>
      <c r="D839" t="s">
        <v>208</v>
      </c>
      <c r="E839" t="s">
        <v>21</v>
      </c>
      <c r="F839" t="s">
        <v>22</v>
      </c>
      <c r="G839" t="s">
        <v>64</v>
      </c>
      <c r="H839" t="s">
        <v>631</v>
      </c>
      <c r="I839" t="s">
        <v>1901</v>
      </c>
      <c r="J839">
        <v>10.207288999999999</v>
      </c>
      <c r="K839">
        <v>-83.352750999999998</v>
      </c>
      <c r="L839" t="s">
        <v>1225</v>
      </c>
      <c r="M839" t="s">
        <v>189</v>
      </c>
      <c r="N839" t="s">
        <v>211</v>
      </c>
      <c r="O839" t="s">
        <v>212</v>
      </c>
      <c r="P839">
        <v>8</v>
      </c>
      <c r="Q839" t="s">
        <v>97</v>
      </c>
      <c r="S839" t="str">
        <f>_xlfn.XLOOKUP(UNIVERSO[[#This Row],[Ruta]],'[1]CUOTA RUTA'!A:A,'[1]CUOTA RUTA'!D:D)</f>
        <v>Cargar</v>
      </c>
    </row>
    <row r="840" spans="1:19" x14ac:dyDescent="0.25">
      <c r="A840">
        <v>1500045775</v>
      </c>
      <c r="B840" t="s">
        <v>1902</v>
      </c>
      <c r="C840" t="s">
        <v>19</v>
      </c>
      <c r="D840" t="s">
        <v>208</v>
      </c>
      <c r="E840" t="s">
        <v>21</v>
      </c>
      <c r="F840" t="s">
        <v>22</v>
      </c>
      <c r="G840" t="s">
        <v>33</v>
      </c>
      <c r="H840" t="s">
        <v>631</v>
      </c>
      <c r="I840" t="s">
        <v>1903</v>
      </c>
      <c r="J840">
        <v>10.09337</v>
      </c>
      <c r="K840">
        <v>-83.488900000000001</v>
      </c>
      <c r="L840" t="s">
        <v>1225</v>
      </c>
      <c r="M840" t="s">
        <v>189</v>
      </c>
      <c r="N840" t="s">
        <v>211</v>
      </c>
      <c r="O840" t="s">
        <v>212</v>
      </c>
      <c r="P840">
        <v>8</v>
      </c>
      <c r="Q840" t="s">
        <v>97</v>
      </c>
      <c r="S840" t="str">
        <f>_xlfn.XLOOKUP(UNIVERSO[[#This Row],[Ruta]],'[1]CUOTA RUTA'!A:A,'[1]CUOTA RUTA'!D:D)</f>
        <v>Cargar</v>
      </c>
    </row>
    <row r="841" spans="1:19" x14ac:dyDescent="0.25">
      <c r="A841">
        <v>1500045783</v>
      </c>
      <c r="B841" t="s">
        <v>1904</v>
      </c>
      <c r="C841" t="s">
        <v>19</v>
      </c>
      <c r="D841" t="s">
        <v>208</v>
      </c>
      <c r="E841" t="s">
        <v>21</v>
      </c>
      <c r="F841" t="s">
        <v>22</v>
      </c>
      <c r="G841" t="s">
        <v>33</v>
      </c>
      <c r="H841" t="s">
        <v>631</v>
      </c>
      <c r="I841" t="s">
        <v>1905</v>
      </c>
      <c r="J841">
        <v>10.10102</v>
      </c>
      <c r="K841">
        <v>-83.487799999999993</v>
      </c>
      <c r="L841" t="s">
        <v>1225</v>
      </c>
      <c r="M841" t="s">
        <v>189</v>
      </c>
      <c r="N841" t="s">
        <v>211</v>
      </c>
      <c r="O841" t="s">
        <v>212</v>
      </c>
      <c r="P841">
        <v>8</v>
      </c>
      <c r="Q841" t="s">
        <v>97</v>
      </c>
      <c r="S841" t="str">
        <f>_xlfn.XLOOKUP(UNIVERSO[[#This Row],[Ruta]],'[1]CUOTA RUTA'!A:A,'[1]CUOTA RUTA'!D:D)</f>
        <v>Cargar</v>
      </c>
    </row>
    <row r="842" spans="1:19" x14ac:dyDescent="0.25">
      <c r="A842">
        <v>1500045836</v>
      </c>
      <c r="B842" t="s">
        <v>1906</v>
      </c>
      <c r="C842" t="s">
        <v>19</v>
      </c>
      <c r="D842" t="s">
        <v>208</v>
      </c>
      <c r="E842" t="s">
        <v>21</v>
      </c>
      <c r="F842" t="s">
        <v>22</v>
      </c>
      <c r="G842" t="s">
        <v>23</v>
      </c>
      <c r="H842" t="s">
        <v>1794</v>
      </c>
      <c r="I842" t="s">
        <v>1907</v>
      </c>
      <c r="J842">
        <v>10.09034898</v>
      </c>
      <c r="K842">
        <v>-83.601704089999998</v>
      </c>
      <c r="L842" t="s">
        <v>1225</v>
      </c>
      <c r="M842" t="s">
        <v>189</v>
      </c>
      <c r="N842" t="s">
        <v>211</v>
      </c>
      <c r="O842" t="s">
        <v>212</v>
      </c>
      <c r="P842">
        <v>9</v>
      </c>
      <c r="Q842" t="s">
        <v>80</v>
      </c>
      <c r="S842" t="str">
        <f>_xlfn.XLOOKUP(UNIVERSO[[#This Row],[Ruta]],'[1]CUOTA RUTA'!A:A,'[1]CUOTA RUTA'!D:D)</f>
        <v>Cargar</v>
      </c>
    </row>
    <row r="843" spans="1:19" x14ac:dyDescent="0.25">
      <c r="A843">
        <v>1500045872</v>
      </c>
      <c r="B843" t="s">
        <v>1908</v>
      </c>
      <c r="C843" t="s">
        <v>19</v>
      </c>
      <c r="D843" t="s">
        <v>208</v>
      </c>
      <c r="E843" t="s">
        <v>62</v>
      </c>
      <c r="F843" t="s">
        <v>63</v>
      </c>
      <c r="G843" t="s">
        <v>33</v>
      </c>
      <c r="H843" t="s">
        <v>631</v>
      </c>
      <c r="I843" t="s">
        <v>1909</v>
      </c>
      <c r="J843">
        <v>10.15307</v>
      </c>
      <c r="K843">
        <v>-83.471299999999999</v>
      </c>
      <c r="L843" t="s">
        <v>1225</v>
      </c>
      <c r="M843" t="s">
        <v>189</v>
      </c>
      <c r="N843" t="s">
        <v>211</v>
      </c>
      <c r="O843" t="s">
        <v>212</v>
      </c>
      <c r="P843">
        <v>9</v>
      </c>
      <c r="Q843" t="s">
        <v>80</v>
      </c>
      <c r="S843" t="str">
        <f>_xlfn.XLOOKUP(UNIVERSO[[#This Row],[Ruta]],'[1]CUOTA RUTA'!A:A,'[1]CUOTA RUTA'!D:D)</f>
        <v>Cargar</v>
      </c>
    </row>
    <row r="844" spans="1:19" x14ac:dyDescent="0.25">
      <c r="A844">
        <v>1500045926</v>
      </c>
      <c r="B844" t="s">
        <v>1910</v>
      </c>
      <c r="C844" t="s">
        <v>19</v>
      </c>
      <c r="D844" t="s">
        <v>208</v>
      </c>
      <c r="E844" t="s">
        <v>21</v>
      </c>
      <c r="F844" t="s">
        <v>22</v>
      </c>
      <c r="G844" t="s">
        <v>33</v>
      </c>
      <c r="H844" t="s">
        <v>631</v>
      </c>
      <c r="I844" t="s">
        <v>1911</v>
      </c>
      <c r="J844">
        <v>10.18144</v>
      </c>
      <c r="K844">
        <v>-83.414299999999997</v>
      </c>
      <c r="L844" t="s">
        <v>1225</v>
      </c>
      <c r="M844" t="s">
        <v>189</v>
      </c>
      <c r="N844" t="s">
        <v>211</v>
      </c>
      <c r="O844" t="s">
        <v>212</v>
      </c>
      <c r="P844">
        <v>8</v>
      </c>
      <c r="Q844" t="s">
        <v>97</v>
      </c>
      <c r="S844" t="str">
        <f>_xlfn.XLOOKUP(UNIVERSO[[#This Row],[Ruta]],'[1]CUOTA RUTA'!A:A,'[1]CUOTA RUTA'!D:D)</f>
        <v>Cargar</v>
      </c>
    </row>
    <row r="845" spans="1:19" x14ac:dyDescent="0.25">
      <c r="A845">
        <v>1500045948</v>
      </c>
      <c r="B845" t="s">
        <v>1912</v>
      </c>
      <c r="C845" t="s">
        <v>19</v>
      </c>
      <c r="D845" t="s">
        <v>208</v>
      </c>
      <c r="E845" t="s">
        <v>21</v>
      </c>
      <c r="F845" t="s">
        <v>22</v>
      </c>
      <c r="G845" t="s">
        <v>23</v>
      </c>
      <c r="H845" t="s">
        <v>209</v>
      </c>
      <c r="I845" t="s">
        <v>1913</v>
      </c>
      <c r="J845">
        <v>10.20833</v>
      </c>
      <c r="K845">
        <v>-83.901399999999995</v>
      </c>
      <c r="L845" t="s">
        <v>1225</v>
      </c>
      <c r="M845" t="s">
        <v>189</v>
      </c>
      <c r="N845" t="s">
        <v>211</v>
      </c>
      <c r="O845" t="s">
        <v>212</v>
      </c>
      <c r="P845">
        <v>4</v>
      </c>
      <c r="Q845" t="s">
        <v>120</v>
      </c>
      <c r="S845" t="str">
        <f>_xlfn.XLOOKUP(UNIVERSO[[#This Row],[Ruta]],'[1]CUOTA RUTA'!A:A,'[1]CUOTA RUTA'!D:D)</f>
        <v>Cargar</v>
      </c>
    </row>
    <row r="846" spans="1:19" x14ac:dyDescent="0.25">
      <c r="A846">
        <v>1500045954</v>
      </c>
      <c r="B846" t="s">
        <v>1914</v>
      </c>
      <c r="C846" t="s">
        <v>19</v>
      </c>
      <c r="D846" t="s">
        <v>208</v>
      </c>
      <c r="E846" t="s">
        <v>21</v>
      </c>
      <c r="F846" t="s">
        <v>22</v>
      </c>
      <c r="G846" t="s">
        <v>33</v>
      </c>
      <c r="H846" t="s">
        <v>209</v>
      </c>
      <c r="I846" t="s">
        <v>1915</v>
      </c>
      <c r="J846">
        <v>10.215769999999999</v>
      </c>
      <c r="K846">
        <v>-83.871499999999997</v>
      </c>
      <c r="L846" t="s">
        <v>1225</v>
      </c>
      <c r="M846" t="s">
        <v>189</v>
      </c>
      <c r="N846" t="s">
        <v>211</v>
      </c>
      <c r="O846" t="s">
        <v>212</v>
      </c>
      <c r="P846">
        <v>4</v>
      </c>
      <c r="Q846" t="s">
        <v>120</v>
      </c>
      <c r="S846" t="str">
        <f>_xlfn.XLOOKUP(UNIVERSO[[#This Row],[Ruta]],'[1]CUOTA RUTA'!A:A,'[1]CUOTA RUTA'!D:D)</f>
        <v>Cargar</v>
      </c>
    </row>
    <row r="847" spans="1:19" x14ac:dyDescent="0.25">
      <c r="A847">
        <v>1500046033</v>
      </c>
      <c r="B847" t="s">
        <v>1916</v>
      </c>
      <c r="C847" t="s">
        <v>19</v>
      </c>
      <c r="D847" t="s">
        <v>208</v>
      </c>
      <c r="E847" t="s">
        <v>21</v>
      </c>
      <c r="F847" t="s">
        <v>22</v>
      </c>
      <c r="G847" t="s">
        <v>64</v>
      </c>
      <c r="H847" t="s">
        <v>209</v>
      </c>
      <c r="I847" t="s">
        <v>1917</v>
      </c>
      <c r="J847">
        <v>10.169040000000001</v>
      </c>
      <c r="K847">
        <v>-83.608379999999997</v>
      </c>
      <c r="L847" t="s">
        <v>1225</v>
      </c>
      <c r="M847" t="s">
        <v>189</v>
      </c>
      <c r="N847" t="s">
        <v>211</v>
      </c>
      <c r="O847" t="s">
        <v>212</v>
      </c>
      <c r="P847">
        <v>7</v>
      </c>
      <c r="Q847" t="s">
        <v>39</v>
      </c>
      <c r="S847" t="str">
        <f>_xlfn.XLOOKUP(UNIVERSO[[#This Row],[Ruta]],'[1]CUOTA RUTA'!A:A,'[1]CUOTA RUTA'!D:D)</f>
        <v>Cargar</v>
      </c>
    </row>
    <row r="848" spans="1:19" x14ac:dyDescent="0.25">
      <c r="A848">
        <v>1500046056</v>
      </c>
      <c r="B848" t="s">
        <v>1918</v>
      </c>
      <c r="C848" t="s">
        <v>19</v>
      </c>
      <c r="D848" t="s">
        <v>208</v>
      </c>
      <c r="E848" t="s">
        <v>62</v>
      </c>
      <c r="F848" t="s">
        <v>63</v>
      </c>
      <c r="G848" t="s">
        <v>33</v>
      </c>
      <c r="H848" t="s">
        <v>209</v>
      </c>
      <c r="I848" t="s">
        <v>1919</v>
      </c>
      <c r="J848">
        <v>10.171431999999999</v>
      </c>
      <c r="K848">
        <v>-83.605321000000004</v>
      </c>
      <c r="L848" t="s">
        <v>1225</v>
      </c>
      <c r="M848" t="s">
        <v>189</v>
      </c>
      <c r="N848" t="s">
        <v>211</v>
      </c>
      <c r="O848" t="s">
        <v>212</v>
      </c>
      <c r="P848">
        <v>7</v>
      </c>
      <c r="Q848" t="s">
        <v>39</v>
      </c>
      <c r="S848" t="str">
        <f>_xlfn.XLOOKUP(UNIVERSO[[#This Row],[Ruta]],'[1]CUOTA RUTA'!A:A,'[1]CUOTA RUTA'!D:D)</f>
        <v>Cargar</v>
      </c>
    </row>
    <row r="849" spans="1:19" x14ac:dyDescent="0.25">
      <c r="A849">
        <v>1500046067</v>
      </c>
      <c r="B849" t="s">
        <v>1920</v>
      </c>
      <c r="C849" t="s">
        <v>19</v>
      </c>
      <c r="D849" t="s">
        <v>208</v>
      </c>
      <c r="E849" t="s">
        <v>21</v>
      </c>
      <c r="F849" t="s">
        <v>22</v>
      </c>
      <c r="G849" t="s">
        <v>33</v>
      </c>
      <c r="H849" t="s">
        <v>209</v>
      </c>
      <c r="I849" t="s">
        <v>1921</v>
      </c>
      <c r="J849">
        <v>10.188560000000001</v>
      </c>
      <c r="K849">
        <v>-83.577340000000007</v>
      </c>
      <c r="L849" t="s">
        <v>1225</v>
      </c>
      <c r="M849" t="s">
        <v>189</v>
      </c>
      <c r="N849" t="s">
        <v>211</v>
      </c>
      <c r="O849" t="s">
        <v>212</v>
      </c>
      <c r="P849">
        <v>9</v>
      </c>
      <c r="Q849" t="s">
        <v>80</v>
      </c>
      <c r="S849" t="str">
        <f>_xlfn.XLOOKUP(UNIVERSO[[#This Row],[Ruta]],'[1]CUOTA RUTA'!A:A,'[1]CUOTA RUTA'!D:D)</f>
        <v>Cargar</v>
      </c>
    </row>
    <row r="850" spans="1:19" x14ac:dyDescent="0.25">
      <c r="A850">
        <v>1500046123</v>
      </c>
      <c r="B850" t="s">
        <v>1922</v>
      </c>
      <c r="C850" t="s">
        <v>19</v>
      </c>
      <c r="D850" t="s">
        <v>208</v>
      </c>
      <c r="E850" t="s">
        <v>21</v>
      </c>
      <c r="F850" t="s">
        <v>22</v>
      </c>
      <c r="G850" t="s">
        <v>33</v>
      </c>
      <c r="H850" t="s">
        <v>218</v>
      </c>
      <c r="I850" t="s">
        <v>1923</v>
      </c>
      <c r="J850">
        <v>10.2830735</v>
      </c>
      <c r="K850">
        <v>-83.813557419999995</v>
      </c>
      <c r="L850" t="s">
        <v>1225</v>
      </c>
      <c r="M850" t="s">
        <v>189</v>
      </c>
      <c r="N850" t="s">
        <v>211</v>
      </c>
      <c r="O850" t="s">
        <v>212</v>
      </c>
      <c r="P850">
        <v>2</v>
      </c>
      <c r="Q850" t="s">
        <v>150</v>
      </c>
      <c r="S850" t="str">
        <f>_xlfn.XLOOKUP(UNIVERSO[[#This Row],[Ruta]],'[1]CUOTA RUTA'!A:A,'[1]CUOTA RUTA'!D:D)</f>
        <v>Cargar</v>
      </c>
    </row>
    <row r="851" spans="1:19" x14ac:dyDescent="0.25">
      <c r="A851">
        <v>1500046168</v>
      </c>
      <c r="B851" t="s">
        <v>1924</v>
      </c>
      <c r="C851" t="s">
        <v>19</v>
      </c>
      <c r="D851" t="s">
        <v>208</v>
      </c>
      <c r="E851" t="s">
        <v>21</v>
      </c>
      <c r="F851" t="s">
        <v>22</v>
      </c>
      <c r="G851" t="s">
        <v>23</v>
      </c>
      <c r="H851" t="s">
        <v>616</v>
      </c>
      <c r="I851" t="s">
        <v>1925</v>
      </c>
      <c r="J851">
        <v>10.36125</v>
      </c>
      <c r="K851">
        <v>-83.733199999999997</v>
      </c>
      <c r="L851" t="s">
        <v>1225</v>
      </c>
      <c r="M851" t="s">
        <v>189</v>
      </c>
      <c r="N851" t="s">
        <v>211</v>
      </c>
      <c r="O851" t="s">
        <v>212</v>
      </c>
      <c r="P851">
        <v>1</v>
      </c>
      <c r="Q851" t="s">
        <v>155</v>
      </c>
      <c r="S851" t="str">
        <f>_xlfn.XLOOKUP(UNIVERSO[[#This Row],[Ruta]],'[1]CUOTA RUTA'!A:A,'[1]CUOTA RUTA'!D:D)</f>
        <v>Cargar</v>
      </c>
    </row>
    <row r="852" spans="1:19" x14ac:dyDescent="0.25">
      <c r="A852">
        <v>1500046276</v>
      </c>
      <c r="B852" t="s">
        <v>1926</v>
      </c>
      <c r="C852" t="s">
        <v>19</v>
      </c>
      <c r="D852" t="s">
        <v>208</v>
      </c>
      <c r="E852" t="s">
        <v>21</v>
      </c>
      <c r="F852" t="s">
        <v>22</v>
      </c>
      <c r="G852" t="s">
        <v>64</v>
      </c>
      <c r="H852" t="s">
        <v>502</v>
      </c>
      <c r="I852" t="s">
        <v>1927</v>
      </c>
      <c r="J852">
        <v>10.43797</v>
      </c>
      <c r="K852">
        <v>-83.826300000000003</v>
      </c>
      <c r="L852" t="s">
        <v>1225</v>
      </c>
      <c r="M852" t="s">
        <v>189</v>
      </c>
      <c r="N852" t="s">
        <v>211</v>
      </c>
      <c r="O852" t="s">
        <v>212</v>
      </c>
      <c r="P852">
        <v>10</v>
      </c>
      <c r="Q852" t="s">
        <v>136</v>
      </c>
      <c r="S852" t="str">
        <f>_xlfn.XLOOKUP(UNIVERSO[[#This Row],[Ruta]],'[1]CUOTA RUTA'!A:A,'[1]CUOTA RUTA'!D:D)</f>
        <v>Cargar</v>
      </c>
    </row>
    <row r="853" spans="1:19" x14ac:dyDescent="0.25">
      <c r="A853">
        <v>1500046277</v>
      </c>
      <c r="B853" t="s">
        <v>1928</v>
      </c>
      <c r="C853" t="s">
        <v>19</v>
      </c>
      <c r="D853" t="s">
        <v>208</v>
      </c>
      <c r="E853" t="s">
        <v>21</v>
      </c>
      <c r="F853" t="s">
        <v>22</v>
      </c>
      <c r="G853" t="s">
        <v>33</v>
      </c>
      <c r="H853" t="s">
        <v>502</v>
      </c>
      <c r="I853" t="s">
        <v>1929</v>
      </c>
      <c r="J853">
        <v>10.446009999999999</v>
      </c>
      <c r="K853">
        <v>-83.818200000000004</v>
      </c>
      <c r="L853" t="s">
        <v>1225</v>
      </c>
      <c r="M853" t="s">
        <v>189</v>
      </c>
      <c r="N853" t="s">
        <v>211</v>
      </c>
      <c r="O853" t="s">
        <v>212</v>
      </c>
      <c r="P853">
        <v>9</v>
      </c>
      <c r="Q853" t="s">
        <v>80</v>
      </c>
      <c r="S853" t="str">
        <f>_xlfn.XLOOKUP(UNIVERSO[[#This Row],[Ruta]],'[1]CUOTA RUTA'!A:A,'[1]CUOTA RUTA'!D:D)</f>
        <v>Cargar</v>
      </c>
    </row>
    <row r="854" spans="1:19" x14ac:dyDescent="0.25">
      <c r="A854">
        <v>1500046278</v>
      </c>
      <c r="B854" t="s">
        <v>1930</v>
      </c>
      <c r="C854" t="s">
        <v>19</v>
      </c>
      <c r="D854" t="s">
        <v>208</v>
      </c>
      <c r="E854" t="s">
        <v>21</v>
      </c>
      <c r="F854" t="s">
        <v>22</v>
      </c>
      <c r="G854" t="s">
        <v>64</v>
      </c>
      <c r="H854" t="s">
        <v>502</v>
      </c>
      <c r="I854" t="s">
        <v>1931</v>
      </c>
      <c r="J854">
        <v>10.44647</v>
      </c>
      <c r="K854">
        <v>-83.817700000000002</v>
      </c>
      <c r="L854" t="s">
        <v>1225</v>
      </c>
      <c r="M854" t="s">
        <v>189</v>
      </c>
      <c r="N854" t="s">
        <v>211</v>
      </c>
      <c r="O854" t="s">
        <v>212</v>
      </c>
      <c r="P854">
        <v>9</v>
      </c>
      <c r="Q854" t="s">
        <v>80</v>
      </c>
      <c r="S854" t="str">
        <f>_xlfn.XLOOKUP(UNIVERSO[[#This Row],[Ruta]],'[1]CUOTA RUTA'!A:A,'[1]CUOTA RUTA'!D:D)</f>
        <v>Cargar</v>
      </c>
    </row>
    <row r="855" spans="1:19" x14ac:dyDescent="0.25">
      <c r="A855">
        <v>1500046366</v>
      </c>
      <c r="B855" t="s">
        <v>1932</v>
      </c>
      <c r="C855" t="s">
        <v>19</v>
      </c>
      <c r="D855" t="s">
        <v>208</v>
      </c>
      <c r="E855" t="s">
        <v>21</v>
      </c>
      <c r="F855" t="s">
        <v>22</v>
      </c>
      <c r="G855" t="s">
        <v>23</v>
      </c>
      <c r="H855" t="s">
        <v>218</v>
      </c>
      <c r="I855" t="s">
        <v>1933</v>
      </c>
      <c r="J855">
        <v>10.247820000000001</v>
      </c>
      <c r="K855">
        <v>-83.78</v>
      </c>
      <c r="L855" t="s">
        <v>1225</v>
      </c>
      <c r="M855" t="s">
        <v>189</v>
      </c>
      <c r="N855" t="s">
        <v>211</v>
      </c>
      <c r="O855" t="s">
        <v>212</v>
      </c>
      <c r="P855">
        <v>5</v>
      </c>
      <c r="Q855" t="s">
        <v>117</v>
      </c>
      <c r="S855" t="str">
        <f>_xlfn.XLOOKUP(UNIVERSO[[#This Row],[Ruta]],'[1]CUOTA RUTA'!A:A,'[1]CUOTA RUTA'!D:D)</f>
        <v>Cargar</v>
      </c>
    </row>
    <row r="856" spans="1:19" x14ac:dyDescent="0.25">
      <c r="A856">
        <v>1500046444</v>
      </c>
      <c r="B856" t="s">
        <v>1934</v>
      </c>
      <c r="C856" t="s">
        <v>19</v>
      </c>
      <c r="D856" t="s">
        <v>208</v>
      </c>
      <c r="E856" t="s">
        <v>21</v>
      </c>
      <c r="F856" t="s">
        <v>22</v>
      </c>
      <c r="G856" t="s">
        <v>33</v>
      </c>
      <c r="H856" t="s">
        <v>221</v>
      </c>
      <c r="I856" t="s">
        <v>1935</v>
      </c>
      <c r="J856">
        <v>10.27083</v>
      </c>
      <c r="K856">
        <v>-83.761679999999998</v>
      </c>
      <c r="L856" t="s">
        <v>1225</v>
      </c>
      <c r="M856" t="s">
        <v>189</v>
      </c>
      <c r="N856" t="s">
        <v>211</v>
      </c>
      <c r="O856" t="s">
        <v>212</v>
      </c>
      <c r="P856">
        <v>2</v>
      </c>
      <c r="Q856" t="s">
        <v>150</v>
      </c>
      <c r="S856" t="str">
        <f>_xlfn.XLOOKUP(UNIVERSO[[#This Row],[Ruta]],'[1]CUOTA RUTA'!A:A,'[1]CUOTA RUTA'!D:D)</f>
        <v>Cargar</v>
      </c>
    </row>
    <row r="857" spans="1:19" x14ac:dyDescent="0.25">
      <c r="A857">
        <v>1500046499</v>
      </c>
      <c r="B857" t="s">
        <v>1936</v>
      </c>
      <c r="C857" t="s">
        <v>19</v>
      </c>
      <c r="D857" t="s">
        <v>208</v>
      </c>
      <c r="E857" t="s">
        <v>21</v>
      </c>
      <c r="F857" t="s">
        <v>51</v>
      </c>
      <c r="G857" t="s">
        <v>23</v>
      </c>
      <c r="H857" t="s">
        <v>224</v>
      </c>
      <c r="I857" t="s">
        <v>1937</v>
      </c>
      <c r="J857">
        <v>10.2097205</v>
      </c>
      <c r="K857">
        <v>-83.741933599999996</v>
      </c>
      <c r="L857" t="s">
        <v>1225</v>
      </c>
      <c r="M857" t="s">
        <v>189</v>
      </c>
      <c r="N857" t="s">
        <v>211</v>
      </c>
      <c r="O857" t="s">
        <v>212</v>
      </c>
      <c r="P857">
        <v>6</v>
      </c>
      <c r="Q857" t="s">
        <v>49</v>
      </c>
      <c r="S857" t="str">
        <f>_xlfn.XLOOKUP(UNIVERSO[[#This Row],[Ruta]],'[1]CUOTA RUTA'!A:A,'[1]CUOTA RUTA'!D:D)</f>
        <v>Cargar</v>
      </c>
    </row>
    <row r="858" spans="1:19" x14ac:dyDescent="0.25">
      <c r="A858">
        <v>1500046623</v>
      </c>
      <c r="B858" t="s">
        <v>1938</v>
      </c>
      <c r="C858" t="s">
        <v>19</v>
      </c>
      <c r="D858" t="s">
        <v>208</v>
      </c>
      <c r="E858" t="s">
        <v>62</v>
      </c>
      <c r="F858" t="s">
        <v>63</v>
      </c>
      <c r="G858" t="s">
        <v>64</v>
      </c>
      <c r="H858" t="s">
        <v>616</v>
      </c>
      <c r="I858" t="s">
        <v>1939</v>
      </c>
      <c r="J858">
        <v>10.449090999999999</v>
      </c>
      <c r="K858">
        <v>-84.011960999999999</v>
      </c>
      <c r="L858" t="s">
        <v>1225</v>
      </c>
      <c r="M858" t="s">
        <v>189</v>
      </c>
      <c r="N858" t="s">
        <v>211</v>
      </c>
      <c r="O858" t="s">
        <v>212</v>
      </c>
      <c r="P858">
        <v>10</v>
      </c>
      <c r="Q858" t="s">
        <v>136</v>
      </c>
      <c r="S858" t="str">
        <f>_xlfn.XLOOKUP(UNIVERSO[[#This Row],[Ruta]],'[1]CUOTA RUTA'!A:A,'[1]CUOTA RUTA'!D:D)</f>
        <v>Cargar</v>
      </c>
    </row>
    <row r="859" spans="1:19" x14ac:dyDescent="0.25">
      <c r="A859">
        <v>1500046635</v>
      </c>
      <c r="B859" t="s">
        <v>1940</v>
      </c>
      <c r="C859" t="s">
        <v>19</v>
      </c>
      <c r="D859" t="s">
        <v>208</v>
      </c>
      <c r="E859" t="s">
        <v>21</v>
      </c>
      <c r="F859" t="s">
        <v>22</v>
      </c>
      <c r="G859" t="s">
        <v>33</v>
      </c>
      <c r="H859" t="s">
        <v>1794</v>
      </c>
      <c r="I859" t="s">
        <v>1941</v>
      </c>
      <c r="J859">
        <v>10.353704499999999</v>
      </c>
      <c r="K859">
        <v>-83.954105100000007</v>
      </c>
      <c r="L859" t="s">
        <v>1225</v>
      </c>
      <c r="M859" t="s">
        <v>189</v>
      </c>
      <c r="N859" t="s">
        <v>211</v>
      </c>
      <c r="O859" t="s">
        <v>212</v>
      </c>
      <c r="P859">
        <v>3</v>
      </c>
      <c r="Q859" t="s">
        <v>101</v>
      </c>
      <c r="S859" t="str">
        <f>_xlfn.XLOOKUP(UNIVERSO[[#This Row],[Ruta]],'[1]CUOTA RUTA'!A:A,'[1]CUOTA RUTA'!D:D)</f>
        <v>Cargar</v>
      </c>
    </row>
    <row r="860" spans="1:19" x14ac:dyDescent="0.25">
      <c r="A860">
        <v>1500046655</v>
      </c>
      <c r="B860" t="s">
        <v>1942</v>
      </c>
      <c r="C860" t="s">
        <v>19</v>
      </c>
      <c r="D860" t="s">
        <v>208</v>
      </c>
      <c r="E860" t="s">
        <v>62</v>
      </c>
      <c r="F860" t="s">
        <v>63</v>
      </c>
      <c r="G860" t="s">
        <v>64</v>
      </c>
      <c r="H860" t="s">
        <v>719</v>
      </c>
      <c r="I860" t="s">
        <v>1943</v>
      </c>
      <c r="J860">
        <v>10.401450000000001</v>
      </c>
      <c r="K860">
        <v>-84.133300000000006</v>
      </c>
      <c r="L860" t="s">
        <v>1225</v>
      </c>
      <c r="M860" t="s">
        <v>189</v>
      </c>
      <c r="N860" t="s">
        <v>211</v>
      </c>
      <c r="O860" t="s">
        <v>212</v>
      </c>
      <c r="P860">
        <v>11</v>
      </c>
      <c r="Q860" t="s">
        <v>108</v>
      </c>
      <c r="S860" t="str">
        <f>_xlfn.XLOOKUP(UNIVERSO[[#This Row],[Ruta]],'[1]CUOTA RUTA'!A:A,'[1]CUOTA RUTA'!D:D)</f>
        <v>Cargar</v>
      </c>
    </row>
    <row r="861" spans="1:19" x14ac:dyDescent="0.25">
      <c r="A861">
        <v>1500046674</v>
      </c>
      <c r="B861" t="s">
        <v>1944</v>
      </c>
      <c r="C861" t="s">
        <v>19</v>
      </c>
      <c r="D861" t="s">
        <v>208</v>
      </c>
      <c r="E861" t="s">
        <v>21</v>
      </c>
      <c r="F861" t="s">
        <v>22</v>
      </c>
      <c r="G861" t="s">
        <v>64</v>
      </c>
      <c r="H861" t="s">
        <v>719</v>
      </c>
      <c r="I861" t="s">
        <v>1945</v>
      </c>
      <c r="J861">
        <v>10.427892999999999</v>
      </c>
      <c r="K861">
        <v>-84.128853000000007</v>
      </c>
      <c r="L861" t="s">
        <v>1225</v>
      </c>
      <c r="M861" t="s">
        <v>189</v>
      </c>
      <c r="N861" t="s">
        <v>211</v>
      </c>
      <c r="O861" t="s">
        <v>212</v>
      </c>
      <c r="P861">
        <v>11</v>
      </c>
      <c r="Q861" t="s">
        <v>108</v>
      </c>
      <c r="S861" t="str">
        <f>_xlfn.XLOOKUP(UNIVERSO[[#This Row],[Ruta]],'[1]CUOTA RUTA'!A:A,'[1]CUOTA RUTA'!D:D)</f>
        <v>Cargar</v>
      </c>
    </row>
    <row r="862" spans="1:19" x14ac:dyDescent="0.25">
      <c r="A862">
        <v>1500046704</v>
      </c>
      <c r="B862" t="s">
        <v>1946</v>
      </c>
      <c r="C862" t="s">
        <v>19</v>
      </c>
      <c r="D862" t="s">
        <v>208</v>
      </c>
      <c r="E862" t="s">
        <v>21</v>
      </c>
      <c r="F862" t="s">
        <v>22</v>
      </c>
      <c r="G862" t="s">
        <v>64</v>
      </c>
      <c r="H862" t="s">
        <v>209</v>
      </c>
      <c r="I862" t="s">
        <v>1947</v>
      </c>
      <c r="J862">
        <v>10.240952999999999</v>
      </c>
      <c r="K862">
        <v>-83.915785999999997</v>
      </c>
      <c r="L862" t="s">
        <v>1225</v>
      </c>
      <c r="M862" t="s">
        <v>189</v>
      </c>
      <c r="N862" t="s">
        <v>211</v>
      </c>
      <c r="O862" t="s">
        <v>212</v>
      </c>
      <c r="P862">
        <v>4</v>
      </c>
      <c r="Q862" t="s">
        <v>120</v>
      </c>
      <c r="S862" t="str">
        <f>_xlfn.XLOOKUP(UNIVERSO[[#This Row],[Ruta]],'[1]CUOTA RUTA'!A:A,'[1]CUOTA RUTA'!D:D)</f>
        <v>Cargar</v>
      </c>
    </row>
    <row r="863" spans="1:19" x14ac:dyDescent="0.25">
      <c r="A863">
        <v>1500046753</v>
      </c>
      <c r="B863" t="s">
        <v>1948</v>
      </c>
      <c r="C863" t="s">
        <v>19</v>
      </c>
      <c r="D863" t="s">
        <v>208</v>
      </c>
      <c r="E863" t="s">
        <v>21</v>
      </c>
      <c r="F863" t="s">
        <v>51</v>
      </c>
      <c r="G863" t="s">
        <v>23</v>
      </c>
      <c r="H863" t="s">
        <v>224</v>
      </c>
      <c r="I863" t="s">
        <v>1949</v>
      </c>
      <c r="J863">
        <v>10.32043</v>
      </c>
      <c r="K863">
        <v>-83.888980000000004</v>
      </c>
      <c r="L863" t="s">
        <v>1225</v>
      </c>
      <c r="M863" t="s">
        <v>189</v>
      </c>
      <c r="N863" t="s">
        <v>211</v>
      </c>
      <c r="O863" t="s">
        <v>212</v>
      </c>
      <c r="P863">
        <v>3</v>
      </c>
      <c r="Q863" t="s">
        <v>101</v>
      </c>
      <c r="S863" t="str">
        <f>_xlfn.XLOOKUP(UNIVERSO[[#This Row],[Ruta]],'[1]CUOTA RUTA'!A:A,'[1]CUOTA RUTA'!D:D)</f>
        <v>Cargar</v>
      </c>
    </row>
    <row r="864" spans="1:19" x14ac:dyDescent="0.25">
      <c r="A864">
        <v>1500046818</v>
      </c>
      <c r="B864" t="s">
        <v>1950</v>
      </c>
      <c r="C864" t="s">
        <v>19</v>
      </c>
      <c r="D864" t="s">
        <v>208</v>
      </c>
      <c r="E864" t="s">
        <v>21</v>
      </c>
      <c r="F864" t="s">
        <v>22</v>
      </c>
      <c r="G864" t="s">
        <v>23</v>
      </c>
      <c r="H864" t="s">
        <v>417</v>
      </c>
      <c r="I864" t="s">
        <v>1951</v>
      </c>
      <c r="J864">
        <v>10.32225</v>
      </c>
      <c r="K864">
        <v>-83.915000000000006</v>
      </c>
      <c r="L864" t="s">
        <v>1225</v>
      </c>
      <c r="M864" t="s">
        <v>189</v>
      </c>
      <c r="N864" t="s">
        <v>211</v>
      </c>
      <c r="O864" t="s">
        <v>212</v>
      </c>
      <c r="P864">
        <v>3</v>
      </c>
      <c r="Q864" t="s">
        <v>101</v>
      </c>
      <c r="S864" t="str">
        <f>_xlfn.XLOOKUP(UNIVERSO[[#This Row],[Ruta]],'[1]CUOTA RUTA'!A:A,'[1]CUOTA RUTA'!D:D)</f>
        <v>Cargar</v>
      </c>
    </row>
    <row r="865" spans="1:19" x14ac:dyDescent="0.25">
      <c r="A865">
        <v>1500046825</v>
      </c>
      <c r="B865" t="s">
        <v>1952</v>
      </c>
      <c r="C865" t="s">
        <v>19</v>
      </c>
      <c r="D865" t="s">
        <v>208</v>
      </c>
      <c r="E865" t="s">
        <v>21</v>
      </c>
      <c r="F865" t="s">
        <v>22</v>
      </c>
      <c r="G865" t="s">
        <v>64</v>
      </c>
      <c r="H865" t="s">
        <v>417</v>
      </c>
      <c r="I865" t="s">
        <v>1953</v>
      </c>
      <c r="J865">
        <v>10.321440000000001</v>
      </c>
      <c r="K865">
        <v>-83.912700000000001</v>
      </c>
      <c r="L865" t="s">
        <v>1225</v>
      </c>
      <c r="M865" t="s">
        <v>189</v>
      </c>
      <c r="N865" t="s">
        <v>211</v>
      </c>
      <c r="O865" t="s">
        <v>212</v>
      </c>
      <c r="P865">
        <v>3</v>
      </c>
      <c r="Q865" t="s">
        <v>101</v>
      </c>
      <c r="S865" t="str">
        <f>_xlfn.XLOOKUP(UNIVERSO[[#This Row],[Ruta]],'[1]CUOTA RUTA'!A:A,'[1]CUOTA RUTA'!D:D)</f>
        <v>Cargar</v>
      </c>
    </row>
    <row r="866" spans="1:19" x14ac:dyDescent="0.25">
      <c r="A866">
        <v>1500046836</v>
      </c>
      <c r="B866" t="s">
        <v>1954</v>
      </c>
      <c r="C866" t="s">
        <v>19</v>
      </c>
      <c r="D866" t="s">
        <v>208</v>
      </c>
      <c r="E866" t="s">
        <v>21</v>
      </c>
      <c r="F866" t="s">
        <v>22</v>
      </c>
      <c r="G866" t="s">
        <v>33</v>
      </c>
      <c r="H866" t="s">
        <v>1794</v>
      </c>
      <c r="I866" t="s">
        <v>1955</v>
      </c>
      <c r="J866">
        <v>10.381727100000001</v>
      </c>
      <c r="K866">
        <v>-83.910924199999997</v>
      </c>
      <c r="L866" t="s">
        <v>1225</v>
      </c>
      <c r="M866" t="s">
        <v>189</v>
      </c>
      <c r="N866" t="s">
        <v>211</v>
      </c>
      <c r="O866" t="s">
        <v>212</v>
      </c>
      <c r="P866">
        <v>10</v>
      </c>
      <c r="Q866" t="s">
        <v>136</v>
      </c>
      <c r="S866" t="str">
        <f>_xlfn.XLOOKUP(UNIVERSO[[#This Row],[Ruta]],'[1]CUOTA RUTA'!A:A,'[1]CUOTA RUTA'!D:D)</f>
        <v>Cargar</v>
      </c>
    </row>
    <row r="867" spans="1:19" x14ac:dyDescent="0.25">
      <c r="A867">
        <v>1500046847</v>
      </c>
      <c r="B867" t="s">
        <v>1956</v>
      </c>
      <c r="C867" t="s">
        <v>19</v>
      </c>
      <c r="D867" t="s">
        <v>208</v>
      </c>
      <c r="E867" t="s">
        <v>21</v>
      </c>
      <c r="F867" t="s">
        <v>22</v>
      </c>
      <c r="G867" t="s">
        <v>64</v>
      </c>
      <c r="H867" t="s">
        <v>502</v>
      </c>
      <c r="I867" t="s">
        <v>1957</v>
      </c>
      <c r="J867">
        <v>10.25033</v>
      </c>
      <c r="K867">
        <v>-83.651899999999998</v>
      </c>
      <c r="L867" t="s">
        <v>1225</v>
      </c>
      <c r="M867" t="s">
        <v>189</v>
      </c>
      <c r="N867" t="s">
        <v>211</v>
      </c>
      <c r="O867" t="s">
        <v>212</v>
      </c>
      <c r="P867">
        <v>6</v>
      </c>
      <c r="Q867" t="s">
        <v>49</v>
      </c>
      <c r="S867" t="str">
        <f>_xlfn.XLOOKUP(UNIVERSO[[#This Row],[Ruta]],'[1]CUOTA RUTA'!A:A,'[1]CUOTA RUTA'!D:D)</f>
        <v>Cargar</v>
      </c>
    </row>
    <row r="868" spans="1:19" x14ac:dyDescent="0.25">
      <c r="A868">
        <v>1500046865</v>
      </c>
      <c r="B868" t="s">
        <v>1958</v>
      </c>
      <c r="C868" t="s">
        <v>19</v>
      </c>
      <c r="D868" t="s">
        <v>208</v>
      </c>
      <c r="E868" t="s">
        <v>21</v>
      </c>
      <c r="F868" t="s">
        <v>22</v>
      </c>
      <c r="G868" t="s">
        <v>64</v>
      </c>
      <c r="H868" t="s">
        <v>417</v>
      </c>
      <c r="I868" t="s">
        <v>1959</v>
      </c>
      <c r="J868">
        <v>10.33733</v>
      </c>
      <c r="K868">
        <v>-83.857900000000001</v>
      </c>
      <c r="L868" t="s">
        <v>1225</v>
      </c>
      <c r="M868" t="s">
        <v>189</v>
      </c>
      <c r="N868" t="s">
        <v>211</v>
      </c>
      <c r="O868" t="s">
        <v>212</v>
      </c>
      <c r="P868">
        <v>3</v>
      </c>
      <c r="Q868" t="s">
        <v>101</v>
      </c>
      <c r="S868" t="str">
        <f>_xlfn.XLOOKUP(UNIVERSO[[#This Row],[Ruta]],'[1]CUOTA RUTA'!A:A,'[1]CUOTA RUTA'!D:D)</f>
        <v>Cargar</v>
      </c>
    </row>
    <row r="869" spans="1:19" x14ac:dyDescent="0.25">
      <c r="A869">
        <v>1500046936</v>
      </c>
      <c r="B869" t="s">
        <v>1960</v>
      </c>
      <c r="C869" t="s">
        <v>19</v>
      </c>
      <c r="D869" t="s">
        <v>208</v>
      </c>
      <c r="E869" t="s">
        <v>21</v>
      </c>
      <c r="F869" t="s">
        <v>22</v>
      </c>
      <c r="G869" t="s">
        <v>33</v>
      </c>
      <c r="H869" t="s">
        <v>218</v>
      </c>
      <c r="I869" t="s">
        <v>1961</v>
      </c>
      <c r="J869">
        <v>10.16656</v>
      </c>
      <c r="K869">
        <v>-83.813040999999998</v>
      </c>
      <c r="L869" t="s">
        <v>1225</v>
      </c>
      <c r="M869" t="s">
        <v>189</v>
      </c>
      <c r="N869" t="s">
        <v>211</v>
      </c>
      <c r="O869" t="s">
        <v>212</v>
      </c>
      <c r="P869">
        <v>6</v>
      </c>
      <c r="Q869" t="s">
        <v>49</v>
      </c>
      <c r="S869" t="str">
        <f>_xlfn.XLOOKUP(UNIVERSO[[#This Row],[Ruta]],'[1]CUOTA RUTA'!A:A,'[1]CUOTA RUTA'!D:D)</f>
        <v>Cargar</v>
      </c>
    </row>
    <row r="870" spans="1:19" x14ac:dyDescent="0.25">
      <c r="A870">
        <v>1500046940</v>
      </c>
      <c r="B870" t="s">
        <v>1962</v>
      </c>
      <c r="C870" t="s">
        <v>19</v>
      </c>
      <c r="D870" t="s">
        <v>208</v>
      </c>
      <c r="E870" t="s">
        <v>21</v>
      </c>
      <c r="F870" t="s">
        <v>22</v>
      </c>
      <c r="G870" t="s">
        <v>33</v>
      </c>
      <c r="H870" t="s">
        <v>1794</v>
      </c>
      <c r="I870" t="s">
        <v>1963</v>
      </c>
      <c r="J870">
        <v>10.3915062</v>
      </c>
      <c r="K870">
        <v>-83.945087799999996</v>
      </c>
      <c r="L870" t="s">
        <v>1225</v>
      </c>
      <c r="M870" t="s">
        <v>189</v>
      </c>
      <c r="N870" t="s">
        <v>211</v>
      </c>
      <c r="O870" t="s">
        <v>212</v>
      </c>
      <c r="P870">
        <v>10</v>
      </c>
      <c r="Q870" t="s">
        <v>136</v>
      </c>
      <c r="S870" t="str">
        <f>_xlfn.XLOOKUP(UNIVERSO[[#This Row],[Ruta]],'[1]CUOTA RUTA'!A:A,'[1]CUOTA RUTA'!D:D)</f>
        <v>Cargar</v>
      </c>
    </row>
    <row r="871" spans="1:19" x14ac:dyDescent="0.25">
      <c r="A871">
        <v>1500046942</v>
      </c>
      <c r="B871" t="s">
        <v>1964</v>
      </c>
      <c r="C871" t="s">
        <v>19</v>
      </c>
      <c r="D871" t="s">
        <v>208</v>
      </c>
      <c r="E871" t="s">
        <v>21</v>
      </c>
      <c r="F871" t="s">
        <v>22</v>
      </c>
      <c r="G871" t="s">
        <v>64</v>
      </c>
      <c r="H871" t="s">
        <v>221</v>
      </c>
      <c r="I871" t="s">
        <v>1965</v>
      </c>
      <c r="J871">
        <v>10.447570000000001</v>
      </c>
      <c r="K871">
        <v>-84.100200000000001</v>
      </c>
      <c r="L871" t="s">
        <v>1225</v>
      </c>
      <c r="M871" t="s">
        <v>189</v>
      </c>
      <c r="N871" t="s">
        <v>211</v>
      </c>
      <c r="O871" t="s">
        <v>212</v>
      </c>
      <c r="P871">
        <v>11</v>
      </c>
      <c r="Q871" t="s">
        <v>108</v>
      </c>
      <c r="S871" t="str">
        <f>_xlfn.XLOOKUP(UNIVERSO[[#This Row],[Ruta]],'[1]CUOTA RUTA'!A:A,'[1]CUOTA RUTA'!D:D)</f>
        <v>Cargar</v>
      </c>
    </row>
    <row r="872" spans="1:19" x14ac:dyDescent="0.25">
      <c r="A872">
        <v>1500047145</v>
      </c>
      <c r="B872" t="s">
        <v>1966</v>
      </c>
      <c r="C872" t="s">
        <v>19</v>
      </c>
      <c r="D872" t="s">
        <v>208</v>
      </c>
      <c r="E872" t="s">
        <v>21</v>
      </c>
      <c r="F872" t="s">
        <v>22</v>
      </c>
      <c r="G872" t="s">
        <v>33</v>
      </c>
      <c r="H872" t="s">
        <v>221</v>
      </c>
      <c r="I872" t="s">
        <v>1967</v>
      </c>
      <c r="J872">
        <v>10.270020000000001</v>
      </c>
      <c r="K872">
        <v>-83.752200000000002</v>
      </c>
      <c r="L872" t="s">
        <v>1225</v>
      </c>
      <c r="M872" t="s">
        <v>189</v>
      </c>
      <c r="N872" t="s">
        <v>211</v>
      </c>
      <c r="O872" t="s">
        <v>212</v>
      </c>
      <c r="P872">
        <v>2</v>
      </c>
      <c r="Q872" t="s">
        <v>150</v>
      </c>
      <c r="S872" t="str">
        <f>_xlfn.XLOOKUP(UNIVERSO[[#This Row],[Ruta]],'[1]CUOTA RUTA'!A:A,'[1]CUOTA RUTA'!D:D)</f>
        <v>Cargar</v>
      </c>
    </row>
    <row r="873" spans="1:19" x14ac:dyDescent="0.25">
      <c r="A873">
        <v>1500047431</v>
      </c>
      <c r="B873" t="s">
        <v>1968</v>
      </c>
      <c r="C873" t="s">
        <v>19</v>
      </c>
      <c r="D873" t="s">
        <v>208</v>
      </c>
      <c r="E873" t="s">
        <v>21</v>
      </c>
      <c r="F873" t="s">
        <v>51</v>
      </c>
      <c r="G873" t="s">
        <v>23</v>
      </c>
      <c r="H873" t="s">
        <v>1794</v>
      </c>
      <c r="I873" t="s">
        <v>1969</v>
      </c>
      <c r="J873">
        <v>10.21175699</v>
      </c>
      <c r="K873">
        <v>-83.778755959999998</v>
      </c>
      <c r="L873" t="s">
        <v>1225</v>
      </c>
      <c r="M873" t="s">
        <v>189</v>
      </c>
      <c r="N873" t="s">
        <v>211</v>
      </c>
      <c r="O873" t="s">
        <v>212</v>
      </c>
      <c r="P873">
        <v>5</v>
      </c>
      <c r="Q873" t="s">
        <v>117</v>
      </c>
      <c r="S873" t="str">
        <f>_xlfn.XLOOKUP(UNIVERSO[[#This Row],[Ruta]],'[1]CUOTA RUTA'!A:A,'[1]CUOTA RUTA'!D:D)</f>
        <v>Cargar</v>
      </c>
    </row>
    <row r="874" spans="1:19" x14ac:dyDescent="0.25">
      <c r="A874">
        <v>1500047637</v>
      </c>
      <c r="B874" t="s">
        <v>1970</v>
      </c>
      <c r="C874" t="s">
        <v>19</v>
      </c>
      <c r="D874" t="s">
        <v>208</v>
      </c>
      <c r="E874" t="s">
        <v>21</v>
      </c>
      <c r="F874" t="s">
        <v>22</v>
      </c>
      <c r="G874" t="s">
        <v>23</v>
      </c>
      <c r="H874" t="s">
        <v>502</v>
      </c>
      <c r="I874" t="s">
        <v>1971</v>
      </c>
      <c r="J874">
        <v>10.403409999999999</v>
      </c>
      <c r="K874">
        <v>-83.8322</v>
      </c>
      <c r="L874" t="s">
        <v>1225</v>
      </c>
      <c r="M874" t="s">
        <v>189</v>
      </c>
      <c r="N874" t="s">
        <v>211</v>
      </c>
      <c r="O874" t="s">
        <v>212</v>
      </c>
      <c r="P874">
        <v>3</v>
      </c>
      <c r="Q874" t="s">
        <v>101</v>
      </c>
      <c r="S874" t="str">
        <f>_xlfn.XLOOKUP(UNIVERSO[[#This Row],[Ruta]],'[1]CUOTA RUTA'!A:A,'[1]CUOTA RUTA'!D:D)</f>
        <v>Cargar</v>
      </c>
    </row>
    <row r="875" spans="1:19" x14ac:dyDescent="0.25">
      <c r="A875">
        <v>1500047645</v>
      </c>
      <c r="B875" t="s">
        <v>453</v>
      </c>
      <c r="C875" t="s">
        <v>19</v>
      </c>
      <c r="D875" t="s">
        <v>208</v>
      </c>
      <c r="E875" t="s">
        <v>21</v>
      </c>
      <c r="F875" t="s">
        <v>22</v>
      </c>
      <c r="G875" t="s">
        <v>64</v>
      </c>
      <c r="H875" t="s">
        <v>1794</v>
      </c>
      <c r="I875" t="s">
        <v>1972</v>
      </c>
      <c r="J875">
        <v>10.133224</v>
      </c>
      <c r="K875">
        <v>-83.556098180000006</v>
      </c>
      <c r="L875" t="s">
        <v>1225</v>
      </c>
      <c r="M875" t="s">
        <v>189</v>
      </c>
      <c r="N875" t="s">
        <v>211</v>
      </c>
      <c r="O875" t="s">
        <v>212</v>
      </c>
      <c r="P875">
        <v>7</v>
      </c>
      <c r="Q875" t="s">
        <v>39</v>
      </c>
      <c r="S875" t="str">
        <f>_xlfn.XLOOKUP(UNIVERSO[[#This Row],[Ruta]],'[1]CUOTA RUTA'!A:A,'[1]CUOTA RUTA'!D:D)</f>
        <v>Cargar</v>
      </c>
    </row>
    <row r="876" spans="1:19" x14ac:dyDescent="0.25">
      <c r="A876">
        <v>1500047728</v>
      </c>
      <c r="B876" t="s">
        <v>1973</v>
      </c>
      <c r="C876" t="s">
        <v>19</v>
      </c>
      <c r="D876" t="s">
        <v>208</v>
      </c>
      <c r="E876" t="s">
        <v>21</v>
      </c>
      <c r="F876" t="s">
        <v>22</v>
      </c>
      <c r="G876" t="s">
        <v>33</v>
      </c>
      <c r="H876" t="s">
        <v>218</v>
      </c>
      <c r="I876" t="s">
        <v>1974</v>
      </c>
      <c r="J876">
        <v>10.21611</v>
      </c>
      <c r="K876">
        <v>-83.679299999999998</v>
      </c>
      <c r="L876" t="s">
        <v>1225</v>
      </c>
      <c r="M876" t="s">
        <v>189</v>
      </c>
      <c r="N876" t="s">
        <v>211</v>
      </c>
      <c r="O876" t="s">
        <v>212</v>
      </c>
      <c r="P876">
        <v>6</v>
      </c>
      <c r="Q876" t="s">
        <v>49</v>
      </c>
      <c r="S876" t="str">
        <f>_xlfn.XLOOKUP(UNIVERSO[[#This Row],[Ruta]],'[1]CUOTA RUTA'!A:A,'[1]CUOTA RUTA'!D:D)</f>
        <v>Cargar</v>
      </c>
    </row>
    <row r="877" spans="1:19" x14ac:dyDescent="0.25">
      <c r="A877">
        <v>1500047878</v>
      </c>
      <c r="B877" t="s">
        <v>1975</v>
      </c>
      <c r="C877" t="s">
        <v>19</v>
      </c>
      <c r="D877" t="s">
        <v>208</v>
      </c>
      <c r="E877" t="s">
        <v>21</v>
      </c>
      <c r="F877" t="s">
        <v>22</v>
      </c>
      <c r="G877" t="s">
        <v>33</v>
      </c>
      <c r="H877" t="s">
        <v>218</v>
      </c>
      <c r="I877" t="s">
        <v>1976</v>
      </c>
      <c r="J877">
        <v>10.27801</v>
      </c>
      <c r="K877">
        <v>-83.788888999999998</v>
      </c>
      <c r="L877" t="s">
        <v>1225</v>
      </c>
      <c r="M877" t="s">
        <v>189</v>
      </c>
      <c r="N877" t="s">
        <v>211</v>
      </c>
      <c r="O877" t="s">
        <v>212</v>
      </c>
      <c r="P877">
        <v>2</v>
      </c>
      <c r="Q877" t="s">
        <v>150</v>
      </c>
      <c r="S877" t="str">
        <f>_xlfn.XLOOKUP(UNIVERSO[[#This Row],[Ruta]],'[1]CUOTA RUTA'!A:A,'[1]CUOTA RUTA'!D:D)</f>
        <v>Cargar</v>
      </c>
    </row>
    <row r="878" spans="1:19" x14ac:dyDescent="0.25">
      <c r="A878">
        <v>1500047922</v>
      </c>
      <c r="B878" t="s">
        <v>1704</v>
      </c>
      <c r="C878" t="s">
        <v>19</v>
      </c>
      <c r="D878" t="s">
        <v>208</v>
      </c>
      <c r="E878" t="s">
        <v>21</v>
      </c>
      <c r="F878" t="s">
        <v>22</v>
      </c>
      <c r="G878" t="s">
        <v>33</v>
      </c>
      <c r="H878" t="s">
        <v>218</v>
      </c>
      <c r="I878" t="s">
        <v>1977</v>
      </c>
      <c r="J878">
        <v>10.28107</v>
      </c>
      <c r="K878">
        <v>-83.782300000000006</v>
      </c>
      <c r="L878" t="s">
        <v>1225</v>
      </c>
      <c r="M878" t="s">
        <v>189</v>
      </c>
      <c r="N878" t="s">
        <v>211</v>
      </c>
      <c r="O878" t="s">
        <v>212</v>
      </c>
      <c r="P878">
        <v>2</v>
      </c>
      <c r="Q878" t="s">
        <v>150</v>
      </c>
      <c r="S878" t="str">
        <f>_xlfn.XLOOKUP(UNIVERSO[[#This Row],[Ruta]],'[1]CUOTA RUTA'!A:A,'[1]CUOTA RUTA'!D:D)</f>
        <v>Cargar</v>
      </c>
    </row>
    <row r="879" spans="1:19" x14ac:dyDescent="0.25">
      <c r="A879">
        <v>1500048156</v>
      </c>
      <c r="B879" t="s">
        <v>1978</v>
      </c>
      <c r="C879" t="s">
        <v>19</v>
      </c>
      <c r="D879" t="s">
        <v>186</v>
      </c>
      <c r="E879" t="s">
        <v>21</v>
      </c>
      <c r="F879" t="s">
        <v>22</v>
      </c>
      <c r="G879" t="s">
        <v>64</v>
      </c>
      <c r="H879" t="s">
        <v>237</v>
      </c>
      <c r="I879" t="s">
        <v>1979</v>
      </c>
      <c r="J879">
        <v>10.08841</v>
      </c>
      <c r="K879">
        <v>-83.343940000000003</v>
      </c>
      <c r="L879" t="s">
        <v>1225</v>
      </c>
      <c r="M879" t="s">
        <v>189</v>
      </c>
      <c r="N879" t="s">
        <v>190</v>
      </c>
      <c r="O879" t="s">
        <v>191</v>
      </c>
      <c r="P879">
        <v>21</v>
      </c>
      <c r="Q879" t="s">
        <v>239</v>
      </c>
      <c r="S879" t="str">
        <f>_xlfn.XLOOKUP(UNIVERSO[[#This Row],[Ruta]],'[1]CUOTA RUTA'!A:A,'[1]CUOTA RUTA'!D:D)</f>
        <v>Cargar</v>
      </c>
    </row>
    <row r="880" spans="1:19" x14ac:dyDescent="0.25">
      <c r="A880">
        <v>1500048167</v>
      </c>
      <c r="B880" t="s">
        <v>1980</v>
      </c>
      <c r="C880" t="s">
        <v>19</v>
      </c>
      <c r="D880" t="s">
        <v>186</v>
      </c>
      <c r="E880" t="s">
        <v>21</v>
      </c>
      <c r="F880" t="s">
        <v>22</v>
      </c>
      <c r="G880" t="s">
        <v>33</v>
      </c>
      <c r="H880" t="s">
        <v>187</v>
      </c>
      <c r="I880" t="s">
        <v>1981</v>
      </c>
      <c r="J880">
        <v>10.006869999999999</v>
      </c>
      <c r="K880">
        <v>-83.057370000000006</v>
      </c>
      <c r="L880" t="s">
        <v>1225</v>
      </c>
      <c r="M880" t="s">
        <v>189</v>
      </c>
      <c r="N880" t="s">
        <v>190</v>
      </c>
      <c r="O880" t="s">
        <v>191</v>
      </c>
      <c r="P880">
        <v>23</v>
      </c>
      <c r="Q880" t="s">
        <v>125</v>
      </c>
      <c r="S880" t="str">
        <f>_xlfn.XLOOKUP(UNIVERSO[[#This Row],[Ruta]],'[1]CUOTA RUTA'!A:A,'[1]CUOTA RUTA'!D:D)</f>
        <v>Cargar</v>
      </c>
    </row>
    <row r="881" spans="1:19" x14ac:dyDescent="0.25">
      <c r="A881">
        <v>1500048309</v>
      </c>
      <c r="B881" t="s">
        <v>1982</v>
      </c>
      <c r="C881" t="s">
        <v>19</v>
      </c>
      <c r="D881" t="s">
        <v>186</v>
      </c>
      <c r="E881" t="s">
        <v>21</v>
      </c>
      <c r="F881" t="s">
        <v>22</v>
      </c>
      <c r="G881" t="s">
        <v>64</v>
      </c>
      <c r="H881" t="s">
        <v>868</v>
      </c>
      <c r="I881" t="s">
        <v>1170</v>
      </c>
      <c r="J881">
        <v>9.9937799999999992</v>
      </c>
      <c r="K881">
        <v>-83.033389999999997</v>
      </c>
      <c r="L881" t="s">
        <v>1225</v>
      </c>
      <c r="M881" t="s">
        <v>189</v>
      </c>
      <c r="N881" t="s">
        <v>190</v>
      </c>
      <c r="O881" t="s">
        <v>191</v>
      </c>
      <c r="P881">
        <v>12</v>
      </c>
      <c r="Q881" t="s">
        <v>42</v>
      </c>
      <c r="S881" t="str">
        <f>_xlfn.XLOOKUP(UNIVERSO[[#This Row],[Ruta]],'[1]CUOTA RUTA'!A:A,'[1]CUOTA RUTA'!D:D)</f>
        <v>Cargar</v>
      </c>
    </row>
    <row r="882" spans="1:19" x14ac:dyDescent="0.25">
      <c r="A882">
        <v>1500048407</v>
      </c>
      <c r="B882" t="s">
        <v>1983</v>
      </c>
      <c r="C882" t="s">
        <v>19</v>
      </c>
      <c r="D882" t="s">
        <v>186</v>
      </c>
      <c r="E882" t="s">
        <v>21</v>
      </c>
      <c r="F882" t="s">
        <v>22</v>
      </c>
      <c r="G882" t="s">
        <v>64</v>
      </c>
      <c r="H882" t="s">
        <v>868</v>
      </c>
      <c r="I882" t="s">
        <v>1984</v>
      </c>
      <c r="J882">
        <v>9.9948700000000006</v>
      </c>
      <c r="K882">
        <v>-83.032740000000004</v>
      </c>
      <c r="L882" t="s">
        <v>1225</v>
      </c>
      <c r="M882" t="s">
        <v>189</v>
      </c>
      <c r="N882" t="s">
        <v>190</v>
      </c>
      <c r="O882" t="s">
        <v>191</v>
      </c>
      <c r="P882">
        <v>12</v>
      </c>
      <c r="Q882" t="s">
        <v>42</v>
      </c>
      <c r="S882" t="str">
        <f>_xlfn.XLOOKUP(UNIVERSO[[#This Row],[Ruta]],'[1]CUOTA RUTA'!A:A,'[1]CUOTA RUTA'!D:D)</f>
        <v>Cargar</v>
      </c>
    </row>
    <row r="883" spans="1:19" x14ac:dyDescent="0.25">
      <c r="A883">
        <v>1500048714</v>
      </c>
      <c r="B883" t="s">
        <v>1985</v>
      </c>
      <c r="C883" t="s">
        <v>19</v>
      </c>
      <c r="D883" t="s">
        <v>186</v>
      </c>
      <c r="E883" t="s">
        <v>21</v>
      </c>
      <c r="F883" t="s">
        <v>22</v>
      </c>
      <c r="G883" t="s">
        <v>64</v>
      </c>
      <c r="H883" t="s">
        <v>420</v>
      </c>
      <c r="I883" t="s">
        <v>1986</v>
      </c>
      <c r="J883">
        <v>9.7383140000000008</v>
      </c>
      <c r="K883">
        <v>-82.988359000000003</v>
      </c>
      <c r="L883" t="s">
        <v>1225</v>
      </c>
      <c r="M883" t="s">
        <v>189</v>
      </c>
      <c r="N883" t="s">
        <v>190</v>
      </c>
      <c r="O883" t="s">
        <v>191</v>
      </c>
      <c r="P883">
        <v>18</v>
      </c>
      <c r="Q883" t="s">
        <v>84</v>
      </c>
      <c r="S883" t="str">
        <f>_xlfn.XLOOKUP(UNIVERSO[[#This Row],[Ruta]],'[1]CUOTA RUTA'!A:A,'[1]CUOTA RUTA'!D:D)</f>
        <v>Cargar</v>
      </c>
    </row>
    <row r="884" spans="1:19" x14ac:dyDescent="0.25">
      <c r="A884">
        <v>1500048995</v>
      </c>
      <c r="B884" t="s">
        <v>1987</v>
      </c>
      <c r="C884" t="s">
        <v>19</v>
      </c>
      <c r="D884" t="s">
        <v>186</v>
      </c>
      <c r="E884" t="s">
        <v>21</v>
      </c>
      <c r="F884" t="s">
        <v>22</v>
      </c>
      <c r="G884" t="s">
        <v>33</v>
      </c>
      <c r="H884" t="s">
        <v>187</v>
      </c>
      <c r="I884" t="s">
        <v>1988</v>
      </c>
      <c r="J884">
        <v>9.9898100000000003</v>
      </c>
      <c r="K884">
        <v>-83.054320000000004</v>
      </c>
      <c r="L884" t="s">
        <v>1225</v>
      </c>
      <c r="M884" t="s">
        <v>189</v>
      </c>
      <c r="N884" t="s">
        <v>190</v>
      </c>
      <c r="O884" t="s">
        <v>191</v>
      </c>
      <c r="P884">
        <v>13</v>
      </c>
      <c r="Q884" t="s">
        <v>161</v>
      </c>
      <c r="S884" t="str">
        <f>_xlfn.XLOOKUP(UNIVERSO[[#This Row],[Ruta]],'[1]CUOTA RUTA'!A:A,'[1]CUOTA RUTA'!D:D)</f>
        <v>Cargar</v>
      </c>
    </row>
    <row r="885" spans="1:19" x14ac:dyDescent="0.25">
      <c r="A885">
        <v>1500049045</v>
      </c>
      <c r="B885" t="s">
        <v>1989</v>
      </c>
      <c r="C885" t="s">
        <v>19</v>
      </c>
      <c r="D885" t="s">
        <v>186</v>
      </c>
      <c r="E885" t="s">
        <v>21</v>
      </c>
      <c r="F885" t="s">
        <v>22</v>
      </c>
      <c r="G885" t="s">
        <v>64</v>
      </c>
      <c r="H885" t="s">
        <v>229</v>
      </c>
      <c r="I885" t="s">
        <v>1990</v>
      </c>
      <c r="J885">
        <v>9.9829678600000005</v>
      </c>
      <c r="K885">
        <v>-83.05077962</v>
      </c>
      <c r="L885" t="s">
        <v>1225</v>
      </c>
      <c r="M885" t="s">
        <v>189</v>
      </c>
      <c r="N885" t="s">
        <v>190</v>
      </c>
      <c r="O885" t="s">
        <v>191</v>
      </c>
      <c r="P885">
        <v>13</v>
      </c>
      <c r="Q885" t="s">
        <v>161</v>
      </c>
      <c r="S885" t="str">
        <f>_xlfn.XLOOKUP(UNIVERSO[[#This Row],[Ruta]],'[1]CUOTA RUTA'!A:A,'[1]CUOTA RUTA'!D:D)</f>
        <v>Cargar</v>
      </c>
    </row>
    <row r="886" spans="1:19" x14ac:dyDescent="0.25">
      <c r="A886">
        <v>1500049315</v>
      </c>
      <c r="B886" t="s">
        <v>1991</v>
      </c>
      <c r="C886" t="s">
        <v>19</v>
      </c>
      <c r="D886" t="s">
        <v>186</v>
      </c>
      <c r="E886" t="s">
        <v>21</v>
      </c>
      <c r="F886" t="s">
        <v>22</v>
      </c>
      <c r="G886" t="s">
        <v>64</v>
      </c>
      <c r="H886" t="s">
        <v>241</v>
      </c>
      <c r="I886" t="s">
        <v>1992</v>
      </c>
      <c r="J886">
        <v>10.014570000000001</v>
      </c>
      <c r="K886">
        <v>-83.254135000000005</v>
      </c>
      <c r="L886" t="s">
        <v>1225</v>
      </c>
      <c r="M886" t="s">
        <v>189</v>
      </c>
      <c r="N886" t="s">
        <v>190</v>
      </c>
      <c r="O886" t="s">
        <v>191</v>
      </c>
      <c r="P886">
        <v>20</v>
      </c>
      <c r="Q886" t="s">
        <v>74</v>
      </c>
      <c r="S886" t="str">
        <f>_xlfn.XLOOKUP(UNIVERSO[[#This Row],[Ruta]],'[1]CUOTA RUTA'!A:A,'[1]CUOTA RUTA'!D:D)</f>
        <v>Cargar</v>
      </c>
    </row>
    <row r="887" spans="1:19" x14ac:dyDescent="0.25">
      <c r="A887">
        <v>1500049351</v>
      </c>
      <c r="B887" t="s">
        <v>1993</v>
      </c>
      <c r="C887" t="s">
        <v>19</v>
      </c>
      <c r="D887" t="s">
        <v>186</v>
      </c>
      <c r="E887" t="s">
        <v>21</v>
      </c>
      <c r="F887" t="s">
        <v>22</v>
      </c>
      <c r="G887" t="s">
        <v>64</v>
      </c>
      <c r="H887" t="s">
        <v>237</v>
      </c>
      <c r="I887" t="s">
        <v>1994</v>
      </c>
      <c r="J887">
        <v>10.086529000000001</v>
      </c>
      <c r="K887">
        <v>-83.354325599999996</v>
      </c>
      <c r="L887" t="s">
        <v>1225</v>
      </c>
      <c r="M887" t="s">
        <v>189</v>
      </c>
      <c r="N887" t="s">
        <v>190</v>
      </c>
      <c r="O887" t="s">
        <v>191</v>
      </c>
      <c r="P887">
        <v>21</v>
      </c>
      <c r="Q887" t="s">
        <v>239</v>
      </c>
      <c r="S887" t="str">
        <f>_xlfn.XLOOKUP(UNIVERSO[[#This Row],[Ruta]],'[1]CUOTA RUTA'!A:A,'[1]CUOTA RUTA'!D:D)</f>
        <v>Cargar</v>
      </c>
    </row>
    <row r="888" spans="1:19" x14ac:dyDescent="0.25">
      <c r="A888">
        <v>1500049504</v>
      </c>
      <c r="B888" t="s">
        <v>1995</v>
      </c>
      <c r="C888" t="s">
        <v>19</v>
      </c>
      <c r="D888" t="s">
        <v>186</v>
      </c>
      <c r="E888" t="s">
        <v>21</v>
      </c>
      <c r="F888" t="s">
        <v>22</v>
      </c>
      <c r="G888" t="s">
        <v>33</v>
      </c>
      <c r="H888" t="s">
        <v>229</v>
      </c>
      <c r="I888" t="s">
        <v>1996</v>
      </c>
      <c r="J888">
        <v>9.9854699999999994</v>
      </c>
      <c r="K888">
        <v>-83.03613</v>
      </c>
      <c r="L888" t="s">
        <v>1225</v>
      </c>
      <c r="M888" t="s">
        <v>189</v>
      </c>
      <c r="N888" t="s">
        <v>190</v>
      </c>
      <c r="O888" t="s">
        <v>191</v>
      </c>
      <c r="P888">
        <v>15</v>
      </c>
      <c r="Q888" t="s">
        <v>231</v>
      </c>
      <c r="S888" t="str">
        <f>_xlfn.XLOOKUP(UNIVERSO[[#This Row],[Ruta]],'[1]CUOTA RUTA'!A:A,'[1]CUOTA RUTA'!D:D)</f>
        <v>Cargar</v>
      </c>
    </row>
    <row r="889" spans="1:19" x14ac:dyDescent="0.25">
      <c r="A889">
        <v>1500049592</v>
      </c>
      <c r="B889" t="s">
        <v>1997</v>
      </c>
      <c r="C889" t="s">
        <v>19</v>
      </c>
      <c r="D889" t="s">
        <v>186</v>
      </c>
      <c r="E889" t="s">
        <v>21</v>
      </c>
      <c r="F889" t="s">
        <v>22</v>
      </c>
      <c r="G889" t="s">
        <v>33</v>
      </c>
      <c r="H889" t="s">
        <v>868</v>
      </c>
      <c r="I889" t="s">
        <v>1998</v>
      </c>
      <c r="J889">
        <v>9.9919909400000009</v>
      </c>
      <c r="K889">
        <v>-83.032665789999996</v>
      </c>
      <c r="L889" t="s">
        <v>1225</v>
      </c>
      <c r="M889" t="s">
        <v>189</v>
      </c>
      <c r="N889" t="s">
        <v>190</v>
      </c>
      <c r="O889" t="s">
        <v>191</v>
      </c>
      <c r="P889">
        <v>12</v>
      </c>
      <c r="Q889" t="s">
        <v>42</v>
      </c>
      <c r="S889" t="str">
        <f>_xlfn.XLOOKUP(UNIVERSO[[#This Row],[Ruta]],'[1]CUOTA RUTA'!A:A,'[1]CUOTA RUTA'!D:D)</f>
        <v>Cargar</v>
      </c>
    </row>
    <row r="890" spans="1:19" x14ac:dyDescent="0.25">
      <c r="A890">
        <v>1500049654</v>
      </c>
      <c r="B890" t="s">
        <v>1999</v>
      </c>
      <c r="C890" t="s">
        <v>19</v>
      </c>
      <c r="D890" t="s">
        <v>186</v>
      </c>
      <c r="E890" t="s">
        <v>21</v>
      </c>
      <c r="F890" t="s">
        <v>22</v>
      </c>
      <c r="G890" t="s">
        <v>33</v>
      </c>
      <c r="H890" t="s">
        <v>187</v>
      </c>
      <c r="I890" t="s">
        <v>2000</v>
      </c>
      <c r="J890">
        <v>10.000959999999999</v>
      </c>
      <c r="K890">
        <v>-83.035319999999999</v>
      </c>
      <c r="L890" t="s">
        <v>1225</v>
      </c>
      <c r="M890" t="s">
        <v>189</v>
      </c>
      <c r="N890" t="s">
        <v>190</v>
      </c>
      <c r="O890" t="s">
        <v>191</v>
      </c>
      <c r="P890">
        <v>12</v>
      </c>
      <c r="Q890" t="s">
        <v>42</v>
      </c>
      <c r="S890" t="str">
        <f>_xlfn.XLOOKUP(UNIVERSO[[#This Row],[Ruta]],'[1]CUOTA RUTA'!A:A,'[1]CUOTA RUTA'!D:D)</f>
        <v>Cargar</v>
      </c>
    </row>
    <row r="891" spans="1:19" x14ac:dyDescent="0.25">
      <c r="A891">
        <v>1500049781</v>
      </c>
      <c r="B891" t="s">
        <v>2001</v>
      </c>
      <c r="C891" t="s">
        <v>19</v>
      </c>
      <c r="D891" t="s">
        <v>186</v>
      </c>
      <c r="E891" t="s">
        <v>21</v>
      </c>
      <c r="F891" t="s">
        <v>22</v>
      </c>
      <c r="G891" t="s">
        <v>33</v>
      </c>
      <c r="H891" t="s">
        <v>229</v>
      </c>
      <c r="I891" t="s">
        <v>2002</v>
      </c>
      <c r="J891">
        <v>9.9803099999999993</v>
      </c>
      <c r="K891">
        <v>-83.040750000000003</v>
      </c>
      <c r="L891" t="s">
        <v>1225</v>
      </c>
      <c r="M891" t="s">
        <v>189</v>
      </c>
      <c r="N891" t="s">
        <v>190</v>
      </c>
      <c r="O891" t="s">
        <v>191</v>
      </c>
      <c r="P891">
        <v>15</v>
      </c>
      <c r="Q891" t="s">
        <v>231</v>
      </c>
      <c r="S891" t="str">
        <f>_xlfn.XLOOKUP(UNIVERSO[[#This Row],[Ruta]],'[1]CUOTA RUTA'!A:A,'[1]CUOTA RUTA'!D:D)</f>
        <v>Cargar</v>
      </c>
    </row>
    <row r="892" spans="1:19" x14ac:dyDescent="0.25">
      <c r="A892">
        <v>1500049976</v>
      </c>
      <c r="B892" t="s">
        <v>2003</v>
      </c>
      <c r="C892" t="s">
        <v>19</v>
      </c>
      <c r="D892" t="s">
        <v>186</v>
      </c>
      <c r="E892" t="s">
        <v>21</v>
      </c>
      <c r="F892" t="s">
        <v>22</v>
      </c>
      <c r="G892" t="s">
        <v>23</v>
      </c>
      <c r="H892" t="s">
        <v>868</v>
      </c>
      <c r="I892" t="s">
        <v>2004</v>
      </c>
      <c r="J892">
        <v>9.9939999999999998</v>
      </c>
      <c r="K892">
        <v>-83.038970000000006</v>
      </c>
      <c r="L892" t="s">
        <v>1225</v>
      </c>
      <c r="M892" t="s">
        <v>189</v>
      </c>
      <c r="N892" t="s">
        <v>190</v>
      </c>
      <c r="O892" t="s">
        <v>191</v>
      </c>
      <c r="P892">
        <v>15</v>
      </c>
      <c r="Q892" t="s">
        <v>231</v>
      </c>
      <c r="S892" t="str">
        <f>_xlfn.XLOOKUP(UNIVERSO[[#This Row],[Ruta]],'[1]CUOTA RUTA'!A:A,'[1]CUOTA RUTA'!D:D)</f>
        <v>Cargar</v>
      </c>
    </row>
    <row r="893" spans="1:19" x14ac:dyDescent="0.25">
      <c r="A893">
        <v>1500050097</v>
      </c>
      <c r="B893" t="s">
        <v>2005</v>
      </c>
      <c r="C893" t="s">
        <v>19</v>
      </c>
      <c r="D893" t="s">
        <v>186</v>
      </c>
      <c r="E893" t="s">
        <v>21</v>
      </c>
      <c r="F893" t="s">
        <v>22</v>
      </c>
      <c r="G893" t="s">
        <v>33</v>
      </c>
      <c r="H893" t="s">
        <v>241</v>
      </c>
      <c r="I893" t="s">
        <v>2006</v>
      </c>
      <c r="J893">
        <v>9.99193</v>
      </c>
      <c r="K893">
        <v>-83.129630000000006</v>
      </c>
      <c r="L893" t="s">
        <v>1225</v>
      </c>
      <c r="M893" t="s">
        <v>189</v>
      </c>
      <c r="N893" t="s">
        <v>190</v>
      </c>
      <c r="O893" t="s">
        <v>191</v>
      </c>
      <c r="P893">
        <v>23</v>
      </c>
      <c r="Q893" t="s">
        <v>125</v>
      </c>
      <c r="S893" t="str">
        <f>_xlfn.XLOOKUP(UNIVERSO[[#This Row],[Ruta]],'[1]CUOTA RUTA'!A:A,'[1]CUOTA RUTA'!D:D)</f>
        <v>Cargar</v>
      </c>
    </row>
    <row r="894" spans="1:19" x14ac:dyDescent="0.25">
      <c r="A894">
        <v>1500050189</v>
      </c>
      <c r="B894" t="s">
        <v>2007</v>
      </c>
      <c r="C894" t="s">
        <v>19</v>
      </c>
      <c r="D894" t="s">
        <v>186</v>
      </c>
      <c r="E894" t="s">
        <v>21</v>
      </c>
      <c r="F894" t="s">
        <v>22</v>
      </c>
      <c r="G894" t="s">
        <v>64</v>
      </c>
      <c r="H894" t="s">
        <v>420</v>
      </c>
      <c r="I894" t="s">
        <v>2008</v>
      </c>
      <c r="J894">
        <v>9.9188749999999999</v>
      </c>
      <c r="K894">
        <v>-83.065573000000001</v>
      </c>
      <c r="L894" t="s">
        <v>1225</v>
      </c>
      <c r="M894" t="s">
        <v>189</v>
      </c>
      <c r="N894" t="s">
        <v>190</v>
      </c>
      <c r="O894" t="s">
        <v>191</v>
      </c>
      <c r="P894">
        <v>16</v>
      </c>
      <c r="Q894" t="s">
        <v>60</v>
      </c>
      <c r="S894" t="str">
        <f>_xlfn.XLOOKUP(UNIVERSO[[#This Row],[Ruta]],'[1]CUOTA RUTA'!A:A,'[1]CUOTA RUTA'!D:D)</f>
        <v>Cargar</v>
      </c>
    </row>
    <row r="895" spans="1:19" x14ac:dyDescent="0.25">
      <c r="A895">
        <v>1500050190</v>
      </c>
      <c r="B895" t="s">
        <v>2009</v>
      </c>
      <c r="C895" t="s">
        <v>19</v>
      </c>
      <c r="D895" t="s">
        <v>186</v>
      </c>
      <c r="E895" t="s">
        <v>21</v>
      </c>
      <c r="F895" t="s">
        <v>22</v>
      </c>
      <c r="G895" t="s">
        <v>64</v>
      </c>
      <c r="H895" t="s">
        <v>420</v>
      </c>
      <c r="I895" t="s">
        <v>2010</v>
      </c>
      <c r="J895">
        <v>9.9161300000000008</v>
      </c>
      <c r="K895">
        <v>-83.064610000000002</v>
      </c>
      <c r="L895" t="s">
        <v>1225</v>
      </c>
      <c r="M895" t="s">
        <v>189</v>
      </c>
      <c r="N895" t="s">
        <v>190</v>
      </c>
      <c r="O895" t="s">
        <v>191</v>
      </c>
      <c r="P895">
        <v>16</v>
      </c>
      <c r="Q895" t="s">
        <v>60</v>
      </c>
      <c r="S895" t="str">
        <f>_xlfn.XLOOKUP(UNIVERSO[[#This Row],[Ruta]],'[1]CUOTA RUTA'!A:A,'[1]CUOTA RUTA'!D:D)</f>
        <v>Cargar</v>
      </c>
    </row>
    <row r="896" spans="1:19" x14ac:dyDescent="0.25">
      <c r="A896">
        <v>1500050291</v>
      </c>
      <c r="B896" t="s">
        <v>2011</v>
      </c>
      <c r="C896" t="s">
        <v>19</v>
      </c>
      <c r="D896" t="s">
        <v>186</v>
      </c>
      <c r="E896" t="s">
        <v>21</v>
      </c>
      <c r="F896" t="s">
        <v>22</v>
      </c>
      <c r="G896" t="s">
        <v>33</v>
      </c>
      <c r="H896" t="s">
        <v>241</v>
      </c>
      <c r="I896" t="s">
        <v>2012</v>
      </c>
      <c r="J896">
        <v>9.9739699999999996</v>
      </c>
      <c r="K896">
        <v>-83.154617000000002</v>
      </c>
      <c r="L896" t="s">
        <v>1225</v>
      </c>
      <c r="M896" t="s">
        <v>189</v>
      </c>
      <c r="N896" t="s">
        <v>190</v>
      </c>
      <c r="O896" t="s">
        <v>191</v>
      </c>
      <c r="P896">
        <v>18</v>
      </c>
      <c r="Q896" t="s">
        <v>84</v>
      </c>
      <c r="S896" t="str">
        <f>_xlfn.XLOOKUP(UNIVERSO[[#This Row],[Ruta]],'[1]CUOTA RUTA'!A:A,'[1]CUOTA RUTA'!D:D)</f>
        <v>Cargar</v>
      </c>
    </row>
    <row r="897" spans="1:19" x14ac:dyDescent="0.25">
      <c r="A897">
        <v>1500050472</v>
      </c>
      <c r="B897" t="s">
        <v>2013</v>
      </c>
      <c r="C897" t="s">
        <v>19</v>
      </c>
      <c r="D897" t="s">
        <v>186</v>
      </c>
      <c r="E897" t="s">
        <v>21</v>
      </c>
      <c r="F897" t="s">
        <v>22</v>
      </c>
      <c r="G897" t="s">
        <v>23</v>
      </c>
      <c r="H897" t="s">
        <v>420</v>
      </c>
      <c r="I897" t="s">
        <v>2014</v>
      </c>
      <c r="J897">
        <v>9.7432359999999996</v>
      </c>
      <c r="K897">
        <v>-82.951744000000005</v>
      </c>
      <c r="L897" t="s">
        <v>1225</v>
      </c>
      <c r="M897" t="s">
        <v>189</v>
      </c>
      <c r="N897" t="s">
        <v>190</v>
      </c>
      <c r="O897" t="s">
        <v>191</v>
      </c>
      <c r="P897">
        <v>17</v>
      </c>
      <c r="Q897" t="s">
        <v>287</v>
      </c>
      <c r="S897" t="str">
        <f>_xlfn.XLOOKUP(UNIVERSO[[#This Row],[Ruta]],'[1]CUOTA RUTA'!A:A,'[1]CUOTA RUTA'!D:D)</f>
        <v>Cargar</v>
      </c>
    </row>
    <row r="898" spans="1:19" x14ac:dyDescent="0.25">
      <c r="A898">
        <v>1500050487</v>
      </c>
      <c r="B898" t="s">
        <v>460</v>
      </c>
      <c r="C898" t="s">
        <v>19</v>
      </c>
      <c r="D898" t="s">
        <v>186</v>
      </c>
      <c r="E898" t="s">
        <v>21</v>
      </c>
      <c r="F898" t="s">
        <v>22</v>
      </c>
      <c r="G898" t="s">
        <v>33</v>
      </c>
      <c r="H898" t="s">
        <v>187</v>
      </c>
      <c r="I898" t="s">
        <v>2015</v>
      </c>
      <c r="J898">
        <v>9.9963800000000003</v>
      </c>
      <c r="K898">
        <v>-83.046790000000001</v>
      </c>
      <c r="L898" t="s">
        <v>1225</v>
      </c>
      <c r="M898" t="s">
        <v>189</v>
      </c>
      <c r="N898" t="s">
        <v>190</v>
      </c>
      <c r="O898" t="s">
        <v>191</v>
      </c>
      <c r="P898">
        <v>13</v>
      </c>
      <c r="Q898" t="s">
        <v>161</v>
      </c>
      <c r="S898" t="str">
        <f>_xlfn.XLOOKUP(UNIVERSO[[#This Row],[Ruta]],'[1]CUOTA RUTA'!A:A,'[1]CUOTA RUTA'!D:D)</f>
        <v>Cargar</v>
      </c>
    </row>
    <row r="899" spans="1:19" x14ac:dyDescent="0.25">
      <c r="A899">
        <v>1500050666</v>
      </c>
      <c r="B899" t="s">
        <v>2016</v>
      </c>
      <c r="C899" t="s">
        <v>19</v>
      </c>
      <c r="D899" t="s">
        <v>186</v>
      </c>
      <c r="E899" t="s">
        <v>21</v>
      </c>
      <c r="F899" t="s">
        <v>22</v>
      </c>
      <c r="G899" t="s">
        <v>33</v>
      </c>
      <c r="H899" t="s">
        <v>237</v>
      </c>
      <c r="I899" t="s">
        <v>2017</v>
      </c>
      <c r="J899">
        <v>10.003399999999999</v>
      </c>
      <c r="K899">
        <v>-83.311679999999996</v>
      </c>
      <c r="L899" t="s">
        <v>1225</v>
      </c>
      <c r="M899" t="s">
        <v>189</v>
      </c>
      <c r="N899" t="s">
        <v>190</v>
      </c>
      <c r="O899" t="s">
        <v>191</v>
      </c>
      <c r="P899">
        <v>22</v>
      </c>
      <c r="Q899" t="s">
        <v>30</v>
      </c>
      <c r="S899" t="str">
        <f>_xlfn.XLOOKUP(UNIVERSO[[#This Row],[Ruta]],'[1]CUOTA RUTA'!A:A,'[1]CUOTA RUTA'!D:D)</f>
        <v>Cargar</v>
      </c>
    </row>
    <row r="900" spans="1:19" x14ac:dyDescent="0.25">
      <c r="A900">
        <v>1500052592</v>
      </c>
      <c r="B900" t="s">
        <v>2018</v>
      </c>
      <c r="C900" t="s">
        <v>19</v>
      </c>
      <c r="D900" t="s">
        <v>569</v>
      </c>
      <c r="E900" t="s">
        <v>21</v>
      </c>
      <c r="F900" t="s">
        <v>22</v>
      </c>
      <c r="G900" t="s">
        <v>33</v>
      </c>
      <c r="H900" t="s">
        <v>570</v>
      </c>
      <c r="I900" t="s">
        <v>2019</v>
      </c>
      <c r="J900">
        <v>8.9639199999999999</v>
      </c>
      <c r="K900">
        <v>-83.457597000000007</v>
      </c>
      <c r="L900" t="s">
        <v>1225</v>
      </c>
      <c r="M900" t="s">
        <v>572</v>
      </c>
      <c r="N900" t="s">
        <v>573</v>
      </c>
      <c r="O900" t="s">
        <v>574</v>
      </c>
      <c r="P900">
        <v>21</v>
      </c>
      <c r="Q900" t="s">
        <v>239</v>
      </c>
      <c r="S900" t="str">
        <f>_xlfn.XLOOKUP(UNIVERSO[[#This Row],[Ruta]],'[1]CUOTA RUTA'!A:A,'[1]CUOTA RUTA'!D:D)</f>
        <v>Cargar</v>
      </c>
    </row>
    <row r="901" spans="1:19" x14ac:dyDescent="0.25">
      <c r="A901">
        <v>1500052791</v>
      </c>
      <c r="B901" t="s">
        <v>2020</v>
      </c>
      <c r="C901" t="s">
        <v>19</v>
      </c>
      <c r="D901" t="s">
        <v>569</v>
      </c>
      <c r="E901" t="s">
        <v>21</v>
      </c>
      <c r="F901" t="s">
        <v>22</v>
      </c>
      <c r="G901" t="s">
        <v>33</v>
      </c>
      <c r="H901" t="s">
        <v>570</v>
      </c>
      <c r="I901" t="s">
        <v>2021</v>
      </c>
      <c r="J901">
        <v>8.8599759999999996</v>
      </c>
      <c r="K901">
        <v>-83.472279999999998</v>
      </c>
      <c r="L901" t="s">
        <v>1225</v>
      </c>
      <c r="M901" t="s">
        <v>572</v>
      </c>
      <c r="N901" t="s">
        <v>573</v>
      </c>
      <c r="O901" t="s">
        <v>574</v>
      </c>
      <c r="P901">
        <v>22</v>
      </c>
      <c r="Q901" t="s">
        <v>30</v>
      </c>
      <c r="S901" t="str">
        <f>_xlfn.XLOOKUP(UNIVERSO[[#This Row],[Ruta]],'[1]CUOTA RUTA'!A:A,'[1]CUOTA RUTA'!D:D)</f>
        <v>Cargar</v>
      </c>
    </row>
    <row r="902" spans="1:19" x14ac:dyDescent="0.25">
      <c r="A902">
        <v>1500053018</v>
      </c>
      <c r="B902" t="s">
        <v>2022</v>
      </c>
      <c r="C902" t="s">
        <v>19</v>
      </c>
      <c r="D902" t="s">
        <v>569</v>
      </c>
      <c r="E902" t="s">
        <v>21</v>
      </c>
      <c r="F902" t="s">
        <v>51</v>
      </c>
      <c r="G902" t="s">
        <v>23</v>
      </c>
      <c r="H902" t="s">
        <v>2023</v>
      </c>
      <c r="I902" t="s">
        <v>2024</v>
      </c>
      <c r="J902">
        <v>9.0843279999999993</v>
      </c>
      <c r="K902">
        <v>-83.648605000000003</v>
      </c>
      <c r="L902" t="s">
        <v>1225</v>
      </c>
      <c r="M902" t="s">
        <v>572</v>
      </c>
      <c r="N902" t="s">
        <v>573</v>
      </c>
      <c r="O902" t="s">
        <v>574</v>
      </c>
      <c r="P902">
        <v>22</v>
      </c>
      <c r="Q902" t="s">
        <v>30</v>
      </c>
      <c r="S902" t="str">
        <f>_xlfn.XLOOKUP(UNIVERSO[[#This Row],[Ruta]],'[1]CUOTA RUTA'!A:A,'[1]CUOTA RUTA'!D:D)</f>
        <v>Cargar</v>
      </c>
    </row>
    <row r="903" spans="1:19" x14ac:dyDescent="0.25">
      <c r="A903">
        <v>1500053264</v>
      </c>
      <c r="B903" t="s">
        <v>2025</v>
      </c>
      <c r="C903" t="s">
        <v>19</v>
      </c>
      <c r="D903" t="s">
        <v>244</v>
      </c>
      <c r="E903" t="s">
        <v>21</v>
      </c>
      <c r="F903" t="s">
        <v>22</v>
      </c>
      <c r="G903" t="s">
        <v>64</v>
      </c>
      <c r="H903" t="s">
        <v>245</v>
      </c>
      <c r="I903" t="s">
        <v>2026</v>
      </c>
      <c r="J903">
        <v>9.3526019999999992</v>
      </c>
      <c r="K903">
        <v>-83.676935999999998</v>
      </c>
      <c r="L903" t="s">
        <v>1225</v>
      </c>
      <c r="M903" t="s">
        <v>46</v>
      </c>
      <c r="N903" t="s">
        <v>247</v>
      </c>
      <c r="O903" t="s">
        <v>248</v>
      </c>
      <c r="P903">
        <v>13</v>
      </c>
      <c r="Q903" t="s">
        <v>161</v>
      </c>
      <c r="S903" t="str">
        <f>_xlfn.XLOOKUP(UNIVERSO[[#This Row],[Ruta]],'[1]CUOTA RUTA'!A:A,'[1]CUOTA RUTA'!D:D)</f>
        <v>Cargar</v>
      </c>
    </row>
    <row r="904" spans="1:19" x14ac:dyDescent="0.25">
      <c r="A904">
        <v>1500053393</v>
      </c>
      <c r="B904" t="s">
        <v>2027</v>
      </c>
      <c r="C904" t="s">
        <v>19</v>
      </c>
      <c r="D904" t="s">
        <v>244</v>
      </c>
      <c r="E904" t="s">
        <v>21</v>
      </c>
      <c r="F904" t="s">
        <v>22</v>
      </c>
      <c r="G904" t="s">
        <v>33</v>
      </c>
      <c r="H904" t="s">
        <v>1233</v>
      </c>
      <c r="I904" t="s">
        <v>2028</v>
      </c>
      <c r="J904">
        <v>9.2810249999999996</v>
      </c>
      <c r="K904">
        <v>-83.855249999999998</v>
      </c>
      <c r="L904" t="s">
        <v>1225</v>
      </c>
      <c r="M904" t="s">
        <v>46</v>
      </c>
      <c r="N904" t="s">
        <v>247</v>
      </c>
      <c r="O904" t="s">
        <v>248</v>
      </c>
      <c r="P904">
        <v>17</v>
      </c>
      <c r="Q904" t="s">
        <v>287</v>
      </c>
      <c r="S904" t="str">
        <f>_xlfn.XLOOKUP(UNIVERSO[[#This Row],[Ruta]],'[1]CUOTA RUTA'!A:A,'[1]CUOTA RUTA'!D:D)</f>
        <v>Cargar</v>
      </c>
    </row>
    <row r="905" spans="1:19" x14ac:dyDescent="0.25">
      <c r="A905">
        <v>1500053407</v>
      </c>
      <c r="B905" t="s">
        <v>2029</v>
      </c>
      <c r="C905" t="s">
        <v>19</v>
      </c>
      <c r="D905" t="s">
        <v>244</v>
      </c>
      <c r="E905" t="s">
        <v>21</v>
      </c>
      <c r="F905" t="s">
        <v>22</v>
      </c>
      <c r="G905" t="s">
        <v>64</v>
      </c>
      <c r="H905" t="s">
        <v>1233</v>
      </c>
      <c r="I905" t="s">
        <v>2030</v>
      </c>
      <c r="J905">
        <v>9.2990809999999993</v>
      </c>
      <c r="K905">
        <v>-83.783005000000003</v>
      </c>
      <c r="L905" t="s">
        <v>1225</v>
      </c>
      <c r="M905" t="s">
        <v>46</v>
      </c>
      <c r="N905" t="s">
        <v>247</v>
      </c>
      <c r="O905" t="s">
        <v>248</v>
      </c>
      <c r="P905">
        <v>16</v>
      </c>
      <c r="Q905" t="s">
        <v>60</v>
      </c>
      <c r="S905" t="str">
        <f>_xlfn.XLOOKUP(UNIVERSO[[#This Row],[Ruta]],'[1]CUOTA RUTA'!A:A,'[1]CUOTA RUTA'!D:D)</f>
        <v>Cargar</v>
      </c>
    </row>
    <row r="906" spans="1:19" x14ac:dyDescent="0.25">
      <c r="A906">
        <v>1500053413</v>
      </c>
      <c r="B906" t="s">
        <v>2031</v>
      </c>
      <c r="C906" t="s">
        <v>19</v>
      </c>
      <c r="D906" t="s">
        <v>244</v>
      </c>
      <c r="E906" t="s">
        <v>21</v>
      </c>
      <c r="F906" t="s">
        <v>22</v>
      </c>
      <c r="G906" t="s">
        <v>33</v>
      </c>
      <c r="H906" t="s">
        <v>1294</v>
      </c>
      <c r="I906" t="s">
        <v>2032</v>
      </c>
      <c r="J906">
        <v>9.3260260000000006</v>
      </c>
      <c r="K906">
        <v>-83.740896000000006</v>
      </c>
      <c r="L906" t="s">
        <v>1225</v>
      </c>
      <c r="M906" t="s">
        <v>46</v>
      </c>
      <c r="N906" t="s">
        <v>247</v>
      </c>
      <c r="O906" t="s">
        <v>248</v>
      </c>
      <c r="P906">
        <v>16</v>
      </c>
      <c r="Q906" t="s">
        <v>60</v>
      </c>
      <c r="S906" t="str">
        <f>_xlfn.XLOOKUP(UNIVERSO[[#This Row],[Ruta]],'[1]CUOTA RUTA'!A:A,'[1]CUOTA RUTA'!D:D)</f>
        <v>Cargar</v>
      </c>
    </row>
    <row r="907" spans="1:19" x14ac:dyDescent="0.25">
      <c r="A907">
        <v>1500053464</v>
      </c>
      <c r="B907" t="s">
        <v>2033</v>
      </c>
      <c r="C907" t="s">
        <v>19</v>
      </c>
      <c r="D907" t="s">
        <v>244</v>
      </c>
      <c r="E907" t="s">
        <v>21</v>
      </c>
      <c r="F907" t="s">
        <v>22</v>
      </c>
      <c r="G907" t="s">
        <v>64</v>
      </c>
      <c r="H907" t="s">
        <v>566</v>
      </c>
      <c r="I907" t="s">
        <v>2034</v>
      </c>
      <c r="J907">
        <v>9.3726299999999991</v>
      </c>
      <c r="K907">
        <v>-83.704400000000007</v>
      </c>
      <c r="L907" t="s">
        <v>1225</v>
      </c>
      <c r="M907" t="s">
        <v>46</v>
      </c>
      <c r="N907" t="s">
        <v>247</v>
      </c>
      <c r="O907" t="s">
        <v>248</v>
      </c>
      <c r="P907">
        <v>14</v>
      </c>
      <c r="Q907" t="s">
        <v>181</v>
      </c>
      <c r="S907" t="str">
        <f>_xlfn.XLOOKUP(UNIVERSO[[#This Row],[Ruta]],'[1]CUOTA RUTA'!A:A,'[1]CUOTA RUTA'!D:D)</f>
        <v>Cargar</v>
      </c>
    </row>
    <row r="908" spans="1:19" x14ac:dyDescent="0.25">
      <c r="A908">
        <v>1500053807</v>
      </c>
      <c r="B908" t="s">
        <v>2035</v>
      </c>
      <c r="C908" t="s">
        <v>19</v>
      </c>
      <c r="D908" t="s">
        <v>244</v>
      </c>
      <c r="E908" t="s">
        <v>21</v>
      </c>
      <c r="F908" t="s">
        <v>22</v>
      </c>
      <c r="G908" t="s">
        <v>33</v>
      </c>
      <c r="H908" t="s">
        <v>1294</v>
      </c>
      <c r="I908" t="s">
        <v>2036</v>
      </c>
      <c r="J908">
        <v>9.3697750000000006</v>
      </c>
      <c r="K908">
        <v>-83.707941000000005</v>
      </c>
      <c r="L908" t="s">
        <v>1225</v>
      </c>
      <c r="M908" t="s">
        <v>46</v>
      </c>
      <c r="N908" t="s">
        <v>247</v>
      </c>
      <c r="O908" t="s">
        <v>248</v>
      </c>
      <c r="P908">
        <v>14</v>
      </c>
      <c r="Q908" t="s">
        <v>181</v>
      </c>
      <c r="S908" t="str">
        <f>_xlfn.XLOOKUP(UNIVERSO[[#This Row],[Ruta]],'[1]CUOTA RUTA'!A:A,'[1]CUOTA RUTA'!D:D)</f>
        <v>Cargar</v>
      </c>
    </row>
    <row r="909" spans="1:19" x14ac:dyDescent="0.25">
      <c r="A909">
        <v>1500053954</v>
      </c>
      <c r="B909" t="s">
        <v>2037</v>
      </c>
      <c r="C909" t="s">
        <v>19</v>
      </c>
      <c r="D909" t="s">
        <v>244</v>
      </c>
      <c r="E909" t="s">
        <v>21</v>
      </c>
      <c r="F909" t="s">
        <v>22</v>
      </c>
      <c r="G909" t="s">
        <v>33</v>
      </c>
      <c r="H909" t="s">
        <v>566</v>
      </c>
      <c r="I909" t="s">
        <v>2038</v>
      </c>
      <c r="J909">
        <v>9.1688171000000001</v>
      </c>
      <c r="K909">
        <v>-83.331671299999996</v>
      </c>
      <c r="L909" t="s">
        <v>1225</v>
      </c>
      <c r="M909" t="s">
        <v>46</v>
      </c>
      <c r="N909" t="s">
        <v>247</v>
      </c>
      <c r="O909" t="s">
        <v>248</v>
      </c>
      <c r="P909">
        <v>12</v>
      </c>
      <c r="Q909" t="s">
        <v>42</v>
      </c>
      <c r="S909" t="str">
        <f>_xlfn.XLOOKUP(UNIVERSO[[#This Row],[Ruta]],'[1]CUOTA RUTA'!A:A,'[1]CUOTA RUTA'!D:D)</f>
        <v>Cargar</v>
      </c>
    </row>
    <row r="910" spans="1:19" x14ac:dyDescent="0.25">
      <c r="A910">
        <v>1500054379</v>
      </c>
      <c r="B910" t="s">
        <v>2039</v>
      </c>
      <c r="C910" t="s">
        <v>19</v>
      </c>
      <c r="D910" t="s">
        <v>244</v>
      </c>
      <c r="E910" t="s">
        <v>21</v>
      </c>
      <c r="F910" t="s">
        <v>22</v>
      </c>
      <c r="G910" t="s">
        <v>64</v>
      </c>
      <c r="H910" t="s">
        <v>245</v>
      </c>
      <c r="I910" t="s">
        <v>2040</v>
      </c>
      <c r="J910">
        <v>9.1730140000000002</v>
      </c>
      <c r="K910">
        <v>-83.742660000000001</v>
      </c>
      <c r="L910" t="s">
        <v>1225</v>
      </c>
      <c r="M910" t="s">
        <v>46</v>
      </c>
      <c r="N910" t="s">
        <v>247</v>
      </c>
      <c r="O910" t="s">
        <v>248</v>
      </c>
      <c r="P910">
        <v>19</v>
      </c>
      <c r="Q910" t="s">
        <v>67</v>
      </c>
      <c r="S910" t="str">
        <f>_xlfn.XLOOKUP(UNIVERSO[[#This Row],[Ruta]],'[1]CUOTA RUTA'!A:A,'[1]CUOTA RUTA'!D:D)</f>
        <v>Cargar</v>
      </c>
    </row>
    <row r="911" spans="1:19" x14ac:dyDescent="0.25">
      <c r="A911">
        <v>1500056000</v>
      </c>
      <c r="B911" t="s">
        <v>2041</v>
      </c>
      <c r="C911" t="s">
        <v>19</v>
      </c>
      <c r="D911" t="s">
        <v>20</v>
      </c>
      <c r="E911" t="s">
        <v>21</v>
      </c>
      <c r="F911" t="s">
        <v>22</v>
      </c>
      <c r="G911" t="s">
        <v>64</v>
      </c>
      <c r="H911" t="s">
        <v>1128</v>
      </c>
      <c r="I911" t="s">
        <v>2042</v>
      </c>
      <c r="J911">
        <v>10.076738580000001</v>
      </c>
      <c r="K911">
        <v>-84.315404450000003</v>
      </c>
      <c r="L911" t="s">
        <v>1225</v>
      </c>
      <c r="M911" t="s">
        <v>46</v>
      </c>
      <c r="N911" t="s">
        <v>47</v>
      </c>
      <c r="O911" t="s">
        <v>48</v>
      </c>
      <c r="P911">
        <v>4</v>
      </c>
      <c r="Q911" t="s">
        <v>120</v>
      </c>
      <c r="S911" t="str">
        <f>_xlfn.XLOOKUP(UNIVERSO[[#This Row],[Ruta]],'[1]CUOTA RUTA'!A:A,'[1]CUOTA RUTA'!D:D)</f>
        <v>Cargar</v>
      </c>
    </row>
    <row r="912" spans="1:19" x14ac:dyDescent="0.25">
      <c r="A912">
        <v>1500056371</v>
      </c>
      <c r="B912" t="s">
        <v>2043</v>
      </c>
      <c r="C912" t="s">
        <v>19</v>
      </c>
      <c r="D912" t="s">
        <v>20</v>
      </c>
      <c r="E912" t="s">
        <v>21</v>
      </c>
      <c r="F912" t="s">
        <v>22</v>
      </c>
      <c r="G912" t="s">
        <v>64</v>
      </c>
      <c r="H912" t="s">
        <v>260</v>
      </c>
      <c r="I912" t="s">
        <v>2044</v>
      </c>
      <c r="J912">
        <v>10.089097010907</v>
      </c>
      <c r="K912">
        <v>-84.464003221989998</v>
      </c>
      <c r="L912" t="s">
        <v>1225</v>
      </c>
      <c r="M912" t="s">
        <v>46</v>
      </c>
      <c r="N912" t="s">
        <v>47</v>
      </c>
      <c r="O912" t="s">
        <v>48</v>
      </c>
      <c r="P912">
        <v>6</v>
      </c>
      <c r="Q912" t="s">
        <v>49</v>
      </c>
      <c r="S912" t="str">
        <f>_xlfn.XLOOKUP(UNIVERSO[[#This Row],[Ruta]],'[1]CUOTA RUTA'!A:A,'[1]CUOTA RUTA'!D:D)</f>
        <v>Cargar</v>
      </c>
    </row>
    <row r="913" spans="1:19" x14ac:dyDescent="0.25">
      <c r="A913">
        <v>1500056411</v>
      </c>
      <c r="B913" t="s">
        <v>2045</v>
      </c>
      <c r="C913" t="s">
        <v>19</v>
      </c>
      <c r="D913" t="s">
        <v>20</v>
      </c>
      <c r="E913" t="s">
        <v>21</v>
      </c>
      <c r="F913" t="s">
        <v>22</v>
      </c>
      <c r="G913" t="s">
        <v>33</v>
      </c>
      <c r="H913" t="s">
        <v>263</v>
      </c>
      <c r="I913" t="s">
        <v>2046</v>
      </c>
      <c r="J913">
        <v>10.13022</v>
      </c>
      <c r="K913">
        <v>-84.305980000000005</v>
      </c>
      <c r="L913" t="s">
        <v>1225</v>
      </c>
      <c r="M913" t="s">
        <v>46</v>
      </c>
      <c r="N913" t="s">
        <v>47</v>
      </c>
      <c r="O913" t="s">
        <v>48</v>
      </c>
      <c r="P913">
        <v>2</v>
      </c>
      <c r="Q913" t="s">
        <v>150</v>
      </c>
      <c r="S913" t="str">
        <f>_xlfn.XLOOKUP(UNIVERSO[[#This Row],[Ruta]],'[1]CUOTA RUTA'!A:A,'[1]CUOTA RUTA'!D:D)</f>
        <v>Cargar</v>
      </c>
    </row>
    <row r="914" spans="1:19" x14ac:dyDescent="0.25">
      <c r="A914">
        <v>1500056425</v>
      </c>
      <c r="B914" t="s">
        <v>2047</v>
      </c>
      <c r="C914" t="s">
        <v>19</v>
      </c>
      <c r="D914" t="s">
        <v>20</v>
      </c>
      <c r="E914" t="s">
        <v>21</v>
      </c>
      <c r="F914" t="s">
        <v>22</v>
      </c>
      <c r="G914" t="s">
        <v>64</v>
      </c>
      <c r="H914" t="s">
        <v>263</v>
      </c>
      <c r="I914" t="s">
        <v>2048</v>
      </c>
      <c r="J914">
        <v>10.0865615</v>
      </c>
      <c r="K914">
        <v>-84.371128999999996</v>
      </c>
      <c r="L914" t="s">
        <v>1225</v>
      </c>
      <c r="M914" t="s">
        <v>46</v>
      </c>
      <c r="N914" t="s">
        <v>47</v>
      </c>
      <c r="O914" t="s">
        <v>48</v>
      </c>
      <c r="P914">
        <v>5</v>
      </c>
      <c r="Q914" t="s">
        <v>117</v>
      </c>
      <c r="S914" t="str">
        <f>_xlfn.XLOOKUP(UNIVERSO[[#This Row],[Ruta]],'[1]CUOTA RUTA'!A:A,'[1]CUOTA RUTA'!D:D)</f>
        <v>Cargar</v>
      </c>
    </row>
    <row r="915" spans="1:19" x14ac:dyDescent="0.25">
      <c r="A915">
        <v>1500056455</v>
      </c>
      <c r="B915" t="s">
        <v>1174</v>
      </c>
      <c r="C915" t="s">
        <v>19</v>
      </c>
      <c r="D915" t="s">
        <v>20</v>
      </c>
      <c r="E915" t="s">
        <v>21</v>
      </c>
      <c r="F915" t="s">
        <v>22</v>
      </c>
      <c r="G915" t="s">
        <v>64</v>
      </c>
      <c r="H915" t="s">
        <v>263</v>
      </c>
      <c r="I915" t="s">
        <v>2049</v>
      </c>
      <c r="J915">
        <v>10.118840000000001</v>
      </c>
      <c r="K915">
        <v>-84.292919999999995</v>
      </c>
      <c r="L915" t="s">
        <v>1225</v>
      </c>
      <c r="M915" t="s">
        <v>46</v>
      </c>
      <c r="N915" t="s">
        <v>47</v>
      </c>
      <c r="O915" t="s">
        <v>48</v>
      </c>
      <c r="P915">
        <v>2</v>
      </c>
      <c r="Q915" t="s">
        <v>150</v>
      </c>
      <c r="S915" t="str">
        <f>_xlfn.XLOOKUP(UNIVERSO[[#This Row],[Ruta]],'[1]CUOTA RUTA'!A:A,'[1]CUOTA RUTA'!D:D)</f>
        <v>Cargar</v>
      </c>
    </row>
    <row r="916" spans="1:19" x14ac:dyDescent="0.25">
      <c r="A916">
        <v>1500056462</v>
      </c>
      <c r="B916" t="s">
        <v>2050</v>
      </c>
      <c r="C916" t="s">
        <v>19</v>
      </c>
      <c r="D916" t="s">
        <v>20</v>
      </c>
      <c r="E916" t="s">
        <v>21</v>
      </c>
      <c r="F916" t="s">
        <v>22</v>
      </c>
      <c r="G916" t="s">
        <v>23</v>
      </c>
      <c r="H916" t="s">
        <v>255</v>
      </c>
      <c r="I916" t="s">
        <v>2051</v>
      </c>
      <c r="J916">
        <v>10.097020000000001</v>
      </c>
      <c r="K916">
        <v>-84.301220000000001</v>
      </c>
      <c r="L916" t="s">
        <v>1225</v>
      </c>
      <c r="M916" t="s">
        <v>46</v>
      </c>
      <c r="N916" t="s">
        <v>47</v>
      </c>
      <c r="O916" t="s">
        <v>48</v>
      </c>
      <c r="P916">
        <v>4</v>
      </c>
      <c r="Q916" t="s">
        <v>120</v>
      </c>
      <c r="S916" t="str">
        <f>_xlfn.XLOOKUP(UNIVERSO[[#This Row],[Ruta]],'[1]CUOTA RUTA'!A:A,'[1]CUOTA RUTA'!D:D)</f>
        <v>Cargar</v>
      </c>
    </row>
    <row r="917" spans="1:19" x14ac:dyDescent="0.25">
      <c r="A917">
        <v>1500056515</v>
      </c>
      <c r="B917" t="s">
        <v>2052</v>
      </c>
      <c r="C917" t="s">
        <v>19</v>
      </c>
      <c r="D917" t="s">
        <v>20</v>
      </c>
      <c r="E917" t="s">
        <v>21</v>
      </c>
      <c r="F917" t="s">
        <v>22</v>
      </c>
      <c r="G917" t="s">
        <v>33</v>
      </c>
      <c r="H917" t="s">
        <v>44</v>
      </c>
      <c r="I917" t="s">
        <v>2053</v>
      </c>
      <c r="J917">
        <v>10.10123003</v>
      </c>
      <c r="K917">
        <v>-84.369924089999998</v>
      </c>
      <c r="L917" t="s">
        <v>1225</v>
      </c>
      <c r="M917" t="s">
        <v>46</v>
      </c>
      <c r="N917" t="s">
        <v>47</v>
      </c>
      <c r="O917" t="s">
        <v>48</v>
      </c>
      <c r="P917">
        <v>2</v>
      </c>
      <c r="Q917" t="s">
        <v>150</v>
      </c>
      <c r="S917" t="str">
        <f>_xlfn.XLOOKUP(UNIVERSO[[#This Row],[Ruta]],'[1]CUOTA RUTA'!A:A,'[1]CUOTA RUTA'!D:D)</f>
        <v>Cargar</v>
      </c>
    </row>
    <row r="918" spans="1:19" x14ac:dyDescent="0.25">
      <c r="A918">
        <v>1500056526</v>
      </c>
      <c r="B918" t="s">
        <v>2054</v>
      </c>
      <c r="C918" t="s">
        <v>19</v>
      </c>
      <c r="D918" t="s">
        <v>20</v>
      </c>
      <c r="E918" t="s">
        <v>21</v>
      </c>
      <c r="F918" t="s">
        <v>22</v>
      </c>
      <c r="G918" t="s">
        <v>64</v>
      </c>
      <c r="H918" t="s">
        <v>263</v>
      </c>
      <c r="I918" t="s">
        <v>2055</v>
      </c>
      <c r="J918">
        <v>10.091480000000001</v>
      </c>
      <c r="K918">
        <v>-84.340819999999994</v>
      </c>
      <c r="L918" t="s">
        <v>1225</v>
      </c>
      <c r="M918" t="s">
        <v>46</v>
      </c>
      <c r="N918" t="s">
        <v>47</v>
      </c>
      <c r="O918" t="s">
        <v>48</v>
      </c>
      <c r="P918">
        <v>4</v>
      </c>
      <c r="Q918" t="s">
        <v>120</v>
      </c>
      <c r="S918" t="str">
        <f>_xlfn.XLOOKUP(UNIVERSO[[#This Row],[Ruta]],'[1]CUOTA RUTA'!A:A,'[1]CUOTA RUTA'!D:D)</f>
        <v>Cargar</v>
      </c>
    </row>
    <row r="919" spans="1:19" x14ac:dyDescent="0.25">
      <c r="A919">
        <v>1500056566</v>
      </c>
      <c r="B919" t="s">
        <v>2056</v>
      </c>
      <c r="C919" t="s">
        <v>19</v>
      </c>
      <c r="D919" t="s">
        <v>20</v>
      </c>
      <c r="E919" t="s">
        <v>21</v>
      </c>
      <c r="F919" t="s">
        <v>22</v>
      </c>
      <c r="G919" t="s">
        <v>64</v>
      </c>
      <c r="H919" t="s">
        <v>263</v>
      </c>
      <c r="I919" t="s">
        <v>2057</v>
      </c>
      <c r="J919">
        <v>10.094200000000001</v>
      </c>
      <c r="K919">
        <v>-84.315079999999995</v>
      </c>
      <c r="L919" t="s">
        <v>1225</v>
      </c>
      <c r="M919" t="s">
        <v>46</v>
      </c>
      <c r="N919" t="s">
        <v>47</v>
      </c>
      <c r="O919" t="s">
        <v>48</v>
      </c>
      <c r="P919">
        <v>4</v>
      </c>
      <c r="Q919" t="s">
        <v>120</v>
      </c>
      <c r="S919" t="str">
        <f>_xlfn.XLOOKUP(UNIVERSO[[#This Row],[Ruta]],'[1]CUOTA RUTA'!A:A,'[1]CUOTA RUTA'!D:D)</f>
        <v>Cargar</v>
      </c>
    </row>
    <row r="920" spans="1:19" x14ac:dyDescent="0.25">
      <c r="A920">
        <v>1500056568</v>
      </c>
      <c r="B920" t="s">
        <v>2058</v>
      </c>
      <c r="C920" t="s">
        <v>19</v>
      </c>
      <c r="D920" t="s">
        <v>20</v>
      </c>
      <c r="E920" t="s">
        <v>21</v>
      </c>
      <c r="F920" t="s">
        <v>22</v>
      </c>
      <c r="G920" t="s">
        <v>64</v>
      </c>
      <c r="H920" t="s">
        <v>263</v>
      </c>
      <c r="I920" t="s">
        <v>2059</v>
      </c>
      <c r="J920">
        <v>10.084669999999999</v>
      </c>
      <c r="K920">
        <v>-84.323899999999995</v>
      </c>
      <c r="L920" t="s">
        <v>1225</v>
      </c>
      <c r="M920" t="s">
        <v>46</v>
      </c>
      <c r="N920" t="s">
        <v>47</v>
      </c>
      <c r="O920" t="s">
        <v>48</v>
      </c>
      <c r="P920">
        <v>4</v>
      </c>
      <c r="Q920" t="s">
        <v>120</v>
      </c>
      <c r="S920" t="str">
        <f>_xlfn.XLOOKUP(UNIVERSO[[#This Row],[Ruta]],'[1]CUOTA RUTA'!A:A,'[1]CUOTA RUTA'!D:D)</f>
        <v>Cargar</v>
      </c>
    </row>
    <row r="921" spans="1:19" x14ac:dyDescent="0.25">
      <c r="A921">
        <v>1500056643</v>
      </c>
      <c r="B921" t="s">
        <v>527</v>
      </c>
      <c r="C921" t="s">
        <v>19</v>
      </c>
      <c r="D921" t="s">
        <v>20</v>
      </c>
      <c r="E921" t="s">
        <v>21</v>
      </c>
      <c r="F921" t="s">
        <v>22</v>
      </c>
      <c r="G921" t="s">
        <v>64</v>
      </c>
      <c r="H921" t="s">
        <v>44</v>
      </c>
      <c r="I921" t="s">
        <v>2060</v>
      </c>
      <c r="J921">
        <v>10.11104733</v>
      </c>
      <c r="K921">
        <v>-84.365098959999997</v>
      </c>
      <c r="L921" t="s">
        <v>1225</v>
      </c>
      <c r="M921" t="s">
        <v>46</v>
      </c>
      <c r="N921" t="s">
        <v>47</v>
      </c>
      <c r="O921" t="s">
        <v>48</v>
      </c>
      <c r="P921">
        <v>2</v>
      </c>
      <c r="Q921" t="s">
        <v>150</v>
      </c>
      <c r="S921" t="str">
        <f>_xlfn.XLOOKUP(UNIVERSO[[#This Row],[Ruta]],'[1]CUOTA RUTA'!A:A,'[1]CUOTA RUTA'!D:D)</f>
        <v>Cargar</v>
      </c>
    </row>
    <row r="922" spans="1:19" x14ac:dyDescent="0.25">
      <c r="A922">
        <v>1500056877</v>
      </c>
      <c r="B922" t="s">
        <v>2061</v>
      </c>
      <c r="C922" t="s">
        <v>19</v>
      </c>
      <c r="D922" t="s">
        <v>20</v>
      </c>
      <c r="E922" t="s">
        <v>21</v>
      </c>
      <c r="F922" t="s">
        <v>22</v>
      </c>
      <c r="G922" t="s">
        <v>33</v>
      </c>
      <c r="H922" t="s">
        <v>901</v>
      </c>
      <c r="I922" t="s">
        <v>2062</v>
      </c>
      <c r="J922">
        <v>10.0457017</v>
      </c>
      <c r="K922">
        <v>-84.345083299999999</v>
      </c>
      <c r="L922" t="s">
        <v>1225</v>
      </c>
      <c r="M922" t="s">
        <v>46</v>
      </c>
      <c r="N922" t="s">
        <v>47</v>
      </c>
      <c r="O922" t="s">
        <v>48</v>
      </c>
      <c r="P922">
        <v>5</v>
      </c>
      <c r="Q922" t="s">
        <v>117</v>
      </c>
      <c r="S922" t="str">
        <f>_xlfn.XLOOKUP(UNIVERSO[[#This Row],[Ruta]],'[1]CUOTA RUTA'!A:A,'[1]CUOTA RUTA'!D:D)</f>
        <v>Cargar</v>
      </c>
    </row>
    <row r="923" spans="1:19" x14ac:dyDescent="0.25">
      <c r="A923">
        <v>1500056908</v>
      </c>
      <c r="B923" t="s">
        <v>2063</v>
      </c>
      <c r="C923" t="s">
        <v>19</v>
      </c>
      <c r="D923" t="s">
        <v>20</v>
      </c>
      <c r="E923" t="s">
        <v>21</v>
      </c>
      <c r="F923" t="s">
        <v>22</v>
      </c>
      <c r="G923" t="s">
        <v>64</v>
      </c>
      <c r="H923" t="s">
        <v>250</v>
      </c>
      <c r="I923" t="s">
        <v>2064</v>
      </c>
      <c r="J923">
        <v>10.040241999999999</v>
      </c>
      <c r="K923">
        <v>-84.329302999999996</v>
      </c>
      <c r="L923" t="s">
        <v>1225</v>
      </c>
      <c r="M923" t="s">
        <v>46</v>
      </c>
      <c r="N923" t="s">
        <v>47</v>
      </c>
      <c r="O923" t="s">
        <v>48</v>
      </c>
      <c r="P923">
        <v>11</v>
      </c>
      <c r="Q923" t="s">
        <v>108</v>
      </c>
      <c r="S923" t="str">
        <f>_xlfn.XLOOKUP(UNIVERSO[[#This Row],[Ruta]],'[1]CUOTA RUTA'!A:A,'[1]CUOTA RUTA'!D:D)</f>
        <v>Cargar</v>
      </c>
    </row>
    <row r="924" spans="1:19" x14ac:dyDescent="0.25">
      <c r="A924">
        <v>1500056933</v>
      </c>
      <c r="B924" t="s">
        <v>2065</v>
      </c>
      <c r="C924" t="s">
        <v>19</v>
      </c>
      <c r="D924" t="s">
        <v>20</v>
      </c>
      <c r="E924" t="s">
        <v>21</v>
      </c>
      <c r="F924" t="s">
        <v>22</v>
      </c>
      <c r="G924" t="s">
        <v>23</v>
      </c>
      <c r="H924" t="s">
        <v>193</v>
      </c>
      <c r="I924" t="s">
        <v>2066</v>
      </c>
      <c r="J924">
        <v>10.002082</v>
      </c>
      <c r="K924">
        <v>-84.254722000000001</v>
      </c>
      <c r="L924" t="s">
        <v>1225</v>
      </c>
      <c r="M924" t="s">
        <v>54</v>
      </c>
      <c r="N924" t="s">
        <v>55</v>
      </c>
      <c r="O924" t="s">
        <v>56</v>
      </c>
      <c r="P924">
        <v>7</v>
      </c>
      <c r="Q924" t="s">
        <v>39</v>
      </c>
      <c r="S924" t="str">
        <f>_xlfn.XLOOKUP(UNIVERSO[[#This Row],[Ruta]],'[1]CUOTA RUTA'!A:A,'[1]CUOTA RUTA'!D:D)</f>
        <v>Cargar</v>
      </c>
    </row>
    <row r="925" spans="1:19" x14ac:dyDescent="0.25">
      <c r="A925">
        <v>1500056945</v>
      </c>
      <c r="B925" t="s">
        <v>2067</v>
      </c>
      <c r="C925" t="s">
        <v>19</v>
      </c>
      <c r="D925" t="s">
        <v>20</v>
      </c>
      <c r="E925" t="s">
        <v>21</v>
      </c>
      <c r="F925" t="s">
        <v>22</v>
      </c>
      <c r="G925" t="s">
        <v>64</v>
      </c>
      <c r="H925" t="s">
        <v>1021</v>
      </c>
      <c r="I925" t="s">
        <v>2068</v>
      </c>
      <c r="J925">
        <v>10.026719999999999</v>
      </c>
      <c r="K925">
        <v>-84.27422</v>
      </c>
      <c r="L925" t="s">
        <v>1225</v>
      </c>
      <c r="M925" t="s">
        <v>46</v>
      </c>
      <c r="N925" t="s">
        <v>47</v>
      </c>
      <c r="O925" t="s">
        <v>48</v>
      </c>
      <c r="P925">
        <v>3</v>
      </c>
      <c r="Q925" t="s">
        <v>101</v>
      </c>
      <c r="S925" t="str">
        <f>_xlfn.XLOOKUP(UNIVERSO[[#This Row],[Ruta]],'[1]CUOTA RUTA'!A:A,'[1]CUOTA RUTA'!D:D)</f>
        <v>Cargar</v>
      </c>
    </row>
    <row r="926" spans="1:19" x14ac:dyDescent="0.25">
      <c r="A926">
        <v>1500056949</v>
      </c>
      <c r="B926" t="s">
        <v>2069</v>
      </c>
      <c r="C926" t="s">
        <v>19</v>
      </c>
      <c r="D926" t="s">
        <v>20</v>
      </c>
      <c r="E926" t="s">
        <v>21</v>
      </c>
      <c r="F926" t="s">
        <v>22</v>
      </c>
      <c r="G926" t="s">
        <v>23</v>
      </c>
      <c r="H926" t="s">
        <v>255</v>
      </c>
      <c r="I926" t="s">
        <v>2070</v>
      </c>
      <c r="J926">
        <v>10.02582</v>
      </c>
      <c r="K926">
        <v>-84.277919999999995</v>
      </c>
      <c r="L926" t="s">
        <v>1225</v>
      </c>
      <c r="M926" t="s">
        <v>46</v>
      </c>
      <c r="N926" t="s">
        <v>47</v>
      </c>
      <c r="O926" t="s">
        <v>48</v>
      </c>
      <c r="P926">
        <v>11</v>
      </c>
      <c r="Q926" t="s">
        <v>108</v>
      </c>
      <c r="S926" t="str">
        <f>_xlfn.XLOOKUP(UNIVERSO[[#This Row],[Ruta]],'[1]CUOTA RUTA'!A:A,'[1]CUOTA RUTA'!D:D)</f>
        <v>Cargar</v>
      </c>
    </row>
    <row r="927" spans="1:19" x14ac:dyDescent="0.25">
      <c r="A927">
        <v>1500056964</v>
      </c>
      <c r="B927" t="s">
        <v>2071</v>
      </c>
      <c r="C927" t="s">
        <v>19</v>
      </c>
      <c r="D927" t="s">
        <v>20</v>
      </c>
      <c r="E927" t="s">
        <v>21</v>
      </c>
      <c r="F927" t="s">
        <v>22</v>
      </c>
      <c r="G927" t="s">
        <v>64</v>
      </c>
      <c r="H927" t="s">
        <v>1021</v>
      </c>
      <c r="I927" t="s">
        <v>2072</v>
      </c>
      <c r="J927">
        <v>10.0502</v>
      </c>
      <c r="K927">
        <v>-84.261080000000007</v>
      </c>
      <c r="L927" t="s">
        <v>1225</v>
      </c>
      <c r="M927" t="s">
        <v>46</v>
      </c>
      <c r="N927" t="s">
        <v>47</v>
      </c>
      <c r="O927" t="s">
        <v>48</v>
      </c>
      <c r="P927">
        <v>4</v>
      </c>
      <c r="Q927" t="s">
        <v>120</v>
      </c>
      <c r="S927" t="str">
        <f>_xlfn.XLOOKUP(UNIVERSO[[#This Row],[Ruta]],'[1]CUOTA RUTA'!A:A,'[1]CUOTA RUTA'!D:D)</f>
        <v>Cargar</v>
      </c>
    </row>
    <row r="928" spans="1:19" x14ac:dyDescent="0.25">
      <c r="A928">
        <v>1500056977</v>
      </c>
      <c r="B928" t="s">
        <v>2073</v>
      </c>
      <c r="C928" t="s">
        <v>19</v>
      </c>
      <c r="D928" t="s">
        <v>20</v>
      </c>
      <c r="E928" t="s">
        <v>21</v>
      </c>
      <c r="F928" t="s">
        <v>22</v>
      </c>
      <c r="G928" t="s">
        <v>64</v>
      </c>
      <c r="H928" t="s">
        <v>1128</v>
      </c>
      <c r="I928" t="s">
        <v>2074</v>
      </c>
      <c r="J928">
        <v>10.06759171</v>
      </c>
      <c r="K928">
        <v>-84.302666250000001</v>
      </c>
      <c r="L928" t="s">
        <v>1225</v>
      </c>
      <c r="M928" t="s">
        <v>46</v>
      </c>
      <c r="N928" t="s">
        <v>47</v>
      </c>
      <c r="O928" t="s">
        <v>48</v>
      </c>
      <c r="P928">
        <v>5</v>
      </c>
      <c r="Q928" t="s">
        <v>117</v>
      </c>
      <c r="S928" t="str">
        <f>_xlfn.XLOOKUP(UNIVERSO[[#This Row],[Ruta]],'[1]CUOTA RUTA'!A:A,'[1]CUOTA RUTA'!D:D)</f>
        <v>Cargar</v>
      </c>
    </row>
    <row r="929" spans="1:19" x14ac:dyDescent="0.25">
      <c r="A929">
        <v>1500056978</v>
      </c>
      <c r="B929" t="s">
        <v>2075</v>
      </c>
      <c r="C929" t="s">
        <v>19</v>
      </c>
      <c r="D929" t="s">
        <v>20</v>
      </c>
      <c r="E929" t="s">
        <v>21</v>
      </c>
      <c r="F929" t="s">
        <v>22</v>
      </c>
      <c r="G929" t="s">
        <v>64</v>
      </c>
      <c r="H929" t="s">
        <v>1128</v>
      </c>
      <c r="I929" t="s">
        <v>2076</v>
      </c>
      <c r="J929">
        <v>10.06751322</v>
      </c>
      <c r="K929">
        <v>-84.301417990000004</v>
      </c>
      <c r="L929" t="s">
        <v>1225</v>
      </c>
      <c r="M929" t="s">
        <v>46</v>
      </c>
      <c r="N929" t="s">
        <v>47</v>
      </c>
      <c r="O929" t="s">
        <v>48</v>
      </c>
      <c r="P929">
        <v>5</v>
      </c>
      <c r="Q929" t="s">
        <v>117</v>
      </c>
      <c r="S929" t="str">
        <f>_xlfn.XLOOKUP(UNIVERSO[[#This Row],[Ruta]],'[1]CUOTA RUTA'!A:A,'[1]CUOTA RUTA'!D:D)</f>
        <v>Cargar</v>
      </c>
    </row>
    <row r="930" spans="1:19" x14ac:dyDescent="0.25">
      <c r="A930">
        <v>1500056992</v>
      </c>
      <c r="B930" t="s">
        <v>2077</v>
      </c>
      <c r="C930" t="s">
        <v>19</v>
      </c>
      <c r="D930" t="s">
        <v>20</v>
      </c>
      <c r="E930" t="s">
        <v>21</v>
      </c>
      <c r="F930" t="s">
        <v>22</v>
      </c>
      <c r="G930" t="s">
        <v>33</v>
      </c>
      <c r="H930" t="s">
        <v>1021</v>
      </c>
      <c r="I930" t="s">
        <v>2078</v>
      </c>
      <c r="J930">
        <v>10.091955</v>
      </c>
      <c r="K930">
        <v>-84.255764999999997</v>
      </c>
      <c r="L930" t="s">
        <v>1225</v>
      </c>
      <c r="M930" t="s">
        <v>46</v>
      </c>
      <c r="N930" t="s">
        <v>47</v>
      </c>
      <c r="O930" t="s">
        <v>48</v>
      </c>
      <c r="P930">
        <v>12</v>
      </c>
      <c r="Q930" t="s">
        <v>42</v>
      </c>
      <c r="S930" t="str">
        <f>_xlfn.XLOOKUP(UNIVERSO[[#This Row],[Ruta]],'[1]CUOTA RUTA'!A:A,'[1]CUOTA RUTA'!D:D)</f>
        <v>Cargar</v>
      </c>
    </row>
    <row r="931" spans="1:19" x14ac:dyDescent="0.25">
      <c r="A931">
        <v>1500056994</v>
      </c>
      <c r="B931" t="s">
        <v>929</v>
      </c>
      <c r="C931" t="s">
        <v>19</v>
      </c>
      <c r="D931" t="s">
        <v>20</v>
      </c>
      <c r="E931" t="s">
        <v>21</v>
      </c>
      <c r="F931" t="s">
        <v>22</v>
      </c>
      <c r="G931" t="s">
        <v>33</v>
      </c>
      <c r="H931" t="s">
        <v>1021</v>
      </c>
      <c r="I931" t="s">
        <v>2079</v>
      </c>
      <c r="J931">
        <v>10.091379999999999</v>
      </c>
      <c r="K931">
        <v>-84.256200000000007</v>
      </c>
      <c r="L931" t="s">
        <v>1225</v>
      </c>
      <c r="M931" t="s">
        <v>46</v>
      </c>
      <c r="N931" t="s">
        <v>47</v>
      </c>
      <c r="O931" t="s">
        <v>48</v>
      </c>
      <c r="P931">
        <v>12</v>
      </c>
      <c r="Q931" t="s">
        <v>42</v>
      </c>
      <c r="S931" t="str">
        <f>_xlfn.XLOOKUP(UNIVERSO[[#This Row],[Ruta]],'[1]CUOTA RUTA'!A:A,'[1]CUOTA RUTA'!D:D)</f>
        <v>Cargar</v>
      </c>
    </row>
    <row r="932" spans="1:19" x14ac:dyDescent="0.25">
      <c r="A932">
        <v>1500057016</v>
      </c>
      <c r="B932" t="s">
        <v>2080</v>
      </c>
      <c r="C932" t="s">
        <v>19</v>
      </c>
      <c r="D932" t="s">
        <v>20</v>
      </c>
      <c r="E932" t="s">
        <v>21</v>
      </c>
      <c r="F932" t="s">
        <v>22</v>
      </c>
      <c r="G932" t="s">
        <v>33</v>
      </c>
      <c r="H932" t="s">
        <v>1128</v>
      </c>
      <c r="I932" t="s">
        <v>2081</v>
      </c>
      <c r="J932">
        <v>10.08771263</v>
      </c>
      <c r="K932">
        <v>-84.282896640000004</v>
      </c>
      <c r="L932" t="s">
        <v>1225</v>
      </c>
      <c r="M932" t="s">
        <v>46</v>
      </c>
      <c r="N932" t="s">
        <v>47</v>
      </c>
      <c r="O932" t="s">
        <v>48</v>
      </c>
      <c r="P932">
        <v>4</v>
      </c>
      <c r="Q932" t="s">
        <v>120</v>
      </c>
      <c r="S932" t="str">
        <f>_xlfn.XLOOKUP(UNIVERSO[[#This Row],[Ruta]],'[1]CUOTA RUTA'!A:A,'[1]CUOTA RUTA'!D:D)</f>
        <v>Cargar</v>
      </c>
    </row>
    <row r="933" spans="1:19" x14ac:dyDescent="0.25">
      <c r="A933">
        <v>1500057024</v>
      </c>
      <c r="B933" t="s">
        <v>2082</v>
      </c>
      <c r="C933" t="s">
        <v>19</v>
      </c>
      <c r="D933" t="s">
        <v>20</v>
      </c>
      <c r="E933" t="s">
        <v>21</v>
      </c>
      <c r="F933" t="s">
        <v>22</v>
      </c>
      <c r="G933" t="s">
        <v>33</v>
      </c>
      <c r="H933" t="s">
        <v>1128</v>
      </c>
      <c r="I933" t="s">
        <v>2083</v>
      </c>
      <c r="J933">
        <v>10.07544691</v>
      </c>
      <c r="K933">
        <v>-84.308208500000006</v>
      </c>
      <c r="L933" t="s">
        <v>1225</v>
      </c>
      <c r="M933" t="s">
        <v>46</v>
      </c>
      <c r="N933" t="s">
        <v>47</v>
      </c>
      <c r="O933" t="s">
        <v>48</v>
      </c>
      <c r="P933">
        <v>4</v>
      </c>
      <c r="Q933" t="s">
        <v>120</v>
      </c>
      <c r="S933" t="str">
        <f>_xlfn.XLOOKUP(UNIVERSO[[#This Row],[Ruta]],'[1]CUOTA RUTA'!A:A,'[1]CUOTA RUTA'!D:D)</f>
        <v>Cargar</v>
      </c>
    </row>
    <row r="934" spans="1:19" x14ac:dyDescent="0.25">
      <c r="A934">
        <v>1500057050</v>
      </c>
      <c r="B934" t="s">
        <v>398</v>
      </c>
      <c r="C934" t="s">
        <v>19</v>
      </c>
      <c r="D934" t="s">
        <v>20</v>
      </c>
      <c r="E934" t="s">
        <v>21</v>
      </c>
      <c r="F934" t="s">
        <v>22</v>
      </c>
      <c r="G934" t="s">
        <v>33</v>
      </c>
      <c r="H934" t="s">
        <v>1128</v>
      </c>
      <c r="I934" t="s">
        <v>2084</v>
      </c>
      <c r="J934">
        <v>10.11458</v>
      </c>
      <c r="K934">
        <v>-84.272369999999995</v>
      </c>
      <c r="L934" t="s">
        <v>1225</v>
      </c>
      <c r="M934" t="s">
        <v>46</v>
      </c>
      <c r="N934" t="s">
        <v>47</v>
      </c>
      <c r="O934" t="s">
        <v>48</v>
      </c>
      <c r="P934">
        <v>2</v>
      </c>
      <c r="Q934" t="s">
        <v>150</v>
      </c>
      <c r="S934" t="str">
        <f>_xlfn.XLOOKUP(UNIVERSO[[#This Row],[Ruta]],'[1]CUOTA RUTA'!A:A,'[1]CUOTA RUTA'!D:D)</f>
        <v>Cargar</v>
      </c>
    </row>
    <row r="935" spans="1:19" x14ac:dyDescent="0.25">
      <c r="A935">
        <v>1500057059</v>
      </c>
      <c r="B935" t="s">
        <v>2085</v>
      </c>
      <c r="C935" t="s">
        <v>19</v>
      </c>
      <c r="D935" t="s">
        <v>20</v>
      </c>
      <c r="E935" t="s">
        <v>21</v>
      </c>
      <c r="F935" t="s">
        <v>22</v>
      </c>
      <c r="G935" t="s">
        <v>64</v>
      </c>
      <c r="H935" t="s">
        <v>1128</v>
      </c>
      <c r="I935" t="s">
        <v>2086</v>
      </c>
      <c r="J935">
        <v>10.130380000000001</v>
      </c>
      <c r="K935">
        <v>-84.263750000000002</v>
      </c>
      <c r="L935" t="s">
        <v>1225</v>
      </c>
      <c r="M935" t="s">
        <v>46</v>
      </c>
      <c r="N935" t="s">
        <v>47</v>
      </c>
      <c r="O935" t="s">
        <v>48</v>
      </c>
      <c r="P935">
        <v>2</v>
      </c>
      <c r="Q935" t="s">
        <v>150</v>
      </c>
      <c r="S935" t="str">
        <f>_xlfn.XLOOKUP(UNIVERSO[[#This Row],[Ruta]],'[1]CUOTA RUTA'!A:A,'[1]CUOTA RUTA'!D:D)</f>
        <v>Cargar</v>
      </c>
    </row>
    <row r="936" spans="1:19" x14ac:dyDescent="0.25">
      <c r="A936">
        <v>1500057127</v>
      </c>
      <c r="B936" t="s">
        <v>2087</v>
      </c>
      <c r="C936" t="s">
        <v>19</v>
      </c>
      <c r="D936" t="s">
        <v>20</v>
      </c>
      <c r="E936" t="s">
        <v>21</v>
      </c>
      <c r="F936" t="s">
        <v>22</v>
      </c>
      <c r="G936" t="s">
        <v>64</v>
      </c>
      <c r="H936" t="s">
        <v>1021</v>
      </c>
      <c r="I936" t="s">
        <v>2088</v>
      </c>
      <c r="J936">
        <v>10.080729</v>
      </c>
      <c r="K936">
        <v>-84.288978</v>
      </c>
      <c r="L936" t="s">
        <v>1225</v>
      </c>
      <c r="M936" t="s">
        <v>46</v>
      </c>
      <c r="N936" t="s">
        <v>47</v>
      </c>
      <c r="O936" t="s">
        <v>48</v>
      </c>
      <c r="P936">
        <v>4</v>
      </c>
      <c r="Q936" t="s">
        <v>120</v>
      </c>
      <c r="S936" t="str">
        <f>_xlfn.XLOOKUP(UNIVERSO[[#This Row],[Ruta]],'[1]CUOTA RUTA'!A:A,'[1]CUOTA RUTA'!D:D)</f>
        <v>Cargar</v>
      </c>
    </row>
    <row r="937" spans="1:19" x14ac:dyDescent="0.25">
      <c r="A937">
        <v>1500057203</v>
      </c>
      <c r="B937" t="s">
        <v>2089</v>
      </c>
      <c r="C937" t="s">
        <v>19</v>
      </c>
      <c r="D937" t="s">
        <v>20</v>
      </c>
      <c r="E937" t="s">
        <v>21</v>
      </c>
      <c r="F937" t="s">
        <v>22</v>
      </c>
      <c r="G937" t="s">
        <v>33</v>
      </c>
      <c r="H937" t="s">
        <v>674</v>
      </c>
      <c r="I937" t="s">
        <v>2090</v>
      </c>
      <c r="J937">
        <v>10.189862116704999</v>
      </c>
      <c r="K937">
        <v>-84.391582107480005</v>
      </c>
      <c r="L937" t="s">
        <v>1225</v>
      </c>
      <c r="M937" t="s">
        <v>46</v>
      </c>
      <c r="N937" t="s">
        <v>47</v>
      </c>
      <c r="O937" t="s">
        <v>48</v>
      </c>
      <c r="P937">
        <v>1</v>
      </c>
      <c r="Q937" t="s">
        <v>155</v>
      </c>
      <c r="S937" t="str">
        <f>_xlfn.XLOOKUP(UNIVERSO[[#This Row],[Ruta]],'[1]CUOTA RUTA'!A:A,'[1]CUOTA RUTA'!D:D)</f>
        <v>Cargar</v>
      </c>
    </row>
    <row r="938" spans="1:19" x14ac:dyDescent="0.25">
      <c r="A938">
        <v>1500057217</v>
      </c>
      <c r="B938" t="s">
        <v>2091</v>
      </c>
      <c r="C938" t="s">
        <v>19</v>
      </c>
      <c r="D938" t="s">
        <v>20</v>
      </c>
      <c r="E938" t="s">
        <v>62</v>
      </c>
      <c r="F938" t="s">
        <v>63</v>
      </c>
      <c r="G938" t="s">
        <v>64</v>
      </c>
      <c r="H938" t="s">
        <v>674</v>
      </c>
      <c r="I938" t="s">
        <v>2092</v>
      </c>
      <c r="J938">
        <v>10.217321296207</v>
      </c>
      <c r="K938">
        <v>-84.400560457759994</v>
      </c>
      <c r="L938" t="s">
        <v>1225</v>
      </c>
      <c r="M938" t="s">
        <v>46</v>
      </c>
      <c r="N938" t="s">
        <v>47</v>
      </c>
      <c r="O938" t="s">
        <v>48</v>
      </c>
      <c r="P938">
        <v>1</v>
      </c>
      <c r="Q938" t="s">
        <v>155</v>
      </c>
      <c r="S938" t="str">
        <f>_xlfn.XLOOKUP(UNIVERSO[[#This Row],[Ruta]],'[1]CUOTA RUTA'!A:A,'[1]CUOTA RUTA'!D:D)</f>
        <v>Cargar</v>
      </c>
    </row>
    <row r="939" spans="1:19" x14ac:dyDescent="0.25">
      <c r="A939">
        <v>1500057235</v>
      </c>
      <c r="B939" t="s">
        <v>2093</v>
      </c>
      <c r="C939" t="s">
        <v>19</v>
      </c>
      <c r="D939" t="s">
        <v>20</v>
      </c>
      <c r="E939" t="s">
        <v>21</v>
      </c>
      <c r="F939" t="s">
        <v>22</v>
      </c>
      <c r="G939" t="s">
        <v>23</v>
      </c>
      <c r="H939" t="s">
        <v>674</v>
      </c>
      <c r="I939" t="s">
        <v>2094</v>
      </c>
      <c r="J939">
        <v>10.229674901737001</v>
      </c>
      <c r="K939">
        <v>-84.396296685050004</v>
      </c>
      <c r="L939" t="s">
        <v>1225</v>
      </c>
      <c r="M939" t="s">
        <v>46</v>
      </c>
      <c r="N939" t="s">
        <v>47</v>
      </c>
      <c r="O939" t="s">
        <v>48</v>
      </c>
      <c r="P939">
        <v>1</v>
      </c>
      <c r="Q939" t="s">
        <v>155</v>
      </c>
      <c r="S939" t="str">
        <f>_xlfn.XLOOKUP(UNIVERSO[[#This Row],[Ruta]],'[1]CUOTA RUTA'!A:A,'[1]CUOTA RUTA'!D:D)</f>
        <v>Cargar</v>
      </c>
    </row>
    <row r="940" spans="1:19" x14ac:dyDescent="0.25">
      <c r="A940">
        <v>1500057237</v>
      </c>
      <c r="B940" t="s">
        <v>226</v>
      </c>
      <c r="C940" t="s">
        <v>19</v>
      </c>
      <c r="D940" t="s">
        <v>20</v>
      </c>
      <c r="E940" t="s">
        <v>21</v>
      </c>
      <c r="F940" t="s">
        <v>22</v>
      </c>
      <c r="G940" t="s">
        <v>33</v>
      </c>
      <c r="H940" t="s">
        <v>674</v>
      </c>
      <c r="I940" t="s">
        <v>2095</v>
      </c>
      <c r="J940">
        <v>10.225155425229</v>
      </c>
      <c r="K940">
        <v>-84.420226943269995</v>
      </c>
      <c r="L940" t="s">
        <v>1225</v>
      </c>
      <c r="M940" t="s">
        <v>46</v>
      </c>
      <c r="N940" t="s">
        <v>47</v>
      </c>
      <c r="O940" t="s">
        <v>48</v>
      </c>
      <c r="P940">
        <v>1</v>
      </c>
      <c r="Q940" t="s">
        <v>155</v>
      </c>
      <c r="S940" t="str">
        <f>_xlfn.XLOOKUP(UNIVERSO[[#This Row],[Ruta]],'[1]CUOTA RUTA'!A:A,'[1]CUOTA RUTA'!D:D)</f>
        <v>Cargar</v>
      </c>
    </row>
    <row r="941" spans="1:19" x14ac:dyDescent="0.25">
      <c r="A941">
        <v>1500057265</v>
      </c>
      <c r="B941" t="s">
        <v>2096</v>
      </c>
      <c r="C941" t="s">
        <v>19</v>
      </c>
      <c r="D941" t="s">
        <v>20</v>
      </c>
      <c r="E941" t="s">
        <v>21</v>
      </c>
      <c r="F941" t="s">
        <v>22</v>
      </c>
      <c r="G941" t="s">
        <v>23</v>
      </c>
      <c r="H941" t="s">
        <v>255</v>
      </c>
      <c r="I941" t="s">
        <v>2097</v>
      </c>
      <c r="J941">
        <v>10.09778</v>
      </c>
      <c r="K941">
        <v>-84.377979999999994</v>
      </c>
      <c r="L941" t="s">
        <v>1225</v>
      </c>
      <c r="M941" t="s">
        <v>46</v>
      </c>
      <c r="N941" t="s">
        <v>47</v>
      </c>
      <c r="O941" t="s">
        <v>48</v>
      </c>
      <c r="P941">
        <v>2</v>
      </c>
      <c r="Q941" t="s">
        <v>150</v>
      </c>
      <c r="S941" t="str">
        <f>_xlfn.XLOOKUP(UNIVERSO[[#This Row],[Ruta]],'[1]CUOTA RUTA'!A:A,'[1]CUOTA RUTA'!D:D)</f>
        <v>Cargar</v>
      </c>
    </row>
    <row r="942" spans="1:19" x14ac:dyDescent="0.25">
      <c r="A942">
        <v>1500057305</v>
      </c>
      <c r="B942" t="s">
        <v>2098</v>
      </c>
      <c r="C942" t="s">
        <v>19</v>
      </c>
      <c r="D942" t="s">
        <v>20</v>
      </c>
      <c r="E942" t="s">
        <v>21</v>
      </c>
      <c r="F942" t="s">
        <v>22</v>
      </c>
      <c r="G942" t="s">
        <v>23</v>
      </c>
      <c r="H942" t="s">
        <v>674</v>
      </c>
      <c r="I942" t="s">
        <v>2099</v>
      </c>
      <c r="J942">
        <v>10.184620000000001</v>
      </c>
      <c r="K942">
        <v>-84.392200000000003</v>
      </c>
      <c r="L942" t="s">
        <v>1225</v>
      </c>
      <c r="M942" t="s">
        <v>46</v>
      </c>
      <c r="N942" t="s">
        <v>47</v>
      </c>
      <c r="O942" t="s">
        <v>48</v>
      </c>
      <c r="P942">
        <v>1</v>
      </c>
      <c r="Q942" t="s">
        <v>155</v>
      </c>
      <c r="S942" t="str">
        <f>_xlfn.XLOOKUP(UNIVERSO[[#This Row],[Ruta]],'[1]CUOTA RUTA'!A:A,'[1]CUOTA RUTA'!D:D)</f>
        <v>Cargar</v>
      </c>
    </row>
    <row r="943" spans="1:19" x14ac:dyDescent="0.25">
      <c r="A943">
        <v>1500057354</v>
      </c>
      <c r="B943" t="s">
        <v>2100</v>
      </c>
      <c r="C943" t="s">
        <v>19</v>
      </c>
      <c r="D943" t="s">
        <v>20</v>
      </c>
      <c r="E943" t="s">
        <v>21</v>
      </c>
      <c r="F943" t="s">
        <v>22</v>
      </c>
      <c r="G943" t="s">
        <v>64</v>
      </c>
      <c r="H943" t="s">
        <v>674</v>
      </c>
      <c r="I943" t="s">
        <v>2101</v>
      </c>
      <c r="J943">
        <v>10.165769900000001</v>
      </c>
      <c r="K943">
        <v>-84.425448599999996</v>
      </c>
      <c r="L943" t="s">
        <v>1225</v>
      </c>
      <c r="M943" t="s">
        <v>46</v>
      </c>
      <c r="N943" t="s">
        <v>47</v>
      </c>
      <c r="O943" t="s">
        <v>48</v>
      </c>
      <c r="P943">
        <v>1</v>
      </c>
      <c r="Q943" t="s">
        <v>155</v>
      </c>
      <c r="S943" t="str">
        <f>_xlfn.XLOOKUP(UNIVERSO[[#This Row],[Ruta]],'[1]CUOTA RUTA'!A:A,'[1]CUOTA RUTA'!D:D)</f>
        <v>Cargar</v>
      </c>
    </row>
    <row r="944" spans="1:19" x14ac:dyDescent="0.25">
      <c r="A944">
        <v>1500057356</v>
      </c>
      <c r="B944" t="s">
        <v>2102</v>
      </c>
      <c r="C944" t="s">
        <v>19</v>
      </c>
      <c r="D944" t="s">
        <v>20</v>
      </c>
      <c r="E944" t="s">
        <v>21</v>
      </c>
      <c r="F944" t="s">
        <v>22</v>
      </c>
      <c r="G944" t="s">
        <v>64</v>
      </c>
      <c r="H944" t="s">
        <v>674</v>
      </c>
      <c r="I944" t="s">
        <v>2103</v>
      </c>
      <c r="J944">
        <v>10.157341165966001</v>
      </c>
      <c r="K944">
        <v>-84.446928314740006</v>
      </c>
      <c r="L944" t="s">
        <v>1225</v>
      </c>
      <c r="M944" t="s">
        <v>46</v>
      </c>
      <c r="N944" t="s">
        <v>47</v>
      </c>
      <c r="O944" t="s">
        <v>48</v>
      </c>
      <c r="P944">
        <v>10</v>
      </c>
      <c r="Q944" t="s">
        <v>136</v>
      </c>
      <c r="S944" t="str">
        <f>_xlfn.XLOOKUP(UNIVERSO[[#This Row],[Ruta]],'[1]CUOTA RUTA'!A:A,'[1]CUOTA RUTA'!D:D)</f>
        <v>Cargar</v>
      </c>
    </row>
    <row r="945" spans="1:19" x14ac:dyDescent="0.25">
      <c r="A945">
        <v>1500057359</v>
      </c>
      <c r="B945" t="s">
        <v>2104</v>
      </c>
      <c r="C945" t="s">
        <v>19</v>
      </c>
      <c r="D945" t="s">
        <v>20</v>
      </c>
      <c r="E945" t="s">
        <v>21</v>
      </c>
      <c r="F945" t="s">
        <v>22</v>
      </c>
      <c r="G945" t="s">
        <v>33</v>
      </c>
      <c r="H945" t="s">
        <v>674</v>
      </c>
      <c r="I945" t="s">
        <v>2105</v>
      </c>
      <c r="J945">
        <v>10.209832080831999</v>
      </c>
      <c r="K945">
        <v>-84.377396168610005</v>
      </c>
      <c r="L945" t="s">
        <v>1225</v>
      </c>
      <c r="M945" t="s">
        <v>46</v>
      </c>
      <c r="N945" t="s">
        <v>47</v>
      </c>
      <c r="O945" t="s">
        <v>48</v>
      </c>
      <c r="P945">
        <v>1</v>
      </c>
      <c r="Q945" t="s">
        <v>155</v>
      </c>
      <c r="S945" t="str">
        <f>_xlfn.XLOOKUP(UNIVERSO[[#This Row],[Ruta]],'[1]CUOTA RUTA'!A:A,'[1]CUOTA RUTA'!D:D)</f>
        <v>Cargar</v>
      </c>
    </row>
    <row r="946" spans="1:19" x14ac:dyDescent="0.25">
      <c r="A946">
        <v>1500057383</v>
      </c>
      <c r="B946" t="s">
        <v>832</v>
      </c>
      <c r="C946" t="s">
        <v>19</v>
      </c>
      <c r="D946" t="s">
        <v>20</v>
      </c>
      <c r="E946" t="s">
        <v>21</v>
      </c>
      <c r="F946" t="s">
        <v>22</v>
      </c>
      <c r="G946" t="s">
        <v>33</v>
      </c>
      <c r="H946" t="s">
        <v>674</v>
      </c>
      <c r="I946" t="s">
        <v>2106</v>
      </c>
      <c r="J946">
        <v>10.13973</v>
      </c>
      <c r="K946">
        <v>-84.393559999999994</v>
      </c>
      <c r="L946" t="s">
        <v>1225</v>
      </c>
      <c r="M946" t="s">
        <v>46</v>
      </c>
      <c r="N946" t="s">
        <v>47</v>
      </c>
      <c r="O946" t="s">
        <v>48</v>
      </c>
      <c r="P946">
        <v>1</v>
      </c>
      <c r="Q946" t="s">
        <v>155</v>
      </c>
      <c r="S946" t="str">
        <f>_xlfn.XLOOKUP(UNIVERSO[[#This Row],[Ruta]],'[1]CUOTA RUTA'!A:A,'[1]CUOTA RUTA'!D:D)</f>
        <v>Cargar</v>
      </c>
    </row>
    <row r="947" spans="1:19" x14ac:dyDescent="0.25">
      <c r="A947">
        <v>1500057428</v>
      </c>
      <c r="B947" t="s">
        <v>2107</v>
      </c>
      <c r="C947" t="s">
        <v>19</v>
      </c>
      <c r="D947" t="s">
        <v>20</v>
      </c>
      <c r="E947" t="s">
        <v>21</v>
      </c>
      <c r="F947" t="s">
        <v>22</v>
      </c>
      <c r="G947" t="s">
        <v>33</v>
      </c>
      <c r="H947" t="s">
        <v>44</v>
      </c>
      <c r="I947" t="s">
        <v>2108</v>
      </c>
      <c r="J947">
        <v>10.069300999999999</v>
      </c>
      <c r="K947">
        <v>-84.435180000000003</v>
      </c>
      <c r="L947" t="s">
        <v>1225</v>
      </c>
      <c r="M947" t="s">
        <v>46</v>
      </c>
      <c r="N947" t="s">
        <v>47</v>
      </c>
      <c r="O947" t="s">
        <v>48</v>
      </c>
      <c r="P947">
        <v>8</v>
      </c>
      <c r="Q947" t="s">
        <v>97</v>
      </c>
      <c r="S947" t="str">
        <f>_xlfn.XLOOKUP(UNIVERSO[[#This Row],[Ruta]],'[1]CUOTA RUTA'!A:A,'[1]CUOTA RUTA'!D:D)</f>
        <v>Cargar</v>
      </c>
    </row>
    <row r="948" spans="1:19" x14ac:dyDescent="0.25">
      <c r="A948">
        <v>1500057616</v>
      </c>
      <c r="B948" t="s">
        <v>2109</v>
      </c>
      <c r="C948" t="s">
        <v>19</v>
      </c>
      <c r="D948" t="s">
        <v>20</v>
      </c>
      <c r="E948" t="s">
        <v>21</v>
      </c>
      <c r="F948" t="s">
        <v>22</v>
      </c>
      <c r="G948" t="s">
        <v>33</v>
      </c>
      <c r="H948" t="s">
        <v>44</v>
      </c>
      <c r="I948" t="s">
        <v>2110</v>
      </c>
      <c r="J948">
        <v>10.076006700000001</v>
      </c>
      <c r="K948">
        <v>-84.472031700000002</v>
      </c>
      <c r="L948" t="s">
        <v>1225</v>
      </c>
      <c r="M948" t="s">
        <v>46</v>
      </c>
      <c r="N948" t="s">
        <v>47</v>
      </c>
      <c r="O948" t="s">
        <v>48</v>
      </c>
      <c r="P948">
        <v>7</v>
      </c>
      <c r="Q948" t="s">
        <v>39</v>
      </c>
      <c r="S948" t="str">
        <f>_xlfn.XLOOKUP(UNIVERSO[[#This Row],[Ruta]],'[1]CUOTA RUTA'!A:A,'[1]CUOTA RUTA'!D:D)</f>
        <v>Cargar</v>
      </c>
    </row>
    <row r="949" spans="1:19" x14ac:dyDescent="0.25">
      <c r="A949">
        <v>1500057621</v>
      </c>
      <c r="B949" t="s">
        <v>424</v>
      </c>
      <c r="C949" t="s">
        <v>19</v>
      </c>
      <c r="D949" t="s">
        <v>20</v>
      </c>
      <c r="E949" t="s">
        <v>21</v>
      </c>
      <c r="F949" t="s">
        <v>22</v>
      </c>
      <c r="G949" t="s">
        <v>33</v>
      </c>
      <c r="H949" t="s">
        <v>44</v>
      </c>
      <c r="I949" t="s">
        <v>2111</v>
      </c>
      <c r="J949">
        <v>10.059756699999999</v>
      </c>
      <c r="K949">
        <v>-84.485931699999995</v>
      </c>
      <c r="L949" t="s">
        <v>1225</v>
      </c>
      <c r="M949" t="s">
        <v>46</v>
      </c>
      <c r="N949" t="s">
        <v>47</v>
      </c>
      <c r="O949" t="s">
        <v>48</v>
      </c>
      <c r="P949">
        <v>7</v>
      </c>
      <c r="Q949" t="s">
        <v>39</v>
      </c>
      <c r="S949" t="str">
        <f>_xlfn.XLOOKUP(UNIVERSO[[#This Row],[Ruta]],'[1]CUOTA RUTA'!A:A,'[1]CUOTA RUTA'!D:D)</f>
        <v>Cargar</v>
      </c>
    </row>
    <row r="950" spans="1:19" x14ac:dyDescent="0.25">
      <c r="A950">
        <v>1500057658</v>
      </c>
      <c r="B950" t="s">
        <v>2112</v>
      </c>
      <c r="C950" t="s">
        <v>19</v>
      </c>
      <c r="D950" t="s">
        <v>20</v>
      </c>
      <c r="E950" t="s">
        <v>21</v>
      </c>
      <c r="F950" t="s">
        <v>22</v>
      </c>
      <c r="G950" t="s">
        <v>64</v>
      </c>
      <c r="H950" t="s">
        <v>260</v>
      </c>
      <c r="I950" t="s">
        <v>2113</v>
      </c>
      <c r="J950">
        <v>10.143617571859</v>
      </c>
      <c r="K950">
        <v>-84.531895876969998</v>
      </c>
      <c r="L950" t="s">
        <v>1225</v>
      </c>
      <c r="M950" t="s">
        <v>46</v>
      </c>
      <c r="N950" t="s">
        <v>47</v>
      </c>
      <c r="O950" t="s">
        <v>48</v>
      </c>
      <c r="P950">
        <v>9</v>
      </c>
      <c r="Q950" t="s">
        <v>80</v>
      </c>
      <c r="S950" t="str">
        <f>_xlfn.XLOOKUP(UNIVERSO[[#This Row],[Ruta]],'[1]CUOTA RUTA'!A:A,'[1]CUOTA RUTA'!D:D)</f>
        <v>Cargar</v>
      </c>
    </row>
    <row r="951" spans="1:19" x14ac:dyDescent="0.25">
      <c r="A951">
        <v>1500057662</v>
      </c>
      <c r="B951" t="s">
        <v>2114</v>
      </c>
      <c r="C951" t="s">
        <v>19</v>
      </c>
      <c r="D951" t="s">
        <v>20</v>
      </c>
      <c r="E951" t="s">
        <v>21</v>
      </c>
      <c r="F951" t="s">
        <v>22</v>
      </c>
      <c r="G951" t="s">
        <v>64</v>
      </c>
      <c r="H951" t="s">
        <v>260</v>
      </c>
      <c r="I951" t="s">
        <v>2115</v>
      </c>
      <c r="J951">
        <v>10.1393</v>
      </c>
      <c r="K951">
        <v>-84.498180000000005</v>
      </c>
      <c r="L951" t="s">
        <v>1225</v>
      </c>
      <c r="M951" t="s">
        <v>46</v>
      </c>
      <c r="N951" t="s">
        <v>47</v>
      </c>
      <c r="O951" t="s">
        <v>48</v>
      </c>
      <c r="P951">
        <v>10</v>
      </c>
      <c r="Q951" t="s">
        <v>136</v>
      </c>
      <c r="S951" t="str">
        <f>_xlfn.XLOOKUP(UNIVERSO[[#This Row],[Ruta]],'[1]CUOTA RUTA'!A:A,'[1]CUOTA RUTA'!D:D)</f>
        <v>Cargar</v>
      </c>
    </row>
    <row r="952" spans="1:19" x14ac:dyDescent="0.25">
      <c r="A952">
        <v>1500057666</v>
      </c>
      <c r="B952" t="s">
        <v>2116</v>
      </c>
      <c r="C952" t="s">
        <v>19</v>
      </c>
      <c r="D952" t="s">
        <v>20</v>
      </c>
      <c r="E952" t="s">
        <v>21</v>
      </c>
      <c r="F952" t="s">
        <v>22</v>
      </c>
      <c r="G952" t="s">
        <v>64</v>
      </c>
      <c r="H952" t="s">
        <v>260</v>
      </c>
      <c r="I952" t="s">
        <v>2117</v>
      </c>
      <c r="J952">
        <v>10.08868799</v>
      </c>
      <c r="K952">
        <v>-84.484390730000001</v>
      </c>
      <c r="L952" t="s">
        <v>1225</v>
      </c>
      <c r="M952" t="s">
        <v>46</v>
      </c>
      <c r="N952" t="s">
        <v>47</v>
      </c>
      <c r="O952" t="s">
        <v>48</v>
      </c>
      <c r="P952">
        <v>7</v>
      </c>
      <c r="Q952" t="s">
        <v>39</v>
      </c>
      <c r="S952" t="str">
        <f>_xlfn.XLOOKUP(UNIVERSO[[#This Row],[Ruta]],'[1]CUOTA RUTA'!A:A,'[1]CUOTA RUTA'!D:D)</f>
        <v>Cargar</v>
      </c>
    </row>
    <row r="953" spans="1:19" x14ac:dyDescent="0.25">
      <c r="A953">
        <v>1500057670</v>
      </c>
      <c r="B953" t="s">
        <v>2118</v>
      </c>
      <c r="C953" t="s">
        <v>19</v>
      </c>
      <c r="D953" t="s">
        <v>20</v>
      </c>
      <c r="E953" t="s">
        <v>21</v>
      </c>
      <c r="F953" t="s">
        <v>22</v>
      </c>
      <c r="G953" t="s">
        <v>64</v>
      </c>
      <c r="H953" t="s">
        <v>260</v>
      </c>
      <c r="I953" t="s">
        <v>2119</v>
      </c>
      <c r="J953">
        <v>10.114280968738999</v>
      </c>
      <c r="K953">
        <v>-84.515819532739997</v>
      </c>
      <c r="L953" t="s">
        <v>1225</v>
      </c>
      <c r="M953" t="s">
        <v>46</v>
      </c>
      <c r="N953" t="s">
        <v>47</v>
      </c>
      <c r="O953" t="s">
        <v>48</v>
      </c>
      <c r="P953">
        <v>9</v>
      </c>
      <c r="Q953" t="s">
        <v>80</v>
      </c>
      <c r="S953" t="str">
        <f>_xlfn.XLOOKUP(UNIVERSO[[#This Row],[Ruta]],'[1]CUOTA RUTA'!A:A,'[1]CUOTA RUTA'!D:D)</f>
        <v>Cargar</v>
      </c>
    </row>
    <row r="954" spans="1:19" x14ac:dyDescent="0.25">
      <c r="A954">
        <v>1500057672</v>
      </c>
      <c r="B954" t="s">
        <v>2120</v>
      </c>
      <c r="C954" t="s">
        <v>19</v>
      </c>
      <c r="D954" t="s">
        <v>20</v>
      </c>
      <c r="E954" t="s">
        <v>21</v>
      </c>
      <c r="F954" t="s">
        <v>22</v>
      </c>
      <c r="G954" t="s">
        <v>64</v>
      </c>
      <c r="H954" t="s">
        <v>260</v>
      </c>
      <c r="I954" t="s">
        <v>2121</v>
      </c>
      <c r="J954">
        <v>10.116660960000001</v>
      </c>
      <c r="K954">
        <v>-84.533187459999994</v>
      </c>
      <c r="L954" t="s">
        <v>1225</v>
      </c>
      <c r="M954" t="s">
        <v>46</v>
      </c>
      <c r="N954" t="s">
        <v>47</v>
      </c>
      <c r="O954" t="s">
        <v>48</v>
      </c>
      <c r="P954">
        <v>9</v>
      </c>
      <c r="Q954" t="s">
        <v>80</v>
      </c>
      <c r="S954" t="str">
        <f>_xlfn.XLOOKUP(UNIVERSO[[#This Row],[Ruta]],'[1]CUOTA RUTA'!A:A,'[1]CUOTA RUTA'!D:D)</f>
        <v>Cargar</v>
      </c>
    </row>
    <row r="955" spans="1:19" x14ac:dyDescent="0.25">
      <c r="A955">
        <v>1500057682</v>
      </c>
      <c r="B955" t="s">
        <v>2122</v>
      </c>
      <c r="C955" t="s">
        <v>19</v>
      </c>
      <c r="D955" t="s">
        <v>20</v>
      </c>
      <c r="E955" t="s">
        <v>21</v>
      </c>
      <c r="F955" t="s">
        <v>22</v>
      </c>
      <c r="G955" t="s">
        <v>64</v>
      </c>
      <c r="H955" t="s">
        <v>260</v>
      </c>
      <c r="I955" t="s">
        <v>2123</v>
      </c>
      <c r="J955">
        <v>10.088180100000001</v>
      </c>
      <c r="K955">
        <v>-84.486982400000002</v>
      </c>
      <c r="L955" t="s">
        <v>1225</v>
      </c>
      <c r="M955" t="s">
        <v>46</v>
      </c>
      <c r="N955" t="s">
        <v>47</v>
      </c>
      <c r="O955" t="s">
        <v>48</v>
      </c>
      <c r="P955">
        <v>7</v>
      </c>
      <c r="Q955" t="s">
        <v>39</v>
      </c>
      <c r="S955" t="str">
        <f>_xlfn.XLOOKUP(UNIVERSO[[#This Row],[Ruta]],'[1]CUOTA RUTA'!A:A,'[1]CUOTA RUTA'!D:D)</f>
        <v>Cargar</v>
      </c>
    </row>
    <row r="956" spans="1:19" x14ac:dyDescent="0.25">
      <c r="A956">
        <v>1500057711</v>
      </c>
      <c r="B956" t="s">
        <v>2124</v>
      </c>
      <c r="C956" t="s">
        <v>19</v>
      </c>
      <c r="D956" t="s">
        <v>20</v>
      </c>
      <c r="E956" t="s">
        <v>21</v>
      </c>
      <c r="F956" t="s">
        <v>22</v>
      </c>
      <c r="G956" t="s">
        <v>33</v>
      </c>
      <c r="H956" t="s">
        <v>260</v>
      </c>
      <c r="I956" t="s">
        <v>2125</v>
      </c>
      <c r="J956">
        <v>10.095584624662999</v>
      </c>
      <c r="K956">
        <v>-84.472048159419998</v>
      </c>
      <c r="L956" t="s">
        <v>1225</v>
      </c>
      <c r="M956" t="s">
        <v>46</v>
      </c>
      <c r="N956" t="s">
        <v>47</v>
      </c>
      <c r="O956" t="s">
        <v>48</v>
      </c>
      <c r="P956">
        <v>6</v>
      </c>
      <c r="Q956" t="s">
        <v>49</v>
      </c>
      <c r="S956" t="str">
        <f>_xlfn.XLOOKUP(UNIVERSO[[#This Row],[Ruta]],'[1]CUOTA RUTA'!A:A,'[1]CUOTA RUTA'!D:D)</f>
        <v>Cargar</v>
      </c>
    </row>
    <row r="957" spans="1:19" x14ac:dyDescent="0.25">
      <c r="A957">
        <v>1500057766</v>
      </c>
      <c r="B957" t="s">
        <v>2126</v>
      </c>
      <c r="C957" t="s">
        <v>19</v>
      </c>
      <c r="D957" t="s">
        <v>20</v>
      </c>
      <c r="E957" t="s">
        <v>21</v>
      </c>
      <c r="F957" t="s">
        <v>22</v>
      </c>
      <c r="G957" t="s">
        <v>33</v>
      </c>
      <c r="H957" t="s">
        <v>44</v>
      </c>
      <c r="I957" t="s">
        <v>2127</v>
      </c>
      <c r="J957">
        <v>10.084099999999999</v>
      </c>
      <c r="K957">
        <v>-84.445930000000004</v>
      </c>
      <c r="L957" t="s">
        <v>1225</v>
      </c>
      <c r="M957" t="s">
        <v>46</v>
      </c>
      <c r="N957" t="s">
        <v>47</v>
      </c>
      <c r="O957" t="s">
        <v>48</v>
      </c>
      <c r="P957">
        <v>9</v>
      </c>
      <c r="Q957" t="s">
        <v>80</v>
      </c>
      <c r="S957" t="str">
        <f>_xlfn.XLOOKUP(UNIVERSO[[#This Row],[Ruta]],'[1]CUOTA RUTA'!A:A,'[1]CUOTA RUTA'!D:D)</f>
        <v>Cargar</v>
      </c>
    </row>
    <row r="958" spans="1:19" x14ac:dyDescent="0.25">
      <c r="A958">
        <v>1500057780</v>
      </c>
      <c r="B958" t="s">
        <v>2128</v>
      </c>
      <c r="C958" t="s">
        <v>19</v>
      </c>
      <c r="D958" t="s">
        <v>20</v>
      </c>
      <c r="E958" t="s">
        <v>21</v>
      </c>
      <c r="F958" t="s">
        <v>22</v>
      </c>
      <c r="G958" t="s">
        <v>64</v>
      </c>
      <c r="H958" t="s">
        <v>263</v>
      </c>
      <c r="I958" t="s">
        <v>2129</v>
      </c>
      <c r="J958">
        <v>10.10032</v>
      </c>
      <c r="K958">
        <v>-84.379450000000006</v>
      </c>
      <c r="L958" t="s">
        <v>1225</v>
      </c>
      <c r="M958" t="s">
        <v>46</v>
      </c>
      <c r="N958" t="s">
        <v>47</v>
      </c>
      <c r="O958" t="s">
        <v>48</v>
      </c>
      <c r="P958">
        <v>2</v>
      </c>
      <c r="Q958" t="s">
        <v>150</v>
      </c>
      <c r="S958" t="str">
        <f>_xlfn.XLOOKUP(UNIVERSO[[#This Row],[Ruta]],'[1]CUOTA RUTA'!A:A,'[1]CUOTA RUTA'!D:D)</f>
        <v>Cargar</v>
      </c>
    </row>
    <row r="959" spans="1:19" x14ac:dyDescent="0.25">
      <c r="A959">
        <v>1500057803</v>
      </c>
      <c r="B959" t="s">
        <v>457</v>
      </c>
      <c r="C959" t="s">
        <v>19</v>
      </c>
      <c r="D959" t="s">
        <v>20</v>
      </c>
      <c r="E959" t="s">
        <v>21</v>
      </c>
      <c r="F959" t="s">
        <v>22</v>
      </c>
      <c r="G959" t="s">
        <v>33</v>
      </c>
      <c r="H959" t="s">
        <v>263</v>
      </c>
      <c r="I959" t="s">
        <v>2130</v>
      </c>
      <c r="J959">
        <v>10.11782</v>
      </c>
      <c r="K959">
        <v>-84.389120000000005</v>
      </c>
      <c r="L959" t="s">
        <v>1225</v>
      </c>
      <c r="M959" t="s">
        <v>46</v>
      </c>
      <c r="N959" t="s">
        <v>47</v>
      </c>
      <c r="O959" t="s">
        <v>48</v>
      </c>
      <c r="P959">
        <v>1</v>
      </c>
      <c r="Q959" t="s">
        <v>155</v>
      </c>
      <c r="S959" t="str">
        <f>_xlfn.XLOOKUP(UNIVERSO[[#This Row],[Ruta]],'[1]CUOTA RUTA'!A:A,'[1]CUOTA RUTA'!D:D)</f>
        <v>Cargar</v>
      </c>
    </row>
    <row r="960" spans="1:19" x14ac:dyDescent="0.25">
      <c r="A960">
        <v>1500057817</v>
      </c>
      <c r="B960" t="s">
        <v>2131</v>
      </c>
      <c r="C960" t="s">
        <v>19</v>
      </c>
      <c r="D960" t="s">
        <v>20</v>
      </c>
      <c r="E960" t="s">
        <v>21</v>
      </c>
      <c r="F960" t="s">
        <v>22</v>
      </c>
      <c r="G960" t="s">
        <v>33</v>
      </c>
      <c r="H960" t="s">
        <v>263</v>
      </c>
      <c r="I960" t="s">
        <v>2132</v>
      </c>
      <c r="J960">
        <v>10.108420000000001</v>
      </c>
      <c r="K960">
        <v>-84.400130000000004</v>
      </c>
      <c r="L960" t="s">
        <v>1225</v>
      </c>
      <c r="M960" t="s">
        <v>46</v>
      </c>
      <c r="N960" t="s">
        <v>47</v>
      </c>
      <c r="O960" t="s">
        <v>48</v>
      </c>
      <c r="P960">
        <v>1</v>
      </c>
      <c r="Q960" t="s">
        <v>155</v>
      </c>
      <c r="S960" t="str">
        <f>_xlfn.XLOOKUP(UNIVERSO[[#This Row],[Ruta]],'[1]CUOTA RUTA'!A:A,'[1]CUOTA RUTA'!D:D)</f>
        <v>Cargar</v>
      </c>
    </row>
    <row r="961" spans="1:19" x14ac:dyDescent="0.25">
      <c r="A961">
        <v>1500057880</v>
      </c>
      <c r="B961" t="s">
        <v>2133</v>
      </c>
      <c r="C961" t="s">
        <v>19</v>
      </c>
      <c r="D961" t="s">
        <v>20</v>
      </c>
      <c r="E961" t="s">
        <v>21</v>
      </c>
      <c r="F961" t="s">
        <v>22</v>
      </c>
      <c r="G961" t="s">
        <v>64</v>
      </c>
      <c r="H961" t="s">
        <v>44</v>
      </c>
      <c r="I961" t="s">
        <v>2134</v>
      </c>
      <c r="J961">
        <v>10.0681183</v>
      </c>
      <c r="K961">
        <v>-84.4581017</v>
      </c>
      <c r="L961" t="s">
        <v>1225</v>
      </c>
      <c r="M961" t="s">
        <v>46</v>
      </c>
      <c r="N961" t="s">
        <v>47</v>
      </c>
      <c r="O961" t="s">
        <v>48</v>
      </c>
      <c r="P961">
        <v>7</v>
      </c>
      <c r="Q961" t="s">
        <v>39</v>
      </c>
      <c r="S961" t="str">
        <f>_xlfn.XLOOKUP(UNIVERSO[[#This Row],[Ruta]],'[1]CUOTA RUTA'!A:A,'[1]CUOTA RUTA'!D:D)</f>
        <v>Cargar</v>
      </c>
    </row>
    <row r="962" spans="1:19" x14ac:dyDescent="0.25">
      <c r="A962">
        <v>1500058012</v>
      </c>
      <c r="B962" t="s">
        <v>2135</v>
      </c>
      <c r="C962" t="s">
        <v>19</v>
      </c>
      <c r="D962" t="s">
        <v>20</v>
      </c>
      <c r="E962" t="s">
        <v>21</v>
      </c>
      <c r="F962" t="s">
        <v>22</v>
      </c>
      <c r="G962" t="s">
        <v>33</v>
      </c>
      <c r="H962" t="s">
        <v>260</v>
      </c>
      <c r="I962" t="s">
        <v>2136</v>
      </c>
      <c r="J962">
        <v>10.084885480000001</v>
      </c>
      <c r="K962">
        <v>-84.469263609999999</v>
      </c>
      <c r="L962" t="s">
        <v>1225</v>
      </c>
      <c r="M962" t="s">
        <v>46</v>
      </c>
      <c r="N962" t="s">
        <v>47</v>
      </c>
      <c r="O962" t="s">
        <v>48</v>
      </c>
      <c r="P962">
        <v>7</v>
      </c>
      <c r="Q962" t="s">
        <v>39</v>
      </c>
      <c r="S962" t="str">
        <f>_xlfn.XLOOKUP(UNIVERSO[[#This Row],[Ruta]],'[1]CUOTA RUTA'!A:A,'[1]CUOTA RUTA'!D:D)</f>
        <v>Cargar</v>
      </c>
    </row>
    <row r="963" spans="1:19" x14ac:dyDescent="0.25">
      <c r="A963">
        <v>1500058110</v>
      </c>
      <c r="B963" t="s">
        <v>2137</v>
      </c>
      <c r="C963" t="s">
        <v>19</v>
      </c>
      <c r="D963" t="s">
        <v>20</v>
      </c>
      <c r="E963" t="s">
        <v>21</v>
      </c>
      <c r="F963" t="s">
        <v>22</v>
      </c>
      <c r="G963" t="s">
        <v>33</v>
      </c>
      <c r="H963" t="s">
        <v>260</v>
      </c>
      <c r="I963" t="s">
        <v>2138</v>
      </c>
      <c r="J963">
        <v>10.090298008466</v>
      </c>
      <c r="K963">
        <v>-84.470243262449998</v>
      </c>
      <c r="L963" t="s">
        <v>1225</v>
      </c>
      <c r="M963" t="s">
        <v>46</v>
      </c>
      <c r="N963" t="s">
        <v>47</v>
      </c>
      <c r="O963" t="s">
        <v>48</v>
      </c>
      <c r="P963">
        <v>6</v>
      </c>
      <c r="Q963" t="s">
        <v>49</v>
      </c>
      <c r="S963" t="str">
        <f>_xlfn.XLOOKUP(UNIVERSO[[#This Row],[Ruta]],'[1]CUOTA RUTA'!A:A,'[1]CUOTA RUTA'!D:D)</f>
        <v>Cargar</v>
      </c>
    </row>
    <row r="964" spans="1:19" x14ac:dyDescent="0.25">
      <c r="A964">
        <v>1500058188</v>
      </c>
      <c r="B964" t="s">
        <v>2139</v>
      </c>
      <c r="C964" t="s">
        <v>19</v>
      </c>
      <c r="D964" t="s">
        <v>20</v>
      </c>
      <c r="E964" t="s">
        <v>21</v>
      </c>
      <c r="F964" t="s">
        <v>22</v>
      </c>
      <c r="G964" t="s">
        <v>64</v>
      </c>
      <c r="H964" t="s">
        <v>44</v>
      </c>
      <c r="I964" t="s">
        <v>2140</v>
      </c>
      <c r="J964">
        <v>10.075054021781</v>
      </c>
      <c r="K964">
        <v>-84.474726348120001</v>
      </c>
      <c r="L964" t="s">
        <v>1225</v>
      </c>
      <c r="M964" t="s">
        <v>46</v>
      </c>
      <c r="N964" t="s">
        <v>47</v>
      </c>
      <c r="O964" t="s">
        <v>48</v>
      </c>
      <c r="P964">
        <v>7</v>
      </c>
      <c r="Q964" t="s">
        <v>39</v>
      </c>
      <c r="S964" t="str">
        <f>_xlfn.XLOOKUP(UNIVERSO[[#This Row],[Ruta]],'[1]CUOTA RUTA'!A:A,'[1]CUOTA RUTA'!D:D)</f>
        <v>Cargar</v>
      </c>
    </row>
    <row r="965" spans="1:19" x14ac:dyDescent="0.25">
      <c r="A965">
        <v>1500058195</v>
      </c>
      <c r="B965" t="s">
        <v>2141</v>
      </c>
      <c r="C965" t="s">
        <v>19</v>
      </c>
      <c r="D965" t="s">
        <v>20</v>
      </c>
      <c r="E965" t="s">
        <v>21</v>
      </c>
      <c r="F965" t="s">
        <v>22</v>
      </c>
      <c r="G965" t="s">
        <v>64</v>
      </c>
      <c r="H965" t="s">
        <v>260</v>
      </c>
      <c r="I965" t="s">
        <v>2142</v>
      </c>
      <c r="J965">
        <v>10.09222836</v>
      </c>
      <c r="K965">
        <v>-84.467580979999994</v>
      </c>
      <c r="L965" t="s">
        <v>1225</v>
      </c>
      <c r="M965" t="s">
        <v>46</v>
      </c>
      <c r="N965" t="s">
        <v>47</v>
      </c>
      <c r="O965" t="s">
        <v>48</v>
      </c>
      <c r="P965">
        <v>6</v>
      </c>
      <c r="Q965" t="s">
        <v>49</v>
      </c>
      <c r="S965" t="str">
        <f>_xlfn.XLOOKUP(UNIVERSO[[#This Row],[Ruta]],'[1]CUOTA RUTA'!A:A,'[1]CUOTA RUTA'!D:D)</f>
        <v>Cargar</v>
      </c>
    </row>
    <row r="966" spans="1:19" x14ac:dyDescent="0.25">
      <c r="A966">
        <v>1500058454</v>
      </c>
      <c r="B966" t="s">
        <v>2143</v>
      </c>
      <c r="C966" t="s">
        <v>19</v>
      </c>
      <c r="D966" t="s">
        <v>20</v>
      </c>
      <c r="E966" t="s">
        <v>21</v>
      </c>
      <c r="F966" t="s">
        <v>22</v>
      </c>
      <c r="G966" t="s">
        <v>33</v>
      </c>
      <c r="H966" t="s">
        <v>901</v>
      </c>
      <c r="I966" t="s">
        <v>2144</v>
      </c>
      <c r="J966">
        <v>10.042633370000001</v>
      </c>
      <c r="K966">
        <v>-84.44234041</v>
      </c>
      <c r="L966" t="s">
        <v>1225</v>
      </c>
      <c r="M966" t="s">
        <v>46</v>
      </c>
      <c r="N966" t="s">
        <v>47</v>
      </c>
      <c r="O966" t="s">
        <v>48</v>
      </c>
      <c r="P966">
        <v>7</v>
      </c>
      <c r="Q966" t="s">
        <v>39</v>
      </c>
      <c r="S966" t="str">
        <f>_xlfn.XLOOKUP(UNIVERSO[[#This Row],[Ruta]],'[1]CUOTA RUTA'!A:A,'[1]CUOTA RUTA'!D:D)</f>
        <v>Cargar</v>
      </c>
    </row>
    <row r="967" spans="1:19" x14ac:dyDescent="0.25">
      <c r="A967">
        <v>1500058459</v>
      </c>
      <c r="B967" t="s">
        <v>2145</v>
      </c>
      <c r="C967" t="s">
        <v>19</v>
      </c>
      <c r="D967" t="s">
        <v>20</v>
      </c>
      <c r="E967" t="s">
        <v>21</v>
      </c>
      <c r="F967" t="s">
        <v>22</v>
      </c>
      <c r="G967" t="s">
        <v>64</v>
      </c>
      <c r="H967" t="s">
        <v>901</v>
      </c>
      <c r="I967" t="s">
        <v>2146</v>
      </c>
      <c r="J967">
        <v>10.03568619</v>
      </c>
      <c r="K967">
        <v>-84.449695950000006</v>
      </c>
      <c r="L967" t="s">
        <v>1225</v>
      </c>
      <c r="M967" t="s">
        <v>46</v>
      </c>
      <c r="N967" t="s">
        <v>47</v>
      </c>
      <c r="O967" t="s">
        <v>48</v>
      </c>
      <c r="P967">
        <v>7</v>
      </c>
      <c r="Q967" t="s">
        <v>39</v>
      </c>
      <c r="S967" t="str">
        <f>_xlfn.XLOOKUP(UNIVERSO[[#This Row],[Ruta]],'[1]CUOTA RUTA'!A:A,'[1]CUOTA RUTA'!D:D)</f>
        <v>Cargar</v>
      </c>
    </row>
    <row r="968" spans="1:19" x14ac:dyDescent="0.25">
      <c r="A968">
        <v>1500058472</v>
      </c>
      <c r="B968" t="s">
        <v>2147</v>
      </c>
      <c r="C968" t="s">
        <v>19</v>
      </c>
      <c r="D968" t="s">
        <v>20</v>
      </c>
      <c r="E968" t="s">
        <v>21</v>
      </c>
      <c r="F968" t="s">
        <v>22</v>
      </c>
      <c r="G968" t="s">
        <v>64</v>
      </c>
      <c r="H968" t="s">
        <v>901</v>
      </c>
      <c r="I968" t="s">
        <v>2148</v>
      </c>
      <c r="J968">
        <v>10.02717067</v>
      </c>
      <c r="K968">
        <v>-84.440435249999993</v>
      </c>
      <c r="L968" t="s">
        <v>1225</v>
      </c>
      <c r="M968" t="s">
        <v>46</v>
      </c>
      <c r="N968" t="s">
        <v>47</v>
      </c>
      <c r="O968" t="s">
        <v>48</v>
      </c>
      <c r="P968">
        <v>8</v>
      </c>
      <c r="Q968" t="s">
        <v>97</v>
      </c>
      <c r="S968" t="str">
        <f>_xlfn.XLOOKUP(UNIVERSO[[#This Row],[Ruta]],'[1]CUOTA RUTA'!A:A,'[1]CUOTA RUTA'!D:D)</f>
        <v>Cargar</v>
      </c>
    </row>
    <row r="969" spans="1:19" x14ac:dyDescent="0.25">
      <c r="A969">
        <v>1500058510</v>
      </c>
      <c r="B969" t="s">
        <v>2149</v>
      </c>
      <c r="C969" t="s">
        <v>19</v>
      </c>
      <c r="D969" t="s">
        <v>20</v>
      </c>
      <c r="E969" t="s">
        <v>21</v>
      </c>
      <c r="F969" t="s">
        <v>22</v>
      </c>
      <c r="G969" t="s">
        <v>33</v>
      </c>
      <c r="H969" t="s">
        <v>901</v>
      </c>
      <c r="I969" t="s">
        <v>2150</v>
      </c>
      <c r="J969">
        <v>10.04165807</v>
      </c>
      <c r="K969">
        <v>-84.428580620000005</v>
      </c>
      <c r="L969" t="s">
        <v>1225</v>
      </c>
      <c r="M969" t="s">
        <v>46</v>
      </c>
      <c r="N969" t="s">
        <v>47</v>
      </c>
      <c r="O969" t="s">
        <v>48</v>
      </c>
      <c r="P969">
        <v>7</v>
      </c>
      <c r="Q969" t="s">
        <v>39</v>
      </c>
      <c r="S969" t="str">
        <f>_xlfn.XLOOKUP(UNIVERSO[[#This Row],[Ruta]],'[1]CUOTA RUTA'!A:A,'[1]CUOTA RUTA'!D:D)</f>
        <v>Cargar</v>
      </c>
    </row>
    <row r="970" spans="1:19" x14ac:dyDescent="0.25">
      <c r="A970">
        <v>1500058514</v>
      </c>
      <c r="B970" t="s">
        <v>2151</v>
      </c>
      <c r="C970" t="s">
        <v>19</v>
      </c>
      <c r="D970" t="s">
        <v>20</v>
      </c>
      <c r="E970" t="s">
        <v>21</v>
      </c>
      <c r="F970" t="s">
        <v>22</v>
      </c>
      <c r="G970" t="s">
        <v>64</v>
      </c>
      <c r="H970" t="s">
        <v>901</v>
      </c>
      <c r="I970" t="s">
        <v>2152</v>
      </c>
      <c r="J970">
        <v>10.038919999999999</v>
      </c>
      <c r="K970">
        <v>-84.427379999999999</v>
      </c>
      <c r="L970" t="s">
        <v>1225</v>
      </c>
      <c r="M970" t="s">
        <v>46</v>
      </c>
      <c r="N970" t="s">
        <v>47</v>
      </c>
      <c r="O970" t="s">
        <v>48</v>
      </c>
      <c r="P970">
        <v>7</v>
      </c>
      <c r="Q970" t="s">
        <v>39</v>
      </c>
      <c r="S970" t="str">
        <f>_xlfn.XLOOKUP(UNIVERSO[[#This Row],[Ruta]],'[1]CUOTA RUTA'!A:A,'[1]CUOTA RUTA'!D:D)</f>
        <v>Cargar</v>
      </c>
    </row>
    <row r="971" spans="1:19" x14ac:dyDescent="0.25">
      <c r="A971">
        <v>1500058918</v>
      </c>
      <c r="B971" t="s">
        <v>2153</v>
      </c>
      <c r="C971" t="s">
        <v>19</v>
      </c>
      <c r="D971" t="s">
        <v>266</v>
      </c>
      <c r="E971" t="s">
        <v>21</v>
      </c>
      <c r="F971" t="s">
        <v>22</v>
      </c>
      <c r="G971" t="s">
        <v>64</v>
      </c>
      <c r="H971" t="s">
        <v>272</v>
      </c>
      <c r="I971" t="s">
        <v>2154</v>
      </c>
      <c r="J971">
        <v>9.8588635</v>
      </c>
      <c r="K971">
        <v>-83.738624299999998</v>
      </c>
      <c r="L971" t="s">
        <v>1225</v>
      </c>
      <c r="M971" t="s">
        <v>54</v>
      </c>
      <c r="N971" t="s">
        <v>274</v>
      </c>
      <c r="O971" t="s">
        <v>275</v>
      </c>
      <c r="P971">
        <v>23</v>
      </c>
      <c r="Q971" t="s">
        <v>125</v>
      </c>
      <c r="S971" t="str">
        <f>_xlfn.XLOOKUP(UNIVERSO[[#This Row],[Ruta]],'[1]CUOTA RUTA'!A:A,'[1]CUOTA RUTA'!D:D)</f>
        <v>Cargar</v>
      </c>
    </row>
    <row r="972" spans="1:19" x14ac:dyDescent="0.25">
      <c r="A972">
        <v>1500058992</v>
      </c>
      <c r="B972" t="s">
        <v>2155</v>
      </c>
      <c r="C972" t="s">
        <v>19</v>
      </c>
      <c r="D972" t="s">
        <v>266</v>
      </c>
      <c r="E972" t="s">
        <v>21</v>
      </c>
      <c r="F972" t="s">
        <v>22</v>
      </c>
      <c r="G972" t="s">
        <v>64</v>
      </c>
      <c r="H972" t="s">
        <v>267</v>
      </c>
      <c r="I972" t="s">
        <v>2156</v>
      </c>
      <c r="J972">
        <v>9.8225963000000007</v>
      </c>
      <c r="K972">
        <v>-83.556150799999998</v>
      </c>
      <c r="L972" t="s">
        <v>1225</v>
      </c>
      <c r="M972" t="s">
        <v>189</v>
      </c>
      <c r="N972" t="s">
        <v>269</v>
      </c>
      <c r="O972" t="s">
        <v>270</v>
      </c>
      <c r="P972">
        <v>23</v>
      </c>
      <c r="Q972" t="s">
        <v>125</v>
      </c>
      <c r="S972" t="str">
        <f>_xlfn.XLOOKUP(UNIVERSO[[#This Row],[Ruta]],'[1]CUOTA RUTA'!A:A,'[1]CUOTA RUTA'!D:D)</f>
        <v>Cargar</v>
      </c>
    </row>
    <row r="973" spans="1:19" x14ac:dyDescent="0.25">
      <c r="A973">
        <v>1500059013</v>
      </c>
      <c r="B973" t="s">
        <v>2157</v>
      </c>
      <c r="C973" t="s">
        <v>19</v>
      </c>
      <c r="D973" t="s">
        <v>266</v>
      </c>
      <c r="E973" t="s">
        <v>21</v>
      </c>
      <c r="F973" t="s">
        <v>22</v>
      </c>
      <c r="G973" t="s">
        <v>64</v>
      </c>
      <c r="H973" t="s">
        <v>267</v>
      </c>
      <c r="I973" t="s">
        <v>2158</v>
      </c>
      <c r="J973">
        <v>9.8495141000000004</v>
      </c>
      <c r="K973">
        <v>-83.609250599999996</v>
      </c>
      <c r="L973" t="s">
        <v>1225</v>
      </c>
      <c r="M973" t="s">
        <v>189</v>
      </c>
      <c r="N973" t="s">
        <v>269</v>
      </c>
      <c r="O973" t="s">
        <v>270</v>
      </c>
      <c r="P973">
        <v>20</v>
      </c>
      <c r="Q973" t="s">
        <v>74</v>
      </c>
      <c r="S973" t="str">
        <f>_xlfn.XLOOKUP(UNIVERSO[[#This Row],[Ruta]],'[1]CUOTA RUTA'!A:A,'[1]CUOTA RUTA'!D:D)</f>
        <v>Cargar</v>
      </c>
    </row>
    <row r="974" spans="1:19" x14ac:dyDescent="0.25">
      <c r="A974">
        <v>1500059055</v>
      </c>
      <c r="B974" t="s">
        <v>1606</v>
      </c>
      <c r="C974" t="s">
        <v>19</v>
      </c>
      <c r="D974" t="s">
        <v>266</v>
      </c>
      <c r="E974" t="s">
        <v>21</v>
      </c>
      <c r="F974" t="s">
        <v>22</v>
      </c>
      <c r="G974" t="s">
        <v>64</v>
      </c>
      <c r="H974" t="s">
        <v>267</v>
      </c>
      <c r="I974" t="s">
        <v>2159</v>
      </c>
      <c r="J974">
        <v>9.8216614100000008</v>
      </c>
      <c r="K974">
        <v>-83.555060139999995</v>
      </c>
      <c r="L974" t="s">
        <v>1225</v>
      </c>
      <c r="M974" t="s">
        <v>189</v>
      </c>
      <c r="N974" t="s">
        <v>269</v>
      </c>
      <c r="O974" t="s">
        <v>270</v>
      </c>
      <c r="P974">
        <v>23</v>
      </c>
      <c r="Q974" t="s">
        <v>125</v>
      </c>
      <c r="S974" t="str">
        <f>_xlfn.XLOOKUP(UNIVERSO[[#This Row],[Ruta]],'[1]CUOTA RUTA'!A:A,'[1]CUOTA RUTA'!D:D)</f>
        <v>Cargar</v>
      </c>
    </row>
    <row r="975" spans="1:19" x14ac:dyDescent="0.25">
      <c r="A975">
        <v>1500059071</v>
      </c>
      <c r="B975" t="s">
        <v>691</v>
      </c>
      <c r="C975" t="s">
        <v>19</v>
      </c>
      <c r="D975" t="s">
        <v>266</v>
      </c>
      <c r="E975" t="s">
        <v>21</v>
      </c>
      <c r="F975" t="s">
        <v>22</v>
      </c>
      <c r="G975" t="s">
        <v>23</v>
      </c>
      <c r="H975" t="s">
        <v>372</v>
      </c>
      <c r="I975" t="s">
        <v>2160</v>
      </c>
      <c r="J975">
        <v>9.9156098099999994</v>
      </c>
      <c r="K975">
        <v>-83.618608570000006</v>
      </c>
      <c r="L975" t="s">
        <v>1225</v>
      </c>
      <c r="M975" t="s">
        <v>189</v>
      </c>
      <c r="N975" t="s">
        <v>269</v>
      </c>
      <c r="O975" t="s">
        <v>270</v>
      </c>
      <c r="P975">
        <v>23</v>
      </c>
      <c r="Q975" t="s">
        <v>125</v>
      </c>
      <c r="S975" t="str">
        <f>_xlfn.XLOOKUP(UNIVERSO[[#This Row],[Ruta]],'[1]CUOTA RUTA'!A:A,'[1]CUOTA RUTA'!D:D)</f>
        <v>Cargar</v>
      </c>
    </row>
    <row r="976" spans="1:19" x14ac:dyDescent="0.25">
      <c r="A976">
        <v>1500059075</v>
      </c>
      <c r="B976" t="s">
        <v>1232</v>
      </c>
      <c r="C976" t="s">
        <v>19</v>
      </c>
      <c r="D976" t="s">
        <v>208</v>
      </c>
      <c r="E976" t="s">
        <v>21</v>
      </c>
      <c r="F976" t="s">
        <v>22</v>
      </c>
      <c r="G976" t="s">
        <v>33</v>
      </c>
      <c r="H976" t="s">
        <v>221</v>
      </c>
      <c r="I976" t="s">
        <v>2161</v>
      </c>
      <c r="J976">
        <v>9.9350000000000005</v>
      </c>
      <c r="K976">
        <v>-83.588200000000001</v>
      </c>
      <c r="L976" t="s">
        <v>1225</v>
      </c>
      <c r="M976" t="s">
        <v>189</v>
      </c>
      <c r="N976" t="s">
        <v>211</v>
      </c>
      <c r="O976" t="s">
        <v>212</v>
      </c>
      <c r="P976">
        <v>9</v>
      </c>
      <c r="Q976" t="s">
        <v>80</v>
      </c>
      <c r="S976" t="str">
        <f>_xlfn.XLOOKUP(UNIVERSO[[#This Row],[Ruta]],'[1]CUOTA RUTA'!A:A,'[1]CUOTA RUTA'!D:D)</f>
        <v>Cargar</v>
      </c>
    </row>
    <row r="977" spans="1:19" x14ac:dyDescent="0.25">
      <c r="A977">
        <v>1500059277</v>
      </c>
      <c r="B977" t="s">
        <v>2162</v>
      </c>
      <c r="C977" t="s">
        <v>19</v>
      </c>
      <c r="D977" t="s">
        <v>266</v>
      </c>
      <c r="E977" t="s">
        <v>21</v>
      </c>
      <c r="F977" t="s">
        <v>22</v>
      </c>
      <c r="G977" t="s">
        <v>33</v>
      </c>
      <c r="H977" t="s">
        <v>372</v>
      </c>
      <c r="I977" t="s">
        <v>2163</v>
      </c>
      <c r="J977">
        <v>9.9025501699999996</v>
      </c>
      <c r="K977">
        <v>-83.684146319999996</v>
      </c>
      <c r="L977" t="s">
        <v>1225</v>
      </c>
      <c r="M977" t="s">
        <v>189</v>
      </c>
      <c r="N977" t="s">
        <v>269</v>
      </c>
      <c r="O977" t="s">
        <v>270</v>
      </c>
      <c r="P977">
        <v>21</v>
      </c>
      <c r="Q977" t="s">
        <v>239</v>
      </c>
      <c r="S977" t="str">
        <f>_xlfn.XLOOKUP(UNIVERSO[[#This Row],[Ruta]],'[1]CUOTA RUTA'!A:A,'[1]CUOTA RUTA'!D:D)</f>
        <v>Cargar</v>
      </c>
    </row>
    <row r="978" spans="1:19" x14ac:dyDescent="0.25">
      <c r="A978">
        <v>1500059373</v>
      </c>
      <c r="B978" t="s">
        <v>2164</v>
      </c>
      <c r="C978" t="s">
        <v>19</v>
      </c>
      <c r="D978" t="s">
        <v>266</v>
      </c>
      <c r="E978" t="s">
        <v>21</v>
      </c>
      <c r="F978" t="s">
        <v>22</v>
      </c>
      <c r="G978" t="s">
        <v>33</v>
      </c>
      <c r="H978" t="s">
        <v>372</v>
      </c>
      <c r="I978" t="s">
        <v>2165</v>
      </c>
      <c r="J978">
        <v>9.9106663099999999</v>
      </c>
      <c r="K978">
        <v>-83.691118270000004</v>
      </c>
      <c r="L978" t="s">
        <v>1225</v>
      </c>
      <c r="M978" t="s">
        <v>189</v>
      </c>
      <c r="N978" t="s">
        <v>269</v>
      </c>
      <c r="O978" t="s">
        <v>270</v>
      </c>
      <c r="P978">
        <v>21</v>
      </c>
      <c r="Q978" t="s">
        <v>239</v>
      </c>
      <c r="S978" t="str">
        <f>_xlfn.XLOOKUP(UNIVERSO[[#This Row],[Ruta]],'[1]CUOTA RUTA'!A:A,'[1]CUOTA RUTA'!D:D)</f>
        <v>Cargar</v>
      </c>
    </row>
    <row r="979" spans="1:19" x14ac:dyDescent="0.25">
      <c r="A979">
        <v>1500059494</v>
      </c>
      <c r="B979" t="s">
        <v>2166</v>
      </c>
      <c r="C979" t="s">
        <v>19</v>
      </c>
      <c r="D979" t="s">
        <v>266</v>
      </c>
      <c r="E979" t="s">
        <v>21</v>
      </c>
      <c r="F979" t="s">
        <v>22</v>
      </c>
      <c r="G979" t="s">
        <v>64</v>
      </c>
      <c r="H979" t="s">
        <v>267</v>
      </c>
      <c r="I979" t="s">
        <v>2167</v>
      </c>
      <c r="J979">
        <v>9.9161428800000007</v>
      </c>
      <c r="K979">
        <v>-83.680790139999999</v>
      </c>
      <c r="L979" t="s">
        <v>1225</v>
      </c>
      <c r="M979" t="s">
        <v>189</v>
      </c>
      <c r="N979" t="s">
        <v>269</v>
      </c>
      <c r="O979" t="s">
        <v>270</v>
      </c>
      <c r="P979">
        <v>22</v>
      </c>
      <c r="Q979" t="s">
        <v>30</v>
      </c>
      <c r="S979" t="str">
        <f>_xlfn.XLOOKUP(UNIVERSO[[#This Row],[Ruta]],'[1]CUOTA RUTA'!A:A,'[1]CUOTA RUTA'!D:D)</f>
        <v>Cargar</v>
      </c>
    </row>
    <row r="980" spans="1:19" x14ac:dyDescent="0.25">
      <c r="A980">
        <v>1500059569</v>
      </c>
      <c r="B980" t="s">
        <v>2168</v>
      </c>
      <c r="C980" t="s">
        <v>19</v>
      </c>
      <c r="D980" t="s">
        <v>266</v>
      </c>
      <c r="E980" t="s">
        <v>21</v>
      </c>
      <c r="F980" t="s">
        <v>22</v>
      </c>
      <c r="G980" t="s">
        <v>64</v>
      </c>
      <c r="H980" t="s">
        <v>272</v>
      </c>
      <c r="I980" t="s">
        <v>2169</v>
      </c>
      <c r="J980">
        <v>9.8739749999999997</v>
      </c>
      <c r="K980">
        <v>-83.820324999999997</v>
      </c>
      <c r="L980" t="s">
        <v>1225</v>
      </c>
      <c r="M980" t="s">
        <v>54</v>
      </c>
      <c r="N980" t="s">
        <v>274</v>
      </c>
      <c r="O980" t="s">
        <v>275</v>
      </c>
      <c r="P980">
        <v>21</v>
      </c>
      <c r="Q980" t="s">
        <v>239</v>
      </c>
      <c r="S980" t="str">
        <f>_xlfn.XLOOKUP(UNIVERSO[[#This Row],[Ruta]],'[1]CUOTA RUTA'!A:A,'[1]CUOTA RUTA'!D:D)</f>
        <v>Cargar</v>
      </c>
    </row>
    <row r="981" spans="1:19" x14ac:dyDescent="0.25">
      <c r="A981">
        <v>1500059594</v>
      </c>
      <c r="B981" t="s">
        <v>2170</v>
      </c>
      <c r="C981" t="s">
        <v>19</v>
      </c>
      <c r="D981" t="s">
        <v>266</v>
      </c>
      <c r="E981" t="s">
        <v>21</v>
      </c>
      <c r="F981" t="s">
        <v>22</v>
      </c>
      <c r="G981" t="s">
        <v>64</v>
      </c>
      <c r="H981" t="s">
        <v>372</v>
      </c>
      <c r="I981" t="s">
        <v>2171</v>
      </c>
      <c r="J981">
        <v>9.9249592199999999</v>
      </c>
      <c r="K981">
        <v>-83.696746309999995</v>
      </c>
      <c r="L981" t="s">
        <v>1225</v>
      </c>
      <c r="M981" t="s">
        <v>189</v>
      </c>
      <c r="N981" t="s">
        <v>269</v>
      </c>
      <c r="O981" t="s">
        <v>270</v>
      </c>
      <c r="P981">
        <v>22</v>
      </c>
      <c r="Q981" t="s">
        <v>30</v>
      </c>
      <c r="S981" t="str">
        <f>_xlfn.XLOOKUP(UNIVERSO[[#This Row],[Ruta]],'[1]CUOTA RUTA'!A:A,'[1]CUOTA RUTA'!D:D)</f>
        <v>Cargar</v>
      </c>
    </row>
    <row r="982" spans="1:19" x14ac:dyDescent="0.25">
      <c r="A982">
        <v>1500059647</v>
      </c>
      <c r="B982" t="s">
        <v>2172</v>
      </c>
      <c r="C982" t="s">
        <v>19</v>
      </c>
      <c r="D982" t="s">
        <v>266</v>
      </c>
      <c r="E982" t="s">
        <v>21</v>
      </c>
      <c r="F982" t="s">
        <v>22</v>
      </c>
      <c r="G982" t="s">
        <v>64</v>
      </c>
      <c r="H982" t="s">
        <v>321</v>
      </c>
      <c r="I982" t="s">
        <v>2173</v>
      </c>
      <c r="J982">
        <v>9.8940465999999994</v>
      </c>
      <c r="K982">
        <v>-83.7430801</v>
      </c>
      <c r="L982" t="s">
        <v>1225</v>
      </c>
      <c r="M982" t="s">
        <v>54</v>
      </c>
      <c r="N982" t="s">
        <v>274</v>
      </c>
      <c r="O982" t="s">
        <v>275</v>
      </c>
      <c r="P982">
        <v>24</v>
      </c>
      <c r="Q982" t="s">
        <v>947</v>
      </c>
      <c r="S982" t="str">
        <f>_xlfn.XLOOKUP(UNIVERSO[[#This Row],[Ruta]],'[1]CUOTA RUTA'!A:A,'[1]CUOTA RUTA'!D:D)</f>
        <v>Cargar</v>
      </c>
    </row>
    <row r="983" spans="1:19" x14ac:dyDescent="0.25">
      <c r="A983">
        <v>1500059659</v>
      </c>
      <c r="B983" t="s">
        <v>2174</v>
      </c>
      <c r="C983" t="s">
        <v>19</v>
      </c>
      <c r="D983" t="s">
        <v>266</v>
      </c>
      <c r="E983" t="s">
        <v>21</v>
      </c>
      <c r="F983" t="s">
        <v>22</v>
      </c>
      <c r="G983" t="s">
        <v>33</v>
      </c>
      <c r="H983" t="s">
        <v>321</v>
      </c>
      <c r="I983" t="s">
        <v>2175</v>
      </c>
      <c r="J983">
        <v>9.8941864000000006</v>
      </c>
      <c r="K983">
        <v>-83.748746800000006</v>
      </c>
      <c r="L983" t="s">
        <v>1225</v>
      </c>
      <c r="M983" t="s">
        <v>54</v>
      </c>
      <c r="N983" t="s">
        <v>274</v>
      </c>
      <c r="O983" t="s">
        <v>275</v>
      </c>
      <c r="P983">
        <v>24</v>
      </c>
      <c r="Q983" t="s">
        <v>947</v>
      </c>
      <c r="S983" t="str">
        <f>_xlfn.XLOOKUP(UNIVERSO[[#This Row],[Ruta]],'[1]CUOTA RUTA'!A:A,'[1]CUOTA RUTA'!D:D)</f>
        <v>Cargar</v>
      </c>
    </row>
    <row r="984" spans="1:19" x14ac:dyDescent="0.25">
      <c r="A984">
        <v>1500059807</v>
      </c>
      <c r="B984" t="s">
        <v>2176</v>
      </c>
      <c r="C984" t="s">
        <v>19</v>
      </c>
      <c r="D984" t="s">
        <v>20</v>
      </c>
      <c r="E984" t="s">
        <v>21</v>
      </c>
      <c r="F984" t="s">
        <v>22</v>
      </c>
      <c r="G984" t="s">
        <v>64</v>
      </c>
      <c r="H984" t="s">
        <v>311</v>
      </c>
      <c r="I984" t="s">
        <v>2177</v>
      </c>
      <c r="J984">
        <v>9.9631620000000005</v>
      </c>
      <c r="K984">
        <v>-84.229181999999994</v>
      </c>
      <c r="L984" t="s">
        <v>1225</v>
      </c>
      <c r="M984" t="s">
        <v>54</v>
      </c>
      <c r="N984" t="s">
        <v>55</v>
      </c>
      <c r="O984" t="s">
        <v>56</v>
      </c>
      <c r="P984">
        <v>9</v>
      </c>
      <c r="Q984" t="s">
        <v>80</v>
      </c>
      <c r="S984" t="str">
        <f>_xlfn.XLOOKUP(UNIVERSO[[#This Row],[Ruta]],'[1]CUOTA RUTA'!A:A,'[1]CUOTA RUTA'!D:D)</f>
        <v>Cargar</v>
      </c>
    </row>
    <row r="985" spans="1:19" x14ac:dyDescent="0.25">
      <c r="A985">
        <v>1500059848</v>
      </c>
      <c r="B985" t="s">
        <v>2178</v>
      </c>
      <c r="C985" t="s">
        <v>19</v>
      </c>
      <c r="D985" t="s">
        <v>20</v>
      </c>
      <c r="E985" t="s">
        <v>21</v>
      </c>
      <c r="F985" t="s">
        <v>22</v>
      </c>
      <c r="G985" t="s">
        <v>33</v>
      </c>
      <c r="H985" t="s">
        <v>311</v>
      </c>
      <c r="I985" t="s">
        <v>2179</v>
      </c>
      <c r="J985">
        <v>9.9750316666670003</v>
      </c>
      <c r="K985">
        <v>-84.210485000000006</v>
      </c>
      <c r="L985" t="s">
        <v>1225</v>
      </c>
      <c r="M985" t="s">
        <v>54</v>
      </c>
      <c r="N985" t="s">
        <v>55</v>
      </c>
      <c r="O985" t="s">
        <v>56</v>
      </c>
      <c r="P985">
        <v>19</v>
      </c>
      <c r="Q985" t="s">
        <v>67</v>
      </c>
      <c r="S985" t="str">
        <f>_xlfn.XLOOKUP(UNIVERSO[[#This Row],[Ruta]],'[1]CUOTA RUTA'!A:A,'[1]CUOTA RUTA'!D:D)</f>
        <v>Cargar</v>
      </c>
    </row>
    <row r="986" spans="1:19" x14ac:dyDescent="0.25">
      <c r="A986">
        <v>1500059850</v>
      </c>
      <c r="B986" t="s">
        <v>2180</v>
      </c>
      <c r="C986" t="s">
        <v>19</v>
      </c>
      <c r="D986" t="s">
        <v>20</v>
      </c>
      <c r="E986" t="s">
        <v>21</v>
      </c>
      <c r="F986" t="s">
        <v>22</v>
      </c>
      <c r="G986" t="s">
        <v>33</v>
      </c>
      <c r="H986" t="s">
        <v>311</v>
      </c>
      <c r="I986" t="s">
        <v>2181</v>
      </c>
      <c r="J986">
        <v>9.9766071000000007</v>
      </c>
      <c r="K986">
        <v>-84.207646999999994</v>
      </c>
      <c r="L986" t="s">
        <v>1225</v>
      </c>
      <c r="M986" t="s">
        <v>54</v>
      </c>
      <c r="N986" t="s">
        <v>55</v>
      </c>
      <c r="O986" t="s">
        <v>56</v>
      </c>
      <c r="P986">
        <v>14</v>
      </c>
      <c r="Q986" t="s">
        <v>181</v>
      </c>
      <c r="S986" t="str">
        <f>_xlfn.XLOOKUP(UNIVERSO[[#This Row],[Ruta]],'[1]CUOTA RUTA'!A:A,'[1]CUOTA RUTA'!D:D)</f>
        <v>Cargar</v>
      </c>
    </row>
    <row r="987" spans="1:19" x14ac:dyDescent="0.25">
      <c r="A987">
        <v>1500059853</v>
      </c>
      <c r="B987" t="s">
        <v>2182</v>
      </c>
      <c r="C987" t="s">
        <v>19</v>
      </c>
      <c r="D987" t="s">
        <v>20</v>
      </c>
      <c r="E987" t="s">
        <v>21</v>
      </c>
      <c r="F987" t="s">
        <v>22</v>
      </c>
      <c r="G987" t="s">
        <v>64</v>
      </c>
      <c r="H987" t="s">
        <v>311</v>
      </c>
      <c r="I987" t="s">
        <v>2183</v>
      </c>
      <c r="J987">
        <v>9.9778500000000001</v>
      </c>
      <c r="K987">
        <v>-84.202070000000006</v>
      </c>
      <c r="L987" t="s">
        <v>1225</v>
      </c>
      <c r="M987" t="s">
        <v>54</v>
      </c>
      <c r="N987" t="s">
        <v>55</v>
      </c>
      <c r="O987" t="s">
        <v>56</v>
      </c>
      <c r="P987">
        <v>14</v>
      </c>
      <c r="Q987" t="s">
        <v>181</v>
      </c>
      <c r="S987" t="str">
        <f>_xlfn.XLOOKUP(UNIVERSO[[#This Row],[Ruta]],'[1]CUOTA RUTA'!A:A,'[1]CUOTA RUTA'!D:D)</f>
        <v>Cargar</v>
      </c>
    </row>
    <row r="988" spans="1:19" x14ac:dyDescent="0.25">
      <c r="A988">
        <v>1500059880</v>
      </c>
      <c r="B988" t="s">
        <v>2184</v>
      </c>
      <c r="C988" t="s">
        <v>19</v>
      </c>
      <c r="D988" t="s">
        <v>20</v>
      </c>
      <c r="E988" t="s">
        <v>21</v>
      </c>
      <c r="F988" t="s">
        <v>22</v>
      </c>
      <c r="G988" t="s">
        <v>33</v>
      </c>
      <c r="H988" t="s">
        <v>862</v>
      </c>
      <c r="I988" t="s">
        <v>2185</v>
      </c>
      <c r="J988">
        <v>9.9806740000000005</v>
      </c>
      <c r="K988">
        <v>-84.169747000000001</v>
      </c>
      <c r="L988" t="s">
        <v>1225</v>
      </c>
      <c r="M988" t="s">
        <v>27</v>
      </c>
      <c r="N988" t="s">
        <v>28</v>
      </c>
      <c r="O988" t="s">
        <v>29</v>
      </c>
      <c r="P988">
        <v>23</v>
      </c>
      <c r="Q988" t="s">
        <v>125</v>
      </c>
      <c r="S988" t="str">
        <f>_xlfn.XLOOKUP(UNIVERSO[[#This Row],[Ruta]],'[1]CUOTA RUTA'!A:A,'[1]CUOTA RUTA'!D:D)</f>
        <v>Cargar</v>
      </c>
    </row>
    <row r="989" spans="1:19" x14ac:dyDescent="0.25">
      <c r="A989">
        <v>1500059934</v>
      </c>
      <c r="B989" t="s">
        <v>2186</v>
      </c>
      <c r="C989" t="s">
        <v>19</v>
      </c>
      <c r="D989" t="s">
        <v>20</v>
      </c>
      <c r="E989" t="s">
        <v>21</v>
      </c>
      <c r="F989" t="s">
        <v>22</v>
      </c>
      <c r="G989" t="s">
        <v>64</v>
      </c>
      <c r="H989" t="s">
        <v>198</v>
      </c>
      <c r="I989" t="s">
        <v>2187</v>
      </c>
      <c r="J989">
        <v>9.9431183999999995</v>
      </c>
      <c r="K989">
        <v>-84.184811999999994</v>
      </c>
      <c r="L989" t="s">
        <v>1225</v>
      </c>
      <c r="M989" t="s">
        <v>54</v>
      </c>
      <c r="N989" t="s">
        <v>55</v>
      </c>
      <c r="O989" t="s">
        <v>56</v>
      </c>
      <c r="P989">
        <v>13</v>
      </c>
      <c r="Q989" t="s">
        <v>161</v>
      </c>
      <c r="S989" t="str">
        <f>_xlfn.XLOOKUP(UNIVERSO[[#This Row],[Ruta]],'[1]CUOTA RUTA'!A:A,'[1]CUOTA RUTA'!D:D)</f>
        <v>Cargar</v>
      </c>
    </row>
    <row r="990" spans="1:19" x14ac:dyDescent="0.25">
      <c r="A990">
        <v>1500059951</v>
      </c>
      <c r="B990" t="s">
        <v>2188</v>
      </c>
      <c r="C990" t="s">
        <v>19</v>
      </c>
      <c r="D990" t="s">
        <v>20</v>
      </c>
      <c r="E990" t="s">
        <v>21</v>
      </c>
      <c r="F990" t="s">
        <v>22</v>
      </c>
      <c r="G990" t="s">
        <v>23</v>
      </c>
      <c r="H990" t="s">
        <v>311</v>
      </c>
      <c r="I990" t="s">
        <v>2189</v>
      </c>
      <c r="J990">
        <v>9.9755366999999993</v>
      </c>
      <c r="K990">
        <v>-84.218203299999999</v>
      </c>
      <c r="L990" t="s">
        <v>1225</v>
      </c>
      <c r="M990" t="s">
        <v>54</v>
      </c>
      <c r="N990" t="s">
        <v>55</v>
      </c>
      <c r="O990" t="s">
        <v>56</v>
      </c>
      <c r="P990">
        <v>8</v>
      </c>
      <c r="Q990" t="s">
        <v>97</v>
      </c>
      <c r="S990" t="str">
        <f>_xlfn.XLOOKUP(UNIVERSO[[#This Row],[Ruta]],'[1]CUOTA RUTA'!A:A,'[1]CUOTA RUTA'!D:D)</f>
        <v>Cargar</v>
      </c>
    </row>
    <row r="991" spans="1:19" x14ac:dyDescent="0.25">
      <c r="A991">
        <v>1500059962</v>
      </c>
      <c r="B991" t="s">
        <v>929</v>
      </c>
      <c r="C991" t="s">
        <v>19</v>
      </c>
      <c r="D991" t="s">
        <v>20</v>
      </c>
      <c r="E991" t="s">
        <v>21</v>
      </c>
      <c r="F991" t="s">
        <v>51</v>
      </c>
      <c r="G991" t="s">
        <v>23</v>
      </c>
      <c r="H991" t="s">
        <v>277</v>
      </c>
      <c r="I991" t="s">
        <v>2190</v>
      </c>
      <c r="J991">
        <v>9.9694714999999992</v>
      </c>
      <c r="K991">
        <v>-84.226713000000004</v>
      </c>
      <c r="L991" t="s">
        <v>1225</v>
      </c>
      <c r="M991" t="s">
        <v>54</v>
      </c>
      <c r="N991" t="s">
        <v>55</v>
      </c>
      <c r="O991" t="s">
        <v>56</v>
      </c>
      <c r="P991">
        <v>8</v>
      </c>
      <c r="Q991" t="s">
        <v>97</v>
      </c>
      <c r="S991" t="str">
        <f>_xlfn.XLOOKUP(UNIVERSO[[#This Row],[Ruta]],'[1]CUOTA RUTA'!A:A,'[1]CUOTA RUTA'!D:D)</f>
        <v>Cargar</v>
      </c>
    </row>
    <row r="992" spans="1:19" x14ac:dyDescent="0.25">
      <c r="A992">
        <v>1500059972</v>
      </c>
      <c r="B992" t="s">
        <v>2191</v>
      </c>
      <c r="C992" t="s">
        <v>19</v>
      </c>
      <c r="D992" t="s">
        <v>20</v>
      </c>
      <c r="E992" t="s">
        <v>21</v>
      </c>
      <c r="F992" t="s">
        <v>22</v>
      </c>
      <c r="G992" t="s">
        <v>33</v>
      </c>
      <c r="H992" t="s">
        <v>311</v>
      </c>
      <c r="I992" t="s">
        <v>2192</v>
      </c>
      <c r="J992">
        <v>9.9593050000000005</v>
      </c>
      <c r="K992">
        <v>-84.224451700000003</v>
      </c>
      <c r="L992" t="s">
        <v>1225</v>
      </c>
      <c r="M992" t="s">
        <v>54</v>
      </c>
      <c r="N992" t="s">
        <v>55</v>
      </c>
      <c r="O992" t="s">
        <v>56</v>
      </c>
      <c r="P992">
        <v>9</v>
      </c>
      <c r="Q992" t="s">
        <v>80</v>
      </c>
      <c r="S992" t="str">
        <f>_xlfn.XLOOKUP(UNIVERSO[[#This Row],[Ruta]],'[1]CUOTA RUTA'!A:A,'[1]CUOTA RUTA'!D:D)</f>
        <v>Cargar</v>
      </c>
    </row>
    <row r="993" spans="1:19" x14ac:dyDescent="0.25">
      <c r="A993">
        <v>1500059997</v>
      </c>
      <c r="B993" t="s">
        <v>2193</v>
      </c>
      <c r="C993" t="s">
        <v>19</v>
      </c>
      <c r="D993" t="s">
        <v>20</v>
      </c>
      <c r="E993" t="s">
        <v>21</v>
      </c>
      <c r="F993" t="s">
        <v>51</v>
      </c>
      <c r="G993" t="s">
        <v>23</v>
      </c>
      <c r="H993" t="s">
        <v>277</v>
      </c>
      <c r="I993" t="s">
        <v>2194</v>
      </c>
      <c r="J993">
        <v>9.9758770000000005</v>
      </c>
      <c r="K993">
        <v>-84.195374999999999</v>
      </c>
      <c r="L993" t="s">
        <v>1225</v>
      </c>
      <c r="M993" t="s">
        <v>54</v>
      </c>
      <c r="N993" t="s">
        <v>55</v>
      </c>
      <c r="O993" t="s">
        <v>56</v>
      </c>
      <c r="P993">
        <v>14</v>
      </c>
      <c r="Q993" t="s">
        <v>181</v>
      </c>
      <c r="S993" t="str">
        <f>_xlfn.XLOOKUP(UNIVERSO[[#This Row],[Ruta]],'[1]CUOTA RUTA'!A:A,'[1]CUOTA RUTA'!D:D)</f>
        <v>Cargar</v>
      </c>
    </row>
    <row r="994" spans="1:19" x14ac:dyDescent="0.25">
      <c r="A994">
        <v>1500060012</v>
      </c>
      <c r="B994" t="s">
        <v>2195</v>
      </c>
      <c r="C994" t="s">
        <v>19</v>
      </c>
      <c r="D994" t="s">
        <v>20</v>
      </c>
      <c r="E994" t="s">
        <v>21</v>
      </c>
      <c r="F994" t="s">
        <v>22</v>
      </c>
      <c r="G994" t="s">
        <v>33</v>
      </c>
      <c r="H994" t="s">
        <v>303</v>
      </c>
      <c r="I994" t="s">
        <v>2196</v>
      </c>
      <c r="J994">
        <v>9.9868790000000001</v>
      </c>
      <c r="K994">
        <v>-84.218980999999999</v>
      </c>
      <c r="L994" t="s">
        <v>1225</v>
      </c>
      <c r="M994" t="s">
        <v>54</v>
      </c>
      <c r="N994" t="s">
        <v>55</v>
      </c>
      <c r="O994" t="s">
        <v>56</v>
      </c>
      <c r="P994">
        <v>8</v>
      </c>
      <c r="Q994" t="s">
        <v>97</v>
      </c>
      <c r="S994" t="str">
        <f>_xlfn.XLOOKUP(UNIVERSO[[#This Row],[Ruta]],'[1]CUOTA RUTA'!A:A,'[1]CUOTA RUTA'!D:D)</f>
        <v>Cargar</v>
      </c>
    </row>
    <row r="995" spans="1:19" x14ac:dyDescent="0.25">
      <c r="A995">
        <v>1500060073</v>
      </c>
      <c r="B995" t="s">
        <v>2197</v>
      </c>
      <c r="C995" t="s">
        <v>19</v>
      </c>
      <c r="D995" t="s">
        <v>20</v>
      </c>
      <c r="E995" t="s">
        <v>21</v>
      </c>
      <c r="F995" t="s">
        <v>22</v>
      </c>
      <c r="G995" t="s">
        <v>23</v>
      </c>
      <c r="H995" t="s">
        <v>1143</v>
      </c>
      <c r="I995" t="s">
        <v>2198</v>
      </c>
      <c r="J995">
        <v>10.03735</v>
      </c>
      <c r="K995">
        <v>-84.196899999999999</v>
      </c>
      <c r="L995" t="s">
        <v>1225</v>
      </c>
      <c r="M995" t="s">
        <v>54</v>
      </c>
      <c r="N995" t="s">
        <v>55</v>
      </c>
      <c r="O995" t="s">
        <v>56</v>
      </c>
      <c r="P995">
        <v>16</v>
      </c>
      <c r="Q995" t="s">
        <v>60</v>
      </c>
      <c r="S995" t="str">
        <f>_xlfn.XLOOKUP(UNIVERSO[[#This Row],[Ruta]],'[1]CUOTA RUTA'!A:A,'[1]CUOTA RUTA'!D:D)</f>
        <v>Cargar</v>
      </c>
    </row>
    <row r="996" spans="1:19" x14ac:dyDescent="0.25">
      <c r="A996">
        <v>1500060176</v>
      </c>
      <c r="B996" t="s">
        <v>2199</v>
      </c>
      <c r="C996" t="s">
        <v>19</v>
      </c>
      <c r="D996" t="s">
        <v>20</v>
      </c>
      <c r="E996" t="s">
        <v>21</v>
      </c>
      <c r="F996" t="s">
        <v>22</v>
      </c>
      <c r="G996" t="s">
        <v>23</v>
      </c>
      <c r="H996" t="s">
        <v>285</v>
      </c>
      <c r="I996" t="s">
        <v>2200</v>
      </c>
      <c r="J996">
        <v>10.0050183</v>
      </c>
      <c r="K996">
        <v>-84.206514999999996</v>
      </c>
      <c r="L996" t="s">
        <v>1225</v>
      </c>
      <c r="M996" t="s">
        <v>54</v>
      </c>
      <c r="N996" t="s">
        <v>55</v>
      </c>
      <c r="O996" t="s">
        <v>56</v>
      </c>
      <c r="P996">
        <v>3</v>
      </c>
      <c r="Q996" t="s">
        <v>101</v>
      </c>
      <c r="S996" t="str">
        <f>_xlfn.XLOOKUP(UNIVERSO[[#This Row],[Ruta]],'[1]CUOTA RUTA'!A:A,'[1]CUOTA RUTA'!D:D)</f>
        <v>Cargar</v>
      </c>
    </row>
    <row r="997" spans="1:19" x14ac:dyDescent="0.25">
      <c r="A997">
        <v>1500060178</v>
      </c>
      <c r="B997" t="s">
        <v>2201</v>
      </c>
      <c r="C997" t="s">
        <v>19</v>
      </c>
      <c r="D997" t="s">
        <v>20</v>
      </c>
      <c r="E997" t="s">
        <v>21</v>
      </c>
      <c r="F997" t="s">
        <v>22</v>
      </c>
      <c r="G997" t="s">
        <v>23</v>
      </c>
      <c r="H997" t="s">
        <v>285</v>
      </c>
      <c r="I997" t="s">
        <v>2202</v>
      </c>
      <c r="J997">
        <v>10.0069161</v>
      </c>
      <c r="K997">
        <v>-84.206151300000002</v>
      </c>
      <c r="L997" t="s">
        <v>1225</v>
      </c>
      <c r="M997" t="s">
        <v>54</v>
      </c>
      <c r="N997" t="s">
        <v>55</v>
      </c>
      <c r="O997" t="s">
        <v>56</v>
      </c>
      <c r="P997">
        <v>3</v>
      </c>
      <c r="Q997" t="s">
        <v>101</v>
      </c>
      <c r="S997" t="str">
        <f>_xlfn.XLOOKUP(UNIVERSO[[#This Row],[Ruta]],'[1]CUOTA RUTA'!A:A,'[1]CUOTA RUTA'!D:D)</f>
        <v>Cargar</v>
      </c>
    </row>
    <row r="998" spans="1:19" x14ac:dyDescent="0.25">
      <c r="A998">
        <v>1500060190</v>
      </c>
      <c r="B998" t="s">
        <v>2203</v>
      </c>
      <c r="C998" t="s">
        <v>19</v>
      </c>
      <c r="D998" t="s">
        <v>20</v>
      </c>
      <c r="E998" t="s">
        <v>21</v>
      </c>
      <c r="F998" t="s">
        <v>22</v>
      </c>
      <c r="G998" t="s">
        <v>64</v>
      </c>
      <c r="H998" t="s">
        <v>285</v>
      </c>
      <c r="I998" t="s">
        <v>2204</v>
      </c>
      <c r="J998">
        <v>10.0081697</v>
      </c>
      <c r="K998">
        <v>-84.198215599999997</v>
      </c>
      <c r="L998" t="s">
        <v>1225</v>
      </c>
      <c r="M998" t="s">
        <v>54</v>
      </c>
      <c r="N998" t="s">
        <v>55</v>
      </c>
      <c r="O998" t="s">
        <v>56</v>
      </c>
      <c r="P998">
        <v>17</v>
      </c>
      <c r="Q998" t="s">
        <v>287</v>
      </c>
      <c r="S998" t="str">
        <f>_xlfn.XLOOKUP(UNIVERSO[[#This Row],[Ruta]],'[1]CUOTA RUTA'!A:A,'[1]CUOTA RUTA'!D:D)</f>
        <v>Cargar</v>
      </c>
    </row>
    <row r="999" spans="1:19" x14ac:dyDescent="0.25">
      <c r="A999">
        <v>1500060202</v>
      </c>
      <c r="B999" t="s">
        <v>2205</v>
      </c>
      <c r="C999" t="s">
        <v>19</v>
      </c>
      <c r="D999" t="s">
        <v>20</v>
      </c>
      <c r="E999" t="s">
        <v>21</v>
      </c>
      <c r="F999" t="s">
        <v>22</v>
      </c>
      <c r="G999" t="s">
        <v>33</v>
      </c>
      <c r="H999" t="s">
        <v>280</v>
      </c>
      <c r="I999" t="s">
        <v>2206</v>
      </c>
      <c r="J999">
        <v>10.021549</v>
      </c>
      <c r="K999">
        <v>-84.193163999999996</v>
      </c>
      <c r="L999" t="s">
        <v>1225</v>
      </c>
      <c r="M999" t="s">
        <v>54</v>
      </c>
      <c r="N999" t="s">
        <v>55</v>
      </c>
      <c r="O999" t="s">
        <v>56</v>
      </c>
      <c r="P999">
        <v>16</v>
      </c>
      <c r="Q999" t="s">
        <v>60</v>
      </c>
      <c r="S999" t="str">
        <f>_xlfn.XLOOKUP(UNIVERSO[[#This Row],[Ruta]],'[1]CUOTA RUTA'!A:A,'[1]CUOTA RUTA'!D:D)</f>
        <v>Cargar</v>
      </c>
    </row>
    <row r="1000" spans="1:19" x14ac:dyDescent="0.25">
      <c r="A1000">
        <v>1500060217</v>
      </c>
      <c r="B1000" t="s">
        <v>2207</v>
      </c>
      <c r="C1000" t="s">
        <v>19</v>
      </c>
      <c r="D1000" t="s">
        <v>20</v>
      </c>
      <c r="E1000" t="s">
        <v>21</v>
      </c>
      <c r="F1000" t="s">
        <v>22</v>
      </c>
      <c r="G1000" t="s">
        <v>33</v>
      </c>
      <c r="H1000" t="s">
        <v>1143</v>
      </c>
      <c r="I1000" t="s">
        <v>2208</v>
      </c>
      <c r="J1000">
        <v>10.031037100000001</v>
      </c>
      <c r="K1000">
        <v>-84.169863599999999</v>
      </c>
      <c r="L1000" t="s">
        <v>1225</v>
      </c>
      <c r="M1000" t="s">
        <v>54</v>
      </c>
      <c r="N1000" t="s">
        <v>55</v>
      </c>
      <c r="O1000" t="s">
        <v>56</v>
      </c>
      <c r="P1000">
        <v>15</v>
      </c>
      <c r="Q1000" t="s">
        <v>231</v>
      </c>
      <c r="S1000" t="str">
        <f>_xlfn.XLOOKUP(UNIVERSO[[#This Row],[Ruta]],'[1]CUOTA RUTA'!A:A,'[1]CUOTA RUTA'!D:D)</f>
        <v>Cargar</v>
      </c>
    </row>
    <row r="1001" spans="1:19" x14ac:dyDescent="0.25">
      <c r="A1001">
        <v>1500060222</v>
      </c>
      <c r="B1001" t="s">
        <v>2209</v>
      </c>
      <c r="C1001" t="s">
        <v>19</v>
      </c>
      <c r="D1001" t="s">
        <v>20</v>
      </c>
      <c r="E1001" t="s">
        <v>21</v>
      </c>
      <c r="F1001" t="s">
        <v>22</v>
      </c>
      <c r="G1001" t="s">
        <v>23</v>
      </c>
      <c r="H1001" t="s">
        <v>1143</v>
      </c>
      <c r="I1001" t="s">
        <v>2210</v>
      </c>
      <c r="J1001">
        <v>10.028352999999999</v>
      </c>
      <c r="K1001">
        <v>-84.171079000000006</v>
      </c>
      <c r="L1001" t="s">
        <v>1225</v>
      </c>
      <c r="M1001" t="s">
        <v>54</v>
      </c>
      <c r="N1001" t="s">
        <v>55</v>
      </c>
      <c r="O1001" t="s">
        <v>56</v>
      </c>
      <c r="P1001">
        <v>15</v>
      </c>
      <c r="Q1001" t="s">
        <v>231</v>
      </c>
      <c r="S1001" t="str">
        <f>_xlfn.XLOOKUP(UNIVERSO[[#This Row],[Ruta]],'[1]CUOTA RUTA'!A:A,'[1]CUOTA RUTA'!D:D)</f>
        <v>Cargar</v>
      </c>
    </row>
    <row r="1002" spans="1:19" x14ac:dyDescent="0.25">
      <c r="A1002">
        <v>1500060257</v>
      </c>
      <c r="B1002" t="s">
        <v>2211</v>
      </c>
      <c r="C1002" t="s">
        <v>19</v>
      </c>
      <c r="D1002" t="s">
        <v>20</v>
      </c>
      <c r="E1002" t="s">
        <v>21</v>
      </c>
      <c r="F1002" t="s">
        <v>22</v>
      </c>
      <c r="G1002" t="s">
        <v>33</v>
      </c>
      <c r="H1002" t="s">
        <v>913</v>
      </c>
      <c r="I1002" t="s">
        <v>2212</v>
      </c>
      <c r="J1002">
        <v>9.9733699999999992</v>
      </c>
      <c r="K1002">
        <v>-84.141300000000001</v>
      </c>
      <c r="L1002" t="s">
        <v>1225</v>
      </c>
      <c r="M1002" t="s">
        <v>27</v>
      </c>
      <c r="N1002" t="s">
        <v>28</v>
      </c>
      <c r="O1002" t="s">
        <v>29</v>
      </c>
      <c r="P1002">
        <v>11</v>
      </c>
      <c r="Q1002" t="s">
        <v>108</v>
      </c>
      <c r="S1002" t="str">
        <f>_xlfn.XLOOKUP(UNIVERSO[[#This Row],[Ruta]],'[1]CUOTA RUTA'!A:A,'[1]CUOTA RUTA'!D:D)</f>
        <v>Cargar</v>
      </c>
    </row>
    <row r="1003" spans="1:19" x14ac:dyDescent="0.25">
      <c r="A1003">
        <v>1500060384</v>
      </c>
      <c r="B1003" t="s">
        <v>2213</v>
      </c>
      <c r="C1003" t="s">
        <v>19</v>
      </c>
      <c r="D1003" t="s">
        <v>20</v>
      </c>
      <c r="E1003" t="s">
        <v>21</v>
      </c>
      <c r="F1003" t="s">
        <v>22</v>
      </c>
      <c r="G1003" t="s">
        <v>33</v>
      </c>
      <c r="H1003" t="s">
        <v>1143</v>
      </c>
      <c r="I1003" t="s">
        <v>2214</v>
      </c>
      <c r="J1003">
        <v>10.04593</v>
      </c>
      <c r="K1003">
        <v>-84.189819999999997</v>
      </c>
      <c r="L1003" t="s">
        <v>1225</v>
      </c>
      <c r="M1003" t="s">
        <v>54</v>
      </c>
      <c r="N1003" t="s">
        <v>55</v>
      </c>
      <c r="O1003" t="s">
        <v>56</v>
      </c>
      <c r="P1003">
        <v>16</v>
      </c>
      <c r="Q1003" t="s">
        <v>60</v>
      </c>
      <c r="S1003" t="str">
        <f>_xlfn.XLOOKUP(UNIVERSO[[#This Row],[Ruta]],'[1]CUOTA RUTA'!A:A,'[1]CUOTA RUTA'!D:D)</f>
        <v>Cargar</v>
      </c>
    </row>
    <row r="1004" spans="1:19" x14ac:dyDescent="0.25">
      <c r="A1004">
        <v>1500060402</v>
      </c>
      <c r="B1004" t="s">
        <v>2215</v>
      </c>
      <c r="C1004" t="s">
        <v>19</v>
      </c>
      <c r="D1004" t="s">
        <v>20</v>
      </c>
      <c r="E1004" t="s">
        <v>21</v>
      </c>
      <c r="F1004" t="s">
        <v>22</v>
      </c>
      <c r="G1004" t="s">
        <v>33</v>
      </c>
      <c r="H1004" t="s">
        <v>303</v>
      </c>
      <c r="I1004" t="s">
        <v>2216</v>
      </c>
      <c r="J1004">
        <v>9.9928500000000007</v>
      </c>
      <c r="K1004">
        <v>-84.201949999999997</v>
      </c>
      <c r="L1004" t="s">
        <v>1225</v>
      </c>
      <c r="M1004" t="s">
        <v>54</v>
      </c>
      <c r="N1004" t="s">
        <v>55</v>
      </c>
      <c r="O1004" t="s">
        <v>56</v>
      </c>
      <c r="P1004">
        <v>17</v>
      </c>
      <c r="Q1004" t="s">
        <v>287</v>
      </c>
      <c r="S1004" t="str">
        <f>_xlfn.XLOOKUP(UNIVERSO[[#This Row],[Ruta]],'[1]CUOTA RUTA'!A:A,'[1]CUOTA RUTA'!D:D)</f>
        <v>Cargar</v>
      </c>
    </row>
    <row r="1005" spans="1:19" x14ac:dyDescent="0.25">
      <c r="A1005">
        <v>1500060609</v>
      </c>
      <c r="B1005" t="s">
        <v>2217</v>
      </c>
      <c r="C1005" t="s">
        <v>19</v>
      </c>
      <c r="D1005" t="s">
        <v>20</v>
      </c>
      <c r="E1005" t="s">
        <v>21</v>
      </c>
      <c r="F1005" t="s">
        <v>22</v>
      </c>
      <c r="G1005" t="s">
        <v>64</v>
      </c>
      <c r="H1005" t="s">
        <v>285</v>
      </c>
      <c r="I1005" t="s">
        <v>2218</v>
      </c>
      <c r="J1005">
        <v>10.009318</v>
      </c>
      <c r="K1005">
        <v>-84.204075000000003</v>
      </c>
      <c r="L1005" t="s">
        <v>1225</v>
      </c>
      <c r="M1005" t="s">
        <v>54</v>
      </c>
      <c r="N1005" t="s">
        <v>55</v>
      </c>
      <c r="O1005" t="s">
        <v>56</v>
      </c>
      <c r="P1005">
        <v>4</v>
      </c>
      <c r="Q1005" t="s">
        <v>120</v>
      </c>
      <c r="S1005" t="str">
        <f>_xlfn.XLOOKUP(UNIVERSO[[#This Row],[Ruta]],'[1]CUOTA RUTA'!A:A,'[1]CUOTA RUTA'!D:D)</f>
        <v>Cargar</v>
      </c>
    </row>
    <row r="1006" spans="1:19" x14ac:dyDescent="0.25">
      <c r="A1006">
        <v>1500060710</v>
      </c>
      <c r="B1006" t="s">
        <v>2219</v>
      </c>
      <c r="C1006" t="s">
        <v>19</v>
      </c>
      <c r="D1006" t="s">
        <v>20</v>
      </c>
      <c r="E1006" t="s">
        <v>21</v>
      </c>
      <c r="F1006" t="s">
        <v>22</v>
      </c>
      <c r="G1006" t="s">
        <v>33</v>
      </c>
      <c r="H1006" t="s">
        <v>975</v>
      </c>
      <c r="I1006" t="s">
        <v>2220</v>
      </c>
      <c r="J1006">
        <v>10.009550900000001</v>
      </c>
      <c r="K1006">
        <v>-84.107273399999997</v>
      </c>
      <c r="L1006" t="s">
        <v>1225</v>
      </c>
      <c r="M1006" t="s">
        <v>27</v>
      </c>
      <c r="N1006" t="s">
        <v>28</v>
      </c>
      <c r="O1006" t="s">
        <v>29</v>
      </c>
      <c r="P1006">
        <v>16</v>
      </c>
      <c r="Q1006" t="s">
        <v>60</v>
      </c>
      <c r="S1006" t="str">
        <f>_xlfn.XLOOKUP(UNIVERSO[[#This Row],[Ruta]],'[1]CUOTA RUTA'!A:A,'[1]CUOTA RUTA'!D:D)</f>
        <v>Cargar</v>
      </c>
    </row>
    <row r="1007" spans="1:19" x14ac:dyDescent="0.25">
      <c r="A1007">
        <v>1500060716</v>
      </c>
      <c r="B1007" t="s">
        <v>1149</v>
      </c>
      <c r="C1007" t="s">
        <v>19</v>
      </c>
      <c r="D1007" t="s">
        <v>20</v>
      </c>
      <c r="E1007" t="s">
        <v>21</v>
      </c>
      <c r="F1007" t="s">
        <v>22</v>
      </c>
      <c r="G1007" t="s">
        <v>64</v>
      </c>
      <c r="H1007" t="s">
        <v>975</v>
      </c>
      <c r="I1007" t="s">
        <v>2221</v>
      </c>
      <c r="J1007">
        <v>10.009891700000001</v>
      </c>
      <c r="K1007">
        <v>-84.098098300000004</v>
      </c>
      <c r="L1007" t="s">
        <v>1225</v>
      </c>
      <c r="M1007" t="s">
        <v>27</v>
      </c>
      <c r="N1007" t="s">
        <v>28</v>
      </c>
      <c r="O1007" t="s">
        <v>29</v>
      </c>
      <c r="P1007">
        <v>17</v>
      </c>
      <c r="Q1007" t="s">
        <v>287</v>
      </c>
      <c r="S1007" t="str">
        <f>_xlfn.XLOOKUP(UNIVERSO[[#This Row],[Ruta]],'[1]CUOTA RUTA'!A:A,'[1]CUOTA RUTA'!D:D)</f>
        <v>Cargar</v>
      </c>
    </row>
    <row r="1008" spans="1:19" x14ac:dyDescent="0.25">
      <c r="A1008">
        <v>1500060802</v>
      </c>
      <c r="B1008" t="s">
        <v>2085</v>
      </c>
      <c r="C1008" t="s">
        <v>19</v>
      </c>
      <c r="D1008" t="s">
        <v>20</v>
      </c>
      <c r="E1008" t="s">
        <v>21</v>
      </c>
      <c r="F1008" t="s">
        <v>22</v>
      </c>
      <c r="G1008" t="s">
        <v>64</v>
      </c>
      <c r="H1008" t="s">
        <v>369</v>
      </c>
      <c r="I1008" t="s">
        <v>2222</v>
      </c>
      <c r="J1008">
        <v>10.028575780000001</v>
      </c>
      <c r="K1008">
        <v>-84.095306199999996</v>
      </c>
      <c r="L1008" t="s">
        <v>1225</v>
      </c>
      <c r="M1008" t="s">
        <v>27</v>
      </c>
      <c r="N1008" t="s">
        <v>28</v>
      </c>
      <c r="O1008" t="s">
        <v>29</v>
      </c>
      <c r="P1008">
        <v>22</v>
      </c>
      <c r="Q1008" t="s">
        <v>30</v>
      </c>
      <c r="S1008" t="str">
        <f>_xlfn.XLOOKUP(UNIVERSO[[#This Row],[Ruta]],'[1]CUOTA RUTA'!A:A,'[1]CUOTA RUTA'!D:D)</f>
        <v>Cargar</v>
      </c>
    </row>
    <row r="1009" spans="1:19" x14ac:dyDescent="0.25">
      <c r="A1009">
        <v>1500060824</v>
      </c>
      <c r="B1009" t="s">
        <v>2223</v>
      </c>
      <c r="C1009" t="s">
        <v>19</v>
      </c>
      <c r="D1009" t="s">
        <v>20</v>
      </c>
      <c r="E1009" t="s">
        <v>21</v>
      </c>
      <c r="F1009" t="s">
        <v>22</v>
      </c>
      <c r="G1009" t="s">
        <v>33</v>
      </c>
      <c r="H1009" t="s">
        <v>369</v>
      </c>
      <c r="I1009" t="s">
        <v>2224</v>
      </c>
      <c r="J1009">
        <v>10.036966720000001</v>
      </c>
      <c r="K1009">
        <v>-84.086188980000003</v>
      </c>
      <c r="L1009" t="s">
        <v>1225</v>
      </c>
      <c r="M1009" t="s">
        <v>27</v>
      </c>
      <c r="N1009" t="s">
        <v>28</v>
      </c>
      <c r="O1009" t="s">
        <v>29</v>
      </c>
      <c r="P1009">
        <v>21</v>
      </c>
      <c r="Q1009" t="s">
        <v>239</v>
      </c>
      <c r="S1009" t="str">
        <f>_xlfn.XLOOKUP(UNIVERSO[[#This Row],[Ruta]],'[1]CUOTA RUTA'!A:A,'[1]CUOTA RUTA'!D:D)</f>
        <v>Cargar</v>
      </c>
    </row>
    <row r="1010" spans="1:19" x14ac:dyDescent="0.25">
      <c r="A1010">
        <v>1500060858</v>
      </c>
      <c r="B1010" t="s">
        <v>2225</v>
      </c>
      <c r="C1010" t="s">
        <v>19</v>
      </c>
      <c r="D1010" t="s">
        <v>20</v>
      </c>
      <c r="E1010" t="s">
        <v>21</v>
      </c>
      <c r="F1010" t="s">
        <v>51</v>
      </c>
      <c r="G1010" t="s">
        <v>23</v>
      </c>
      <c r="H1010" t="s">
        <v>24</v>
      </c>
      <c r="I1010" t="s">
        <v>2226</v>
      </c>
      <c r="J1010">
        <v>10.015038000000001</v>
      </c>
      <c r="K1010">
        <v>-84.097564000000006</v>
      </c>
      <c r="L1010" t="s">
        <v>1225</v>
      </c>
      <c r="M1010" t="s">
        <v>27</v>
      </c>
      <c r="N1010" t="s">
        <v>28</v>
      </c>
      <c r="O1010" t="s">
        <v>29</v>
      </c>
      <c r="P1010">
        <v>17</v>
      </c>
      <c r="Q1010" t="s">
        <v>287</v>
      </c>
      <c r="S1010" t="str">
        <f>_xlfn.XLOOKUP(UNIVERSO[[#This Row],[Ruta]],'[1]CUOTA RUTA'!A:A,'[1]CUOTA RUTA'!D:D)</f>
        <v>Cargar</v>
      </c>
    </row>
    <row r="1011" spans="1:19" x14ac:dyDescent="0.25">
      <c r="A1011">
        <v>1500060946</v>
      </c>
      <c r="B1011" t="s">
        <v>2227</v>
      </c>
      <c r="C1011" t="s">
        <v>19</v>
      </c>
      <c r="D1011" t="s">
        <v>20</v>
      </c>
      <c r="E1011" t="s">
        <v>21</v>
      </c>
      <c r="F1011" t="s">
        <v>22</v>
      </c>
      <c r="G1011" t="s">
        <v>64</v>
      </c>
      <c r="H1011" t="s">
        <v>369</v>
      </c>
      <c r="I1011" t="s">
        <v>2228</v>
      </c>
      <c r="J1011">
        <v>10.03340378</v>
      </c>
      <c r="K1011">
        <v>-84.14590887</v>
      </c>
      <c r="L1011" t="s">
        <v>1225</v>
      </c>
      <c r="M1011" t="s">
        <v>27</v>
      </c>
      <c r="N1011" t="s">
        <v>28</v>
      </c>
      <c r="O1011" t="s">
        <v>29</v>
      </c>
      <c r="P1011">
        <v>21</v>
      </c>
      <c r="Q1011" t="s">
        <v>239</v>
      </c>
      <c r="S1011" t="str">
        <f>_xlfn.XLOOKUP(UNIVERSO[[#This Row],[Ruta]],'[1]CUOTA RUTA'!A:A,'[1]CUOTA RUTA'!D:D)</f>
        <v>Cargar</v>
      </c>
    </row>
    <row r="1012" spans="1:19" x14ac:dyDescent="0.25">
      <c r="A1012">
        <v>1500060964</v>
      </c>
      <c r="B1012" t="s">
        <v>2229</v>
      </c>
      <c r="C1012" t="s">
        <v>19</v>
      </c>
      <c r="D1012" t="s">
        <v>20</v>
      </c>
      <c r="E1012" t="s">
        <v>21</v>
      </c>
      <c r="F1012" t="s">
        <v>22</v>
      </c>
      <c r="G1012" t="s">
        <v>23</v>
      </c>
      <c r="H1012" t="s">
        <v>369</v>
      </c>
      <c r="I1012" t="s">
        <v>2230</v>
      </c>
      <c r="J1012">
        <v>10.02146031</v>
      </c>
      <c r="K1012">
        <v>-84.124610840000003</v>
      </c>
      <c r="L1012" t="s">
        <v>1225</v>
      </c>
      <c r="M1012" t="s">
        <v>27</v>
      </c>
      <c r="N1012" t="s">
        <v>28</v>
      </c>
      <c r="O1012" t="s">
        <v>29</v>
      </c>
      <c r="P1012">
        <v>15</v>
      </c>
      <c r="Q1012" t="s">
        <v>231</v>
      </c>
      <c r="S1012" t="str">
        <f>_xlfn.XLOOKUP(UNIVERSO[[#This Row],[Ruta]],'[1]CUOTA RUTA'!A:A,'[1]CUOTA RUTA'!D:D)</f>
        <v>Cargar</v>
      </c>
    </row>
    <row r="1013" spans="1:19" x14ac:dyDescent="0.25">
      <c r="A1013">
        <v>1500061138</v>
      </c>
      <c r="B1013" t="s">
        <v>2231</v>
      </c>
      <c r="C1013" t="s">
        <v>19</v>
      </c>
      <c r="D1013" t="s">
        <v>20</v>
      </c>
      <c r="E1013" t="s">
        <v>21</v>
      </c>
      <c r="F1013" t="s">
        <v>22</v>
      </c>
      <c r="G1013" t="s">
        <v>23</v>
      </c>
      <c r="H1013" t="s">
        <v>554</v>
      </c>
      <c r="I1013" t="s">
        <v>2232</v>
      </c>
      <c r="J1013">
        <v>10.029894000000001</v>
      </c>
      <c r="K1013">
        <v>-84.138114999999999</v>
      </c>
      <c r="L1013" t="s">
        <v>1225</v>
      </c>
      <c r="M1013" t="s">
        <v>27</v>
      </c>
      <c r="N1013" t="s">
        <v>28</v>
      </c>
      <c r="O1013" t="s">
        <v>29</v>
      </c>
      <c r="P1013">
        <v>21</v>
      </c>
      <c r="Q1013" t="s">
        <v>239</v>
      </c>
      <c r="S1013" t="str">
        <f>_xlfn.XLOOKUP(UNIVERSO[[#This Row],[Ruta]],'[1]CUOTA RUTA'!A:A,'[1]CUOTA RUTA'!D:D)</f>
        <v>Cargar</v>
      </c>
    </row>
    <row r="1014" spans="1:19" x14ac:dyDescent="0.25">
      <c r="A1014">
        <v>1500061154</v>
      </c>
      <c r="B1014" t="s">
        <v>2233</v>
      </c>
      <c r="C1014" t="s">
        <v>19</v>
      </c>
      <c r="D1014" t="s">
        <v>20</v>
      </c>
      <c r="E1014" t="s">
        <v>21</v>
      </c>
      <c r="F1014" t="s">
        <v>22</v>
      </c>
      <c r="G1014" t="s">
        <v>64</v>
      </c>
      <c r="H1014" t="s">
        <v>888</v>
      </c>
      <c r="I1014" t="s">
        <v>2234</v>
      </c>
      <c r="J1014">
        <v>9.9976840100000004</v>
      </c>
      <c r="K1014">
        <v>-84.126251969999998</v>
      </c>
      <c r="L1014" t="s">
        <v>1225</v>
      </c>
      <c r="M1014" t="s">
        <v>27</v>
      </c>
      <c r="N1014" t="s">
        <v>28</v>
      </c>
      <c r="O1014" t="s">
        <v>29</v>
      </c>
      <c r="P1014">
        <v>12</v>
      </c>
      <c r="Q1014" t="s">
        <v>42</v>
      </c>
      <c r="S1014" t="str">
        <f>_xlfn.XLOOKUP(UNIVERSO[[#This Row],[Ruta]],'[1]CUOTA RUTA'!A:A,'[1]CUOTA RUTA'!D:D)</f>
        <v>Cargar</v>
      </c>
    </row>
    <row r="1015" spans="1:19" x14ac:dyDescent="0.25">
      <c r="A1015">
        <v>1500061158</v>
      </c>
      <c r="B1015" t="s">
        <v>2235</v>
      </c>
      <c r="C1015" t="s">
        <v>19</v>
      </c>
      <c r="D1015" t="s">
        <v>20</v>
      </c>
      <c r="E1015" t="s">
        <v>21</v>
      </c>
      <c r="F1015" t="s">
        <v>22</v>
      </c>
      <c r="G1015" t="s">
        <v>64</v>
      </c>
      <c r="H1015" t="s">
        <v>774</v>
      </c>
      <c r="I1015" t="s">
        <v>2236</v>
      </c>
      <c r="J1015">
        <v>9.9391099999999994</v>
      </c>
      <c r="K1015">
        <v>-84.220560000000006</v>
      </c>
      <c r="L1015" t="s">
        <v>1225</v>
      </c>
      <c r="M1015" t="s">
        <v>54</v>
      </c>
      <c r="N1015" t="s">
        <v>55</v>
      </c>
      <c r="O1015" t="s">
        <v>56</v>
      </c>
      <c r="P1015">
        <v>10</v>
      </c>
      <c r="Q1015" t="s">
        <v>136</v>
      </c>
      <c r="S1015" t="str">
        <f>_xlfn.XLOOKUP(UNIVERSO[[#This Row],[Ruta]],'[1]CUOTA RUTA'!A:A,'[1]CUOTA RUTA'!D:D)</f>
        <v>Cargar</v>
      </c>
    </row>
    <row r="1016" spans="1:19" x14ac:dyDescent="0.25">
      <c r="A1016">
        <v>1500061172</v>
      </c>
      <c r="B1016" t="s">
        <v>2237</v>
      </c>
      <c r="C1016" t="s">
        <v>19</v>
      </c>
      <c r="D1016" t="s">
        <v>20</v>
      </c>
      <c r="E1016" t="s">
        <v>21</v>
      </c>
      <c r="F1016" t="s">
        <v>51</v>
      </c>
      <c r="G1016" t="s">
        <v>23</v>
      </c>
      <c r="H1016" t="s">
        <v>277</v>
      </c>
      <c r="I1016" t="s">
        <v>2238</v>
      </c>
      <c r="J1016">
        <v>9.9162756000000005</v>
      </c>
      <c r="K1016">
        <v>-84.245608799999999</v>
      </c>
      <c r="L1016" t="s">
        <v>1225</v>
      </c>
      <c r="M1016" t="s">
        <v>54</v>
      </c>
      <c r="N1016" t="s">
        <v>55</v>
      </c>
      <c r="O1016" t="s">
        <v>56</v>
      </c>
      <c r="P1016">
        <v>10</v>
      </c>
      <c r="Q1016" t="s">
        <v>136</v>
      </c>
      <c r="S1016" t="str">
        <f>_xlfn.XLOOKUP(UNIVERSO[[#This Row],[Ruta]],'[1]CUOTA RUTA'!A:A,'[1]CUOTA RUTA'!D:D)</f>
        <v>Cargar</v>
      </c>
    </row>
    <row r="1017" spans="1:19" x14ac:dyDescent="0.25">
      <c r="A1017">
        <v>1500061173</v>
      </c>
      <c r="B1017" t="s">
        <v>2239</v>
      </c>
      <c r="C1017" t="s">
        <v>19</v>
      </c>
      <c r="D1017" t="s">
        <v>20</v>
      </c>
      <c r="E1017" t="s">
        <v>21</v>
      </c>
      <c r="F1017" t="s">
        <v>22</v>
      </c>
      <c r="G1017" t="s">
        <v>23</v>
      </c>
      <c r="H1017" t="s">
        <v>774</v>
      </c>
      <c r="I1017" t="s">
        <v>2240</v>
      </c>
      <c r="J1017">
        <v>9.9148233000000001</v>
      </c>
      <c r="K1017">
        <v>-84.245363299999994</v>
      </c>
      <c r="L1017" t="s">
        <v>1225</v>
      </c>
      <c r="M1017" t="s">
        <v>54</v>
      </c>
      <c r="N1017" t="s">
        <v>55</v>
      </c>
      <c r="O1017" t="s">
        <v>56</v>
      </c>
      <c r="P1017">
        <v>10</v>
      </c>
      <c r="Q1017" t="s">
        <v>136</v>
      </c>
      <c r="S1017" t="str">
        <f>_xlfn.XLOOKUP(UNIVERSO[[#This Row],[Ruta]],'[1]CUOTA RUTA'!A:A,'[1]CUOTA RUTA'!D:D)</f>
        <v>Cargar</v>
      </c>
    </row>
    <row r="1018" spans="1:19" x14ac:dyDescent="0.25">
      <c r="A1018">
        <v>1500061184</v>
      </c>
      <c r="B1018" t="s">
        <v>2241</v>
      </c>
      <c r="C1018" t="s">
        <v>19</v>
      </c>
      <c r="D1018" t="s">
        <v>20</v>
      </c>
      <c r="E1018" t="s">
        <v>21</v>
      </c>
      <c r="F1018" t="s">
        <v>22</v>
      </c>
      <c r="G1018" t="s">
        <v>33</v>
      </c>
      <c r="H1018" t="s">
        <v>774</v>
      </c>
      <c r="I1018" t="s">
        <v>2242</v>
      </c>
      <c r="J1018">
        <v>9.9148482999999992</v>
      </c>
      <c r="K1018">
        <v>-84.240566700000002</v>
      </c>
      <c r="L1018" t="s">
        <v>1225</v>
      </c>
      <c r="M1018" t="s">
        <v>54</v>
      </c>
      <c r="N1018" t="s">
        <v>55</v>
      </c>
      <c r="O1018" t="s">
        <v>56</v>
      </c>
      <c r="P1018">
        <v>10</v>
      </c>
      <c r="Q1018" t="s">
        <v>136</v>
      </c>
      <c r="S1018" t="str">
        <f>_xlfn.XLOOKUP(UNIVERSO[[#This Row],[Ruta]],'[1]CUOTA RUTA'!A:A,'[1]CUOTA RUTA'!D:D)</f>
        <v>Cargar</v>
      </c>
    </row>
    <row r="1019" spans="1:19" x14ac:dyDescent="0.25">
      <c r="A1019">
        <v>1500061192</v>
      </c>
      <c r="B1019" t="s">
        <v>2243</v>
      </c>
      <c r="C1019" t="s">
        <v>19</v>
      </c>
      <c r="D1019" t="s">
        <v>20</v>
      </c>
      <c r="E1019" t="s">
        <v>21</v>
      </c>
      <c r="F1019" t="s">
        <v>51</v>
      </c>
      <c r="G1019" t="s">
        <v>23</v>
      </c>
      <c r="H1019" t="s">
        <v>774</v>
      </c>
      <c r="I1019" t="s">
        <v>2244</v>
      </c>
      <c r="J1019">
        <v>9.9158720000000002</v>
      </c>
      <c r="K1019">
        <v>-84.241085999999996</v>
      </c>
      <c r="L1019" t="s">
        <v>1225</v>
      </c>
      <c r="M1019" t="s">
        <v>54</v>
      </c>
      <c r="N1019" t="s">
        <v>55</v>
      </c>
      <c r="O1019" t="s">
        <v>56</v>
      </c>
      <c r="P1019">
        <v>10</v>
      </c>
      <c r="Q1019" t="s">
        <v>136</v>
      </c>
      <c r="S1019" t="str">
        <f>_xlfn.XLOOKUP(UNIVERSO[[#This Row],[Ruta]],'[1]CUOTA RUTA'!A:A,'[1]CUOTA RUTA'!D:D)</f>
        <v>Cargar</v>
      </c>
    </row>
    <row r="1020" spans="1:19" x14ac:dyDescent="0.25">
      <c r="A1020">
        <v>1500061202</v>
      </c>
      <c r="B1020" t="s">
        <v>2245</v>
      </c>
      <c r="C1020" t="s">
        <v>19</v>
      </c>
      <c r="D1020" t="s">
        <v>20</v>
      </c>
      <c r="E1020" t="s">
        <v>21</v>
      </c>
      <c r="F1020" t="s">
        <v>22</v>
      </c>
      <c r="G1020" t="s">
        <v>33</v>
      </c>
      <c r="H1020" t="s">
        <v>774</v>
      </c>
      <c r="I1020" t="s">
        <v>2246</v>
      </c>
      <c r="J1020">
        <v>9.9131567</v>
      </c>
      <c r="K1020">
        <v>-84.241628300000002</v>
      </c>
      <c r="L1020" t="s">
        <v>1225</v>
      </c>
      <c r="M1020" t="s">
        <v>54</v>
      </c>
      <c r="N1020" t="s">
        <v>55</v>
      </c>
      <c r="O1020" t="s">
        <v>56</v>
      </c>
      <c r="P1020">
        <v>10</v>
      </c>
      <c r="Q1020" t="s">
        <v>136</v>
      </c>
      <c r="S1020" t="str">
        <f>_xlfn.XLOOKUP(UNIVERSO[[#This Row],[Ruta]],'[1]CUOTA RUTA'!A:A,'[1]CUOTA RUTA'!D:D)</f>
        <v>Cargar</v>
      </c>
    </row>
    <row r="1021" spans="1:19" x14ac:dyDescent="0.25">
      <c r="A1021">
        <v>1500061209</v>
      </c>
      <c r="B1021" t="s">
        <v>2247</v>
      </c>
      <c r="C1021" t="s">
        <v>19</v>
      </c>
      <c r="D1021" t="s">
        <v>20</v>
      </c>
      <c r="E1021" t="s">
        <v>21</v>
      </c>
      <c r="F1021" t="s">
        <v>22</v>
      </c>
      <c r="G1021" t="s">
        <v>23</v>
      </c>
      <c r="H1021" t="s">
        <v>774</v>
      </c>
      <c r="I1021" t="s">
        <v>2248</v>
      </c>
      <c r="J1021">
        <v>9.9082799999999995</v>
      </c>
      <c r="K1021">
        <v>-84.238020000000006</v>
      </c>
      <c r="L1021" t="s">
        <v>1225</v>
      </c>
      <c r="M1021" t="s">
        <v>54</v>
      </c>
      <c r="N1021" t="s">
        <v>55</v>
      </c>
      <c r="O1021" t="s">
        <v>56</v>
      </c>
      <c r="P1021">
        <v>10</v>
      </c>
      <c r="Q1021" t="s">
        <v>136</v>
      </c>
      <c r="S1021" t="str">
        <f>_xlfn.XLOOKUP(UNIVERSO[[#This Row],[Ruta]],'[1]CUOTA RUTA'!A:A,'[1]CUOTA RUTA'!D:D)</f>
        <v>Cargar</v>
      </c>
    </row>
    <row r="1022" spans="1:19" x14ac:dyDescent="0.25">
      <c r="A1022">
        <v>1500061225</v>
      </c>
      <c r="B1022" t="s">
        <v>2249</v>
      </c>
      <c r="C1022" t="s">
        <v>19</v>
      </c>
      <c r="D1022" t="s">
        <v>20</v>
      </c>
      <c r="E1022" t="s">
        <v>21</v>
      </c>
      <c r="F1022" t="s">
        <v>22</v>
      </c>
      <c r="G1022" t="s">
        <v>23</v>
      </c>
      <c r="H1022" t="s">
        <v>277</v>
      </c>
      <c r="I1022" t="s">
        <v>2250</v>
      </c>
      <c r="J1022">
        <v>9.9336000000000002</v>
      </c>
      <c r="K1022">
        <v>-84.192480000000003</v>
      </c>
      <c r="L1022" t="s">
        <v>1225</v>
      </c>
      <c r="M1022" t="s">
        <v>54</v>
      </c>
      <c r="N1022" t="s">
        <v>55</v>
      </c>
      <c r="O1022" t="s">
        <v>56</v>
      </c>
      <c r="P1022">
        <v>11</v>
      </c>
      <c r="Q1022" t="s">
        <v>108</v>
      </c>
      <c r="S1022" t="str">
        <f>_xlfn.XLOOKUP(UNIVERSO[[#This Row],[Ruta]],'[1]CUOTA RUTA'!A:A,'[1]CUOTA RUTA'!D:D)</f>
        <v>Cargar</v>
      </c>
    </row>
    <row r="1023" spans="1:19" x14ac:dyDescent="0.25">
      <c r="A1023">
        <v>1500061235</v>
      </c>
      <c r="B1023" t="s">
        <v>2251</v>
      </c>
      <c r="C1023" t="s">
        <v>19</v>
      </c>
      <c r="D1023" t="s">
        <v>20</v>
      </c>
      <c r="E1023" t="s">
        <v>21</v>
      </c>
      <c r="F1023" t="s">
        <v>22</v>
      </c>
      <c r="G1023" t="s">
        <v>23</v>
      </c>
      <c r="H1023" t="s">
        <v>774</v>
      </c>
      <c r="I1023" t="s">
        <v>2252</v>
      </c>
      <c r="J1023">
        <v>9.9168299999999991</v>
      </c>
      <c r="K1023">
        <v>-84.196529999999996</v>
      </c>
      <c r="L1023" t="s">
        <v>1225</v>
      </c>
      <c r="M1023" t="s">
        <v>54</v>
      </c>
      <c r="N1023" t="s">
        <v>55</v>
      </c>
      <c r="O1023" t="s">
        <v>56</v>
      </c>
      <c r="P1023">
        <v>20</v>
      </c>
      <c r="Q1023" t="s">
        <v>74</v>
      </c>
      <c r="S1023" t="str">
        <f>_xlfn.XLOOKUP(UNIVERSO[[#This Row],[Ruta]],'[1]CUOTA RUTA'!A:A,'[1]CUOTA RUTA'!D:D)</f>
        <v>Cargar</v>
      </c>
    </row>
    <row r="1024" spans="1:19" x14ac:dyDescent="0.25">
      <c r="A1024">
        <v>1500061259</v>
      </c>
      <c r="B1024" t="s">
        <v>2253</v>
      </c>
      <c r="C1024" t="s">
        <v>19</v>
      </c>
      <c r="D1024" t="s">
        <v>20</v>
      </c>
      <c r="E1024" t="s">
        <v>21</v>
      </c>
      <c r="F1024" t="s">
        <v>22</v>
      </c>
      <c r="G1024" t="s">
        <v>23</v>
      </c>
      <c r="H1024" t="s">
        <v>277</v>
      </c>
      <c r="I1024" t="s">
        <v>2254</v>
      </c>
      <c r="J1024">
        <v>9.9281500000000005</v>
      </c>
      <c r="K1024">
        <v>-84.218225000000004</v>
      </c>
      <c r="L1024" t="s">
        <v>1225</v>
      </c>
      <c r="M1024" t="s">
        <v>54</v>
      </c>
      <c r="N1024" t="s">
        <v>55</v>
      </c>
      <c r="O1024" t="s">
        <v>56</v>
      </c>
      <c r="P1024">
        <v>10</v>
      </c>
      <c r="Q1024" t="s">
        <v>136</v>
      </c>
      <c r="S1024" t="str">
        <f>_xlfn.XLOOKUP(UNIVERSO[[#This Row],[Ruta]],'[1]CUOTA RUTA'!A:A,'[1]CUOTA RUTA'!D:D)</f>
        <v>Cargar</v>
      </c>
    </row>
    <row r="1025" spans="1:19" x14ac:dyDescent="0.25">
      <c r="A1025">
        <v>1500061268</v>
      </c>
      <c r="B1025" t="s">
        <v>2255</v>
      </c>
      <c r="C1025" t="s">
        <v>19</v>
      </c>
      <c r="D1025" t="s">
        <v>20</v>
      </c>
      <c r="E1025" t="s">
        <v>21</v>
      </c>
      <c r="F1025" t="s">
        <v>22</v>
      </c>
      <c r="G1025" t="s">
        <v>64</v>
      </c>
      <c r="H1025" t="s">
        <v>198</v>
      </c>
      <c r="I1025" t="s">
        <v>2256</v>
      </c>
      <c r="J1025">
        <v>9.9209999999999994</v>
      </c>
      <c r="K1025">
        <v>-84.182119999999998</v>
      </c>
      <c r="L1025" t="s">
        <v>1225</v>
      </c>
      <c r="M1025" t="s">
        <v>54</v>
      </c>
      <c r="N1025" t="s">
        <v>55</v>
      </c>
      <c r="O1025" t="s">
        <v>56</v>
      </c>
      <c r="P1025">
        <v>11</v>
      </c>
      <c r="Q1025" t="s">
        <v>108</v>
      </c>
      <c r="S1025" t="str">
        <f>_xlfn.XLOOKUP(UNIVERSO[[#This Row],[Ruta]],'[1]CUOTA RUTA'!A:A,'[1]CUOTA RUTA'!D:D)</f>
        <v>Cargar</v>
      </c>
    </row>
    <row r="1026" spans="1:19" x14ac:dyDescent="0.25">
      <c r="A1026">
        <v>1500061269</v>
      </c>
      <c r="B1026" t="s">
        <v>2184</v>
      </c>
      <c r="C1026" t="s">
        <v>19</v>
      </c>
      <c r="D1026" t="s">
        <v>20</v>
      </c>
      <c r="E1026" t="s">
        <v>21</v>
      </c>
      <c r="F1026" t="s">
        <v>22</v>
      </c>
      <c r="G1026" t="s">
        <v>33</v>
      </c>
      <c r="H1026" t="s">
        <v>198</v>
      </c>
      <c r="I1026" t="s">
        <v>2257</v>
      </c>
      <c r="J1026">
        <v>9.9193499999999997</v>
      </c>
      <c r="K1026">
        <v>-84.180480000000003</v>
      </c>
      <c r="L1026" t="s">
        <v>1225</v>
      </c>
      <c r="M1026" t="s">
        <v>54</v>
      </c>
      <c r="N1026" t="s">
        <v>55</v>
      </c>
      <c r="O1026" t="s">
        <v>56</v>
      </c>
      <c r="P1026">
        <v>11</v>
      </c>
      <c r="Q1026" t="s">
        <v>108</v>
      </c>
      <c r="S1026" t="str">
        <f>_xlfn.XLOOKUP(UNIVERSO[[#This Row],[Ruta]],'[1]CUOTA RUTA'!A:A,'[1]CUOTA RUTA'!D:D)</f>
        <v>Cargar</v>
      </c>
    </row>
    <row r="1027" spans="1:19" x14ac:dyDescent="0.25">
      <c r="A1027">
        <v>1500061287</v>
      </c>
      <c r="B1027" t="s">
        <v>2258</v>
      </c>
      <c r="C1027" t="s">
        <v>19</v>
      </c>
      <c r="D1027" t="s">
        <v>20</v>
      </c>
      <c r="E1027" t="s">
        <v>21</v>
      </c>
      <c r="F1027" t="s">
        <v>22</v>
      </c>
      <c r="G1027" t="s">
        <v>23</v>
      </c>
      <c r="H1027" t="s">
        <v>198</v>
      </c>
      <c r="I1027" t="s">
        <v>2259</v>
      </c>
      <c r="J1027">
        <v>9.9304500000000004</v>
      </c>
      <c r="K1027">
        <v>-84.181250000000006</v>
      </c>
      <c r="L1027" t="s">
        <v>1225</v>
      </c>
      <c r="M1027" t="s">
        <v>54</v>
      </c>
      <c r="N1027" t="s">
        <v>55</v>
      </c>
      <c r="O1027" t="s">
        <v>56</v>
      </c>
      <c r="P1027">
        <v>11</v>
      </c>
      <c r="Q1027" t="s">
        <v>108</v>
      </c>
      <c r="S1027" t="str">
        <f>_xlfn.XLOOKUP(UNIVERSO[[#This Row],[Ruta]],'[1]CUOTA RUTA'!A:A,'[1]CUOTA RUTA'!D:D)</f>
        <v>Cargar</v>
      </c>
    </row>
    <row r="1028" spans="1:19" x14ac:dyDescent="0.25">
      <c r="A1028">
        <v>1500061380</v>
      </c>
      <c r="B1028" t="s">
        <v>2260</v>
      </c>
      <c r="C1028" t="s">
        <v>19</v>
      </c>
      <c r="D1028" t="s">
        <v>20</v>
      </c>
      <c r="E1028" t="s">
        <v>21</v>
      </c>
      <c r="F1028" t="s">
        <v>22</v>
      </c>
      <c r="G1028" t="s">
        <v>33</v>
      </c>
      <c r="H1028" t="s">
        <v>774</v>
      </c>
      <c r="I1028" t="s">
        <v>2261</v>
      </c>
      <c r="J1028">
        <v>9.9286499999999993</v>
      </c>
      <c r="K1028">
        <v>-84.217129999999997</v>
      </c>
      <c r="L1028" t="s">
        <v>1225</v>
      </c>
      <c r="M1028" t="s">
        <v>54</v>
      </c>
      <c r="N1028" t="s">
        <v>55</v>
      </c>
      <c r="O1028" t="s">
        <v>56</v>
      </c>
      <c r="P1028">
        <v>10</v>
      </c>
      <c r="Q1028" t="s">
        <v>136</v>
      </c>
      <c r="S1028" t="str">
        <f>_xlfn.XLOOKUP(UNIVERSO[[#This Row],[Ruta]],'[1]CUOTA RUTA'!A:A,'[1]CUOTA RUTA'!D:D)</f>
        <v>Cargar</v>
      </c>
    </row>
    <row r="1029" spans="1:19" x14ac:dyDescent="0.25">
      <c r="A1029">
        <v>1500061419</v>
      </c>
      <c r="B1029" t="s">
        <v>2262</v>
      </c>
      <c r="C1029" t="s">
        <v>19</v>
      </c>
      <c r="D1029" t="s">
        <v>20</v>
      </c>
      <c r="E1029" t="s">
        <v>21</v>
      </c>
      <c r="F1029" t="s">
        <v>51</v>
      </c>
      <c r="G1029" t="s">
        <v>23</v>
      </c>
      <c r="H1029" t="s">
        <v>58</v>
      </c>
      <c r="I1029" t="s">
        <v>2263</v>
      </c>
      <c r="J1029">
        <v>9.9960699999999996</v>
      </c>
      <c r="K1029">
        <v>-84.222530000000006</v>
      </c>
      <c r="L1029" t="s">
        <v>1225</v>
      </c>
      <c r="M1029" t="s">
        <v>54</v>
      </c>
      <c r="N1029" t="s">
        <v>55</v>
      </c>
      <c r="O1029" t="s">
        <v>56</v>
      </c>
      <c r="P1029">
        <v>4</v>
      </c>
      <c r="Q1029" t="s">
        <v>120</v>
      </c>
      <c r="S1029" t="str">
        <f>_xlfn.XLOOKUP(UNIVERSO[[#This Row],[Ruta]],'[1]CUOTA RUTA'!A:A,'[1]CUOTA RUTA'!D:D)</f>
        <v>Cargar</v>
      </c>
    </row>
    <row r="1030" spans="1:19" x14ac:dyDescent="0.25">
      <c r="A1030">
        <v>1500061432</v>
      </c>
      <c r="B1030" t="s">
        <v>2264</v>
      </c>
      <c r="C1030" t="s">
        <v>19</v>
      </c>
      <c r="D1030" t="s">
        <v>20</v>
      </c>
      <c r="E1030" t="s">
        <v>21</v>
      </c>
      <c r="F1030" t="s">
        <v>22</v>
      </c>
      <c r="G1030" t="s">
        <v>23</v>
      </c>
      <c r="H1030" t="s">
        <v>303</v>
      </c>
      <c r="I1030" t="s">
        <v>2265</v>
      </c>
      <c r="J1030">
        <v>9.9900800000000007</v>
      </c>
      <c r="K1030">
        <v>-84.238029999999995</v>
      </c>
      <c r="L1030" t="s">
        <v>1225</v>
      </c>
      <c r="M1030" t="s">
        <v>54</v>
      </c>
      <c r="N1030" t="s">
        <v>55</v>
      </c>
      <c r="O1030" t="s">
        <v>56</v>
      </c>
      <c r="P1030">
        <v>5</v>
      </c>
      <c r="Q1030" t="s">
        <v>117</v>
      </c>
      <c r="S1030" t="str">
        <f>_xlfn.XLOOKUP(UNIVERSO[[#This Row],[Ruta]],'[1]CUOTA RUTA'!A:A,'[1]CUOTA RUTA'!D:D)</f>
        <v>Cargar</v>
      </c>
    </row>
    <row r="1031" spans="1:19" x14ac:dyDescent="0.25">
      <c r="A1031">
        <v>1500061437</v>
      </c>
      <c r="B1031" t="s">
        <v>2266</v>
      </c>
      <c r="C1031" t="s">
        <v>19</v>
      </c>
      <c r="D1031" t="s">
        <v>20</v>
      </c>
      <c r="E1031" t="s">
        <v>21</v>
      </c>
      <c r="F1031" t="s">
        <v>51</v>
      </c>
      <c r="G1031" t="s">
        <v>23</v>
      </c>
      <c r="H1031" t="s">
        <v>58</v>
      </c>
      <c r="I1031" t="s">
        <v>2267</v>
      </c>
      <c r="J1031">
        <v>9.9905010000000001</v>
      </c>
      <c r="K1031">
        <v>-84.240132000000003</v>
      </c>
      <c r="L1031" t="s">
        <v>1225</v>
      </c>
      <c r="M1031" t="s">
        <v>54</v>
      </c>
      <c r="N1031" t="s">
        <v>55</v>
      </c>
      <c r="O1031" t="s">
        <v>56</v>
      </c>
      <c r="P1031">
        <v>5</v>
      </c>
      <c r="Q1031" t="s">
        <v>117</v>
      </c>
      <c r="S1031" t="str">
        <f>_xlfn.XLOOKUP(UNIVERSO[[#This Row],[Ruta]],'[1]CUOTA RUTA'!A:A,'[1]CUOTA RUTA'!D:D)</f>
        <v>Cargar</v>
      </c>
    </row>
    <row r="1032" spans="1:19" x14ac:dyDescent="0.25">
      <c r="A1032">
        <v>1500061470</v>
      </c>
      <c r="B1032" t="s">
        <v>2268</v>
      </c>
      <c r="C1032" t="s">
        <v>19</v>
      </c>
      <c r="D1032" t="s">
        <v>20</v>
      </c>
      <c r="E1032" t="s">
        <v>62</v>
      </c>
      <c r="F1032" t="s">
        <v>63</v>
      </c>
      <c r="G1032" t="s">
        <v>64</v>
      </c>
      <c r="H1032" t="s">
        <v>311</v>
      </c>
      <c r="I1032" t="s">
        <v>2269</v>
      </c>
      <c r="J1032">
        <v>9.9779999999999998</v>
      </c>
      <c r="K1032">
        <v>-84.19923</v>
      </c>
      <c r="L1032" t="s">
        <v>1225</v>
      </c>
      <c r="M1032" t="s">
        <v>54</v>
      </c>
      <c r="N1032" t="s">
        <v>55</v>
      </c>
      <c r="O1032" t="s">
        <v>56</v>
      </c>
      <c r="P1032">
        <v>14</v>
      </c>
      <c r="Q1032" t="s">
        <v>181</v>
      </c>
      <c r="S1032" t="str">
        <f>_xlfn.XLOOKUP(UNIVERSO[[#This Row],[Ruta]],'[1]CUOTA RUTA'!A:A,'[1]CUOTA RUTA'!D:D)</f>
        <v>Cargar</v>
      </c>
    </row>
    <row r="1033" spans="1:19" x14ac:dyDescent="0.25">
      <c r="A1033">
        <v>1500061475</v>
      </c>
      <c r="B1033" t="s">
        <v>2075</v>
      </c>
      <c r="C1033" t="s">
        <v>19</v>
      </c>
      <c r="D1033" t="s">
        <v>20</v>
      </c>
      <c r="E1033" t="s">
        <v>21</v>
      </c>
      <c r="F1033" t="s">
        <v>22</v>
      </c>
      <c r="G1033" t="s">
        <v>23</v>
      </c>
      <c r="H1033" t="s">
        <v>638</v>
      </c>
      <c r="I1033" t="s">
        <v>2270</v>
      </c>
      <c r="J1033">
        <v>10.001749999999999</v>
      </c>
      <c r="K1033">
        <v>-84.224829999999997</v>
      </c>
      <c r="L1033" t="s">
        <v>1225</v>
      </c>
      <c r="M1033" t="s">
        <v>54</v>
      </c>
      <c r="N1033" t="s">
        <v>55</v>
      </c>
      <c r="O1033" t="s">
        <v>56</v>
      </c>
      <c r="P1033">
        <v>3</v>
      </c>
      <c r="Q1033" t="s">
        <v>101</v>
      </c>
      <c r="S1033" t="str">
        <f>_xlfn.XLOOKUP(UNIVERSO[[#This Row],[Ruta]],'[1]CUOTA RUTA'!A:A,'[1]CUOTA RUTA'!D:D)</f>
        <v>Cargar</v>
      </c>
    </row>
    <row r="1034" spans="1:19" x14ac:dyDescent="0.25">
      <c r="A1034">
        <v>1500061479</v>
      </c>
      <c r="B1034" t="s">
        <v>2271</v>
      </c>
      <c r="C1034" t="s">
        <v>19</v>
      </c>
      <c r="D1034" t="s">
        <v>20</v>
      </c>
      <c r="E1034" t="s">
        <v>21</v>
      </c>
      <c r="F1034" t="s">
        <v>22</v>
      </c>
      <c r="G1034" t="s">
        <v>23</v>
      </c>
      <c r="H1034" t="s">
        <v>638</v>
      </c>
      <c r="I1034" t="s">
        <v>2272</v>
      </c>
      <c r="J1034">
        <v>10.005850000000001</v>
      </c>
      <c r="K1034">
        <v>-84.226879999999994</v>
      </c>
      <c r="L1034" t="s">
        <v>1225</v>
      </c>
      <c r="M1034" t="s">
        <v>54</v>
      </c>
      <c r="N1034" t="s">
        <v>55</v>
      </c>
      <c r="O1034" t="s">
        <v>56</v>
      </c>
      <c r="P1034">
        <v>2</v>
      </c>
      <c r="Q1034" t="s">
        <v>150</v>
      </c>
      <c r="S1034" t="str">
        <f>_xlfn.XLOOKUP(UNIVERSO[[#This Row],[Ruta]],'[1]CUOTA RUTA'!A:A,'[1]CUOTA RUTA'!D:D)</f>
        <v>Cargar</v>
      </c>
    </row>
    <row r="1035" spans="1:19" x14ac:dyDescent="0.25">
      <c r="A1035">
        <v>1500061505</v>
      </c>
      <c r="B1035" t="s">
        <v>2273</v>
      </c>
      <c r="C1035" t="s">
        <v>19</v>
      </c>
      <c r="D1035" t="s">
        <v>20</v>
      </c>
      <c r="E1035" t="s">
        <v>21</v>
      </c>
      <c r="F1035" t="s">
        <v>22</v>
      </c>
      <c r="G1035" t="s">
        <v>33</v>
      </c>
      <c r="H1035" t="s">
        <v>975</v>
      </c>
      <c r="I1035" t="s">
        <v>2274</v>
      </c>
      <c r="J1035">
        <v>10.00273</v>
      </c>
      <c r="K1035">
        <v>-84.114230000000006</v>
      </c>
      <c r="L1035" t="s">
        <v>1225</v>
      </c>
      <c r="M1035" t="s">
        <v>27</v>
      </c>
      <c r="N1035" t="s">
        <v>28</v>
      </c>
      <c r="O1035" t="s">
        <v>29</v>
      </c>
      <c r="P1035">
        <v>13</v>
      </c>
      <c r="Q1035" t="s">
        <v>161</v>
      </c>
      <c r="S1035" t="str">
        <f>_xlfn.XLOOKUP(UNIVERSO[[#This Row],[Ruta]],'[1]CUOTA RUTA'!A:A,'[1]CUOTA RUTA'!D:D)</f>
        <v>Cargar</v>
      </c>
    </row>
    <row r="1036" spans="1:19" x14ac:dyDescent="0.25">
      <c r="A1036">
        <v>1500061540</v>
      </c>
      <c r="B1036" t="s">
        <v>2275</v>
      </c>
      <c r="C1036" t="s">
        <v>19</v>
      </c>
      <c r="D1036" t="s">
        <v>20</v>
      </c>
      <c r="E1036" t="s">
        <v>21</v>
      </c>
      <c r="F1036" t="s">
        <v>22</v>
      </c>
      <c r="G1036" t="s">
        <v>64</v>
      </c>
      <c r="H1036" t="s">
        <v>975</v>
      </c>
      <c r="I1036" t="s">
        <v>2276</v>
      </c>
      <c r="J1036">
        <v>10.01038</v>
      </c>
      <c r="K1036">
        <v>-84.117500000000007</v>
      </c>
      <c r="L1036" t="s">
        <v>1225</v>
      </c>
      <c r="M1036" t="s">
        <v>27</v>
      </c>
      <c r="N1036" t="s">
        <v>28</v>
      </c>
      <c r="O1036" t="s">
        <v>29</v>
      </c>
      <c r="P1036">
        <v>14</v>
      </c>
      <c r="Q1036" t="s">
        <v>181</v>
      </c>
      <c r="S1036" t="str">
        <f>_xlfn.XLOOKUP(UNIVERSO[[#This Row],[Ruta]],'[1]CUOTA RUTA'!A:A,'[1]CUOTA RUTA'!D:D)</f>
        <v>Cargar</v>
      </c>
    </row>
    <row r="1037" spans="1:19" x14ac:dyDescent="0.25">
      <c r="A1037">
        <v>1500061560</v>
      </c>
      <c r="B1037" t="s">
        <v>2277</v>
      </c>
      <c r="C1037" t="s">
        <v>19</v>
      </c>
      <c r="D1037" t="s">
        <v>20</v>
      </c>
      <c r="E1037" t="s">
        <v>21</v>
      </c>
      <c r="F1037" t="s">
        <v>22</v>
      </c>
      <c r="G1037" t="s">
        <v>33</v>
      </c>
      <c r="H1037" t="s">
        <v>975</v>
      </c>
      <c r="I1037" t="s">
        <v>2278</v>
      </c>
      <c r="J1037">
        <v>10.00352</v>
      </c>
      <c r="K1037">
        <v>-84.121200000000002</v>
      </c>
      <c r="L1037" t="s">
        <v>1225</v>
      </c>
      <c r="M1037" t="s">
        <v>27</v>
      </c>
      <c r="N1037" t="s">
        <v>28</v>
      </c>
      <c r="O1037" t="s">
        <v>29</v>
      </c>
      <c r="P1037">
        <v>13</v>
      </c>
      <c r="Q1037" t="s">
        <v>161</v>
      </c>
      <c r="S1037" t="str">
        <f>_xlfn.XLOOKUP(UNIVERSO[[#This Row],[Ruta]],'[1]CUOTA RUTA'!A:A,'[1]CUOTA RUTA'!D:D)</f>
        <v>Cargar</v>
      </c>
    </row>
    <row r="1038" spans="1:19" x14ac:dyDescent="0.25">
      <c r="A1038">
        <v>1500061562</v>
      </c>
      <c r="B1038" t="s">
        <v>2279</v>
      </c>
      <c r="C1038" t="s">
        <v>19</v>
      </c>
      <c r="D1038" t="s">
        <v>20</v>
      </c>
      <c r="E1038" t="s">
        <v>21</v>
      </c>
      <c r="F1038" t="s">
        <v>22</v>
      </c>
      <c r="G1038" t="s">
        <v>23</v>
      </c>
      <c r="H1038" t="s">
        <v>24</v>
      </c>
      <c r="I1038" t="s">
        <v>2280</v>
      </c>
      <c r="J1038">
        <v>10.000277000000001</v>
      </c>
      <c r="K1038">
        <v>-84.101499000000004</v>
      </c>
      <c r="L1038" t="s">
        <v>1225</v>
      </c>
      <c r="M1038" t="s">
        <v>27</v>
      </c>
      <c r="N1038" t="s">
        <v>28</v>
      </c>
      <c r="O1038" t="s">
        <v>29</v>
      </c>
      <c r="P1038">
        <v>18</v>
      </c>
      <c r="Q1038" t="s">
        <v>84</v>
      </c>
      <c r="S1038" t="str">
        <f>_xlfn.XLOOKUP(UNIVERSO[[#This Row],[Ruta]],'[1]CUOTA RUTA'!A:A,'[1]CUOTA RUTA'!D:D)</f>
        <v>Cargar</v>
      </c>
    </row>
    <row r="1039" spans="1:19" x14ac:dyDescent="0.25">
      <c r="A1039">
        <v>1500061582</v>
      </c>
      <c r="B1039" t="s">
        <v>2281</v>
      </c>
      <c r="C1039" t="s">
        <v>19</v>
      </c>
      <c r="D1039" t="s">
        <v>20</v>
      </c>
      <c r="E1039" t="s">
        <v>21</v>
      </c>
      <c r="F1039" t="s">
        <v>22</v>
      </c>
      <c r="G1039" t="s">
        <v>33</v>
      </c>
      <c r="H1039" t="s">
        <v>369</v>
      </c>
      <c r="I1039" t="s">
        <v>2282</v>
      </c>
      <c r="J1039">
        <v>10.02052299</v>
      </c>
      <c r="K1039">
        <v>-84.104700570000006</v>
      </c>
      <c r="L1039" t="s">
        <v>1225</v>
      </c>
      <c r="M1039" t="s">
        <v>27</v>
      </c>
      <c r="N1039" t="s">
        <v>28</v>
      </c>
      <c r="O1039" t="s">
        <v>29</v>
      </c>
      <c r="P1039">
        <v>17</v>
      </c>
      <c r="Q1039" t="s">
        <v>287</v>
      </c>
      <c r="S1039" t="str">
        <f>_xlfn.XLOOKUP(UNIVERSO[[#This Row],[Ruta]],'[1]CUOTA RUTA'!A:A,'[1]CUOTA RUTA'!D:D)</f>
        <v>Cargar</v>
      </c>
    </row>
    <row r="1040" spans="1:19" x14ac:dyDescent="0.25">
      <c r="A1040">
        <v>1500061586</v>
      </c>
      <c r="B1040" t="s">
        <v>2283</v>
      </c>
      <c r="C1040" t="s">
        <v>19</v>
      </c>
      <c r="D1040" t="s">
        <v>20</v>
      </c>
      <c r="E1040" t="s">
        <v>21</v>
      </c>
      <c r="F1040" t="s">
        <v>22</v>
      </c>
      <c r="G1040" t="s">
        <v>64</v>
      </c>
      <c r="H1040" t="s">
        <v>369</v>
      </c>
      <c r="I1040" t="s">
        <v>2284</v>
      </c>
      <c r="J1040">
        <v>10.02561322</v>
      </c>
      <c r="K1040">
        <v>-84.107558780000005</v>
      </c>
      <c r="L1040" t="s">
        <v>1225</v>
      </c>
      <c r="M1040" t="s">
        <v>27</v>
      </c>
      <c r="N1040" t="s">
        <v>28</v>
      </c>
      <c r="O1040" t="s">
        <v>29</v>
      </c>
      <c r="P1040">
        <v>22</v>
      </c>
      <c r="Q1040" t="s">
        <v>30</v>
      </c>
      <c r="S1040" t="str">
        <f>_xlfn.XLOOKUP(UNIVERSO[[#This Row],[Ruta]],'[1]CUOTA RUTA'!A:A,'[1]CUOTA RUTA'!D:D)</f>
        <v>Cargar</v>
      </c>
    </row>
    <row r="1041" spans="1:19" x14ac:dyDescent="0.25">
      <c r="A1041">
        <v>1500061616</v>
      </c>
      <c r="B1041" t="s">
        <v>2285</v>
      </c>
      <c r="C1041" t="s">
        <v>19</v>
      </c>
      <c r="D1041" t="s">
        <v>20</v>
      </c>
      <c r="E1041" t="s">
        <v>21</v>
      </c>
      <c r="F1041" t="s">
        <v>22</v>
      </c>
      <c r="G1041" t="s">
        <v>33</v>
      </c>
      <c r="H1041" t="s">
        <v>1021</v>
      </c>
      <c r="I1041" t="s">
        <v>2286</v>
      </c>
      <c r="J1041">
        <v>10.099068000000001</v>
      </c>
      <c r="K1041">
        <v>-84.243694000000005</v>
      </c>
      <c r="L1041" t="s">
        <v>1225</v>
      </c>
      <c r="M1041" t="s">
        <v>46</v>
      </c>
      <c r="N1041" t="s">
        <v>47</v>
      </c>
      <c r="O1041" t="s">
        <v>48</v>
      </c>
      <c r="P1041">
        <v>2</v>
      </c>
      <c r="Q1041" t="s">
        <v>150</v>
      </c>
      <c r="S1041" t="str">
        <f>_xlfn.XLOOKUP(UNIVERSO[[#This Row],[Ruta]],'[1]CUOTA RUTA'!A:A,'[1]CUOTA RUTA'!D:D)</f>
        <v>Cargar</v>
      </c>
    </row>
    <row r="1042" spans="1:19" x14ac:dyDescent="0.25">
      <c r="A1042">
        <v>1500061658</v>
      </c>
      <c r="B1042" t="s">
        <v>2287</v>
      </c>
      <c r="C1042" t="s">
        <v>19</v>
      </c>
      <c r="D1042" t="s">
        <v>20</v>
      </c>
      <c r="E1042" t="s">
        <v>21</v>
      </c>
      <c r="F1042" t="s">
        <v>22</v>
      </c>
      <c r="G1042" t="s">
        <v>33</v>
      </c>
      <c r="H1042" t="s">
        <v>250</v>
      </c>
      <c r="I1042" t="s">
        <v>2288</v>
      </c>
      <c r="J1042">
        <v>10.018899490000001</v>
      </c>
      <c r="K1042">
        <v>-84.232316040000001</v>
      </c>
      <c r="L1042" t="s">
        <v>1225</v>
      </c>
      <c r="M1042" t="s">
        <v>46</v>
      </c>
      <c r="N1042" t="s">
        <v>47</v>
      </c>
      <c r="O1042" t="s">
        <v>48</v>
      </c>
      <c r="P1042">
        <v>3</v>
      </c>
      <c r="Q1042" t="s">
        <v>101</v>
      </c>
      <c r="S1042" t="str">
        <f>_xlfn.XLOOKUP(UNIVERSO[[#This Row],[Ruta]],'[1]CUOTA RUTA'!A:A,'[1]CUOTA RUTA'!D:D)</f>
        <v>Cargar</v>
      </c>
    </row>
    <row r="1043" spans="1:19" x14ac:dyDescent="0.25">
      <c r="A1043">
        <v>1500061687</v>
      </c>
      <c r="B1043" t="s">
        <v>615</v>
      </c>
      <c r="C1043" t="s">
        <v>19</v>
      </c>
      <c r="D1043" t="s">
        <v>20</v>
      </c>
      <c r="E1043" t="s">
        <v>21</v>
      </c>
      <c r="F1043" t="s">
        <v>22</v>
      </c>
      <c r="G1043" t="s">
        <v>23</v>
      </c>
      <c r="H1043" t="s">
        <v>638</v>
      </c>
      <c r="I1043" t="s">
        <v>2289</v>
      </c>
      <c r="J1043">
        <v>10.01205</v>
      </c>
      <c r="K1043">
        <v>-84.229583300000002</v>
      </c>
      <c r="L1043" t="s">
        <v>1225</v>
      </c>
      <c r="M1043" t="s">
        <v>54</v>
      </c>
      <c r="N1043" t="s">
        <v>55</v>
      </c>
      <c r="O1043" t="s">
        <v>56</v>
      </c>
      <c r="P1043">
        <v>2</v>
      </c>
      <c r="Q1043" t="s">
        <v>150</v>
      </c>
      <c r="S1043" t="str">
        <f>_xlfn.XLOOKUP(UNIVERSO[[#This Row],[Ruta]],'[1]CUOTA RUTA'!A:A,'[1]CUOTA RUTA'!D:D)</f>
        <v>Cargar</v>
      </c>
    </row>
    <row r="1044" spans="1:19" x14ac:dyDescent="0.25">
      <c r="A1044">
        <v>1500061697</v>
      </c>
      <c r="B1044" t="s">
        <v>2290</v>
      </c>
      <c r="C1044" t="s">
        <v>19</v>
      </c>
      <c r="D1044" t="s">
        <v>20</v>
      </c>
      <c r="E1044" t="s">
        <v>21</v>
      </c>
      <c r="F1044" t="s">
        <v>51</v>
      </c>
      <c r="G1044" t="s">
        <v>23</v>
      </c>
      <c r="H1044" t="s">
        <v>193</v>
      </c>
      <c r="I1044" t="s">
        <v>2291</v>
      </c>
      <c r="J1044">
        <v>10.002874800000001</v>
      </c>
      <c r="K1044">
        <v>-84.299809800000006</v>
      </c>
      <c r="L1044" t="s">
        <v>1225</v>
      </c>
      <c r="M1044" t="s">
        <v>54</v>
      </c>
      <c r="N1044" t="s">
        <v>55</v>
      </c>
      <c r="O1044" t="s">
        <v>56</v>
      </c>
      <c r="P1044">
        <v>6</v>
      </c>
      <c r="Q1044" t="s">
        <v>49</v>
      </c>
      <c r="S1044" t="str">
        <f>_xlfn.XLOOKUP(UNIVERSO[[#This Row],[Ruta]],'[1]CUOTA RUTA'!A:A,'[1]CUOTA RUTA'!D:D)</f>
        <v>Cargar</v>
      </c>
    </row>
    <row r="1045" spans="1:19" x14ac:dyDescent="0.25">
      <c r="A1045">
        <v>1500061712</v>
      </c>
      <c r="B1045" t="s">
        <v>2292</v>
      </c>
      <c r="C1045" t="s">
        <v>19</v>
      </c>
      <c r="D1045" t="s">
        <v>20</v>
      </c>
      <c r="E1045" t="s">
        <v>21</v>
      </c>
      <c r="F1045" t="s">
        <v>51</v>
      </c>
      <c r="G1045" t="s">
        <v>23</v>
      </c>
      <c r="H1045" t="s">
        <v>193</v>
      </c>
      <c r="I1045" t="s">
        <v>2293</v>
      </c>
      <c r="J1045">
        <v>9.9923470000000005</v>
      </c>
      <c r="K1045">
        <v>-84.303702000000001</v>
      </c>
      <c r="L1045" t="s">
        <v>1225</v>
      </c>
      <c r="M1045" t="s">
        <v>54</v>
      </c>
      <c r="N1045" t="s">
        <v>55</v>
      </c>
      <c r="O1045" t="s">
        <v>56</v>
      </c>
      <c r="P1045">
        <v>6</v>
      </c>
      <c r="Q1045" t="s">
        <v>49</v>
      </c>
      <c r="S1045" t="str">
        <f>_xlfn.XLOOKUP(UNIVERSO[[#This Row],[Ruta]],'[1]CUOTA RUTA'!A:A,'[1]CUOTA RUTA'!D:D)</f>
        <v>Cargar</v>
      </c>
    </row>
    <row r="1046" spans="1:19" x14ac:dyDescent="0.25">
      <c r="A1046">
        <v>1500061733</v>
      </c>
      <c r="B1046" t="s">
        <v>2294</v>
      </c>
      <c r="C1046" t="s">
        <v>19</v>
      </c>
      <c r="D1046" t="s">
        <v>20</v>
      </c>
      <c r="E1046" t="s">
        <v>21</v>
      </c>
      <c r="F1046" t="s">
        <v>51</v>
      </c>
      <c r="G1046" t="s">
        <v>23</v>
      </c>
      <c r="H1046" t="s">
        <v>458</v>
      </c>
      <c r="I1046" t="s">
        <v>2295</v>
      </c>
      <c r="J1046">
        <v>9.9572304999999997</v>
      </c>
      <c r="K1046">
        <v>-84.343721599999995</v>
      </c>
      <c r="L1046" t="s">
        <v>1225</v>
      </c>
      <c r="M1046" t="s">
        <v>54</v>
      </c>
      <c r="N1046" t="s">
        <v>55</v>
      </c>
      <c r="O1046" t="s">
        <v>56</v>
      </c>
      <c r="P1046">
        <v>20</v>
      </c>
      <c r="Q1046" t="s">
        <v>74</v>
      </c>
      <c r="S1046" t="str">
        <f>_xlfn.XLOOKUP(UNIVERSO[[#This Row],[Ruta]],'[1]CUOTA RUTA'!A:A,'[1]CUOTA RUTA'!D:D)</f>
        <v>Cargar</v>
      </c>
    </row>
    <row r="1047" spans="1:19" x14ac:dyDescent="0.25">
      <c r="A1047">
        <v>1500061780</v>
      </c>
      <c r="B1047" t="s">
        <v>2296</v>
      </c>
      <c r="C1047" t="s">
        <v>19</v>
      </c>
      <c r="D1047" t="s">
        <v>20</v>
      </c>
      <c r="E1047" t="s">
        <v>21</v>
      </c>
      <c r="F1047" t="s">
        <v>22</v>
      </c>
      <c r="G1047" t="s">
        <v>23</v>
      </c>
      <c r="H1047" t="s">
        <v>250</v>
      </c>
      <c r="I1047" t="s">
        <v>2297</v>
      </c>
      <c r="J1047">
        <v>10.00910545</v>
      </c>
      <c r="K1047">
        <v>-84.26142926</v>
      </c>
      <c r="L1047" t="s">
        <v>1225</v>
      </c>
      <c r="M1047" t="s">
        <v>46</v>
      </c>
      <c r="N1047" t="s">
        <v>47</v>
      </c>
      <c r="O1047" t="s">
        <v>48</v>
      </c>
      <c r="P1047">
        <v>12</v>
      </c>
      <c r="Q1047" t="s">
        <v>42</v>
      </c>
      <c r="S1047" t="str">
        <f>_xlfn.XLOOKUP(UNIVERSO[[#This Row],[Ruta]],'[1]CUOTA RUTA'!A:A,'[1]CUOTA RUTA'!D:D)</f>
        <v>Cargar</v>
      </c>
    </row>
    <row r="1048" spans="1:19" x14ac:dyDescent="0.25">
      <c r="A1048">
        <v>1500061797</v>
      </c>
      <c r="B1048" t="s">
        <v>2298</v>
      </c>
      <c r="C1048" t="s">
        <v>19</v>
      </c>
      <c r="D1048" t="s">
        <v>20</v>
      </c>
      <c r="E1048" t="s">
        <v>21</v>
      </c>
      <c r="F1048" t="s">
        <v>22</v>
      </c>
      <c r="G1048" t="s">
        <v>23</v>
      </c>
      <c r="H1048" t="s">
        <v>193</v>
      </c>
      <c r="I1048" t="s">
        <v>2299</v>
      </c>
      <c r="J1048">
        <v>10.008414</v>
      </c>
      <c r="K1048">
        <v>-84.289884599999993</v>
      </c>
      <c r="L1048" t="s">
        <v>1225</v>
      </c>
      <c r="M1048" t="s">
        <v>54</v>
      </c>
      <c r="N1048" t="s">
        <v>55</v>
      </c>
      <c r="O1048" t="s">
        <v>56</v>
      </c>
      <c r="P1048">
        <v>6</v>
      </c>
      <c r="Q1048" t="s">
        <v>49</v>
      </c>
      <c r="S1048" t="str">
        <f>_xlfn.XLOOKUP(UNIVERSO[[#This Row],[Ruta]],'[1]CUOTA RUTA'!A:A,'[1]CUOTA RUTA'!D:D)</f>
        <v>Cargar</v>
      </c>
    </row>
    <row r="1049" spans="1:19" x14ac:dyDescent="0.25">
      <c r="A1049">
        <v>1500061807</v>
      </c>
      <c r="B1049" t="s">
        <v>2300</v>
      </c>
      <c r="C1049" t="s">
        <v>19</v>
      </c>
      <c r="D1049" t="s">
        <v>20</v>
      </c>
      <c r="E1049" t="s">
        <v>21</v>
      </c>
      <c r="F1049" t="s">
        <v>22</v>
      </c>
      <c r="G1049" t="s">
        <v>23</v>
      </c>
      <c r="H1049" t="s">
        <v>303</v>
      </c>
      <c r="I1049" t="s">
        <v>2301</v>
      </c>
      <c r="J1049">
        <v>9.9961710000000004</v>
      </c>
      <c r="K1049">
        <v>-84.241155000000006</v>
      </c>
      <c r="L1049" t="s">
        <v>1225</v>
      </c>
      <c r="M1049" t="s">
        <v>54</v>
      </c>
      <c r="N1049" t="s">
        <v>55</v>
      </c>
      <c r="O1049" t="s">
        <v>56</v>
      </c>
      <c r="P1049">
        <v>7</v>
      </c>
      <c r="Q1049" t="s">
        <v>39</v>
      </c>
      <c r="S1049" t="str">
        <f>_xlfn.XLOOKUP(UNIVERSO[[#This Row],[Ruta]],'[1]CUOTA RUTA'!A:A,'[1]CUOTA RUTA'!D:D)</f>
        <v>Cargar</v>
      </c>
    </row>
    <row r="1050" spans="1:19" x14ac:dyDescent="0.25">
      <c r="A1050">
        <v>1500061812</v>
      </c>
      <c r="B1050" t="s">
        <v>2302</v>
      </c>
      <c r="C1050" t="s">
        <v>19</v>
      </c>
      <c r="D1050" t="s">
        <v>20</v>
      </c>
      <c r="E1050" t="s">
        <v>21</v>
      </c>
      <c r="F1050" t="s">
        <v>22</v>
      </c>
      <c r="G1050" t="s">
        <v>23</v>
      </c>
      <c r="H1050" t="s">
        <v>303</v>
      </c>
      <c r="I1050" t="s">
        <v>2303</v>
      </c>
      <c r="J1050">
        <v>9.9993800000000004</v>
      </c>
      <c r="K1050">
        <v>-84.265600000000006</v>
      </c>
      <c r="L1050" t="s">
        <v>1225</v>
      </c>
      <c r="M1050" t="s">
        <v>54</v>
      </c>
      <c r="N1050" t="s">
        <v>55</v>
      </c>
      <c r="O1050" t="s">
        <v>56</v>
      </c>
      <c r="P1050">
        <v>7</v>
      </c>
      <c r="Q1050" t="s">
        <v>39</v>
      </c>
      <c r="S1050" t="str">
        <f>_xlfn.XLOOKUP(UNIVERSO[[#This Row],[Ruta]],'[1]CUOTA RUTA'!A:A,'[1]CUOTA RUTA'!D:D)</f>
        <v>Cargar</v>
      </c>
    </row>
    <row r="1051" spans="1:19" x14ac:dyDescent="0.25">
      <c r="A1051">
        <v>1500061829</v>
      </c>
      <c r="B1051" t="s">
        <v>2304</v>
      </c>
      <c r="C1051" t="s">
        <v>19</v>
      </c>
      <c r="D1051" t="s">
        <v>20</v>
      </c>
      <c r="E1051" t="s">
        <v>21</v>
      </c>
      <c r="F1051" t="s">
        <v>22</v>
      </c>
      <c r="G1051" t="s">
        <v>33</v>
      </c>
      <c r="H1051" t="s">
        <v>638</v>
      </c>
      <c r="I1051" t="s">
        <v>2305</v>
      </c>
      <c r="J1051">
        <v>10.009</v>
      </c>
      <c r="K1051">
        <v>-84.239069999999998</v>
      </c>
      <c r="L1051" t="s">
        <v>1225</v>
      </c>
      <c r="M1051" t="s">
        <v>54</v>
      </c>
      <c r="N1051" t="s">
        <v>55</v>
      </c>
      <c r="O1051" t="s">
        <v>56</v>
      </c>
      <c r="P1051">
        <v>19</v>
      </c>
      <c r="Q1051" t="s">
        <v>67</v>
      </c>
      <c r="S1051" t="str">
        <f>_xlfn.XLOOKUP(UNIVERSO[[#This Row],[Ruta]],'[1]CUOTA RUTA'!A:A,'[1]CUOTA RUTA'!D:D)</f>
        <v>Cargar</v>
      </c>
    </row>
    <row r="1052" spans="1:19" x14ac:dyDescent="0.25">
      <c r="A1052">
        <v>1500061835</v>
      </c>
      <c r="B1052" t="s">
        <v>2306</v>
      </c>
      <c r="C1052" t="s">
        <v>19</v>
      </c>
      <c r="D1052" t="s">
        <v>20</v>
      </c>
      <c r="E1052" t="s">
        <v>21</v>
      </c>
      <c r="F1052" t="s">
        <v>51</v>
      </c>
      <c r="G1052" t="s">
        <v>23</v>
      </c>
      <c r="H1052" t="s">
        <v>193</v>
      </c>
      <c r="I1052" t="s">
        <v>2307</v>
      </c>
      <c r="J1052">
        <v>9.9607232999999997</v>
      </c>
      <c r="K1052">
        <v>-84.320101699999995</v>
      </c>
      <c r="L1052" t="s">
        <v>1225</v>
      </c>
      <c r="M1052" t="s">
        <v>54</v>
      </c>
      <c r="N1052" t="s">
        <v>55</v>
      </c>
      <c r="O1052" t="s">
        <v>56</v>
      </c>
      <c r="P1052">
        <v>20</v>
      </c>
      <c r="Q1052" t="s">
        <v>74</v>
      </c>
      <c r="S1052" t="str">
        <f>_xlfn.XLOOKUP(UNIVERSO[[#This Row],[Ruta]],'[1]CUOTA RUTA'!A:A,'[1]CUOTA RUTA'!D:D)</f>
        <v>Cargar</v>
      </c>
    </row>
    <row r="1053" spans="1:19" x14ac:dyDescent="0.25">
      <c r="A1053">
        <v>1500061854</v>
      </c>
      <c r="B1053" t="s">
        <v>2308</v>
      </c>
      <c r="C1053" t="s">
        <v>19</v>
      </c>
      <c r="D1053" t="s">
        <v>20</v>
      </c>
      <c r="E1053" t="s">
        <v>21</v>
      </c>
      <c r="F1053" t="s">
        <v>22</v>
      </c>
      <c r="G1053" t="s">
        <v>33</v>
      </c>
      <c r="H1053" t="s">
        <v>280</v>
      </c>
      <c r="I1053" t="s">
        <v>2309</v>
      </c>
      <c r="J1053">
        <v>10.021941699999999</v>
      </c>
      <c r="K1053">
        <v>-84.220601700000003</v>
      </c>
      <c r="L1053" t="s">
        <v>1225</v>
      </c>
      <c r="M1053" t="s">
        <v>54</v>
      </c>
      <c r="N1053" t="s">
        <v>55</v>
      </c>
      <c r="O1053" t="s">
        <v>56</v>
      </c>
      <c r="P1053">
        <v>2</v>
      </c>
      <c r="Q1053" t="s">
        <v>150</v>
      </c>
      <c r="S1053" t="str">
        <f>_xlfn.XLOOKUP(UNIVERSO[[#This Row],[Ruta]],'[1]CUOTA RUTA'!A:A,'[1]CUOTA RUTA'!D:D)</f>
        <v>Cargar</v>
      </c>
    </row>
    <row r="1054" spans="1:19" x14ac:dyDescent="0.25">
      <c r="A1054">
        <v>1500061862</v>
      </c>
      <c r="B1054" t="s">
        <v>2310</v>
      </c>
      <c r="C1054" t="s">
        <v>19</v>
      </c>
      <c r="D1054" t="s">
        <v>20</v>
      </c>
      <c r="E1054" t="s">
        <v>21</v>
      </c>
      <c r="F1054" t="s">
        <v>22</v>
      </c>
      <c r="G1054" t="s">
        <v>33</v>
      </c>
      <c r="H1054" t="s">
        <v>280</v>
      </c>
      <c r="I1054" t="s">
        <v>2311</v>
      </c>
      <c r="J1054">
        <v>10.019271699999999</v>
      </c>
      <c r="K1054">
        <v>-84.226551700000002</v>
      </c>
      <c r="L1054" t="s">
        <v>1225</v>
      </c>
      <c r="M1054" t="s">
        <v>54</v>
      </c>
      <c r="N1054" t="s">
        <v>55</v>
      </c>
      <c r="O1054" t="s">
        <v>56</v>
      </c>
      <c r="P1054">
        <v>2</v>
      </c>
      <c r="Q1054" t="s">
        <v>150</v>
      </c>
      <c r="S1054" t="str">
        <f>_xlfn.XLOOKUP(UNIVERSO[[#This Row],[Ruta]],'[1]CUOTA RUTA'!A:A,'[1]CUOTA RUTA'!D:D)</f>
        <v>Cargar</v>
      </c>
    </row>
    <row r="1055" spans="1:19" x14ac:dyDescent="0.25">
      <c r="A1055">
        <v>1500061868</v>
      </c>
      <c r="B1055" t="s">
        <v>2312</v>
      </c>
      <c r="C1055" t="s">
        <v>19</v>
      </c>
      <c r="D1055" t="s">
        <v>20</v>
      </c>
      <c r="E1055" t="s">
        <v>21</v>
      </c>
      <c r="F1055" t="s">
        <v>22</v>
      </c>
      <c r="G1055" t="s">
        <v>64</v>
      </c>
      <c r="H1055" t="s">
        <v>250</v>
      </c>
      <c r="I1055" t="s">
        <v>2313</v>
      </c>
      <c r="J1055">
        <v>10.0227986</v>
      </c>
      <c r="K1055">
        <v>-84.243263499999998</v>
      </c>
      <c r="L1055" t="s">
        <v>1225</v>
      </c>
      <c r="M1055" t="s">
        <v>46</v>
      </c>
      <c r="N1055" t="s">
        <v>47</v>
      </c>
      <c r="O1055" t="s">
        <v>48</v>
      </c>
      <c r="P1055">
        <v>3</v>
      </c>
      <c r="Q1055" t="s">
        <v>101</v>
      </c>
      <c r="S1055" t="str">
        <f>_xlfn.XLOOKUP(UNIVERSO[[#This Row],[Ruta]],'[1]CUOTA RUTA'!A:A,'[1]CUOTA RUTA'!D:D)</f>
        <v>Cargar</v>
      </c>
    </row>
    <row r="1056" spans="1:19" x14ac:dyDescent="0.25">
      <c r="A1056">
        <v>1500061876</v>
      </c>
      <c r="B1056" t="s">
        <v>2314</v>
      </c>
      <c r="C1056" t="s">
        <v>19</v>
      </c>
      <c r="D1056" t="s">
        <v>20</v>
      </c>
      <c r="E1056" t="s">
        <v>21</v>
      </c>
      <c r="F1056" t="s">
        <v>22</v>
      </c>
      <c r="G1056" t="s">
        <v>33</v>
      </c>
      <c r="H1056" t="s">
        <v>250</v>
      </c>
      <c r="I1056" t="s">
        <v>2315</v>
      </c>
      <c r="J1056">
        <v>10.026644409999999</v>
      </c>
      <c r="K1056">
        <v>-84.233302809999998</v>
      </c>
      <c r="L1056" t="s">
        <v>1225</v>
      </c>
      <c r="M1056" t="s">
        <v>46</v>
      </c>
      <c r="N1056" t="s">
        <v>47</v>
      </c>
      <c r="O1056" t="s">
        <v>48</v>
      </c>
      <c r="P1056">
        <v>3</v>
      </c>
      <c r="Q1056" t="s">
        <v>101</v>
      </c>
      <c r="S1056" t="str">
        <f>_xlfn.XLOOKUP(UNIVERSO[[#This Row],[Ruta]],'[1]CUOTA RUTA'!A:A,'[1]CUOTA RUTA'!D:D)</f>
        <v>Cargar</v>
      </c>
    </row>
    <row r="1057" spans="1:19" x14ac:dyDescent="0.25">
      <c r="A1057">
        <v>1500061881</v>
      </c>
      <c r="B1057" t="s">
        <v>2316</v>
      </c>
      <c r="C1057" t="s">
        <v>19</v>
      </c>
      <c r="D1057" t="s">
        <v>20</v>
      </c>
      <c r="E1057" t="s">
        <v>21</v>
      </c>
      <c r="F1057" t="s">
        <v>22</v>
      </c>
      <c r="G1057" t="s">
        <v>64</v>
      </c>
      <c r="H1057" t="s">
        <v>250</v>
      </c>
      <c r="I1057" t="s">
        <v>2317</v>
      </c>
      <c r="J1057">
        <v>10.03580618</v>
      </c>
      <c r="K1057">
        <v>-84.224718969999998</v>
      </c>
      <c r="L1057" t="s">
        <v>1225</v>
      </c>
      <c r="M1057" t="s">
        <v>46</v>
      </c>
      <c r="N1057" t="s">
        <v>47</v>
      </c>
      <c r="O1057" t="s">
        <v>48</v>
      </c>
      <c r="P1057">
        <v>3</v>
      </c>
      <c r="Q1057" t="s">
        <v>101</v>
      </c>
      <c r="S1057" t="str">
        <f>_xlfn.XLOOKUP(UNIVERSO[[#This Row],[Ruta]],'[1]CUOTA RUTA'!A:A,'[1]CUOTA RUTA'!D:D)</f>
        <v>Cargar</v>
      </c>
    </row>
    <row r="1058" spans="1:19" x14ac:dyDescent="0.25">
      <c r="A1058">
        <v>1500061891</v>
      </c>
      <c r="B1058" t="s">
        <v>2318</v>
      </c>
      <c r="C1058" t="s">
        <v>19</v>
      </c>
      <c r="D1058" t="s">
        <v>20</v>
      </c>
      <c r="E1058" t="s">
        <v>21</v>
      </c>
      <c r="F1058" t="s">
        <v>22</v>
      </c>
      <c r="G1058" t="s">
        <v>33</v>
      </c>
      <c r="H1058" t="s">
        <v>250</v>
      </c>
      <c r="I1058" t="s">
        <v>2319</v>
      </c>
      <c r="J1058">
        <v>10.04452</v>
      </c>
      <c r="K1058">
        <v>-84.227249999999998</v>
      </c>
      <c r="L1058" t="s">
        <v>1225</v>
      </c>
      <c r="M1058" t="s">
        <v>46</v>
      </c>
      <c r="N1058" t="s">
        <v>47</v>
      </c>
      <c r="O1058" t="s">
        <v>48</v>
      </c>
      <c r="P1058">
        <v>3</v>
      </c>
      <c r="Q1058" t="s">
        <v>101</v>
      </c>
      <c r="S1058" t="str">
        <f>_xlfn.XLOOKUP(UNIVERSO[[#This Row],[Ruta]],'[1]CUOTA RUTA'!A:A,'[1]CUOTA RUTA'!D:D)</f>
        <v>Cargar</v>
      </c>
    </row>
    <row r="1059" spans="1:19" x14ac:dyDescent="0.25">
      <c r="A1059">
        <v>1500061896</v>
      </c>
      <c r="B1059" t="s">
        <v>2320</v>
      </c>
      <c r="C1059" t="s">
        <v>19</v>
      </c>
      <c r="D1059" t="s">
        <v>20</v>
      </c>
      <c r="E1059" t="s">
        <v>21</v>
      </c>
      <c r="F1059" t="s">
        <v>22</v>
      </c>
      <c r="G1059" t="s">
        <v>23</v>
      </c>
      <c r="H1059" t="s">
        <v>193</v>
      </c>
      <c r="I1059" t="s">
        <v>2321</v>
      </c>
      <c r="J1059">
        <v>10.079000000000001</v>
      </c>
      <c r="K1059">
        <v>-84.192580000000007</v>
      </c>
      <c r="L1059" t="s">
        <v>1225</v>
      </c>
      <c r="M1059" t="s">
        <v>54</v>
      </c>
      <c r="N1059" t="s">
        <v>55</v>
      </c>
      <c r="O1059" t="s">
        <v>56</v>
      </c>
      <c r="P1059">
        <v>18</v>
      </c>
      <c r="Q1059" t="s">
        <v>84</v>
      </c>
      <c r="S1059" t="str">
        <f>_xlfn.XLOOKUP(UNIVERSO[[#This Row],[Ruta]],'[1]CUOTA RUTA'!A:A,'[1]CUOTA RUTA'!D:D)</f>
        <v>Cargar</v>
      </c>
    </row>
    <row r="1060" spans="1:19" x14ac:dyDescent="0.25">
      <c r="A1060">
        <v>1500061907</v>
      </c>
      <c r="B1060" t="s">
        <v>2322</v>
      </c>
      <c r="C1060" t="s">
        <v>19</v>
      </c>
      <c r="D1060" t="s">
        <v>20</v>
      </c>
      <c r="E1060" t="s">
        <v>21</v>
      </c>
      <c r="F1060" t="s">
        <v>22</v>
      </c>
      <c r="G1060" t="s">
        <v>64</v>
      </c>
      <c r="H1060" t="s">
        <v>1143</v>
      </c>
      <c r="I1060" t="s">
        <v>2323</v>
      </c>
      <c r="J1060">
        <v>10.079029999999999</v>
      </c>
      <c r="K1060">
        <v>-84.193849999999998</v>
      </c>
      <c r="L1060" t="s">
        <v>1225</v>
      </c>
      <c r="M1060" t="s">
        <v>54</v>
      </c>
      <c r="N1060" t="s">
        <v>55</v>
      </c>
      <c r="O1060" t="s">
        <v>56</v>
      </c>
      <c r="P1060">
        <v>18</v>
      </c>
      <c r="Q1060" t="s">
        <v>84</v>
      </c>
      <c r="S1060" t="str">
        <f>_xlfn.XLOOKUP(UNIVERSO[[#This Row],[Ruta]],'[1]CUOTA RUTA'!A:A,'[1]CUOTA RUTA'!D:D)</f>
        <v>Cargar</v>
      </c>
    </row>
    <row r="1061" spans="1:19" x14ac:dyDescent="0.25">
      <c r="A1061">
        <v>1500061939</v>
      </c>
      <c r="B1061" t="s">
        <v>2324</v>
      </c>
      <c r="C1061" t="s">
        <v>19</v>
      </c>
      <c r="D1061" t="s">
        <v>20</v>
      </c>
      <c r="E1061" t="s">
        <v>21</v>
      </c>
      <c r="F1061" t="s">
        <v>22</v>
      </c>
      <c r="G1061" t="s">
        <v>23</v>
      </c>
      <c r="H1061" t="s">
        <v>250</v>
      </c>
      <c r="I1061" t="s">
        <v>2325</v>
      </c>
      <c r="J1061">
        <v>10.0254607</v>
      </c>
      <c r="K1061">
        <v>-84.279725200000001</v>
      </c>
      <c r="L1061" t="s">
        <v>1225</v>
      </c>
      <c r="M1061" t="s">
        <v>46</v>
      </c>
      <c r="N1061" t="s">
        <v>47</v>
      </c>
      <c r="O1061" t="s">
        <v>48</v>
      </c>
      <c r="P1061">
        <v>11</v>
      </c>
      <c r="Q1061" t="s">
        <v>108</v>
      </c>
      <c r="S1061" t="str">
        <f>_xlfn.XLOOKUP(UNIVERSO[[#This Row],[Ruta]],'[1]CUOTA RUTA'!A:A,'[1]CUOTA RUTA'!D:D)</f>
        <v>Cargar</v>
      </c>
    </row>
    <row r="1062" spans="1:19" x14ac:dyDescent="0.25">
      <c r="A1062">
        <v>1500061953</v>
      </c>
      <c r="B1062" t="s">
        <v>2326</v>
      </c>
      <c r="C1062" t="s">
        <v>19</v>
      </c>
      <c r="D1062" t="s">
        <v>20</v>
      </c>
      <c r="E1062" t="s">
        <v>21</v>
      </c>
      <c r="F1062" t="s">
        <v>22</v>
      </c>
      <c r="G1062" t="s">
        <v>33</v>
      </c>
      <c r="H1062" t="s">
        <v>250</v>
      </c>
      <c r="I1062" t="s">
        <v>2327</v>
      </c>
      <c r="J1062">
        <v>10.045871699999999</v>
      </c>
      <c r="K1062">
        <v>-84.24718</v>
      </c>
      <c r="L1062" t="s">
        <v>1225</v>
      </c>
      <c r="M1062" t="s">
        <v>46</v>
      </c>
      <c r="N1062" t="s">
        <v>47</v>
      </c>
      <c r="O1062" t="s">
        <v>48</v>
      </c>
      <c r="P1062">
        <v>2</v>
      </c>
      <c r="Q1062" t="s">
        <v>150</v>
      </c>
      <c r="S1062" t="str">
        <f>_xlfn.XLOOKUP(UNIVERSO[[#This Row],[Ruta]],'[1]CUOTA RUTA'!A:A,'[1]CUOTA RUTA'!D:D)</f>
        <v>Cargar</v>
      </c>
    </row>
    <row r="1063" spans="1:19" x14ac:dyDescent="0.25">
      <c r="A1063">
        <v>1500061980</v>
      </c>
      <c r="B1063" t="s">
        <v>2328</v>
      </c>
      <c r="C1063" t="s">
        <v>19</v>
      </c>
      <c r="D1063" t="s">
        <v>20</v>
      </c>
      <c r="E1063" t="s">
        <v>21</v>
      </c>
      <c r="F1063" t="s">
        <v>22</v>
      </c>
      <c r="G1063" t="s">
        <v>23</v>
      </c>
      <c r="H1063" t="s">
        <v>255</v>
      </c>
      <c r="I1063" t="s">
        <v>2329</v>
      </c>
      <c r="J1063">
        <v>10.074170000000001</v>
      </c>
      <c r="K1063">
        <v>-84.245279999999994</v>
      </c>
      <c r="L1063" t="s">
        <v>1225</v>
      </c>
      <c r="M1063" t="s">
        <v>46</v>
      </c>
      <c r="N1063" t="s">
        <v>47</v>
      </c>
      <c r="O1063" t="s">
        <v>48</v>
      </c>
      <c r="P1063">
        <v>2</v>
      </c>
      <c r="Q1063" t="s">
        <v>150</v>
      </c>
      <c r="S1063" t="str">
        <f>_xlfn.XLOOKUP(UNIVERSO[[#This Row],[Ruta]],'[1]CUOTA RUTA'!A:A,'[1]CUOTA RUTA'!D:D)</f>
        <v>Cargar</v>
      </c>
    </row>
    <row r="1064" spans="1:19" x14ac:dyDescent="0.25">
      <c r="A1064">
        <v>1500062020</v>
      </c>
      <c r="B1064" t="s">
        <v>2330</v>
      </c>
      <c r="C1064" t="s">
        <v>19</v>
      </c>
      <c r="D1064" t="s">
        <v>20</v>
      </c>
      <c r="E1064" t="s">
        <v>21</v>
      </c>
      <c r="F1064" t="s">
        <v>22</v>
      </c>
      <c r="G1064" t="s">
        <v>23</v>
      </c>
      <c r="H1064" t="s">
        <v>58</v>
      </c>
      <c r="I1064" t="s">
        <v>2331</v>
      </c>
      <c r="J1064">
        <v>10.0244833</v>
      </c>
      <c r="K1064">
        <v>-84.216298300000005</v>
      </c>
      <c r="L1064" t="s">
        <v>1225</v>
      </c>
      <c r="M1064" t="s">
        <v>54</v>
      </c>
      <c r="N1064" t="s">
        <v>55</v>
      </c>
      <c r="O1064" t="s">
        <v>56</v>
      </c>
      <c r="P1064">
        <v>2</v>
      </c>
      <c r="Q1064" t="s">
        <v>150</v>
      </c>
      <c r="S1064" t="str">
        <f>_xlfn.XLOOKUP(UNIVERSO[[#This Row],[Ruta]],'[1]CUOTA RUTA'!A:A,'[1]CUOTA RUTA'!D:D)</f>
        <v>Cargar</v>
      </c>
    </row>
    <row r="1065" spans="1:19" x14ac:dyDescent="0.25">
      <c r="A1065">
        <v>1500062037</v>
      </c>
      <c r="B1065" t="s">
        <v>2332</v>
      </c>
      <c r="C1065" t="s">
        <v>19</v>
      </c>
      <c r="D1065" t="s">
        <v>20</v>
      </c>
      <c r="E1065" t="s">
        <v>21</v>
      </c>
      <c r="F1065" t="s">
        <v>22</v>
      </c>
      <c r="G1065" t="s">
        <v>64</v>
      </c>
      <c r="H1065" t="s">
        <v>250</v>
      </c>
      <c r="I1065" t="s">
        <v>2333</v>
      </c>
      <c r="J1065">
        <v>10.0134569</v>
      </c>
      <c r="K1065">
        <v>-84.290253399999997</v>
      </c>
      <c r="L1065" t="s">
        <v>1225</v>
      </c>
      <c r="M1065" t="s">
        <v>46</v>
      </c>
      <c r="N1065" t="s">
        <v>47</v>
      </c>
      <c r="O1065" t="s">
        <v>48</v>
      </c>
      <c r="P1065">
        <v>11</v>
      </c>
      <c r="Q1065" t="s">
        <v>108</v>
      </c>
      <c r="S1065" t="str">
        <f>_xlfn.XLOOKUP(UNIVERSO[[#This Row],[Ruta]],'[1]CUOTA RUTA'!A:A,'[1]CUOTA RUTA'!D:D)</f>
        <v>Cargar</v>
      </c>
    </row>
    <row r="1066" spans="1:19" x14ac:dyDescent="0.25">
      <c r="A1066">
        <v>1500062042</v>
      </c>
      <c r="B1066" t="s">
        <v>318</v>
      </c>
      <c r="C1066" t="s">
        <v>19</v>
      </c>
      <c r="D1066" t="s">
        <v>20</v>
      </c>
      <c r="E1066" t="s">
        <v>21</v>
      </c>
      <c r="F1066" t="s">
        <v>22</v>
      </c>
      <c r="G1066" t="s">
        <v>33</v>
      </c>
      <c r="H1066" t="s">
        <v>280</v>
      </c>
      <c r="I1066" t="s">
        <v>2334</v>
      </c>
      <c r="J1066">
        <v>10.020049999999999</v>
      </c>
      <c r="K1066">
        <v>-84.225970000000004</v>
      </c>
      <c r="L1066" t="s">
        <v>1225</v>
      </c>
      <c r="M1066" t="s">
        <v>54</v>
      </c>
      <c r="N1066" t="s">
        <v>55</v>
      </c>
      <c r="O1066" t="s">
        <v>56</v>
      </c>
      <c r="P1066">
        <v>2</v>
      </c>
      <c r="Q1066" t="s">
        <v>150</v>
      </c>
      <c r="S1066" t="str">
        <f>_xlfn.XLOOKUP(UNIVERSO[[#This Row],[Ruta]],'[1]CUOTA RUTA'!A:A,'[1]CUOTA RUTA'!D:D)</f>
        <v>Cargar</v>
      </c>
    </row>
    <row r="1067" spans="1:19" x14ac:dyDescent="0.25">
      <c r="A1067">
        <v>1500062043</v>
      </c>
      <c r="B1067" t="s">
        <v>2335</v>
      </c>
      <c r="C1067" t="s">
        <v>19</v>
      </c>
      <c r="D1067" t="s">
        <v>20</v>
      </c>
      <c r="E1067" t="s">
        <v>21</v>
      </c>
      <c r="F1067" t="s">
        <v>22</v>
      </c>
      <c r="G1067" t="s">
        <v>33</v>
      </c>
      <c r="H1067" t="s">
        <v>250</v>
      </c>
      <c r="I1067" t="s">
        <v>2336</v>
      </c>
      <c r="J1067">
        <v>10.039854500000001</v>
      </c>
      <c r="K1067">
        <v>-84.237935230000005</v>
      </c>
      <c r="L1067" t="s">
        <v>1225</v>
      </c>
      <c r="M1067" t="s">
        <v>46</v>
      </c>
      <c r="N1067" t="s">
        <v>47</v>
      </c>
      <c r="O1067" t="s">
        <v>48</v>
      </c>
      <c r="P1067">
        <v>2</v>
      </c>
      <c r="Q1067" t="s">
        <v>150</v>
      </c>
      <c r="S1067" t="str">
        <f>_xlfn.XLOOKUP(UNIVERSO[[#This Row],[Ruta]],'[1]CUOTA RUTA'!A:A,'[1]CUOTA RUTA'!D:D)</f>
        <v>Cargar</v>
      </c>
    </row>
    <row r="1068" spans="1:19" x14ac:dyDescent="0.25">
      <c r="A1068">
        <v>1500062049</v>
      </c>
      <c r="B1068" t="s">
        <v>2337</v>
      </c>
      <c r="C1068" t="s">
        <v>19</v>
      </c>
      <c r="D1068" t="s">
        <v>20</v>
      </c>
      <c r="E1068" t="s">
        <v>21</v>
      </c>
      <c r="F1068" t="s">
        <v>22</v>
      </c>
      <c r="G1068" t="s">
        <v>64</v>
      </c>
      <c r="H1068" t="s">
        <v>1143</v>
      </c>
      <c r="I1068" t="s">
        <v>2338</v>
      </c>
      <c r="J1068">
        <v>10.046849999999999</v>
      </c>
      <c r="K1068">
        <v>-84.207570000000004</v>
      </c>
      <c r="L1068" t="s">
        <v>1225</v>
      </c>
      <c r="M1068" t="s">
        <v>54</v>
      </c>
      <c r="N1068" t="s">
        <v>55</v>
      </c>
      <c r="O1068" t="s">
        <v>56</v>
      </c>
      <c r="P1068">
        <v>17</v>
      </c>
      <c r="Q1068" t="s">
        <v>287</v>
      </c>
      <c r="S1068" t="str">
        <f>_xlfn.XLOOKUP(UNIVERSO[[#This Row],[Ruta]],'[1]CUOTA RUTA'!A:A,'[1]CUOTA RUTA'!D:D)</f>
        <v>Cargar</v>
      </c>
    </row>
    <row r="1069" spans="1:19" x14ac:dyDescent="0.25">
      <c r="A1069">
        <v>1500062069</v>
      </c>
      <c r="B1069" t="s">
        <v>2339</v>
      </c>
      <c r="C1069" t="s">
        <v>19</v>
      </c>
      <c r="D1069" t="s">
        <v>20</v>
      </c>
      <c r="E1069" t="s">
        <v>21</v>
      </c>
      <c r="F1069" t="s">
        <v>22</v>
      </c>
      <c r="G1069" t="s">
        <v>64</v>
      </c>
      <c r="H1069" t="s">
        <v>1021</v>
      </c>
      <c r="I1069" t="s">
        <v>2340</v>
      </c>
      <c r="J1069">
        <v>10.113897290000001</v>
      </c>
      <c r="K1069">
        <v>-84.217288519999997</v>
      </c>
      <c r="L1069" t="s">
        <v>1225</v>
      </c>
      <c r="M1069" t="s">
        <v>46</v>
      </c>
      <c r="N1069" t="s">
        <v>47</v>
      </c>
      <c r="O1069" t="s">
        <v>48</v>
      </c>
      <c r="P1069">
        <v>12</v>
      </c>
      <c r="Q1069" t="s">
        <v>42</v>
      </c>
      <c r="S1069" t="str">
        <f>_xlfn.XLOOKUP(UNIVERSO[[#This Row],[Ruta]],'[1]CUOTA RUTA'!A:A,'[1]CUOTA RUTA'!D:D)</f>
        <v>Cargar</v>
      </c>
    </row>
    <row r="1070" spans="1:19" x14ac:dyDescent="0.25">
      <c r="A1070">
        <v>1500062078</v>
      </c>
      <c r="B1070" t="s">
        <v>2341</v>
      </c>
      <c r="C1070" t="s">
        <v>19</v>
      </c>
      <c r="D1070" t="s">
        <v>20</v>
      </c>
      <c r="E1070" t="s">
        <v>21</v>
      </c>
      <c r="F1070" t="s">
        <v>22</v>
      </c>
      <c r="G1070" t="s">
        <v>64</v>
      </c>
      <c r="H1070" t="s">
        <v>1143</v>
      </c>
      <c r="I1070" t="s">
        <v>2342</v>
      </c>
      <c r="J1070">
        <v>10.14058</v>
      </c>
      <c r="K1070">
        <v>-84.194720000000004</v>
      </c>
      <c r="L1070" t="s">
        <v>1225</v>
      </c>
      <c r="M1070" t="s">
        <v>54</v>
      </c>
      <c r="N1070" t="s">
        <v>55</v>
      </c>
      <c r="O1070" t="s">
        <v>56</v>
      </c>
      <c r="P1070">
        <v>18</v>
      </c>
      <c r="Q1070" t="s">
        <v>84</v>
      </c>
      <c r="S1070" t="str">
        <f>_xlfn.XLOOKUP(UNIVERSO[[#This Row],[Ruta]],'[1]CUOTA RUTA'!A:A,'[1]CUOTA RUTA'!D:D)</f>
        <v>Cargar</v>
      </c>
    </row>
    <row r="1071" spans="1:19" x14ac:dyDescent="0.25">
      <c r="A1071">
        <v>1500062133</v>
      </c>
      <c r="B1071" t="s">
        <v>2343</v>
      </c>
      <c r="C1071" t="s">
        <v>19</v>
      </c>
      <c r="D1071" t="s">
        <v>20</v>
      </c>
      <c r="E1071" t="s">
        <v>21</v>
      </c>
      <c r="F1071" t="s">
        <v>22</v>
      </c>
      <c r="G1071" t="s">
        <v>23</v>
      </c>
      <c r="H1071" t="s">
        <v>308</v>
      </c>
      <c r="I1071" t="s">
        <v>2344</v>
      </c>
      <c r="J1071">
        <v>9.8583499999999997</v>
      </c>
      <c r="K1071">
        <v>-84.34957</v>
      </c>
      <c r="L1071" t="s">
        <v>1225</v>
      </c>
      <c r="M1071" t="s">
        <v>54</v>
      </c>
      <c r="N1071" t="s">
        <v>55</v>
      </c>
      <c r="O1071" t="s">
        <v>56</v>
      </c>
      <c r="P1071">
        <v>21</v>
      </c>
      <c r="Q1071" t="s">
        <v>239</v>
      </c>
      <c r="S1071" t="str">
        <f>_xlfn.XLOOKUP(UNIVERSO[[#This Row],[Ruta]],'[1]CUOTA RUTA'!A:A,'[1]CUOTA RUTA'!D:D)</f>
        <v>Cargar</v>
      </c>
    </row>
    <row r="1072" spans="1:19" x14ac:dyDescent="0.25">
      <c r="A1072">
        <v>1500062180</v>
      </c>
      <c r="B1072" t="s">
        <v>2345</v>
      </c>
      <c r="C1072" t="s">
        <v>19</v>
      </c>
      <c r="D1072" t="s">
        <v>20</v>
      </c>
      <c r="E1072" t="s">
        <v>21</v>
      </c>
      <c r="F1072" t="s">
        <v>22</v>
      </c>
      <c r="G1072" t="s">
        <v>23</v>
      </c>
      <c r="H1072" t="s">
        <v>308</v>
      </c>
      <c r="I1072" t="s">
        <v>2346</v>
      </c>
      <c r="J1072">
        <v>9.8457699999999999</v>
      </c>
      <c r="K1072">
        <v>-84.310419999999993</v>
      </c>
      <c r="L1072" t="s">
        <v>1225</v>
      </c>
      <c r="M1072" t="s">
        <v>54</v>
      </c>
      <c r="N1072" t="s">
        <v>55</v>
      </c>
      <c r="O1072" t="s">
        <v>56</v>
      </c>
      <c r="P1072">
        <v>22</v>
      </c>
      <c r="Q1072" t="s">
        <v>30</v>
      </c>
      <c r="S1072" t="str">
        <f>_xlfn.XLOOKUP(UNIVERSO[[#This Row],[Ruta]],'[1]CUOTA RUTA'!A:A,'[1]CUOTA RUTA'!D:D)</f>
        <v>Cargar</v>
      </c>
    </row>
    <row r="1073" spans="1:19" x14ac:dyDescent="0.25">
      <c r="A1073">
        <v>1500062220</v>
      </c>
      <c r="B1073" t="s">
        <v>2347</v>
      </c>
      <c r="C1073" t="s">
        <v>19</v>
      </c>
      <c r="D1073" t="s">
        <v>20</v>
      </c>
      <c r="E1073" t="s">
        <v>21</v>
      </c>
      <c r="F1073" t="s">
        <v>22</v>
      </c>
      <c r="G1073" t="s">
        <v>64</v>
      </c>
      <c r="H1073" t="s">
        <v>308</v>
      </c>
      <c r="I1073" t="s">
        <v>2348</v>
      </c>
      <c r="J1073">
        <v>9.7874459999999992</v>
      </c>
      <c r="K1073">
        <v>-84.389549200000005</v>
      </c>
      <c r="L1073" t="s">
        <v>1225</v>
      </c>
      <c r="M1073" t="s">
        <v>54</v>
      </c>
      <c r="N1073" t="s">
        <v>55</v>
      </c>
      <c r="O1073" t="s">
        <v>56</v>
      </c>
      <c r="P1073">
        <v>22</v>
      </c>
      <c r="Q1073" t="s">
        <v>30</v>
      </c>
      <c r="S1073" t="str">
        <f>_xlfn.XLOOKUP(UNIVERSO[[#This Row],[Ruta]],'[1]CUOTA RUTA'!A:A,'[1]CUOTA RUTA'!D:D)</f>
        <v>Cargar</v>
      </c>
    </row>
    <row r="1074" spans="1:19" x14ac:dyDescent="0.25">
      <c r="A1074">
        <v>1500062246</v>
      </c>
      <c r="B1074" t="s">
        <v>2349</v>
      </c>
      <c r="C1074" t="s">
        <v>19</v>
      </c>
      <c r="D1074" t="s">
        <v>20</v>
      </c>
      <c r="E1074" t="s">
        <v>21</v>
      </c>
      <c r="F1074" t="s">
        <v>22</v>
      </c>
      <c r="G1074" t="s">
        <v>33</v>
      </c>
      <c r="H1074" t="s">
        <v>308</v>
      </c>
      <c r="I1074" t="s">
        <v>2350</v>
      </c>
      <c r="J1074">
        <v>9.8475199999999994</v>
      </c>
      <c r="K1074">
        <v>-84.233400000000003</v>
      </c>
      <c r="L1074" t="s">
        <v>1225</v>
      </c>
      <c r="M1074" t="s">
        <v>54</v>
      </c>
      <c r="N1074" t="s">
        <v>55</v>
      </c>
      <c r="O1074" t="s">
        <v>56</v>
      </c>
      <c r="P1074">
        <v>23</v>
      </c>
      <c r="Q1074" t="s">
        <v>125</v>
      </c>
      <c r="S1074" t="str">
        <f>_xlfn.XLOOKUP(UNIVERSO[[#This Row],[Ruta]],'[1]CUOTA RUTA'!A:A,'[1]CUOTA RUTA'!D:D)</f>
        <v>Cargar</v>
      </c>
    </row>
    <row r="1075" spans="1:19" x14ac:dyDescent="0.25">
      <c r="A1075">
        <v>1500062264</v>
      </c>
      <c r="B1075" t="s">
        <v>2351</v>
      </c>
      <c r="C1075" t="s">
        <v>19</v>
      </c>
      <c r="D1075" t="s">
        <v>20</v>
      </c>
      <c r="E1075" t="s">
        <v>21</v>
      </c>
      <c r="F1075" t="s">
        <v>22</v>
      </c>
      <c r="G1075" t="s">
        <v>64</v>
      </c>
      <c r="H1075" t="s">
        <v>308</v>
      </c>
      <c r="I1075" t="s">
        <v>2352</v>
      </c>
      <c r="J1075">
        <v>9.8605</v>
      </c>
      <c r="K1075">
        <v>-84.261679999999998</v>
      </c>
      <c r="L1075" t="s">
        <v>1225</v>
      </c>
      <c r="M1075" t="s">
        <v>54</v>
      </c>
      <c r="N1075" t="s">
        <v>55</v>
      </c>
      <c r="O1075" t="s">
        <v>56</v>
      </c>
      <c r="P1075">
        <v>23</v>
      </c>
      <c r="Q1075" t="s">
        <v>125</v>
      </c>
      <c r="S1075" t="str">
        <f>_xlfn.XLOOKUP(UNIVERSO[[#This Row],[Ruta]],'[1]CUOTA RUTA'!A:A,'[1]CUOTA RUTA'!D:D)</f>
        <v>Cargar</v>
      </c>
    </row>
    <row r="1076" spans="1:19" x14ac:dyDescent="0.25">
      <c r="A1076">
        <v>1500062270</v>
      </c>
      <c r="B1076" t="s">
        <v>2353</v>
      </c>
      <c r="C1076" t="s">
        <v>19</v>
      </c>
      <c r="D1076" t="s">
        <v>20</v>
      </c>
      <c r="E1076" t="s">
        <v>21</v>
      </c>
      <c r="F1076" t="s">
        <v>22</v>
      </c>
      <c r="G1076" t="s">
        <v>33</v>
      </c>
      <c r="H1076" t="s">
        <v>308</v>
      </c>
      <c r="I1076" t="s">
        <v>2354</v>
      </c>
      <c r="J1076">
        <v>9.8613700000000009</v>
      </c>
      <c r="K1076">
        <v>-84.290930000000003</v>
      </c>
      <c r="L1076" t="s">
        <v>1225</v>
      </c>
      <c r="M1076" t="s">
        <v>54</v>
      </c>
      <c r="N1076" t="s">
        <v>55</v>
      </c>
      <c r="O1076" t="s">
        <v>56</v>
      </c>
      <c r="P1076">
        <v>22</v>
      </c>
      <c r="Q1076" t="s">
        <v>30</v>
      </c>
      <c r="S1076" t="str">
        <f>_xlfn.XLOOKUP(UNIVERSO[[#This Row],[Ruta]],'[1]CUOTA RUTA'!A:A,'[1]CUOTA RUTA'!D:D)</f>
        <v>Cargar</v>
      </c>
    </row>
    <row r="1077" spans="1:19" x14ac:dyDescent="0.25">
      <c r="A1077">
        <v>1500062290</v>
      </c>
      <c r="B1077" t="s">
        <v>2355</v>
      </c>
      <c r="C1077" t="s">
        <v>19</v>
      </c>
      <c r="D1077" t="s">
        <v>20</v>
      </c>
      <c r="E1077" t="s">
        <v>21</v>
      </c>
      <c r="F1077" t="s">
        <v>22</v>
      </c>
      <c r="G1077" t="s">
        <v>23</v>
      </c>
      <c r="H1077" t="s">
        <v>308</v>
      </c>
      <c r="I1077" t="s">
        <v>2356</v>
      </c>
      <c r="J1077">
        <v>9.8470800000000001</v>
      </c>
      <c r="K1077">
        <v>-84.311130000000006</v>
      </c>
      <c r="L1077" t="s">
        <v>1225</v>
      </c>
      <c r="M1077" t="s">
        <v>54</v>
      </c>
      <c r="N1077" t="s">
        <v>55</v>
      </c>
      <c r="O1077" t="s">
        <v>56</v>
      </c>
      <c r="P1077">
        <v>22</v>
      </c>
      <c r="Q1077" t="s">
        <v>30</v>
      </c>
      <c r="S1077" t="str">
        <f>_xlfn.XLOOKUP(UNIVERSO[[#This Row],[Ruta]],'[1]CUOTA RUTA'!A:A,'[1]CUOTA RUTA'!D:D)</f>
        <v>Cargar</v>
      </c>
    </row>
    <row r="1078" spans="1:19" x14ac:dyDescent="0.25">
      <c r="A1078">
        <v>1500062296</v>
      </c>
      <c r="B1078" t="s">
        <v>2357</v>
      </c>
      <c r="C1078" t="s">
        <v>19</v>
      </c>
      <c r="D1078" t="s">
        <v>20</v>
      </c>
      <c r="E1078" t="s">
        <v>21</v>
      </c>
      <c r="F1078" t="s">
        <v>22</v>
      </c>
      <c r="G1078" t="s">
        <v>23</v>
      </c>
      <c r="H1078" t="s">
        <v>308</v>
      </c>
      <c r="I1078" t="s">
        <v>2358</v>
      </c>
      <c r="J1078">
        <v>9.8568200000000008</v>
      </c>
      <c r="K1078">
        <v>-84.298850000000002</v>
      </c>
      <c r="L1078" t="s">
        <v>1225</v>
      </c>
      <c r="M1078" t="s">
        <v>54</v>
      </c>
      <c r="N1078" t="s">
        <v>55</v>
      </c>
      <c r="O1078" t="s">
        <v>56</v>
      </c>
      <c r="P1078">
        <v>22</v>
      </c>
      <c r="Q1078" t="s">
        <v>30</v>
      </c>
      <c r="S1078" t="str">
        <f>_xlfn.XLOOKUP(UNIVERSO[[#This Row],[Ruta]],'[1]CUOTA RUTA'!A:A,'[1]CUOTA RUTA'!D:D)</f>
        <v>Cargar</v>
      </c>
    </row>
    <row r="1079" spans="1:19" x14ac:dyDescent="0.25">
      <c r="A1079">
        <v>1500062297</v>
      </c>
      <c r="B1079" t="s">
        <v>2359</v>
      </c>
      <c r="C1079" t="s">
        <v>19</v>
      </c>
      <c r="D1079" t="s">
        <v>20</v>
      </c>
      <c r="E1079" t="s">
        <v>21</v>
      </c>
      <c r="F1079" t="s">
        <v>22</v>
      </c>
      <c r="G1079" t="s">
        <v>64</v>
      </c>
      <c r="H1079" t="s">
        <v>308</v>
      </c>
      <c r="I1079" t="s">
        <v>2360</v>
      </c>
      <c r="J1079">
        <v>9.8710500000000003</v>
      </c>
      <c r="K1079">
        <v>-84.302279999999996</v>
      </c>
      <c r="L1079" t="s">
        <v>1225</v>
      </c>
      <c r="M1079" t="s">
        <v>54</v>
      </c>
      <c r="N1079" t="s">
        <v>55</v>
      </c>
      <c r="O1079" t="s">
        <v>56</v>
      </c>
      <c r="P1079">
        <v>23</v>
      </c>
      <c r="Q1079" t="s">
        <v>125</v>
      </c>
      <c r="S1079" t="str">
        <f>_xlfn.XLOOKUP(UNIVERSO[[#This Row],[Ruta]],'[1]CUOTA RUTA'!A:A,'[1]CUOTA RUTA'!D:D)</f>
        <v>Cargar</v>
      </c>
    </row>
    <row r="1080" spans="1:19" x14ac:dyDescent="0.25">
      <c r="A1080">
        <v>1500062299</v>
      </c>
      <c r="B1080" t="s">
        <v>2361</v>
      </c>
      <c r="C1080" t="s">
        <v>19</v>
      </c>
      <c r="D1080" t="s">
        <v>20</v>
      </c>
      <c r="E1080" t="s">
        <v>21</v>
      </c>
      <c r="F1080" t="s">
        <v>22</v>
      </c>
      <c r="G1080" t="s">
        <v>33</v>
      </c>
      <c r="H1080" t="s">
        <v>308</v>
      </c>
      <c r="I1080" t="s">
        <v>2362</v>
      </c>
      <c r="J1080">
        <v>9.8471799999999998</v>
      </c>
      <c r="K1080">
        <v>-84.234129999999993</v>
      </c>
      <c r="L1080" t="s">
        <v>1225</v>
      </c>
      <c r="M1080" t="s">
        <v>54</v>
      </c>
      <c r="N1080" t="s">
        <v>55</v>
      </c>
      <c r="O1080" t="s">
        <v>56</v>
      </c>
      <c r="P1080">
        <v>23</v>
      </c>
      <c r="Q1080" t="s">
        <v>125</v>
      </c>
      <c r="S1080" t="str">
        <f>_xlfn.XLOOKUP(UNIVERSO[[#This Row],[Ruta]],'[1]CUOTA RUTA'!A:A,'[1]CUOTA RUTA'!D:D)</f>
        <v>Cargar</v>
      </c>
    </row>
    <row r="1081" spans="1:19" x14ac:dyDescent="0.25">
      <c r="A1081">
        <v>1500062321</v>
      </c>
      <c r="B1081" t="s">
        <v>2363</v>
      </c>
      <c r="C1081" t="s">
        <v>19</v>
      </c>
      <c r="D1081" t="s">
        <v>20</v>
      </c>
      <c r="E1081" t="s">
        <v>21</v>
      </c>
      <c r="F1081" t="s">
        <v>51</v>
      </c>
      <c r="G1081" t="s">
        <v>23</v>
      </c>
      <c r="H1081" t="s">
        <v>193</v>
      </c>
      <c r="I1081" t="s">
        <v>2364</v>
      </c>
      <c r="J1081">
        <v>9.9620770000000007</v>
      </c>
      <c r="K1081">
        <v>-84.362477699999999</v>
      </c>
      <c r="L1081" t="s">
        <v>1225</v>
      </c>
      <c r="M1081" t="s">
        <v>54</v>
      </c>
      <c r="N1081" t="s">
        <v>55</v>
      </c>
      <c r="O1081" t="s">
        <v>56</v>
      </c>
      <c r="P1081">
        <v>21</v>
      </c>
      <c r="Q1081" t="s">
        <v>239</v>
      </c>
      <c r="S1081" t="str">
        <f>_xlfn.XLOOKUP(UNIVERSO[[#This Row],[Ruta]],'[1]CUOTA RUTA'!A:A,'[1]CUOTA RUTA'!D:D)</f>
        <v>Cargar</v>
      </c>
    </row>
    <row r="1082" spans="1:19" x14ac:dyDescent="0.25">
      <c r="A1082">
        <v>1500062337</v>
      </c>
      <c r="B1082" t="s">
        <v>2365</v>
      </c>
      <c r="C1082" t="s">
        <v>19</v>
      </c>
      <c r="D1082" t="s">
        <v>20</v>
      </c>
      <c r="E1082" t="s">
        <v>21</v>
      </c>
      <c r="F1082" t="s">
        <v>22</v>
      </c>
      <c r="G1082" t="s">
        <v>33</v>
      </c>
      <c r="H1082" t="s">
        <v>743</v>
      </c>
      <c r="I1082" t="s">
        <v>2366</v>
      </c>
      <c r="J1082">
        <v>10.01492</v>
      </c>
      <c r="K1082">
        <v>-84.375579999999999</v>
      </c>
      <c r="L1082" t="s">
        <v>1225</v>
      </c>
      <c r="M1082" t="s">
        <v>46</v>
      </c>
      <c r="N1082" t="s">
        <v>47</v>
      </c>
      <c r="O1082" t="s">
        <v>48</v>
      </c>
      <c r="P1082">
        <v>10</v>
      </c>
      <c r="Q1082" t="s">
        <v>136</v>
      </c>
      <c r="S1082" t="str">
        <f>_xlfn.XLOOKUP(UNIVERSO[[#This Row],[Ruta]],'[1]CUOTA RUTA'!A:A,'[1]CUOTA RUTA'!D:D)</f>
        <v>Cargar</v>
      </c>
    </row>
    <row r="1083" spans="1:19" x14ac:dyDescent="0.25">
      <c r="A1083">
        <v>1500062376</v>
      </c>
      <c r="B1083" t="s">
        <v>2367</v>
      </c>
      <c r="C1083" t="s">
        <v>19</v>
      </c>
      <c r="D1083" t="s">
        <v>20</v>
      </c>
      <c r="E1083" t="s">
        <v>21</v>
      </c>
      <c r="F1083" t="s">
        <v>22</v>
      </c>
      <c r="G1083" t="s">
        <v>23</v>
      </c>
      <c r="H1083" t="s">
        <v>743</v>
      </c>
      <c r="I1083" t="s">
        <v>2368</v>
      </c>
      <c r="J1083">
        <v>9.9744799999999998</v>
      </c>
      <c r="K1083">
        <v>-84.421549999999996</v>
      </c>
      <c r="L1083" t="s">
        <v>1225</v>
      </c>
      <c r="M1083" t="s">
        <v>46</v>
      </c>
      <c r="N1083" t="s">
        <v>47</v>
      </c>
      <c r="O1083" t="s">
        <v>48</v>
      </c>
      <c r="P1083">
        <v>9</v>
      </c>
      <c r="Q1083" t="s">
        <v>80</v>
      </c>
      <c r="S1083" t="str">
        <f>_xlfn.XLOOKUP(UNIVERSO[[#This Row],[Ruta]],'[1]CUOTA RUTA'!A:A,'[1]CUOTA RUTA'!D:D)</f>
        <v>Cargar</v>
      </c>
    </row>
    <row r="1084" spans="1:19" x14ac:dyDescent="0.25">
      <c r="A1084">
        <v>1500062399</v>
      </c>
      <c r="B1084" t="s">
        <v>1865</v>
      </c>
      <c r="C1084" t="s">
        <v>19</v>
      </c>
      <c r="D1084" t="s">
        <v>20</v>
      </c>
      <c r="E1084" t="s">
        <v>21</v>
      </c>
      <c r="F1084" t="s">
        <v>22</v>
      </c>
      <c r="G1084" t="s">
        <v>64</v>
      </c>
      <c r="H1084" t="s">
        <v>743</v>
      </c>
      <c r="I1084" t="s">
        <v>2369</v>
      </c>
      <c r="J1084">
        <v>9.9864700000000006</v>
      </c>
      <c r="K1084">
        <v>-84.383679999999998</v>
      </c>
      <c r="L1084" t="s">
        <v>1225</v>
      </c>
      <c r="M1084" t="s">
        <v>46</v>
      </c>
      <c r="N1084" t="s">
        <v>47</v>
      </c>
      <c r="O1084" t="s">
        <v>48</v>
      </c>
      <c r="P1084">
        <v>10</v>
      </c>
      <c r="Q1084" t="s">
        <v>136</v>
      </c>
      <c r="S1084" t="str">
        <f>_xlfn.XLOOKUP(UNIVERSO[[#This Row],[Ruta]],'[1]CUOTA RUTA'!A:A,'[1]CUOTA RUTA'!D:D)</f>
        <v>Cargar</v>
      </c>
    </row>
    <row r="1085" spans="1:19" x14ac:dyDescent="0.25">
      <c r="A1085">
        <v>1500062424</v>
      </c>
      <c r="B1085" t="s">
        <v>2370</v>
      </c>
      <c r="C1085" t="s">
        <v>19</v>
      </c>
      <c r="D1085" t="s">
        <v>20</v>
      </c>
      <c r="E1085" t="s">
        <v>21</v>
      </c>
      <c r="F1085" t="s">
        <v>22</v>
      </c>
      <c r="G1085" t="s">
        <v>64</v>
      </c>
      <c r="H1085" t="s">
        <v>1021</v>
      </c>
      <c r="I1085" t="s">
        <v>2371</v>
      </c>
      <c r="J1085">
        <v>10.085955</v>
      </c>
      <c r="K1085">
        <v>-84.245935000000003</v>
      </c>
      <c r="L1085" t="s">
        <v>1225</v>
      </c>
      <c r="M1085" t="s">
        <v>46</v>
      </c>
      <c r="N1085" t="s">
        <v>47</v>
      </c>
      <c r="O1085" t="s">
        <v>48</v>
      </c>
      <c r="P1085">
        <v>2</v>
      </c>
      <c r="Q1085" t="s">
        <v>150</v>
      </c>
      <c r="S1085" t="str">
        <f>_xlfn.XLOOKUP(UNIVERSO[[#This Row],[Ruta]],'[1]CUOTA RUTA'!A:A,'[1]CUOTA RUTA'!D:D)</f>
        <v>Cargar</v>
      </c>
    </row>
    <row r="1086" spans="1:19" x14ac:dyDescent="0.25">
      <c r="A1086">
        <v>1500062437</v>
      </c>
      <c r="B1086" t="s">
        <v>2372</v>
      </c>
      <c r="C1086" t="s">
        <v>19</v>
      </c>
      <c r="D1086" t="s">
        <v>20</v>
      </c>
      <c r="E1086" t="s">
        <v>21</v>
      </c>
      <c r="F1086" t="s">
        <v>22</v>
      </c>
      <c r="G1086" t="s">
        <v>23</v>
      </c>
      <c r="H1086" t="s">
        <v>193</v>
      </c>
      <c r="I1086" t="s">
        <v>2373</v>
      </c>
      <c r="J1086">
        <v>9.9814030000000002</v>
      </c>
      <c r="K1086">
        <v>-84.381271999999996</v>
      </c>
      <c r="L1086" t="s">
        <v>1225</v>
      </c>
      <c r="M1086" t="s">
        <v>54</v>
      </c>
      <c r="N1086" t="s">
        <v>55</v>
      </c>
      <c r="O1086" t="s">
        <v>56</v>
      </c>
      <c r="P1086">
        <v>21</v>
      </c>
      <c r="Q1086" t="s">
        <v>239</v>
      </c>
      <c r="S1086" t="str">
        <f>_xlfn.XLOOKUP(UNIVERSO[[#This Row],[Ruta]],'[1]CUOTA RUTA'!A:A,'[1]CUOTA RUTA'!D:D)</f>
        <v>Cargar</v>
      </c>
    </row>
    <row r="1087" spans="1:19" x14ac:dyDescent="0.25">
      <c r="A1087">
        <v>1500062447</v>
      </c>
      <c r="B1087" t="s">
        <v>2374</v>
      </c>
      <c r="C1087" t="s">
        <v>19</v>
      </c>
      <c r="D1087" t="s">
        <v>20</v>
      </c>
      <c r="E1087" t="s">
        <v>21</v>
      </c>
      <c r="F1087" t="s">
        <v>22</v>
      </c>
      <c r="G1087" t="s">
        <v>64</v>
      </c>
      <c r="H1087" t="s">
        <v>743</v>
      </c>
      <c r="I1087" t="s">
        <v>2375</v>
      </c>
      <c r="J1087">
        <v>9.9918583000000005</v>
      </c>
      <c r="K1087">
        <v>-84.350173900000001</v>
      </c>
      <c r="L1087" t="s">
        <v>1225</v>
      </c>
      <c r="M1087" t="s">
        <v>46</v>
      </c>
      <c r="N1087" t="s">
        <v>47</v>
      </c>
      <c r="O1087" t="s">
        <v>48</v>
      </c>
      <c r="P1087">
        <v>11</v>
      </c>
      <c r="Q1087" t="s">
        <v>108</v>
      </c>
      <c r="S1087" t="str">
        <f>_xlfn.XLOOKUP(UNIVERSO[[#This Row],[Ruta]],'[1]CUOTA RUTA'!A:A,'[1]CUOTA RUTA'!D:D)</f>
        <v>Cargar</v>
      </c>
    </row>
    <row r="1088" spans="1:19" x14ac:dyDescent="0.25">
      <c r="A1088">
        <v>1500062448</v>
      </c>
      <c r="B1088" t="s">
        <v>2376</v>
      </c>
      <c r="C1088" t="s">
        <v>19</v>
      </c>
      <c r="D1088" t="s">
        <v>20</v>
      </c>
      <c r="E1088" t="s">
        <v>21</v>
      </c>
      <c r="F1088" t="s">
        <v>22</v>
      </c>
      <c r="G1088" t="s">
        <v>23</v>
      </c>
      <c r="H1088" t="s">
        <v>743</v>
      </c>
      <c r="I1088" t="s">
        <v>2377</v>
      </c>
      <c r="J1088">
        <v>9.9861366999999994</v>
      </c>
      <c r="K1088">
        <v>-84.367180000000005</v>
      </c>
      <c r="L1088" t="s">
        <v>1225</v>
      </c>
      <c r="M1088" t="s">
        <v>46</v>
      </c>
      <c r="N1088" t="s">
        <v>47</v>
      </c>
      <c r="O1088" t="s">
        <v>48</v>
      </c>
      <c r="P1088">
        <v>11</v>
      </c>
      <c r="Q1088" t="s">
        <v>108</v>
      </c>
      <c r="S1088" t="str">
        <f>_xlfn.XLOOKUP(UNIVERSO[[#This Row],[Ruta]],'[1]CUOTA RUTA'!A:A,'[1]CUOTA RUTA'!D:D)</f>
        <v>Cargar</v>
      </c>
    </row>
    <row r="1089" spans="1:19" x14ac:dyDescent="0.25">
      <c r="A1089">
        <v>1500062459</v>
      </c>
      <c r="B1089" t="s">
        <v>2378</v>
      </c>
      <c r="C1089" t="s">
        <v>19</v>
      </c>
      <c r="D1089" t="s">
        <v>20</v>
      </c>
      <c r="E1089" t="s">
        <v>21</v>
      </c>
      <c r="F1089" t="s">
        <v>22</v>
      </c>
      <c r="G1089" t="s">
        <v>64</v>
      </c>
      <c r="H1089" t="s">
        <v>743</v>
      </c>
      <c r="I1089" t="s">
        <v>2379</v>
      </c>
      <c r="J1089">
        <v>10.00028</v>
      </c>
      <c r="K1089">
        <v>-84.430099999999996</v>
      </c>
      <c r="L1089" t="s">
        <v>1225</v>
      </c>
      <c r="M1089" t="s">
        <v>46</v>
      </c>
      <c r="N1089" t="s">
        <v>47</v>
      </c>
      <c r="O1089" t="s">
        <v>48</v>
      </c>
      <c r="P1089">
        <v>8</v>
      </c>
      <c r="Q1089" t="s">
        <v>97</v>
      </c>
      <c r="S1089" t="str">
        <f>_xlfn.XLOOKUP(UNIVERSO[[#This Row],[Ruta]],'[1]CUOTA RUTA'!A:A,'[1]CUOTA RUTA'!D:D)</f>
        <v>Cargar</v>
      </c>
    </row>
    <row r="1090" spans="1:19" x14ac:dyDescent="0.25">
      <c r="A1090">
        <v>1500062484</v>
      </c>
      <c r="B1090" t="s">
        <v>2380</v>
      </c>
      <c r="C1090" t="s">
        <v>19</v>
      </c>
      <c r="D1090" t="s">
        <v>20</v>
      </c>
      <c r="E1090" t="s">
        <v>21</v>
      </c>
      <c r="F1090" t="s">
        <v>22</v>
      </c>
      <c r="G1090" t="s">
        <v>33</v>
      </c>
      <c r="H1090" t="s">
        <v>743</v>
      </c>
      <c r="I1090" t="s">
        <v>2381</v>
      </c>
      <c r="J1090">
        <v>9.9732099999999999</v>
      </c>
      <c r="K1090">
        <v>-84.374139999999997</v>
      </c>
      <c r="L1090" t="s">
        <v>1225</v>
      </c>
      <c r="M1090" t="s">
        <v>46</v>
      </c>
      <c r="N1090" t="s">
        <v>47</v>
      </c>
      <c r="O1090" t="s">
        <v>48</v>
      </c>
      <c r="P1090">
        <v>10</v>
      </c>
      <c r="Q1090" t="s">
        <v>136</v>
      </c>
      <c r="S1090" t="str">
        <f>_xlfn.XLOOKUP(UNIVERSO[[#This Row],[Ruta]],'[1]CUOTA RUTA'!A:A,'[1]CUOTA RUTA'!D:D)</f>
        <v>Cargar</v>
      </c>
    </row>
    <row r="1091" spans="1:19" x14ac:dyDescent="0.25">
      <c r="A1091">
        <v>1500062507</v>
      </c>
      <c r="B1091" t="s">
        <v>2382</v>
      </c>
      <c r="C1091" t="s">
        <v>19</v>
      </c>
      <c r="D1091" t="s">
        <v>20</v>
      </c>
      <c r="E1091" t="s">
        <v>21</v>
      </c>
      <c r="F1091" t="s">
        <v>22</v>
      </c>
      <c r="G1091" t="s">
        <v>64</v>
      </c>
      <c r="H1091" t="s">
        <v>743</v>
      </c>
      <c r="I1091" t="s">
        <v>2383</v>
      </c>
      <c r="J1091">
        <v>10.001620000000001</v>
      </c>
      <c r="K1091">
        <v>-84.438519999999997</v>
      </c>
      <c r="L1091" t="s">
        <v>1225</v>
      </c>
      <c r="M1091" t="s">
        <v>46</v>
      </c>
      <c r="N1091" t="s">
        <v>47</v>
      </c>
      <c r="O1091" t="s">
        <v>48</v>
      </c>
      <c r="P1091">
        <v>8</v>
      </c>
      <c r="Q1091" t="s">
        <v>97</v>
      </c>
      <c r="S1091" t="str">
        <f>_xlfn.XLOOKUP(UNIVERSO[[#This Row],[Ruta]],'[1]CUOTA RUTA'!A:A,'[1]CUOTA RUTA'!D:D)</f>
        <v>Cargar</v>
      </c>
    </row>
    <row r="1092" spans="1:19" x14ac:dyDescent="0.25">
      <c r="A1092">
        <v>1500062649</v>
      </c>
      <c r="B1092" t="s">
        <v>2384</v>
      </c>
      <c r="C1092" t="s">
        <v>19</v>
      </c>
      <c r="D1092" t="s">
        <v>20</v>
      </c>
      <c r="E1092" t="s">
        <v>21</v>
      </c>
      <c r="F1092" t="s">
        <v>22</v>
      </c>
      <c r="G1092" t="s">
        <v>33</v>
      </c>
      <c r="H1092" t="s">
        <v>285</v>
      </c>
      <c r="I1092" t="s">
        <v>2385</v>
      </c>
      <c r="J1092">
        <v>10.056628630000001</v>
      </c>
      <c r="K1092">
        <v>-84.112433580000001</v>
      </c>
      <c r="L1092" t="s">
        <v>1225</v>
      </c>
      <c r="M1092" t="s">
        <v>54</v>
      </c>
      <c r="N1092" t="s">
        <v>55</v>
      </c>
      <c r="O1092" t="s">
        <v>56</v>
      </c>
      <c r="P1092">
        <v>18</v>
      </c>
      <c r="Q1092" t="s">
        <v>84</v>
      </c>
      <c r="S1092" t="str">
        <f>_xlfn.XLOOKUP(UNIVERSO[[#This Row],[Ruta]],'[1]CUOTA RUTA'!A:A,'[1]CUOTA RUTA'!D:D)</f>
        <v>Cargar</v>
      </c>
    </row>
    <row r="1093" spans="1:19" x14ac:dyDescent="0.25">
      <c r="A1093">
        <v>1500062675</v>
      </c>
      <c r="B1093" t="s">
        <v>2386</v>
      </c>
      <c r="C1093" t="s">
        <v>19</v>
      </c>
      <c r="D1093" t="s">
        <v>20</v>
      </c>
      <c r="E1093" t="s">
        <v>62</v>
      </c>
      <c r="F1093" t="s">
        <v>63</v>
      </c>
      <c r="G1093" t="s">
        <v>64</v>
      </c>
      <c r="H1093" t="s">
        <v>1506</v>
      </c>
      <c r="I1093" t="s">
        <v>2387</v>
      </c>
      <c r="J1093">
        <v>9.9798819999999999</v>
      </c>
      <c r="K1093">
        <v>-84.153019999999998</v>
      </c>
      <c r="L1093" t="s">
        <v>1225</v>
      </c>
      <c r="M1093" t="s">
        <v>27</v>
      </c>
      <c r="N1093" t="s">
        <v>28</v>
      </c>
      <c r="O1093" t="s">
        <v>29</v>
      </c>
      <c r="P1093">
        <v>2</v>
      </c>
      <c r="Q1093" t="s">
        <v>150</v>
      </c>
      <c r="S1093" t="str">
        <f>_xlfn.XLOOKUP(UNIVERSO[[#This Row],[Ruta]],'[1]CUOTA RUTA'!A:A,'[1]CUOTA RUTA'!D:D)</f>
        <v>Cargar</v>
      </c>
    </row>
    <row r="1094" spans="1:19" x14ac:dyDescent="0.25">
      <c r="A1094">
        <v>1500062699</v>
      </c>
      <c r="B1094" t="s">
        <v>2388</v>
      </c>
      <c r="C1094" t="s">
        <v>19</v>
      </c>
      <c r="D1094" t="s">
        <v>20</v>
      </c>
      <c r="E1094" t="s">
        <v>21</v>
      </c>
      <c r="F1094" t="s">
        <v>22</v>
      </c>
      <c r="G1094" t="s">
        <v>64</v>
      </c>
      <c r="H1094" t="s">
        <v>888</v>
      </c>
      <c r="I1094" t="s">
        <v>2389</v>
      </c>
      <c r="J1094">
        <v>9.9915782886130007</v>
      </c>
      <c r="K1094">
        <v>-84.13607501253</v>
      </c>
      <c r="L1094" t="s">
        <v>1225</v>
      </c>
      <c r="M1094" t="s">
        <v>27</v>
      </c>
      <c r="N1094" t="s">
        <v>28</v>
      </c>
      <c r="O1094" t="s">
        <v>29</v>
      </c>
      <c r="P1094">
        <v>4</v>
      </c>
      <c r="Q1094" t="s">
        <v>120</v>
      </c>
      <c r="S1094" t="str">
        <f>_xlfn.XLOOKUP(UNIVERSO[[#This Row],[Ruta]],'[1]CUOTA RUTA'!A:A,'[1]CUOTA RUTA'!D:D)</f>
        <v>Cargar</v>
      </c>
    </row>
    <row r="1095" spans="1:19" x14ac:dyDescent="0.25">
      <c r="A1095">
        <v>1500062707</v>
      </c>
      <c r="B1095" t="s">
        <v>2390</v>
      </c>
      <c r="C1095" t="s">
        <v>19</v>
      </c>
      <c r="D1095" t="s">
        <v>20</v>
      </c>
      <c r="E1095" t="s">
        <v>21</v>
      </c>
      <c r="F1095" t="s">
        <v>22</v>
      </c>
      <c r="G1095" t="s">
        <v>64</v>
      </c>
      <c r="H1095" t="s">
        <v>888</v>
      </c>
      <c r="I1095" t="s">
        <v>2391</v>
      </c>
      <c r="J1095">
        <v>10.00028854</v>
      </c>
      <c r="K1095">
        <v>-84.121760499999993</v>
      </c>
      <c r="L1095" t="s">
        <v>1225</v>
      </c>
      <c r="M1095" t="s">
        <v>27</v>
      </c>
      <c r="N1095" t="s">
        <v>28</v>
      </c>
      <c r="O1095" t="s">
        <v>29</v>
      </c>
      <c r="P1095">
        <v>13</v>
      </c>
      <c r="Q1095" t="s">
        <v>161</v>
      </c>
      <c r="S1095" t="str">
        <f>_xlfn.XLOOKUP(UNIVERSO[[#This Row],[Ruta]],'[1]CUOTA RUTA'!A:A,'[1]CUOTA RUTA'!D:D)</f>
        <v>Cargar</v>
      </c>
    </row>
    <row r="1096" spans="1:19" x14ac:dyDescent="0.25">
      <c r="A1096">
        <v>1500063035</v>
      </c>
      <c r="B1096" t="s">
        <v>2392</v>
      </c>
      <c r="C1096" t="s">
        <v>19</v>
      </c>
      <c r="D1096" t="s">
        <v>20</v>
      </c>
      <c r="E1096" t="s">
        <v>21</v>
      </c>
      <c r="F1096" t="s">
        <v>22</v>
      </c>
      <c r="G1096" t="s">
        <v>64</v>
      </c>
      <c r="H1096" t="s">
        <v>285</v>
      </c>
      <c r="I1096" t="s">
        <v>2393</v>
      </c>
      <c r="J1096">
        <v>10.0137526</v>
      </c>
      <c r="K1096">
        <v>-84.210440500000004</v>
      </c>
      <c r="L1096" t="s">
        <v>1225</v>
      </c>
      <c r="M1096" t="s">
        <v>54</v>
      </c>
      <c r="N1096" t="s">
        <v>55</v>
      </c>
      <c r="O1096" t="s">
        <v>56</v>
      </c>
      <c r="P1096">
        <v>4</v>
      </c>
      <c r="Q1096" t="s">
        <v>120</v>
      </c>
      <c r="S1096" t="str">
        <f>_xlfn.XLOOKUP(UNIVERSO[[#This Row],[Ruta]],'[1]CUOTA RUTA'!A:A,'[1]CUOTA RUTA'!D:D)</f>
        <v>Cargar</v>
      </c>
    </row>
    <row r="1097" spans="1:19" x14ac:dyDescent="0.25">
      <c r="A1097">
        <v>1500063221</v>
      </c>
      <c r="B1097" t="s">
        <v>2394</v>
      </c>
      <c r="C1097" t="s">
        <v>19</v>
      </c>
      <c r="D1097" t="s">
        <v>20</v>
      </c>
      <c r="E1097" t="s">
        <v>21</v>
      </c>
      <c r="F1097" t="s">
        <v>22</v>
      </c>
      <c r="G1097" t="s">
        <v>33</v>
      </c>
      <c r="H1097" t="s">
        <v>975</v>
      </c>
      <c r="I1097" t="s">
        <v>2395</v>
      </c>
      <c r="J1097">
        <v>10.0092683</v>
      </c>
      <c r="K1097">
        <v>-84.096999999999994</v>
      </c>
      <c r="L1097" t="s">
        <v>1225</v>
      </c>
      <c r="M1097" t="s">
        <v>27</v>
      </c>
      <c r="N1097" t="s">
        <v>28</v>
      </c>
      <c r="O1097" t="s">
        <v>29</v>
      </c>
      <c r="P1097">
        <v>17</v>
      </c>
      <c r="Q1097" t="s">
        <v>287</v>
      </c>
      <c r="S1097" t="str">
        <f>_xlfn.XLOOKUP(UNIVERSO[[#This Row],[Ruta]],'[1]CUOTA RUTA'!A:A,'[1]CUOTA RUTA'!D:D)</f>
        <v>Cargar</v>
      </c>
    </row>
    <row r="1098" spans="1:19" x14ac:dyDescent="0.25">
      <c r="A1098">
        <v>1500063298</v>
      </c>
      <c r="B1098" t="s">
        <v>2396</v>
      </c>
      <c r="C1098" t="s">
        <v>19</v>
      </c>
      <c r="D1098" t="s">
        <v>20</v>
      </c>
      <c r="E1098" t="s">
        <v>21</v>
      </c>
      <c r="F1098" t="s">
        <v>22</v>
      </c>
      <c r="G1098" t="s">
        <v>33</v>
      </c>
      <c r="H1098" t="s">
        <v>280</v>
      </c>
      <c r="I1098" t="s">
        <v>2397</v>
      </c>
      <c r="J1098">
        <v>10.019880000000001</v>
      </c>
      <c r="K1098">
        <v>-84.216750000000005</v>
      </c>
      <c r="L1098" t="s">
        <v>1225</v>
      </c>
      <c r="M1098" t="s">
        <v>54</v>
      </c>
      <c r="N1098" t="s">
        <v>55</v>
      </c>
      <c r="O1098" t="s">
        <v>56</v>
      </c>
      <c r="P1098">
        <v>1</v>
      </c>
      <c r="Q1098" t="s">
        <v>155</v>
      </c>
      <c r="S1098" t="str">
        <f>_xlfn.XLOOKUP(UNIVERSO[[#This Row],[Ruta]],'[1]CUOTA RUTA'!A:A,'[1]CUOTA RUTA'!D:D)</f>
        <v>Cargar</v>
      </c>
    </row>
    <row r="1099" spans="1:19" x14ac:dyDescent="0.25">
      <c r="A1099">
        <v>1500063332</v>
      </c>
      <c r="B1099" t="s">
        <v>2398</v>
      </c>
      <c r="C1099" t="s">
        <v>19</v>
      </c>
      <c r="D1099" t="s">
        <v>20</v>
      </c>
      <c r="E1099" t="s">
        <v>21</v>
      </c>
      <c r="F1099" t="s">
        <v>22</v>
      </c>
      <c r="G1099" t="s">
        <v>23</v>
      </c>
      <c r="H1099" t="s">
        <v>311</v>
      </c>
      <c r="I1099" t="s">
        <v>2399</v>
      </c>
      <c r="J1099">
        <v>9.9750700000000005</v>
      </c>
      <c r="K1099">
        <v>-84.204849999999993</v>
      </c>
      <c r="L1099" t="s">
        <v>1225</v>
      </c>
      <c r="M1099" t="s">
        <v>54</v>
      </c>
      <c r="N1099" t="s">
        <v>55</v>
      </c>
      <c r="O1099" t="s">
        <v>56</v>
      </c>
      <c r="P1099">
        <v>14</v>
      </c>
      <c r="Q1099" t="s">
        <v>181</v>
      </c>
      <c r="S1099" t="str">
        <f>_xlfn.XLOOKUP(UNIVERSO[[#This Row],[Ruta]],'[1]CUOTA RUTA'!A:A,'[1]CUOTA RUTA'!D:D)</f>
        <v>Cargar</v>
      </c>
    </row>
    <row r="1100" spans="1:19" x14ac:dyDescent="0.25">
      <c r="A1100">
        <v>1500063363</v>
      </c>
      <c r="B1100" t="s">
        <v>2400</v>
      </c>
      <c r="C1100" t="s">
        <v>19</v>
      </c>
      <c r="D1100" t="s">
        <v>20</v>
      </c>
      <c r="E1100" t="s">
        <v>21</v>
      </c>
      <c r="F1100" t="s">
        <v>22</v>
      </c>
      <c r="G1100" t="s">
        <v>33</v>
      </c>
      <c r="H1100" t="s">
        <v>311</v>
      </c>
      <c r="I1100" t="s">
        <v>2401</v>
      </c>
      <c r="J1100">
        <v>9.9665088999999991</v>
      </c>
      <c r="K1100">
        <v>-84.225808499999999</v>
      </c>
      <c r="L1100" t="s">
        <v>1225</v>
      </c>
      <c r="M1100" t="s">
        <v>54</v>
      </c>
      <c r="N1100" t="s">
        <v>55</v>
      </c>
      <c r="O1100" t="s">
        <v>56</v>
      </c>
      <c r="P1100">
        <v>9</v>
      </c>
      <c r="Q1100" t="s">
        <v>80</v>
      </c>
      <c r="S1100" t="str">
        <f>_xlfn.XLOOKUP(UNIVERSO[[#This Row],[Ruta]],'[1]CUOTA RUTA'!A:A,'[1]CUOTA RUTA'!D:D)</f>
        <v>Cargar</v>
      </c>
    </row>
    <row r="1101" spans="1:19" x14ac:dyDescent="0.25">
      <c r="A1101">
        <v>1500063372</v>
      </c>
      <c r="B1101" t="s">
        <v>307</v>
      </c>
      <c r="C1101" t="s">
        <v>19</v>
      </c>
      <c r="D1101" t="s">
        <v>20</v>
      </c>
      <c r="E1101" t="s">
        <v>21</v>
      </c>
      <c r="F1101" t="s">
        <v>22</v>
      </c>
      <c r="G1101" t="s">
        <v>33</v>
      </c>
      <c r="H1101" t="s">
        <v>311</v>
      </c>
      <c r="I1101" t="s">
        <v>2402</v>
      </c>
      <c r="J1101">
        <v>9.9740110000000008</v>
      </c>
      <c r="K1101">
        <v>-84.212818999999996</v>
      </c>
      <c r="L1101" t="s">
        <v>1225</v>
      </c>
      <c r="M1101" t="s">
        <v>54</v>
      </c>
      <c r="N1101" t="s">
        <v>55</v>
      </c>
      <c r="O1101" t="s">
        <v>56</v>
      </c>
      <c r="P1101">
        <v>19</v>
      </c>
      <c r="Q1101" t="s">
        <v>67</v>
      </c>
      <c r="S1101" t="str">
        <f>_xlfn.XLOOKUP(UNIVERSO[[#This Row],[Ruta]],'[1]CUOTA RUTA'!A:A,'[1]CUOTA RUTA'!D:D)</f>
        <v>Cargar</v>
      </c>
    </row>
    <row r="1102" spans="1:19" x14ac:dyDescent="0.25">
      <c r="A1102">
        <v>1500063504</v>
      </c>
      <c r="B1102" t="s">
        <v>2403</v>
      </c>
      <c r="C1102" t="s">
        <v>19</v>
      </c>
      <c r="D1102" t="s">
        <v>20</v>
      </c>
      <c r="E1102" t="s">
        <v>21</v>
      </c>
      <c r="F1102" t="s">
        <v>22</v>
      </c>
      <c r="G1102" t="s">
        <v>64</v>
      </c>
      <c r="H1102" t="s">
        <v>975</v>
      </c>
      <c r="I1102" t="s">
        <v>2404</v>
      </c>
      <c r="J1102">
        <v>9.9959799999999994</v>
      </c>
      <c r="K1102">
        <v>-84.118719999999996</v>
      </c>
      <c r="L1102" t="s">
        <v>1225</v>
      </c>
      <c r="M1102" t="s">
        <v>27</v>
      </c>
      <c r="N1102" t="s">
        <v>28</v>
      </c>
      <c r="O1102" t="s">
        <v>29</v>
      </c>
      <c r="P1102">
        <v>13</v>
      </c>
      <c r="Q1102" t="s">
        <v>161</v>
      </c>
      <c r="S1102" t="str">
        <f>_xlfn.XLOOKUP(UNIVERSO[[#This Row],[Ruta]],'[1]CUOTA RUTA'!A:A,'[1]CUOTA RUTA'!D:D)</f>
        <v>Cargar</v>
      </c>
    </row>
    <row r="1103" spans="1:19" x14ac:dyDescent="0.25">
      <c r="A1103">
        <v>1500063540</v>
      </c>
      <c r="B1103" t="s">
        <v>2405</v>
      </c>
      <c r="C1103" t="s">
        <v>19</v>
      </c>
      <c r="D1103" t="s">
        <v>20</v>
      </c>
      <c r="E1103" t="s">
        <v>21</v>
      </c>
      <c r="F1103" t="s">
        <v>22</v>
      </c>
      <c r="G1103" t="s">
        <v>33</v>
      </c>
      <c r="H1103" t="s">
        <v>975</v>
      </c>
      <c r="I1103" t="s">
        <v>2406</v>
      </c>
      <c r="J1103">
        <v>9.9953299999999992</v>
      </c>
      <c r="K1103">
        <v>-84.115070000000003</v>
      </c>
      <c r="L1103" t="s">
        <v>1225</v>
      </c>
      <c r="M1103" t="s">
        <v>27</v>
      </c>
      <c r="N1103" t="s">
        <v>28</v>
      </c>
      <c r="O1103" t="s">
        <v>29</v>
      </c>
      <c r="P1103">
        <v>13</v>
      </c>
      <c r="Q1103" t="s">
        <v>161</v>
      </c>
      <c r="S1103" t="str">
        <f>_xlfn.XLOOKUP(UNIVERSO[[#This Row],[Ruta]],'[1]CUOTA RUTA'!A:A,'[1]CUOTA RUTA'!D:D)</f>
        <v>Cargar</v>
      </c>
    </row>
    <row r="1104" spans="1:19" x14ac:dyDescent="0.25">
      <c r="A1104">
        <v>1500063569</v>
      </c>
      <c r="B1104" t="s">
        <v>1889</v>
      </c>
      <c r="C1104" t="s">
        <v>19</v>
      </c>
      <c r="D1104" t="s">
        <v>20</v>
      </c>
      <c r="E1104" t="s">
        <v>21</v>
      </c>
      <c r="F1104" t="s">
        <v>22</v>
      </c>
      <c r="G1104" t="s">
        <v>23</v>
      </c>
      <c r="H1104" t="s">
        <v>285</v>
      </c>
      <c r="I1104" t="s">
        <v>2407</v>
      </c>
      <c r="J1104">
        <v>10.05389085</v>
      </c>
      <c r="K1104">
        <v>-84.114432629999996</v>
      </c>
      <c r="L1104" t="s">
        <v>1225</v>
      </c>
      <c r="M1104" t="s">
        <v>54</v>
      </c>
      <c r="N1104" t="s">
        <v>55</v>
      </c>
      <c r="O1104" t="s">
        <v>56</v>
      </c>
      <c r="P1104">
        <v>18</v>
      </c>
      <c r="Q1104" t="s">
        <v>84</v>
      </c>
      <c r="S1104" t="str">
        <f>_xlfn.XLOOKUP(UNIVERSO[[#This Row],[Ruta]],'[1]CUOTA RUTA'!A:A,'[1]CUOTA RUTA'!D:D)</f>
        <v>Cargar</v>
      </c>
    </row>
    <row r="1105" spans="1:19" x14ac:dyDescent="0.25">
      <c r="A1105">
        <v>1500063604</v>
      </c>
      <c r="B1105" t="s">
        <v>2408</v>
      </c>
      <c r="C1105" t="s">
        <v>19</v>
      </c>
      <c r="D1105" t="s">
        <v>20</v>
      </c>
      <c r="E1105" t="s">
        <v>21</v>
      </c>
      <c r="F1105" t="s">
        <v>22</v>
      </c>
      <c r="G1105" t="s">
        <v>33</v>
      </c>
      <c r="H1105" t="s">
        <v>311</v>
      </c>
      <c r="I1105" t="s">
        <v>2409</v>
      </c>
      <c r="J1105">
        <v>9.9815299999999993</v>
      </c>
      <c r="K1105">
        <v>-84.195899999999995</v>
      </c>
      <c r="L1105" t="s">
        <v>1225</v>
      </c>
      <c r="M1105" t="s">
        <v>54</v>
      </c>
      <c r="N1105" t="s">
        <v>55</v>
      </c>
      <c r="O1105" t="s">
        <v>56</v>
      </c>
      <c r="P1105">
        <v>17</v>
      </c>
      <c r="Q1105" t="s">
        <v>287</v>
      </c>
      <c r="S1105" t="str">
        <f>_xlfn.XLOOKUP(UNIVERSO[[#This Row],[Ruta]],'[1]CUOTA RUTA'!A:A,'[1]CUOTA RUTA'!D:D)</f>
        <v>Cargar</v>
      </c>
    </row>
    <row r="1106" spans="1:19" x14ac:dyDescent="0.25">
      <c r="A1106">
        <v>1500063697</v>
      </c>
      <c r="B1106" t="s">
        <v>1865</v>
      </c>
      <c r="C1106" t="s">
        <v>19</v>
      </c>
      <c r="D1106" t="s">
        <v>20</v>
      </c>
      <c r="E1106" t="s">
        <v>21</v>
      </c>
      <c r="F1106" t="s">
        <v>22</v>
      </c>
      <c r="G1106" t="s">
        <v>64</v>
      </c>
      <c r="H1106" t="s">
        <v>743</v>
      </c>
      <c r="I1106" t="s">
        <v>2410</v>
      </c>
      <c r="J1106">
        <v>9.9724299999999992</v>
      </c>
      <c r="K1106">
        <v>-84.428129999999996</v>
      </c>
      <c r="L1106" t="s">
        <v>1225</v>
      </c>
      <c r="M1106" t="s">
        <v>46</v>
      </c>
      <c r="N1106" t="s">
        <v>47</v>
      </c>
      <c r="O1106" t="s">
        <v>48</v>
      </c>
      <c r="P1106">
        <v>9</v>
      </c>
      <c r="Q1106" t="s">
        <v>80</v>
      </c>
      <c r="S1106" t="str">
        <f>_xlfn.XLOOKUP(UNIVERSO[[#This Row],[Ruta]],'[1]CUOTA RUTA'!A:A,'[1]CUOTA RUTA'!D:D)</f>
        <v>Cargar</v>
      </c>
    </row>
    <row r="1107" spans="1:19" x14ac:dyDescent="0.25">
      <c r="A1107">
        <v>1500063722</v>
      </c>
      <c r="B1107" t="s">
        <v>2411</v>
      </c>
      <c r="C1107" t="s">
        <v>19</v>
      </c>
      <c r="D1107" t="s">
        <v>20</v>
      </c>
      <c r="E1107" t="s">
        <v>21</v>
      </c>
      <c r="F1107" t="s">
        <v>22</v>
      </c>
      <c r="G1107" t="s">
        <v>23</v>
      </c>
      <c r="H1107" t="s">
        <v>24</v>
      </c>
      <c r="I1107" t="s">
        <v>2412</v>
      </c>
      <c r="J1107">
        <v>9.9899009999999997</v>
      </c>
      <c r="K1107">
        <v>-84.118656999999999</v>
      </c>
      <c r="L1107" t="s">
        <v>1225</v>
      </c>
      <c r="M1107" t="s">
        <v>27</v>
      </c>
      <c r="N1107" t="s">
        <v>28</v>
      </c>
      <c r="O1107" t="s">
        <v>29</v>
      </c>
      <c r="P1107">
        <v>6</v>
      </c>
      <c r="Q1107" t="s">
        <v>49</v>
      </c>
      <c r="S1107" t="str">
        <f>_xlfn.XLOOKUP(UNIVERSO[[#This Row],[Ruta]],'[1]CUOTA RUTA'!A:A,'[1]CUOTA RUTA'!D:D)</f>
        <v>Cargar</v>
      </c>
    </row>
    <row r="1108" spans="1:19" x14ac:dyDescent="0.25">
      <c r="A1108">
        <v>1500063838</v>
      </c>
      <c r="B1108" t="s">
        <v>2413</v>
      </c>
      <c r="C1108" t="s">
        <v>19</v>
      </c>
      <c r="D1108" t="s">
        <v>20</v>
      </c>
      <c r="E1108" t="s">
        <v>21</v>
      </c>
      <c r="F1108" t="s">
        <v>22</v>
      </c>
      <c r="G1108" t="s">
        <v>33</v>
      </c>
      <c r="H1108" t="s">
        <v>280</v>
      </c>
      <c r="I1108" t="s">
        <v>2414</v>
      </c>
      <c r="J1108">
        <v>10.0141141</v>
      </c>
      <c r="K1108">
        <v>-84.202392700000004</v>
      </c>
      <c r="L1108" t="s">
        <v>1225</v>
      </c>
      <c r="M1108" t="s">
        <v>54</v>
      </c>
      <c r="N1108" t="s">
        <v>55</v>
      </c>
      <c r="O1108" t="s">
        <v>56</v>
      </c>
      <c r="P1108">
        <v>4</v>
      </c>
      <c r="Q1108" t="s">
        <v>120</v>
      </c>
      <c r="S1108" t="str">
        <f>_xlfn.XLOOKUP(UNIVERSO[[#This Row],[Ruta]],'[1]CUOTA RUTA'!A:A,'[1]CUOTA RUTA'!D:D)</f>
        <v>Cargar</v>
      </c>
    </row>
    <row r="1109" spans="1:19" x14ac:dyDescent="0.25">
      <c r="A1109">
        <v>1500064073</v>
      </c>
      <c r="B1109" t="s">
        <v>2415</v>
      </c>
      <c r="C1109" t="s">
        <v>19</v>
      </c>
      <c r="D1109" t="s">
        <v>266</v>
      </c>
      <c r="E1109" t="s">
        <v>21</v>
      </c>
      <c r="F1109" t="s">
        <v>22</v>
      </c>
      <c r="G1109" t="s">
        <v>64</v>
      </c>
      <c r="H1109" t="s">
        <v>703</v>
      </c>
      <c r="I1109" t="s">
        <v>2416</v>
      </c>
      <c r="J1109">
        <v>9.8433899999999994</v>
      </c>
      <c r="K1109">
        <v>-83.939389000000006</v>
      </c>
      <c r="L1109" t="s">
        <v>1225</v>
      </c>
      <c r="M1109" t="s">
        <v>36</v>
      </c>
      <c r="N1109" t="s">
        <v>316</v>
      </c>
      <c r="O1109" t="s">
        <v>317</v>
      </c>
      <c r="P1109">
        <v>19</v>
      </c>
      <c r="Q1109" t="s">
        <v>67</v>
      </c>
      <c r="S1109" t="str">
        <f>_xlfn.XLOOKUP(UNIVERSO[[#This Row],[Ruta]],'[1]CUOTA RUTA'!A:A,'[1]CUOTA RUTA'!D:D)</f>
        <v>Cargar</v>
      </c>
    </row>
    <row r="1110" spans="1:19" x14ac:dyDescent="0.25">
      <c r="A1110">
        <v>1500064084</v>
      </c>
      <c r="B1110" t="s">
        <v>2417</v>
      </c>
      <c r="C1110" t="s">
        <v>19</v>
      </c>
      <c r="D1110" t="s">
        <v>266</v>
      </c>
      <c r="E1110" t="s">
        <v>21</v>
      </c>
      <c r="F1110" t="s">
        <v>22</v>
      </c>
      <c r="G1110" t="s">
        <v>33</v>
      </c>
      <c r="H1110" t="s">
        <v>703</v>
      </c>
      <c r="I1110" t="s">
        <v>2418</v>
      </c>
      <c r="J1110">
        <v>9.8321516666670004</v>
      </c>
      <c r="K1110">
        <v>-83.953151666660006</v>
      </c>
      <c r="L1110" t="s">
        <v>1225</v>
      </c>
      <c r="M1110" t="s">
        <v>36</v>
      </c>
      <c r="N1110" t="s">
        <v>316</v>
      </c>
      <c r="O1110" t="s">
        <v>317</v>
      </c>
      <c r="P1110">
        <v>20</v>
      </c>
      <c r="Q1110" t="s">
        <v>74</v>
      </c>
      <c r="S1110" t="str">
        <f>_xlfn.XLOOKUP(UNIVERSO[[#This Row],[Ruta]],'[1]CUOTA RUTA'!A:A,'[1]CUOTA RUTA'!D:D)</f>
        <v>Cargar</v>
      </c>
    </row>
    <row r="1111" spans="1:19" x14ac:dyDescent="0.25">
      <c r="A1111">
        <v>1500064137</v>
      </c>
      <c r="B1111" t="s">
        <v>2419</v>
      </c>
      <c r="C1111" t="s">
        <v>19</v>
      </c>
      <c r="D1111" t="s">
        <v>266</v>
      </c>
      <c r="E1111" t="s">
        <v>21</v>
      </c>
      <c r="F1111" t="s">
        <v>22</v>
      </c>
      <c r="G1111" t="s">
        <v>23</v>
      </c>
      <c r="H1111" t="s">
        <v>703</v>
      </c>
      <c r="I1111" t="s">
        <v>2420</v>
      </c>
      <c r="J1111">
        <v>9.8378180000000004</v>
      </c>
      <c r="K1111">
        <v>-83.938783999999998</v>
      </c>
      <c r="L1111" t="s">
        <v>1225</v>
      </c>
      <c r="M1111" t="s">
        <v>36</v>
      </c>
      <c r="N1111" t="s">
        <v>316</v>
      </c>
      <c r="O1111" t="s">
        <v>317</v>
      </c>
      <c r="P1111">
        <v>19</v>
      </c>
      <c r="Q1111" t="s">
        <v>67</v>
      </c>
      <c r="S1111" t="str">
        <f>_xlfn.XLOOKUP(UNIVERSO[[#This Row],[Ruta]],'[1]CUOTA RUTA'!A:A,'[1]CUOTA RUTA'!D:D)</f>
        <v>Cargar</v>
      </c>
    </row>
    <row r="1112" spans="1:19" x14ac:dyDescent="0.25">
      <c r="A1112">
        <v>1500064185</v>
      </c>
      <c r="B1112" t="s">
        <v>2131</v>
      </c>
      <c r="C1112" t="s">
        <v>19</v>
      </c>
      <c r="D1112" t="s">
        <v>266</v>
      </c>
      <c r="E1112" t="s">
        <v>21</v>
      </c>
      <c r="F1112" t="s">
        <v>22</v>
      </c>
      <c r="G1112" t="s">
        <v>33</v>
      </c>
      <c r="H1112" t="s">
        <v>706</v>
      </c>
      <c r="I1112" t="s">
        <v>2421</v>
      </c>
      <c r="J1112">
        <v>9.853116</v>
      </c>
      <c r="K1112">
        <v>-83.942633000000001</v>
      </c>
      <c r="L1112" t="s">
        <v>1225</v>
      </c>
      <c r="M1112" t="s">
        <v>36</v>
      </c>
      <c r="N1112" t="s">
        <v>316</v>
      </c>
      <c r="O1112" t="s">
        <v>317</v>
      </c>
      <c r="P1112">
        <v>17</v>
      </c>
      <c r="Q1112" t="s">
        <v>287</v>
      </c>
      <c r="S1112" t="str">
        <f>_xlfn.XLOOKUP(UNIVERSO[[#This Row],[Ruta]],'[1]CUOTA RUTA'!A:A,'[1]CUOTA RUTA'!D:D)</f>
        <v>Cargar</v>
      </c>
    </row>
    <row r="1113" spans="1:19" x14ac:dyDescent="0.25">
      <c r="A1113">
        <v>1500064187</v>
      </c>
      <c r="B1113" t="s">
        <v>2422</v>
      </c>
      <c r="C1113" t="s">
        <v>19</v>
      </c>
      <c r="D1113" t="s">
        <v>266</v>
      </c>
      <c r="E1113" t="s">
        <v>21</v>
      </c>
      <c r="F1113" t="s">
        <v>22</v>
      </c>
      <c r="G1113" t="s">
        <v>23</v>
      </c>
      <c r="H1113" t="s">
        <v>706</v>
      </c>
      <c r="I1113" t="s">
        <v>2423</v>
      </c>
      <c r="J1113">
        <v>9.8528640000000003</v>
      </c>
      <c r="K1113">
        <v>-83.940477999999999</v>
      </c>
      <c r="L1113" t="s">
        <v>1225</v>
      </c>
      <c r="M1113" t="s">
        <v>36</v>
      </c>
      <c r="N1113" t="s">
        <v>316</v>
      </c>
      <c r="O1113" t="s">
        <v>317</v>
      </c>
      <c r="P1113">
        <v>17</v>
      </c>
      <c r="Q1113" t="s">
        <v>287</v>
      </c>
      <c r="S1113" t="str">
        <f>_xlfn.XLOOKUP(UNIVERSO[[#This Row],[Ruta]],'[1]CUOTA RUTA'!A:A,'[1]CUOTA RUTA'!D:D)</f>
        <v>Cargar</v>
      </c>
    </row>
    <row r="1114" spans="1:19" x14ac:dyDescent="0.25">
      <c r="A1114">
        <v>1500064245</v>
      </c>
      <c r="B1114" t="s">
        <v>2424</v>
      </c>
      <c r="C1114" t="s">
        <v>19</v>
      </c>
      <c r="D1114" t="s">
        <v>266</v>
      </c>
      <c r="E1114" t="s">
        <v>21</v>
      </c>
      <c r="F1114" t="s">
        <v>22</v>
      </c>
      <c r="G1114" t="s">
        <v>33</v>
      </c>
      <c r="H1114" t="s">
        <v>706</v>
      </c>
      <c r="I1114" t="s">
        <v>2425</v>
      </c>
      <c r="J1114">
        <v>9.8753189999999993</v>
      </c>
      <c r="K1114">
        <v>-83.937234000000004</v>
      </c>
      <c r="L1114" t="s">
        <v>1225</v>
      </c>
      <c r="M1114" t="s">
        <v>36</v>
      </c>
      <c r="N1114" t="s">
        <v>316</v>
      </c>
      <c r="O1114" t="s">
        <v>317</v>
      </c>
      <c r="P1114">
        <v>21</v>
      </c>
      <c r="Q1114" t="s">
        <v>239</v>
      </c>
      <c r="S1114" t="str">
        <f>_xlfn.XLOOKUP(UNIVERSO[[#This Row],[Ruta]],'[1]CUOTA RUTA'!A:A,'[1]CUOTA RUTA'!D:D)</f>
        <v>Cargar</v>
      </c>
    </row>
    <row r="1115" spans="1:19" x14ac:dyDescent="0.25">
      <c r="A1115">
        <v>1500064259</v>
      </c>
      <c r="B1115" t="s">
        <v>2426</v>
      </c>
      <c r="C1115" t="s">
        <v>19</v>
      </c>
      <c r="D1115" t="s">
        <v>266</v>
      </c>
      <c r="E1115" t="s">
        <v>21</v>
      </c>
      <c r="F1115" t="s">
        <v>22</v>
      </c>
      <c r="G1115" t="s">
        <v>33</v>
      </c>
      <c r="H1115" t="s">
        <v>314</v>
      </c>
      <c r="I1115" t="s">
        <v>2427</v>
      </c>
      <c r="J1115">
        <v>9.8772433333330003</v>
      </c>
      <c r="K1115">
        <v>-83.934034999999994</v>
      </c>
      <c r="L1115" t="s">
        <v>1225</v>
      </c>
      <c r="M1115" t="s">
        <v>36</v>
      </c>
      <c r="N1115" t="s">
        <v>316</v>
      </c>
      <c r="O1115" t="s">
        <v>317</v>
      </c>
      <c r="P1115">
        <v>21</v>
      </c>
      <c r="Q1115" t="s">
        <v>239</v>
      </c>
      <c r="S1115" t="str">
        <f>_xlfn.XLOOKUP(UNIVERSO[[#This Row],[Ruta]],'[1]CUOTA RUTA'!A:A,'[1]CUOTA RUTA'!D:D)</f>
        <v>Cargar</v>
      </c>
    </row>
    <row r="1116" spans="1:19" x14ac:dyDescent="0.25">
      <c r="A1116">
        <v>1500064279</v>
      </c>
      <c r="B1116" t="s">
        <v>2428</v>
      </c>
      <c r="C1116" t="s">
        <v>19</v>
      </c>
      <c r="D1116" t="s">
        <v>266</v>
      </c>
      <c r="E1116" t="s">
        <v>21</v>
      </c>
      <c r="F1116" t="s">
        <v>22</v>
      </c>
      <c r="G1116" t="s">
        <v>33</v>
      </c>
      <c r="H1116" t="s">
        <v>1011</v>
      </c>
      <c r="I1116" t="s">
        <v>2429</v>
      </c>
      <c r="J1116">
        <v>9.8898320000000002</v>
      </c>
      <c r="K1116">
        <v>-83.939398999999995</v>
      </c>
      <c r="L1116" t="s">
        <v>1225</v>
      </c>
      <c r="M1116" t="s">
        <v>54</v>
      </c>
      <c r="N1116" t="s">
        <v>274</v>
      </c>
      <c r="O1116" t="s">
        <v>275</v>
      </c>
      <c r="P1116">
        <v>23</v>
      </c>
      <c r="Q1116" t="s">
        <v>125</v>
      </c>
      <c r="S1116" t="str">
        <f>_xlfn.XLOOKUP(UNIVERSO[[#This Row],[Ruta]],'[1]CUOTA RUTA'!A:A,'[1]CUOTA RUTA'!D:D)</f>
        <v>Cargar</v>
      </c>
    </row>
    <row r="1117" spans="1:19" x14ac:dyDescent="0.25">
      <c r="A1117">
        <v>1500064311</v>
      </c>
      <c r="B1117" t="s">
        <v>2430</v>
      </c>
      <c r="C1117" t="s">
        <v>19</v>
      </c>
      <c r="D1117" t="s">
        <v>266</v>
      </c>
      <c r="E1117" t="s">
        <v>21</v>
      </c>
      <c r="F1117" t="s">
        <v>22</v>
      </c>
      <c r="G1117" t="s">
        <v>64</v>
      </c>
      <c r="H1117" t="s">
        <v>314</v>
      </c>
      <c r="I1117" t="s">
        <v>2431</v>
      </c>
      <c r="J1117">
        <v>9.8720376999999999</v>
      </c>
      <c r="K1117">
        <v>-83.927060600000004</v>
      </c>
      <c r="L1117" t="s">
        <v>1225</v>
      </c>
      <c r="M1117" t="s">
        <v>36</v>
      </c>
      <c r="N1117" t="s">
        <v>316</v>
      </c>
      <c r="O1117" t="s">
        <v>317</v>
      </c>
      <c r="P1117">
        <v>16</v>
      </c>
      <c r="Q1117" t="s">
        <v>60</v>
      </c>
      <c r="S1117" t="str">
        <f>_xlfn.XLOOKUP(UNIVERSO[[#This Row],[Ruta]],'[1]CUOTA RUTA'!A:A,'[1]CUOTA RUTA'!D:D)</f>
        <v>Cargar</v>
      </c>
    </row>
    <row r="1118" spans="1:19" x14ac:dyDescent="0.25">
      <c r="A1118">
        <v>1500064359</v>
      </c>
      <c r="B1118" t="s">
        <v>2432</v>
      </c>
      <c r="C1118" t="s">
        <v>19</v>
      </c>
      <c r="D1118" t="s">
        <v>266</v>
      </c>
      <c r="E1118" t="s">
        <v>21</v>
      </c>
      <c r="F1118" t="s">
        <v>22</v>
      </c>
      <c r="G1118" t="s">
        <v>64</v>
      </c>
      <c r="H1118" t="s">
        <v>314</v>
      </c>
      <c r="I1118" t="s">
        <v>2433</v>
      </c>
      <c r="J1118">
        <v>9.8773865000000001</v>
      </c>
      <c r="K1118">
        <v>-83.910590900000003</v>
      </c>
      <c r="L1118" t="s">
        <v>1225</v>
      </c>
      <c r="M1118" t="s">
        <v>36</v>
      </c>
      <c r="N1118" t="s">
        <v>316</v>
      </c>
      <c r="O1118" t="s">
        <v>317</v>
      </c>
      <c r="P1118">
        <v>16</v>
      </c>
      <c r="Q1118" t="s">
        <v>60</v>
      </c>
      <c r="S1118" t="str">
        <f>_xlfn.XLOOKUP(UNIVERSO[[#This Row],[Ruta]],'[1]CUOTA RUTA'!A:A,'[1]CUOTA RUTA'!D:D)</f>
        <v>Cargar</v>
      </c>
    </row>
    <row r="1119" spans="1:19" x14ac:dyDescent="0.25">
      <c r="A1119">
        <v>1500064445</v>
      </c>
      <c r="B1119" t="s">
        <v>2434</v>
      </c>
      <c r="C1119" t="s">
        <v>19</v>
      </c>
      <c r="D1119" t="s">
        <v>266</v>
      </c>
      <c r="E1119" t="s">
        <v>21</v>
      </c>
      <c r="F1119" t="s">
        <v>22</v>
      </c>
      <c r="G1119" t="s">
        <v>33</v>
      </c>
      <c r="H1119" t="s">
        <v>314</v>
      </c>
      <c r="I1119" t="s">
        <v>2435</v>
      </c>
      <c r="J1119">
        <v>9.8677326999999995</v>
      </c>
      <c r="K1119">
        <v>-83.911970499999995</v>
      </c>
      <c r="L1119" t="s">
        <v>1225</v>
      </c>
      <c r="M1119" t="s">
        <v>36</v>
      </c>
      <c r="N1119" t="s">
        <v>316</v>
      </c>
      <c r="O1119" t="s">
        <v>317</v>
      </c>
      <c r="P1119">
        <v>16</v>
      </c>
      <c r="Q1119" t="s">
        <v>60</v>
      </c>
      <c r="S1119" t="str">
        <f>_xlfn.XLOOKUP(UNIVERSO[[#This Row],[Ruta]],'[1]CUOTA RUTA'!A:A,'[1]CUOTA RUTA'!D:D)</f>
        <v>Cargar</v>
      </c>
    </row>
    <row r="1120" spans="1:19" x14ac:dyDescent="0.25">
      <c r="A1120">
        <v>1500064490</v>
      </c>
      <c r="B1120" t="s">
        <v>2436</v>
      </c>
      <c r="C1120" t="s">
        <v>19</v>
      </c>
      <c r="D1120" t="s">
        <v>266</v>
      </c>
      <c r="E1120" t="s">
        <v>21</v>
      </c>
      <c r="F1120" t="s">
        <v>22</v>
      </c>
      <c r="G1120" t="s">
        <v>33</v>
      </c>
      <c r="H1120" t="s">
        <v>366</v>
      </c>
      <c r="I1120" t="s">
        <v>2437</v>
      </c>
      <c r="J1120">
        <v>9.8485183333330006</v>
      </c>
      <c r="K1120">
        <v>-83.921503333329994</v>
      </c>
      <c r="L1120" t="s">
        <v>1225</v>
      </c>
      <c r="M1120" t="s">
        <v>36</v>
      </c>
      <c r="N1120" t="s">
        <v>316</v>
      </c>
      <c r="O1120" t="s">
        <v>317</v>
      </c>
      <c r="P1120">
        <v>18</v>
      </c>
      <c r="Q1120" t="s">
        <v>84</v>
      </c>
      <c r="S1120" t="str">
        <f>_xlfn.XLOOKUP(UNIVERSO[[#This Row],[Ruta]],'[1]CUOTA RUTA'!A:A,'[1]CUOTA RUTA'!D:D)</f>
        <v>Cargar</v>
      </c>
    </row>
    <row r="1121" spans="1:19" x14ac:dyDescent="0.25">
      <c r="A1121">
        <v>1500064588</v>
      </c>
      <c r="B1121" t="s">
        <v>2438</v>
      </c>
      <c r="C1121" t="s">
        <v>19</v>
      </c>
      <c r="D1121" t="s">
        <v>266</v>
      </c>
      <c r="E1121" t="s">
        <v>21</v>
      </c>
      <c r="F1121" t="s">
        <v>22</v>
      </c>
      <c r="G1121" t="s">
        <v>23</v>
      </c>
      <c r="H1121" t="s">
        <v>404</v>
      </c>
      <c r="I1121" t="s">
        <v>2439</v>
      </c>
      <c r="J1121">
        <v>9.8673129999999993</v>
      </c>
      <c r="K1121">
        <v>-83.898302999999999</v>
      </c>
      <c r="L1121" t="s">
        <v>1225</v>
      </c>
      <c r="M1121" t="s">
        <v>36</v>
      </c>
      <c r="N1121" t="s">
        <v>316</v>
      </c>
      <c r="O1121" t="s">
        <v>317</v>
      </c>
      <c r="P1121">
        <v>22</v>
      </c>
      <c r="Q1121" t="s">
        <v>30</v>
      </c>
      <c r="S1121" t="str">
        <f>_xlfn.XLOOKUP(UNIVERSO[[#This Row],[Ruta]],'[1]CUOTA RUTA'!A:A,'[1]CUOTA RUTA'!D:D)</f>
        <v>Cargar</v>
      </c>
    </row>
    <row r="1122" spans="1:19" x14ac:dyDescent="0.25">
      <c r="A1122">
        <v>1500064593</v>
      </c>
      <c r="B1122" t="s">
        <v>2440</v>
      </c>
      <c r="C1122" t="s">
        <v>19</v>
      </c>
      <c r="D1122" t="s">
        <v>266</v>
      </c>
      <c r="E1122" t="s">
        <v>21</v>
      </c>
      <c r="F1122" t="s">
        <v>22</v>
      </c>
      <c r="G1122" t="s">
        <v>64</v>
      </c>
      <c r="H1122" t="s">
        <v>1011</v>
      </c>
      <c r="I1122" t="s">
        <v>2441</v>
      </c>
      <c r="J1122">
        <v>9.8257533333329992</v>
      </c>
      <c r="K1122">
        <v>-83.796334999999999</v>
      </c>
      <c r="L1122" t="s">
        <v>1225</v>
      </c>
      <c r="M1122" t="s">
        <v>54</v>
      </c>
      <c r="N1122" t="s">
        <v>274</v>
      </c>
      <c r="O1122" t="s">
        <v>275</v>
      </c>
      <c r="P1122">
        <v>21</v>
      </c>
      <c r="Q1122" t="s">
        <v>239</v>
      </c>
      <c r="S1122" t="str">
        <f>_xlfn.XLOOKUP(UNIVERSO[[#This Row],[Ruta]],'[1]CUOTA RUTA'!A:A,'[1]CUOTA RUTA'!D:D)</f>
        <v>Cargar</v>
      </c>
    </row>
    <row r="1123" spans="1:19" x14ac:dyDescent="0.25">
      <c r="A1123">
        <v>1500064609</v>
      </c>
      <c r="B1123" t="s">
        <v>2442</v>
      </c>
      <c r="C1123" t="s">
        <v>19</v>
      </c>
      <c r="D1123" t="s">
        <v>266</v>
      </c>
      <c r="E1123" t="s">
        <v>21</v>
      </c>
      <c r="F1123" t="s">
        <v>22</v>
      </c>
      <c r="G1123" t="s">
        <v>33</v>
      </c>
      <c r="H1123" t="s">
        <v>404</v>
      </c>
      <c r="I1123" t="s">
        <v>2443</v>
      </c>
      <c r="J1123">
        <v>9.8622540000000001</v>
      </c>
      <c r="K1123">
        <v>-83.903040000000004</v>
      </c>
      <c r="L1123" t="s">
        <v>1225</v>
      </c>
      <c r="M1123" t="s">
        <v>36</v>
      </c>
      <c r="N1123" t="s">
        <v>316</v>
      </c>
      <c r="O1123" t="s">
        <v>317</v>
      </c>
      <c r="P1123">
        <v>16</v>
      </c>
      <c r="Q1123" t="s">
        <v>60</v>
      </c>
      <c r="S1123" t="str">
        <f>_xlfn.XLOOKUP(UNIVERSO[[#This Row],[Ruta]],'[1]CUOTA RUTA'!A:A,'[1]CUOTA RUTA'!D:D)</f>
        <v>Cargar</v>
      </c>
    </row>
    <row r="1124" spans="1:19" x14ac:dyDescent="0.25">
      <c r="A1124">
        <v>1500064688</v>
      </c>
      <c r="B1124" t="s">
        <v>2444</v>
      </c>
      <c r="C1124" t="s">
        <v>19</v>
      </c>
      <c r="D1124" t="s">
        <v>266</v>
      </c>
      <c r="E1124" t="s">
        <v>21</v>
      </c>
      <c r="F1124" t="s">
        <v>22</v>
      </c>
      <c r="G1124" t="s">
        <v>33</v>
      </c>
      <c r="H1124" t="s">
        <v>366</v>
      </c>
      <c r="I1124" t="s">
        <v>2445</v>
      </c>
      <c r="J1124">
        <v>9.8428349999999991</v>
      </c>
      <c r="K1124">
        <v>-83.917771666660002</v>
      </c>
      <c r="L1124" t="s">
        <v>1225</v>
      </c>
      <c r="M1124" t="s">
        <v>36</v>
      </c>
      <c r="N1124" t="s">
        <v>316</v>
      </c>
      <c r="O1124" t="s">
        <v>317</v>
      </c>
      <c r="P1124">
        <v>17</v>
      </c>
      <c r="Q1124" t="s">
        <v>287</v>
      </c>
      <c r="S1124" t="str">
        <f>_xlfn.XLOOKUP(UNIVERSO[[#This Row],[Ruta]],'[1]CUOTA RUTA'!A:A,'[1]CUOTA RUTA'!D:D)</f>
        <v>Cargar</v>
      </c>
    </row>
    <row r="1125" spans="1:19" x14ac:dyDescent="0.25">
      <c r="A1125">
        <v>1500064691</v>
      </c>
      <c r="B1125" t="s">
        <v>2446</v>
      </c>
      <c r="C1125" t="s">
        <v>19</v>
      </c>
      <c r="D1125" t="s">
        <v>266</v>
      </c>
      <c r="E1125" t="s">
        <v>21</v>
      </c>
      <c r="F1125" t="s">
        <v>22</v>
      </c>
      <c r="G1125" t="s">
        <v>33</v>
      </c>
      <c r="H1125" t="s">
        <v>366</v>
      </c>
      <c r="I1125" t="s">
        <v>2447</v>
      </c>
      <c r="J1125">
        <v>9.8331999999999997</v>
      </c>
      <c r="K1125">
        <v>-83.910836666660003</v>
      </c>
      <c r="L1125" t="s">
        <v>1225</v>
      </c>
      <c r="M1125" t="s">
        <v>36</v>
      </c>
      <c r="N1125" t="s">
        <v>316</v>
      </c>
      <c r="O1125" t="s">
        <v>317</v>
      </c>
      <c r="P1125">
        <v>17</v>
      </c>
      <c r="Q1125" t="s">
        <v>287</v>
      </c>
      <c r="S1125" t="str">
        <f>_xlfn.XLOOKUP(UNIVERSO[[#This Row],[Ruta]],'[1]CUOTA RUTA'!A:A,'[1]CUOTA RUTA'!D:D)</f>
        <v>Cargar</v>
      </c>
    </row>
    <row r="1126" spans="1:19" x14ac:dyDescent="0.25">
      <c r="A1126">
        <v>1500064808</v>
      </c>
      <c r="B1126" t="s">
        <v>2448</v>
      </c>
      <c r="C1126" t="s">
        <v>19</v>
      </c>
      <c r="D1126" t="s">
        <v>266</v>
      </c>
      <c r="E1126" t="s">
        <v>21</v>
      </c>
      <c r="F1126" t="s">
        <v>22</v>
      </c>
      <c r="G1126" t="s">
        <v>33</v>
      </c>
      <c r="H1126" t="s">
        <v>1011</v>
      </c>
      <c r="I1126" t="s">
        <v>2449</v>
      </c>
      <c r="J1126">
        <v>9.8484400999999995</v>
      </c>
      <c r="K1126">
        <v>-83.822943199999997</v>
      </c>
      <c r="L1126" t="s">
        <v>1225</v>
      </c>
      <c r="M1126" t="s">
        <v>54</v>
      </c>
      <c r="N1126" t="s">
        <v>274</v>
      </c>
      <c r="O1126" t="s">
        <v>275</v>
      </c>
      <c r="P1126">
        <v>21</v>
      </c>
      <c r="Q1126" t="s">
        <v>239</v>
      </c>
      <c r="S1126" t="str">
        <f>_xlfn.XLOOKUP(UNIVERSO[[#This Row],[Ruta]],'[1]CUOTA RUTA'!A:A,'[1]CUOTA RUTA'!D:D)</f>
        <v>Cargar</v>
      </c>
    </row>
    <row r="1127" spans="1:19" x14ac:dyDescent="0.25">
      <c r="A1127">
        <v>1500064811</v>
      </c>
      <c r="B1127" t="s">
        <v>2450</v>
      </c>
      <c r="C1127" t="s">
        <v>19</v>
      </c>
      <c r="D1127" t="s">
        <v>266</v>
      </c>
      <c r="E1127" t="s">
        <v>21</v>
      </c>
      <c r="F1127" t="s">
        <v>22</v>
      </c>
      <c r="G1127" t="s">
        <v>64</v>
      </c>
      <c r="H1127" t="s">
        <v>1011</v>
      </c>
      <c r="I1127" t="s">
        <v>2451</v>
      </c>
      <c r="J1127">
        <v>9.8377657999999997</v>
      </c>
      <c r="K1127">
        <v>-83.814312200000003</v>
      </c>
      <c r="L1127" t="s">
        <v>1225</v>
      </c>
      <c r="M1127" t="s">
        <v>54</v>
      </c>
      <c r="N1127" t="s">
        <v>274</v>
      </c>
      <c r="O1127" t="s">
        <v>275</v>
      </c>
      <c r="P1127">
        <v>21</v>
      </c>
      <c r="Q1127" t="s">
        <v>239</v>
      </c>
      <c r="S1127" t="str">
        <f>_xlfn.XLOOKUP(UNIVERSO[[#This Row],[Ruta]],'[1]CUOTA RUTA'!A:A,'[1]CUOTA RUTA'!D:D)</f>
        <v>Cargar</v>
      </c>
    </row>
    <row r="1128" spans="1:19" x14ac:dyDescent="0.25">
      <c r="A1128">
        <v>1500064833</v>
      </c>
      <c r="B1128" t="s">
        <v>2452</v>
      </c>
      <c r="C1128" t="s">
        <v>19</v>
      </c>
      <c r="D1128" t="s">
        <v>266</v>
      </c>
      <c r="E1128" t="s">
        <v>21</v>
      </c>
      <c r="F1128" t="s">
        <v>22</v>
      </c>
      <c r="G1128" t="s">
        <v>64</v>
      </c>
      <c r="H1128" t="s">
        <v>1011</v>
      </c>
      <c r="I1128" t="s">
        <v>2453</v>
      </c>
      <c r="J1128">
        <v>9.8250080000000004</v>
      </c>
      <c r="K1128">
        <v>-83.802933999999993</v>
      </c>
      <c r="L1128" t="s">
        <v>1225</v>
      </c>
      <c r="M1128" t="s">
        <v>54</v>
      </c>
      <c r="N1128" t="s">
        <v>274</v>
      </c>
      <c r="O1128" t="s">
        <v>275</v>
      </c>
      <c r="P1128">
        <v>21</v>
      </c>
      <c r="Q1128" t="s">
        <v>239</v>
      </c>
      <c r="S1128" t="str">
        <f>_xlfn.XLOOKUP(UNIVERSO[[#This Row],[Ruta]],'[1]CUOTA RUTA'!A:A,'[1]CUOTA RUTA'!D:D)</f>
        <v>Cargar</v>
      </c>
    </row>
    <row r="1129" spans="1:19" x14ac:dyDescent="0.25">
      <c r="A1129">
        <v>1500064857</v>
      </c>
      <c r="B1129" t="s">
        <v>2454</v>
      </c>
      <c r="C1129" t="s">
        <v>19</v>
      </c>
      <c r="D1129" t="s">
        <v>266</v>
      </c>
      <c r="E1129" t="s">
        <v>21</v>
      </c>
      <c r="F1129" t="s">
        <v>22</v>
      </c>
      <c r="G1129" t="s">
        <v>23</v>
      </c>
      <c r="H1129" t="s">
        <v>404</v>
      </c>
      <c r="I1129" t="s">
        <v>2455</v>
      </c>
      <c r="J1129">
        <v>9.8361339999999995</v>
      </c>
      <c r="K1129">
        <v>-83.868381999999997</v>
      </c>
      <c r="L1129" t="s">
        <v>1225</v>
      </c>
      <c r="M1129" t="s">
        <v>36</v>
      </c>
      <c r="N1129" t="s">
        <v>316</v>
      </c>
      <c r="O1129" t="s">
        <v>317</v>
      </c>
      <c r="P1129">
        <v>23</v>
      </c>
      <c r="Q1129" t="s">
        <v>125</v>
      </c>
      <c r="S1129" t="str">
        <f>_xlfn.XLOOKUP(UNIVERSO[[#This Row],[Ruta]],'[1]CUOTA RUTA'!A:A,'[1]CUOTA RUTA'!D:D)</f>
        <v>Cargar</v>
      </c>
    </row>
    <row r="1130" spans="1:19" x14ac:dyDescent="0.25">
      <c r="A1130">
        <v>1500064870</v>
      </c>
      <c r="B1130" t="s">
        <v>2456</v>
      </c>
      <c r="C1130" t="s">
        <v>19</v>
      </c>
      <c r="D1130" t="s">
        <v>266</v>
      </c>
      <c r="E1130" t="s">
        <v>21</v>
      </c>
      <c r="F1130" t="s">
        <v>22</v>
      </c>
      <c r="G1130" t="s">
        <v>33</v>
      </c>
      <c r="H1130" t="s">
        <v>404</v>
      </c>
      <c r="I1130" t="s">
        <v>2457</v>
      </c>
      <c r="J1130">
        <v>9.8323</v>
      </c>
      <c r="K1130">
        <v>-83.875799999999998</v>
      </c>
      <c r="L1130" t="s">
        <v>1225</v>
      </c>
      <c r="M1130" t="s">
        <v>36</v>
      </c>
      <c r="N1130" t="s">
        <v>316</v>
      </c>
      <c r="O1130" t="s">
        <v>317</v>
      </c>
      <c r="P1130">
        <v>23</v>
      </c>
      <c r="Q1130" t="s">
        <v>125</v>
      </c>
      <c r="S1130" t="str">
        <f>_xlfn.XLOOKUP(UNIVERSO[[#This Row],[Ruta]],'[1]CUOTA RUTA'!A:A,'[1]CUOTA RUTA'!D:D)</f>
        <v>Cargar</v>
      </c>
    </row>
    <row r="1131" spans="1:19" x14ac:dyDescent="0.25">
      <c r="A1131">
        <v>1500064953</v>
      </c>
      <c r="B1131" t="s">
        <v>2458</v>
      </c>
      <c r="C1131" t="s">
        <v>19</v>
      </c>
      <c r="D1131" t="s">
        <v>266</v>
      </c>
      <c r="E1131" t="s">
        <v>21</v>
      </c>
      <c r="F1131" t="s">
        <v>22</v>
      </c>
      <c r="G1131" t="s">
        <v>64</v>
      </c>
      <c r="H1131" t="s">
        <v>321</v>
      </c>
      <c r="I1131" t="s">
        <v>2459</v>
      </c>
      <c r="J1131">
        <v>9.7834924000000001</v>
      </c>
      <c r="K1131">
        <v>-84.047513300000006</v>
      </c>
      <c r="L1131" t="s">
        <v>1225</v>
      </c>
      <c r="M1131" t="s">
        <v>54</v>
      </c>
      <c r="N1131" t="s">
        <v>274</v>
      </c>
      <c r="O1131" t="s">
        <v>275</v>
      </c>
      <c r="P1131">
        <v>23</v>
      </c>
      <c r="Q1131" t="s">
        <v>125</v>
      </c>
      <c r="S1131" t="str">
        <f>_xlfn.XLOOKUP(UNIVERSO[[#This Row],[Ruta]],'[1]CUOTA RUTA'!A:A,'[1]CUOTA RUTA'!D:D)</f>
        <v>Cargar</v>
      </c>
    </row>
    <row r="1132" spans="1:19" x14ac:dyDescent="0.25">
      <c r="A1132">
        <v>1500064964</v>
      </c>
      <c r="B1132" t="s">
        <v>2460</v>
      </c>
      <c r="C1132" t="s">
        <v>19</v>
      </c>
      <c r="D1132" t="s">
        <v>266</v>
      </c>
      <c r="E1132" t="s">
        <v>21</v>
      </c>
      <c r="F1132" t="s">
        <v>22</v>
      </c>
      <c r="G1132" t="s">
        <v>64</v>
      </c>
      <c r="H1132" t="s">
        <v>321</v>
      </c>
      <c r="I1132" t="s">
        <v>2461</v>
      </c>
      <c r="J1132">
        <v>9.7736695999999998</v>
      </c>
      <c r="K1132">
        <v>-84.033528700000005</v>
      </c>
      <c r="L1132" t="s">
        <v>1225</v>
      </c>
      <c r="M1132" t="s">
        <v>54</v>
      </c>
      <c r="N1132" t="s">
        <v>274</v>
      </c>
      <c r="O1132" t="s">
        <v>275</v>
      </c>
      <c r="P1132">
        <v>23</v>
      </c>
      <c r="Q1132" t="s">
        <v>125</v>
      </c>
      <c r="S1132" t="str">
        <f>_xlfn.XLOOKUP(UNIVERSO[[#This Row],[Ruta]],'[1]CUOTA RUTA'!A:A,'[1]CUOTA RUTA'!D:D)</f>
        <v>Cargar</v>
      </c>
    </row>
    <row r="1133" spans="1:19" x14ac:dyDescent="0.25">
      <c r="A1133">
        <v>1500064966</v>
      </c>
      <c r="B1133" t="s">
        <v>1863</v>
      </c>
      <c r="C1133" t="s">
        <v>19</v>
      </c>
      <c r="D1133" t="s">
        <v>266</v>
      </c>
      <c r="E1133" t="s">
        <v>21</v>
      </c>
      <c r="F1133" t="s">
        <v>22</v>
      </c>
      <c r="G1133" t="s">
        <v>64</v>
      </c>
      <c r="H1133" t="s">
        <v>321</v>
      </c>
      <c r="I1133" t="s">
        <v>2462</v>
      </c>
      <c r="J1133">
        <v>9.7741583999999992</v>
      </c>
      <c r="K1133">
        <v>-84.0329567</v>
      </c>
      <c r="L1133" t="s">
        <v>1225</v>
      </c>
      <c r="M1133" t="s">
        <v>54</v>
      </c>
      <c r="N1133" t="s">
        <v>274</v>
      </c>
      <c r="O1133" t="s">
        <v>275</v>
      </c>
      <c r="P1133">
        <v>23</v>
      </c>
      <c r="Q1133" t="s">
        <v>125</v>
      </c>
      <c r="S1133" t="str">
        <f>_xlfn.XLOOKUP(UNIVERSO[[#This Row],[Ruta]],'[1]CUOTA RUTA'!A:A,'[1]CUOTA RUTA'!D:D)</f>
        <v>Cargar</v>
      </c>
    </row>
    <row r="1134" spans="1:19" x14ac:dyDescent="0.25">
      <c r="A1134">
        <v>1500065020</v>
      </c>
      <c r="B1134" t="s">
        <v>2463</v>
      </c>
      <c r="C1134" t="s">
        <v>19</v>
      </c>
      <c r="D1134" t="s">
        <v>266</v>
      </c>
      <c r="E1134" t="s">
        <v>21</v>
      </c>
      <c r="F1134" t="s">
        <v>22</v>
      </c>
      <c r="G1134" t="s">
        <v>64</v>
      </c>
      <c r="H1134" t="s">
        <v>272</v>
      </c>
      <c r="I1134" t="s">
        <v>2464</v>
      </c>
      <c r="J1134">
        <v>9.9213000000000005</v>
      </c>
      <c r="K1134">
        <v>-83.785700000000006</v>
      </c>
      <c r="L1134" t="s">
        <v>1225</v>
      </c>
      <c r="M1134" t="s">
        <v>54</v>
      </c>
      <c r="N1134" t="s">
        <v>274</v>
      </c>
      <c r="O1134" t="s">
        <v>275</v>
      </c>
      <c r="P1134">
        <v>21</v>
      </c>
      <c r="Q1134" t="s">
        <v>239</v>
      </c>
      <c r="S1134" t="str">
        <f>_xlfn.XLOOKUP(UNIVERSO[[#This Row],[Ruta]],'[1]CUOTA RUTA'!A:A,'[1]CUOTA RUTA'!D:D)</f>
        <v>Cargar</v>
      </c>
    </row>
    <row r="1135" spans="1:19" x14ac:dyDescent="0.25">
      <c r="A1135">
        <v>1500065043</v>
      </c>
      <c r="B1135" t="s">
        <v>2465</v>
      </c>
      <c r="C1135" t="s">
        <v>19</v>
      </c>
      <c r="D1135" t="s">
        <v>266</v>
      </c>
      <c r="E1135" t="s">
        <v>21</v>
      </c>
      <c r="F1135" t="s">
        <v>22</v>
      </c>
      <c r="G1135" t="s">
        <v>64</v>
      </c>
      <c r="H1135" t="s">
        <v>1011</v>
      </c>
      <c r="I1135" t="s">
        <v>2466</v>
      </c>
      <c r="J1135">
        <v>9.8915275999999999</v>
      </c>
      <c r="K1135">
        <v>-83.872204800000006</v>
      </c>
      <c r="L1135" t="s">
        <v>1225</v>
      </c>
      <c r="M1135" t="s">
        <v>54</v>
      </c>
      <c r="N1135" t="s">
        <v>274</v>
      </c>
      <c r="O1135" t="s">
        <v>275</v>
      </c>
      <c r="P1135">
        <v>20</v>
      </c>
      <c r="Q1135" t="s">
        <v>74</v>
      </c>
      <c r="S1135" t="str">
        <f>_xlfn.XLOOKUP(UNIVERSO[[#This Row],[Ruta]],'[1]CUOTA RUTA'!A:A,'[1]CUOTA RUTA'!D:D)</f>
        <v>Cargar</v>
      </c>
    </row>
    <row r="1136" spans="1:19" x14ac:dyDescent="0.25">
      <c r="A1136">
        <v>1500065077</v>
      </c>
      <c r="B1136" t="s">
        <v>2467</v>
      </c>
      <c r="C1136" t="s">
        <v>19</v>
      </c>
      <c r="D1136" t="s">
        <v>266</v>
      </c>
      <c r="E1136" t="s">
        <v>21</v>
      </c>
      <c r="F1136" t="s">
        <v>22</v>
      </c>
      <c r="G1136" t="s">
        <v>64</v>
      </c>
      <c r="H1136" t="s">
        <v>1011</v>
      </c>
      <c r="I1136" t="s">
        <v>2468</v>
      </c>
      <c r="J1136">
        <v>9.9134832999999993</v>
      </c>
      <c r="K1136">
        <v>-83.888223300000007</v>
      </c>
      <c r="L1136" t="s">
        <v>1225</v>
      </c>
      <c r="M1136" t="s">
        <v>54</v>
      </c>
      <c r="N1136" t="s">
        <v>274</v>
      </c>
      <c r="O1136" t="s">
        <v>275</v>
      </c>
      <c r="P1136">
        <v>20</v>
      </c>
      <c r="Q1136" t="s">
        <v>74</v>
      </c>
      <c r="S1136" t="str">
        <f>_xlfn.XLOOKUP(UNIVERSO[[#This Row],[Ruta]],'[1]CUOTA RUTA'!A:A,'[1]CUOTA RUTA'!D:D)</f>
        <v>Cargar</v>
      </c>
    </row>
    <row r="1137" spans="1:19" x14ac:dyDescent="0.25">
      <c r="A1137">
        <v>1500065082</v>
      </c>
      <c r="B1137" t="s">
        <v>2469</v>
      </c>
      <c r="C1137" t="s">
        <v>19</v>
      </c>
      <c r="D1137" t="s">
        <v>266</v>
      </c>
      <c r="E1137" t="s">
        <v>21</v>
      </c>
      <c r="F1137" t="s">
        <v>22</v>
      </c>
      <c r="G1137" t="s">
        <v>33</v>
      </c>
      <c r="H1137" t="s">
        <v>1011</v>
      </c>
      <c r="I1137" t="s">
        <v>2470</v>
      </c>
      <c r="J1137">
        <v>9.9158816666669995</v>
      </c>
      <c r="K1137">
        <v>-83.893591666660001</v>
      </c>
      <c r="L1137" t="s">
        <v>1225</v>
      </c>
      <c r="M1137" t="s">
        <v>54</v>
      </c>
      <c r="N1137" t="s">
        <v>274</v>
      </c>
      <c r="O1137" t="s">
        <v>275</v>
      </c>
      <c r="P1137">
        <v>20</v>
      </c>
      <c r="Q1137" t="s">
        <v>74</v>
      </c>
      <c r="S1137" t="str">
        <f>_xlfn.XLOOKUP(UNIVERSO[[#This Row],[Ruta]],'[1]CUOTA RUTA'!A:A,'[1]CUOTA RUTA'!D:D)</f>
        <v>Cargar</v>
      </c>
    </row>
    <row r="1138" spans="1:19" x14ac:dyDescent="0.25">
      <c r="A1138">
        <v>1500065096</v>
      </c>
      <c r="B1138" t="s">
        <v>2471</v>
      </c>
      <c r="C1138" t="s">
        <v>19</v>
      </c>
      <c r="D1138" t="s">
        <v>266</v>
      </c>
      <c r="E1138" t="s">
        <v>21</v>
      </c>
      <c r="F1138" t="s">
        <v>22</v>
      </c>
      <c r="G1138" t="s">
        <v>64</v>
      </c>
      <c r="H1138" t="s">
        <v>1011</v>
      </c>
      <c r="I1138" t="s">
        <v>2472</v>
      </c>
      <c r="J1138">
        <v>9.9152386999999997</v>
      </c>
      <c r="K1138">
        <v>-83.882768200000001</v>
      </c>
      <c r="L1138" t="s">
        <v>1225</v>
      </c>
      <c r="M1138" t="s">
        <v>54</v>
      </c>
      <c r="N1138" t="s">
        <v>274</v>
      </c>
      <c r="O1138" t="s">
        <v>275</v>
      </c>
      <c r="P1138">
        <v>20</v>
      </c>
      <c r="Q1138" t="s">
        <v>74</v>
      </c>
      <c r="S1138" t="str">
        <f>_xlfn.XLOOKUP(UNIVERSO[[#This Row],[Ruta]],'[1]CUOTA RUTA'!A:A,'[1]CUOTA RUTA'!D:D)</f>
        <v>Cargar</v>
      </c>
    </row>
    <row r="1139" spans="1:19" x14ac:dyDescent="0.25">
      <c r="A1139">
        <v>1500065100</v>
      </c>
      <c r="B1139" t="s">
        <v>2473</v>
      </c>
      <c r="C1139" t="s">
        <v>19</v>
      </c>
      <c r="D1139" t="s">
        <v>266</v>
      </c>
      <c r="E1139" t="s">
        <v>21</v>
      </c>
      <c r="F1139" t="s">
        <v>22</v>
      </c>
      <c r="G1139" t="s">
        <v>64</v>
      </c>
      <c r="H1139" t="s">
        <v>703</v>
      </c>
      <c r="I1139" t="s">
        <v>2474</v>
      </c>
      <c r="J1139">
        <v>9.8371999999999993</v>
      </c>
      <c r="K1139">
        <v>-83.981999999999999</v>
      </c>
      <c r="L1139" t="s">
        <v>1225</v>
      </c>
      <c r="M1139" t="s">
        <v>36</v>
      </c>
      <c r="N1139" t="s">
        <v>316</v>
      </c>
      <c r="O1139" t="s">
        <v>317</v>
      </c>
      <c r="P1139">
        <v>20</v>
      </c>
      <c r="Q1139" t="s">
        <v>74</v>
      </c>
      <c r="S1139" t="str">
        <f>_xlfn.XLOOKUP(UNIVERSO[[#This Row],[Ruta]],'[1]CUOTA RUTA'!A:A,'[1]CUOTA RUTA'!D:D)</f>
        <v>Cargar</v>
      </c>
    </row>
    <row r="1140" spans="1:19" x14ac:dyDescent="0.25">
      <c r="A1140">
        <v>1500065105</v>
      </c>
      <c r="B1140" t="s">
        <v>2475</v>
      </c>
      <c r="C1140" t="s">
        <v>19</v>
      </c>
      <c r="D1140" t="s">
        <v>266</v>
      </c>
      <c r="E1140" t="s">
        <v>21</v>
      </c>
      <c r="F1140" t="s">
        <v>22</v>
      </c>
      <c r="G1140" t="s">
        <v>23</v>
      </c>
      <c r="H1140" t="s">
        <v>703</v>
      </c>
      <c r="I1140" t="s">
        <v>2476</v>
      </c>
      <c r="J1140">
        <v>9.8463429999999992</v>
      </c>
      <c r="K1140">
        <v>-83.957148000000004</v>
      </c>
      <c r="L1140" t="s">
        <v>1225</v>
      </c>
      <c r="M1140" t="s">
        <v>36</v>
      </c>
      <c r="N1140" t="s">
        <v>316</v>
      </c>
      <c r="O1140" t="s">
        <v>317</v>
      </c>
      <c r="P1140">
        <v>20</v>
      </c>
      <c r="Q1140" t="s">
        <v>74</v>
      </c>
      <c r="S1140" t="str">
        <f>_xlfn.XLOOKUP(UNIVERSO[[#This Row],[Ruta]],'[1]CUOTA RUTA'!A:A,'[1]CUOTA RUTA'!D:D)</f>
        <v>Cargar</v>
      </c>
    </row>
    <row r="1141" spans="1:19" x14ac:dyDescent="0.25">
      <c r="A1141">
        <v>1500065146</v>
      </c>
      <c r="B1141" t="s">
        <v>2477</v>
      </c>
      <c r="C1141" t="s">
        <v>19</v>
      </c>
      <c r="D1141" t="s">
        <v>266</v>
      </c>
      <c r="E1141" t="s">
        <v>21</v>
      </c>
      <c r="F1141" t="s">
        <v>22</v>
      </c>
      <c r="G1141" t="s">
        <v>64</v>
      </c>
      <c r="H1141" t="s">
        <v>1011</v>
      </c>
      <c r="I1141" t="s">
        <v>2478</v>
      </c>
      <c r="J1141">
        <v>9.928961666667</v>
      </c>
      <c r="K1141">
        <v>-83.914916666660005</v>
      </c>
      <c r="L1141" t="s">
        <v>1225</v>
      </c>
      <c r="M1141" t="s">
        <v>54</v>
      </c>
      <c r="N1141" t="s">
        <v>274</v>
      </c>
      <c r="O1141" t="s">
        <v>275</v>
      </c>
      <c r="P1141">
        <v>21</v>
      </c>
      <c r="Q1141" t="s">
        <v>239</v>
      </c>
      <c r="S1141" t="str">
        <f>_xlfn.XLOOKUP(UNIVERSO[[#This Row],[Ruta]],'[1]CUOTA RUTA'!A:A,'[1]CUOTA RUTA'!D:D)</f>
        <v>Cargar</v>
      </c>
    </row>
    <row r="1142" spans="1:19" x14ac:dyDescent="0.25">
      <c r="A1142">
        <v>1500065147</v>
      </c>
      <c r="B1142" t="s">
        <v>2479</v>
      </c>
      <c r="C1142" t="s">
        <v>19</v>
      </c>
      <c r="D1142" t="s">
        <v>266</v>
      </c>
      <c r="E1142" t="s">
        <v>21</v>
      </c>
      <c r="F1142" t="s">
        <v>22</v>
      </c>
      <c r="G1142" t="s">
        <v>33</v>
      </c>
      <c r="H1142" t="s">
        <v>1011</v>
      </c>
      <c r="I1142" t="s">
        <v>2480</v>
      </c>
      <c r="J1142">
        <v>9.9241814999999995</v>
      </c>
      <c r="K1142">
        <v>-83.906755200000006</v>
      </c>
      <c r="L1142" t="s">
        <v>1225</v>
      </c>
      <c r="M1142" t="s">
        <v>54</v>
      </c>
      <c r="N1142" t="s">
        <v>274</v>
      </c>
      <c r="O1142" t="s">
        <v>275</v>
      </c>
      <c r="P1142">
        <v>20</v>
      </c>
      <c r="Q1142" t="s">
        <v>74</v>
      </c>
      <c r="S1142" t="str">
        <f>_xlfn.XLOOKUP(UNIVERSO[[#This Row],[Ruta]],'[1]CUOTA RUTA'!A:A,'[1]CUOTA RUTA'!D:D)</f>
        <v>Cargar</v>
      </c>
    </row>
    <row r="1143" spans="1:19" x14ac:dyDescent="0.25">
      <c r="A1143">
        <v>1500065213</v>
      </c>
      <c r="B1143" t="s">
        <v>2481</v>
      </c>
      <c r="C1143" t="s">
        <v>19</v>
      </c>
      <c r="D1143" t="s">
        <v>266</v>
      </c>
      <c r="E1143" t="s">
        <v>21</v>
      </c>
      <c r="F1143" t="s">
        <v>22</v>
      </c>
      <c r="G1143" t="s">
        <v>64</v>
      </c>
      <c r="H1143" t="s">
        <v>407</v>
      </c>
      <c r="I1143" t="s">
        <v>2482</v>
      </c>
      <c r="J1143">
        <v>9.6645482000000005</v>
      </c>
      <c r="K1143">
        <v>-84.022742600000001</v>
      </c>
      <c r="L1143" t="s">
        <v>1225</v>
      </c>
      <c r="M1143" t="s">
        <v>409</v>
      </c>
      <c r="N1143" t="s">
        <v>410</v>
      </c>
      <c r="O1143" t="s">
        <v>411</v>
      </c>
      <c r="P1143">
        <v>22</v>
      </c>
      <c r="Q1143" t="s">
        <v>30</v>
      </c>
      <c r="S1143" t="str">
        <f>_xlfn.XLOOKUP(UNIVERSO[[#This Row],[Ruta]],'[1]CUOTA RUTA'!A:A,'[1]CUOTA RUTA'!D:D)</f>
        <v>Cargar</v>
      </c>
    </row>
    <row r="1144" spans="1:19" x14ac:dyDescent="0.25">
      <c r="A1144">
        <v>1500065243</v>
      </c>
      <c r="B1144" t="s">
        <v>2483</v>
      </c>
      <c r="C1144" t="s">
        <v>19</v>
      </c>
      <c r="D1144" t="s">
        <v>266</v>
      </c>
      <c r="E1144" t="s">
        <v>21</v>
      </c>
      <c r="F1144" t="s">
        <v>22</v>
      </c>
      <c r="G1144" t="s">
        <v>64</v>
      </c>
      <c r="H1144" t="s">
        <v>407</v>
      </c>
      <c r="I1144" t="s">
        <v>2484</v>
      </c>
      <c r="J1144">
        <v>9.7496644000000003</v>
      </c>
      <c r="K1144">
        <v>-84.0248603</v>
      </c>
      <c r="L1144" t="s">
        <v>1225</v>
      </c>
      <c r="M1144" t="s">
        <v>409</v>
      </c>
      <c r="N1144" t="s">
        <v>410</v>
      </c>
      <c r="O1144" t="s">
        <v>411</v>
      </c>
      <c r="P1144">
        <v>23</v>
      </c>
      <c r="Q1144" t="s">
        <v>125</v>
      </c>
      <c r="S1144" t="str">
        <f>_xlfn.XLOOKUP(UNIVERSO[[#This Row],[Ruta]],'[1]CUOTA RUTA'!A:A,'[1]CUOTA RUTA'!D:D)</f>
        <v>Cargar</v>
      </c>
    </row>
    <row r="1145" spans="1:19" x14ac:dyDescent="0.25">
      <c r="A1145">
        <v>1500065285</v>
      </c>
      <c r="B1145" t="s">
        <v>2485</v>
      </c>
      <c r="C1145" t="s">
        <v>19</v>
      </c>
      <c r="D1145" t="s">
        <v>266</v>
      </c>
      <c r="E1145" t="s">
        <v>21</v>
      </c>
      <c r="F1145" t="s">
        <v>22</v>
      </c>
      <c r="G1145" t="s">
        <v>33</v>
      </c>
      <c r="H1145" t="s">
        <v>407</v>
      </c>
      <c r="I1145" t="s">
        <v>2486</v>
      </c>
      <c r="J1145">
        <v>9.6402269999999994</v>
      </c>
      <c r="K1145">
        <v>-84.030822000000001</v>
      </c>
      <c r="L1145" t="s">
        <v>1225</v>
      </c>
      <c r="M1145" t="s">
        <v>409</v>
      </c>
      <c r="N1145" t="s">
        <v>410</v>
      </c>
      <c r="O1145" t="s">
        <v>411</v>
      </c>
      <c r="P1145">
        <v>22</v>
      </c>
      <c r="Q1145" t="s">
        <v>30</v>
      </c>
      <c r="S1145" t="str">
        <f>_xlfn.XLOOKUP(UNIVERSO[[#This Row],[Ruta]],'[1]CUOTA RUTA'!A:A,'[1]CUOTA RUTA'!D:D)</f>
        <v>Cargar</v>
      </c>
    </row>
    <row r="1146" spans="1:19" x14ac:dyDescent="0.25">
      <c r="A1146">
        <v>1500065409</v>
      </c>
      <c r="B1146" t="s">
        <v>2487</v>
      </c>
      <c r="C1146" t="s">
        <v>19</v>
      </c>
      <c r="D1146" t="s">
        <v>266</v>
      </c>
      <c r="E1146" t="s">
        <v>21</v>
      </c>
      <c r="F1146" t="s">
        <v>22</v>
      </c>
      <c r="G1146" t="s">
        <v>33</v>
      </c>
      <c r="H1146" t="s">
        <v>314</v>
      </c>
      <c r="I1146" t="s">
        <v>2488</v>
      </c>
      <c r="J1146">
        <v>9.8670158000000008</v>
      </c>
      <c r="K1146">
        <v>-83.913109700000007</v>
      </c>
      <c r="L1146" t="s">
        <v>1225</v>
      </c>
      <c r="M1146" t="s">
        <v>36</v>
      </c>
      <c r="N1146" t="s">
        <v>316</v>
      </c>
      <c r="O1146" t="s">
        <v>317</v>
      </c>
      <c r="P1146">
        <v>16</v>
      </c>
      <c r="Q1146" t="s">
        <v>60</v>
      </c>
      <c r="S1146" t="str">
        <f>_xlfn.XLOOKUP(UNIVERSO[[#This Row],[Ruta]],'[1]CUOTA RUTA'!A:A,'[1]CUOTA RUTA'!D:D)</f>
        <v>Cargar</v>
      </c>
    </row>
    <row r="1147" spans="1:19" x14ac:dyDescent="0.25">
      <c r="A1147">
        <v>1500065746</v>
      </c>
      <c r="B1147" t="s">
        <v>2489</v>
      </c>
      <c r="C1147" t="s">
        <v>19</v>
      </c>
      <c r="D1147" t="s">
        <v>266</v>
      </c>
      <c r="E1147" t="s">
        <v>21</v>
      </c>
      <c r="F1147" t="s">
        <v>22</v>
      </c>
      <c r="G1147" t="s">
        <v>64</v>
      </c>
      <c r="H1147" t="s">
        <v>407</v>
      </c>
      <c r="I1147" t="s">
        <v>2490</v>
      </c>
      <c r="J1147">
        <v>9.7293666000000005</v>
      </c>
      <c r="K1147">
        <v>-84.021464199999997</v>
      </c>
      <c r="L1147" t="s">
        <v>1225</v>
      </c>
      <c r="M1147" t="s">
        <v>409</v>
      </c>
      <c r="N1147" t="s">
        <v>410</v>
      </c>
      <c r="O1147" t="s">
        <v>411</v>
      </c>
      <c r="P1147">
        <v>23</v>
      </c>
      <c r="Q1147" t="s">
        <v>125</v>
      </c>
      <c r="S1147" t="str">
        <f>_xlfn.XLOOKUP(UNIVERSO[[#This Row],[Ruta]],'[1]CUOTA RUTA'!A:A,'[1]CUOTA RUTA'!D:D)</f>
        <v>Cargar</v>
      </c>
    </row>
    <row r="1148" spans="1:19" x14ac:dyDescent="0.25">
      <c r="A1148">
        <v>1500065839</v>
      </c>
      <c r="B1148" t="s">
        <v>2491</v>
      </c>
      <c r="C1148" t="s">
        <v>19</v>
      </c>
      <c r="D1148" t="s">
        <v>324</v>
      </c>
      <c r="E1148" t="s">
        <v>21</v>
      </c>
      <c r="F1148" t="s">
        <v>22</v>
      </c>
      <c r="G1148" t="s">
        <v>33</v>
      </c>
      <c r="H1148" t="s">
        <v>325</v>
      </c>
      <c r="I1148" t="s">
        <v>2492</v>
      </c>
      <c r="J1148">
        <v>10.374000000000001</v>
      </c>
      <c r="K1148">
        <v>-84.560410000000005</v>
      </c>
      <c r="L1148" t="s">
        <v>1225</v>
      </c>
      <c r="M1148" t="s">
        <v>327</v>
      </c>
      <c r="N1148" t="s">
        <v>328</v>
      </c>
      <c r="O1148" t="s">
        <v>329</v>
      </c>
      <c r="P1148">
        <v>14</v>
      </c>
      <c r="Q1148" t="s">
        <v>181</v>
      </c>
      <c r="S1148" t="str">
        <f>_xlfn.XLOOKUP(UNIVERSO[[#This Row],[Ruta]],'[1]CUOTA RUTA'!A:A,'[1]CUOTA RUTA'!D:D)</f>
        <v>Cargar</v>
      </c>
    </row>
    <row r="1149" spans="1:19" x14ac:dyDescent="0.25">
      <c r="A1149">
        <v>1500065852</v>
      </c>
      <c r="B1149" t="s">
        <v>1889</v>
      </c>
      <c r="C1149" t="s">
        <v>19</v>
      </c>
      <c r="D1149" t="s">
        <v>324</v>
      </c>
      <c r="E1149" t="s">
        <v>21</v>
      </c>
      <c r="F1149" t="s">
        <v>22</v>
      </c>
      <c r="G1149" t="s">
        <v>64</v>
      </c>
      <c r="H1149" t="s">
        <v>325</v>
      </c>
      <c r="I1149" t="s">
        <v>2493</v>
      </c>
      <c r="J1149">
        <v>10.357239</v>
      </c>
      <c r="K1149">
        <v>-84.598273000000006</v>
      </c>
      <c r="L1149" t="s">
        <v>1225</v>
      </c>
      <c r="M1149" t="s">
        <v>327</v>
      </c>
      <c r="N1149" t="s">
        <v>328</v>
      </c>
      <c r="O1149" t="s">
        <v>329</v>
      </c>
      <c r="P1149">
        <v>13</v>
      </c>
      <c r="Q1149" t="s">
        <v>161</v>
      </c>
      <c r="S1149" t="str">
        <f>_xlfn.XLOOKUP(UNIVERSO[[#This Row],[Ruta]],'[1]CUOTA RUTA'!A:A,'[1]CUOTA RUTA'!D:D)</f>
        <v>Cargar</v>
      </c>
    </row>
    <row r="1150" spans="1:19" x14ac:dyDescent="0.25">
      <c r="A1150">
        <v>1500065862</v>
      </c>
      <c r="B1150" t="s">
        <v>2494</v>
      </c>
      <c r="C1150" t="s">
        <v>19</v>
      </c>
      <c r="D1150" t="s">
        <v>324</v>
      </c>
      <c r="E1150" t="s">
        <v>21</v>
      </c>
      <c r="F1150" t="s">
        <v>22</v>
      </c>
      <c r="G1150" t="s">
        <v>64</v>
      </c>
      <c r="H1150" t="s">
        <v>325</v>
      </c>
      <c r="I1150" t="s">
        <v>2495</v>
      </c>
      <c r="J1150">
        <v>10.374700000000001</v>
      </c>
      <c r="K1150">
        <v>-84.484530000000007</v>
      </c>
      <c r="L1150" t="s">
        <v>1225</v>
      </c>
      <c r="M1150" t="s">
        <v>327</v>
      </c>
      <c r="N1150" t="s">
        <v>328</v>
      </c>
      <c r="O1150" t="s">
        <v>329</v>
      </c>
      <c r="P1150">
        <v>14</v>
      </c>
      <c r="Q1150" t="s">
        <v>181</v>
      </c>
      <c r="S1150" t="str">
        <f>_xlfn.XLOOKUP(UNIVERSO[[#This Row],[Ruta]],'[1]CUOTA RUTA'!A:A,'[1]CUOTA RUTA'!D:D)</f>
        <v>Cargar</v>
      </c>
    </row>
    <row r="1151" spans="1:19" x14ac:dyDescent="0.25">
      <c r="A1151">
        <v>1500065908</v>
      </c>
      <c r="B1151" t="s">
        <v>2496</v>
      </c>
      <c r="C1151" t="s">
        <v>19</v>
      </c>
      <c r="D1151" t="s">
        <v>324</v>
      </c>
      <c r="E1151" t="s">
        <v>21</v>
      </c>
      <c r="F1151" t="s">
        <v>22</v>
      </c>
      <c r="G1151" t="s">
        <v>64</v>
      </c>
      <c r="H1151" t="s">
        <v>511</v>
      </c>
      <c r="I1151" t="s">
        <v>2497</v>
      </c>
      <c r="J1151">
        <v>10.4714835</v>
      </c>
      <c r="K1151">
        <v>-84.546718200000001</v>
      </c>
      <c r="L1151" t="s">
        <v>1225</v>
      </c>
      <c r="M1151" t="s">
        <v>327</v>
      </c>
      <c r="N1151" t="s">
        <v>328</v>
      </c>
      <c r="O1151" t="s">
        <v>329</v>
      </c>
      <c r="P1151">
        <v>12</v>
      </c>
      <c r="Q1151" t="s">
        <v>42</v>
      </c>
      <c r="S1151" t="str">
        <f>_xlfn.XLOOKUP(UNIVERSO[[#This Row],[Ruta]],'[1]CUOTA RUTA'!A:A,'[1]CUOTA RUTA'!D:D)</f>
        <v>Cargar</v>
      </c>
    </row>
    <row r="1152" spans="1:19" x14ac:dyDescent="0.25">
      <c r="A1152">
        <v>1500065918</v>
      </c>
      <c r="B1152" t="s">
        <v>2498</v>
      </c>
      <c r="C1152" t="s">
        <v>19</v>
      </c>
      <c r="D1152" t="s">
        <v>324</v>
      </c>
      <c r="E1152" t="s">
        <v>21</v>
      </c>
      <c r="F1152" t="s">
        <v>22</v>
      </c>
      <c r="G1152" t="s">
        <v>33</v>
      </c>
      <c r="H1152" t="s">
        <v>390</v>
      </c>
      <c r="I1152" t="s">
        <v>2499</v>
      </c>
      <c r="J1152">
        <v>10.3232</v>
      </c>
      <c r="K1152">
        <v>-84.424679999999995</v>
      </c>
      <c r="L1152" t="s">
        <v>1225</v>
      </c>
      <c r="M1152" t="s">
        <v>327</v>
      </c>
      <c r="N1152" t="s">
        <v>328</v>
      </c>
      <c r="O1152" t="s">
        <v>329</v>
      </c>
      <c r="P1152">
        <v>22</v>
      </c>
      <c r="Q1152" t="s">
        <v>30</v>
      </c>
      <c r="S1152" t="str">
        <f>_xlfn.XLOOKUP(UNIVERSO[[#This Row],[Ruta]],'[1]CUOTA RUTA'!A:A,'[1]CUOTA RUTA'!D:D)</f>
        <v>Cargar</v>
      </c>
    </row>
    <row r="1153" spans="1:19" x14ac:dyDescent="0.25">
      <c r="A1153">
        <v>1500065948</v>
      </c>
      <c r="B1153" t="s">
        <v>2500</v>
      </c>
      <c r="C1153" t="s">
        <v>19</v>
      </c>
      <c r="D1153" t="s">
        <v>324</v>
      </c>
      <c r="E1153" t="s">
        <v>21</v>
      </c>
      <c r="F1153" t="s">
        <v>22</v>
      </c>
      <c r="G1153" t="s">
        <v>33</v>
      </c>
      <c r="H1153" t="s">
        <v>325</v>
      </c>
      <c r="I1153" t="s">
        <v>2501</v>
      </c>
      <c r="J1153">
        <v>10.315099999999999</v>
      </c>
      <c r="K1153">
        <v>-84.536609999999996</v>
      </c>
      <c r="L1153" t="s">
        <v>1225</v>
      </c>
      <c r="M1153" t="s">
        <v>327</v>
      </c>
      <c r="N1153" t="s">
        <v>328</v>
      </c>
      <c r="O1153" t="s">
        <v>329</v>
      </c>
      <c r="P1153">
        <v>14</v>
      </c>
      <c r="Q1153" t="s">
        <v>181</v>
      </c>
      <c r="S1153" t="str">
        <f>_xlfn.XLOOKUP(UNIVERSO[[#This Row],[Ruta]],'[1]CUOTA RUTA'!A:A,'[1]CUOTA RUTA'!D:D)</f>
        <v>Cargar</v>
      </c>
    </row>
    <row r="1154" spans="1:19" x14ac:dyDescent="0.25">
      <c r="A1154">
        <v>1500065955</v>
      </c>
      <c r="B1154" t="s">
        <v>2502</v>
      </c>
      <c r="C1154" t="s">
        <v>19</v>
      </c>
      <c r="D1154" t="s">
        <v>324</v>
      </c>
      <c r="E1154" t="s">
        <v>21</v>
      </c>
      <c r="F1154" t="s">
        <v>22</v>
      </c>
      <c r="G1154" t="s">
        <v>64</v>
      </c>
      <c r="H1154" t="s">
        <v>325</v>
      </c>
      <c r="I1154" t="s">
        <v>2503</v>
      </c>
      <c r="J1154">
        <v>10.3231</v>
      </c>
      <c r="K1154">
        <v>-84.513199999999998</v>
      </c>
      <c r="L1154" t="s">
        <v>1225</v>
      </c>
      <c r="M1154" t="s">
        <v>327</v>
      </c>
      <c r="N1154" t="s">
        <v>328</v>
      </c>
      <c r="O1154" t="s">
        <v>329</v>
      </c>
      <c r="P1154">
        <v>14</v>
      </c>
      <c r="Q1154" t="s">
        <v>181</v>
      </c>
      <c r="S1154" t="str">
        <f>_xlfn.XLOOKUP(UNIVERSO[[#This Row],[Ruta]],'[1]CUOTA RUTA'!A:A,'[1]CUOTA RUTA'!D:D)</f>
        <v>Cargar</v>
      </c>
    </row>
    <row r="1155" spans="1:19" x14ac:dyDescent="0.25">
      <c r="A1155">
        <v>1500065987</v>
      </c>
      <c r="B1155" t="s">
        <v>1117</v>
      </c>
      <c r="C1155" t="s">
        <v>19</v>
      </c>
      <c r="D1155" t="s">
        <v>324</v>
      </c>
      <c r="E1155" t="s">
        <v>21</v>
      </c>
      <c r="F1155" t="s">
        <v>51</v>
      </c>
      <c r="G1155" t="s">
        <v>23</v>
      </c>
      <c r="H1155" t="s">
        <v>393</v>
      </c>
      <c r="I1155" t="s">
        <v>2504</v>
      </c>
      <c r="J1155">
        <v>10.366072000000001</v>
      </c>
      <c r="K1155">
        <v>-84.435996000000003</v>
      </c>
      <c r="L1155" t="s">
        <v>1225</v>
      </c>
      <c r="M1155" t="s">
        <v>327</v>
      </c>
      <c r="N1155" t="s">
        <v>328</v>
      </c>
      <c r="O1155" t="s">
        <v>329</v>
      </c>
      <c r="P1155">
        <v>15</v>
      </c>
      <c r="Q1155" t="s">
        <v>231</v>
      </c>
      <c r="S1155" t="str">
        <f>_xlfn.XLOOKUP(UNIVERSO[[#This Row],[Ruta]],'[1]CUOTA RUTA'!A:A,'[1]CUOTA RUTA'!D:D)</f>
        <v>Cargar</v>
      </c>
    </row>
    <row r="1156" spans="1:19" x14ac:dyDescent="0.25">
      <c r="A1156">
        <v>1500066130</v>
      </c>
      <c r="B1156" t="s">
        <v>2505</v>
      </c>
      <c r="C1156" t="s">
        <v>19</v>
      </c>
      <c r="D1156" t="s">
        <v>324</v>
      </c>
      <c r="E1156" t="s">
        <v>21</v>
      </c>
      <c r="F1156" t="s">
        <v>22</v>
      </c>
      <c r="G1156" t="s">
        <v>23</v>
      </c>
      <c r="H1156" t="s">
        <v>396</v>
      </c>
      <c r="I1156" t="s">
        <v>2506</v>
      </c>
      <c r="J1156">
        <v>10.3563499</v>
      </c>
      <c r="K1156">
        <v>-84.267448299999998</v>
      </c>
      <c r="L1156" t="s">
        <v>1225</v>
      </c>
      <c r="M1156" t="s">
        <v>327</v>
      </c>
      <c r="N1156" t="s">
        <v>328</v>
      </c>
      <c r="O1156" t="s">
        <v>329</v>
      </c>
      <c r="P1156">
        <v>16</v>
      </c>
      <c r="Q1156" t="s">
        <v>60</v>
      </c>
      <c r="S1156" t="str">
        <f>_xlfn.XLOOKUP(UNIVERSO[[#This Row],[Ruta]],'[1]CUOTA RUTA'!A:A,'[1]CUOTA RUTA'!D:D)</f>
        <v>Cargar</v>
      </c>
    </row>
    <row r="1157" spans="1:19" x14ac:dyDescent="0.25">
      <c r="A1157">
        <v>1500066138</v>
      </c>
      <c r="B1157" t="s">
        <v>1614</v>
      </c>
      <c r="C1157" t="s">
        <v>19</v>
      </c>
      <c r="D1157" t="s">
        <v>324</v>
      </c>
      <c r="E1157" t="s">
        <v>21</v>
      </c>
      <c r="F1157" t="s">
        <v>22</v>
      </c>
      <c r="G1157" t="s">
        <v>64</v>
      </c>
      <c r="H1157" t="s">
        <v>393</v>
      </c>
      <c r="I1157" t="s">
        <v>2507</v>
      </c>
      <c r="J1157">
        <v>10.374599999999999</v>
      </c>
      <c r="K1157">
        <v>-84.32132</v>
      </c>
      <c r="L1157" t="s">
        <v>1225</v>
      </c>
      <c r="M1157" t="s">
        <v>327</v>
      </c>
      <c r="N1157" t="s">
        <v>328</v>
      </c>
      <c r="O1157" t="s">
        <v>329</v>
      </c>
      <c r="P1157">
        <v>16</v>
      </c>
      <c r="Q1157" t="s">
        <v>60</v>
      </c>
      <c r="S1157" t="str">
        <f>_xlfn.XLOOKUP(UNIVERSO[[#This Row],[Ruta]],'[1]CUOTA RUTA'!A:A,'[1]CUOTA RUTA'!D:D)</f>
        <v>Cargar</v>
      </c>
    </row>
    <row r="1158" spans="1:19" x14ac:dyDescent="0.25">
      <c r="A1158">
        <v>1500066143</v>
      </c>
      <c r="B1158" t="s">
        <v>2508</v>
      </c>
      <c r="C1158" t="s">
        <v>19</v>
      </c>
      <c r="D1158" t="s">
        <v>324</v>
      </c>
      <c r="E1158" t="s">
        <v>21</v>
      </c>
      <c r="F1158" t="s">
        <v>22</v>
      </c>
      <c r="G1158" t="s">
        <v>33</v>
      </c>
      <c r="H1158" t="s">
        <v>331</v>
      </c>
      <c r="I1158" t="s">
        <v>2509</v>
      </c>
      <c r="J1158">
        <v>10.337999999999999</v>
      </c>
      <c r="K1158">
        <v>-84.253259999999997</v>
      </c>
      <c r="L1158" t="s">
        <v>1225</v>
      </c>
      <c r="M1158" t="s">
        <v>327</v>
      </c>
      <c r="N1158" t="s">
        <v>328</v>
      </c>
      <c r="O1158" t="s">
        <v>329</v>
      </c>
      <c r="P1158">
        <v>16</v>
      </c>
      <c r="Q1158" t="s">
        <v>60</v>
      </c>
      <c r="S1158" t="str">
        <f>_xlfn.XLOOKUP(UNIVERSO[[#This Row],[Ruta]],'[1]CUOTA RUTA'!A:A,'[1]CUOTA RUTA'!D:D)</f>
        <v>Cargar</v>
      </c>
    </row>
    <row r="1159" spans="1:19" x14ac:dyDescent="0.25">
      <c r="A1159">
        <v>1500066237</v>
      </c>
      <c r="B1159" t="s">
        <v>2510</v>
      </c>
      <c r="C1159" t="s">
        <v>19</v>
      </c>
      <c r="D1159" t="s">
        <v>324</v>
      </c>
      <c r="E1159" t="s">
        <v>21</v>
      </c>
      <c r="F1159" t="s">
        <v>22</v>
      </c>
      <c r="G1159" t="s">
        <v>33</v>
      </c>
      <c r="H1159" t="s">
        <v>390</v>
      </c>
      <c r="I1159" t="s">
        <v>2511</v>
      </c>
      <c r="J1159">
        <v>10.315799999999999</v>
      </c>
      <c r="K1159">
        <v>-84.427679999999995</v>
      </c>
      <c r="L1159" t="s">
        <v>1225</v>
      </c>
      <c r="M1159" t="s">
        <v>327</v>
      </c>
      <c r="N1159" t="s">
        <v>328</v>
      </c>
      <c r="O1159" t="s">
        <v>329</v>
      </c>
      <c r="P1159">
        <v>22</v>
      </c>
      <c r="Q1159" t="s">
        <v>30</v>
      </c>
      <c r="S1159" t="str">
        <f>_xlfn.XLOOKUP(UNIVERSO[[#This Row],[Ruta]],'[1]CUOTA RUTA'!A:A,'[1]CUOTA RUTA'!D:D)</f>
        <v>Cargar</v>
      </c>
    </row>
    <row r="1160" spans="1:19" x14ac:dyDescent="0.25">
      <c r="A1160">
        <v>1500066298</v>
      </c>
      <c r="B1160" t="s">
        <v>2512</v>
      </c>
      <c r="C1160" t="s">
        <v>19</v>
      </c>
      <c r="D1160" t="s">
        <v>324</v>
      </c>
      <c r="E1160" t="s">
        <v>21</v>
      </c>
      <c r="F1160" t="s">
        <v>22</v>
      </c>
      <c r="G1160" t="s">
        <v>33</v>
      </c>
      <c r="H1160" t="s">
        <v>390</v>
      </c>
      <c r="I1160" t="s">
        <v>2513</v>
      </c>
      <c r="J1160">
        <v>10.3216453</v>
      </c>
      <c r="K1160">
        <v>-84.436226399999995</v>
      </c>
      <c r="L1160" t="s">
        <v>1225</v>
      </c>
      <c r="M1160" t="s">
        <v>327</v>
      </c>
      <c r="N1160" t="s">
        <v>328</v>
      </c>
      <c r="O1160" t="s">
        <v>329</v>
      </c>
      <c r="P1160">
        <v>23</v>
      </c>
      <c r="Q1160" t="s">
        <v>125</v>
      </c>
      <c r="S1160" t="str">
        <f>_xlfn.XLOOKUP(UNIVERSO[[#This Row],[Ruta]],'[1]CUOTA RUTA'!A:A,'[1]CUOTA RUTA'!D:D)</f>
        <v>Cargar</v>
      </c>
    </row>
    <row r="1161" spans="1:19" x14ac:dyDescent="0.25">
      <c r="A1161">
        <v>1500066339</v>
      </c>
      <c r="B1161" t="s">
        <v>1330</v>
      </c>
      <c r="C1161" t="s">
        <v>19</v>
      </c>
      <c r="D1161" t="s">
        <v>324</v>
      </c>
      <c r="E1161" t="s">
        <v>21</v>
      </c>
      <c r="F1161" t="s">
        <v>51</v>
      </c>
      <c r="G1161" t="s">
        <v>23</v>
      </c>
      <c r="H1161" t="s">
        <v>390</v>
      </c>
      <c r="I1161" t="s">
        <v>2514</v>
      </c>
      <c r="J1161">
        <v>10.323700000000001</v>
      </c>
      <c r="K1161">
        <v>-84.430520000000001</v>
      </c>
      <c r="L1161" t="s">
        <v>26</v>
      </c>
      <c r="M1161" t="s">
        <v>327</v>
      </c>
      <c r="N1161" t="s">
        <v>328</v>
      </c>
      <c r="O1161" t="s">
        <v>329</v>
      </c>
      <c r="P1161">
        <v>22</v>
      </c>
      <c r="Q1161" t="s">
        <v>30</v>
      </c>
      <c r="S1161" t="str">
        <f>_xlfn.XLOOKUP(UNIVERSO[[#This Row],[Ruta]],'[1]CUOTA RUTA'!A:A,'[1]CUOTA RUTA'!D:D)</f>
        <v>Cargar</v>
      </c>
    </row>
    <row r="1162" spans="1:19" x14ac:dyDescent="0.25">
      <c r="A1162">
        <v>1500066418</v>
      </c>
      <c r="B1162" t="s">
        <v>2515</v>
      </c>
      <c r="C1162" t="s">
        <v>19</v>
      </c>
      <c r="D1162" t="s">
        <v>324</v>
      </c>
      <c r="E1162" t="s">
        <v>21</v>
      </c>
      <c r="F1162" t="s">
        <v>51</v>
      </c>
      <c r="G1162" t="s">
        <v>23</v>
      </c>
      <c r="H1162" t="s">
        <v>396</v>
      </c>
      <c r="I1162" t="s">
        <v>2516</v>
      </c>
      <c r="J1162">
        <v>10.477824999999999</v>
      </c>
      <c r="K1162">
        <v>-84.582176200000006</v>
      </c>
      <c r="L1162" t="s">
        <v>1225</v>
      </c>
      <c r="M1162" t="s">
        <v>327</v>
      </c>
      <c r="N1162" t="s">
        <v>328</v>
      </c>
      <c r="O1162" t="s">
        <v>329</v>
      </c>
      <c r="P1162">
        <v>13</v>
      </c>
      <c r="Q1162" t="s">
        <v>161</v>
      </c>
      <c r="S1162" t="str">
        <f>_xlfn.XLOOKUP(UNIVERSO[[#This Row],[Ruta]],'[1]CUOTA RUTA'!A:A,'[1]CUOTA RUTA'!D:D)</f>
        <v>Cargar</v>
      </c>
    </row>
    <row r="1163" spans="1:19" x14ac:dyDescent="0.25">
      <c r="A1163">
        <v>1500066444</v>
      </c>
      <c r="B1163" t="s">
        <v>2517</v>
      </c>
      <c r="C1163" t="s">
        <v>19</v>
      </c>
      <c r="D1163" t="s">
        <v>324</v>
      </c>
      <c r="E1163" t="s">
        <v>21</v>
      </c>
      <c r="F1163" t="s">
        <v>22</v>
      </c>
      <c r="G1163" t="s">
        <v>23</v>
      </c>
      <c r="H1163" t="s">
        <v>511</v>
      </c>
      <c r="I1163" t="s">
        <v>2518</v>
      </c>
      <c r="J1163">
        <v>10.455935999999999</v>
      </c>
      <c r="K1163">
        <v>-84.587918999999999</v>
      </c>
      <c r="L1163" t="s">
        <v>1225</v>
      </c>
      <c r="M1163" t="s">
        <v>327</v>
      </c>
      <c r="N1163" t="s">
        <v>328</v>
      </c>
      <c r="O1163" t="s">
        <v>329</v>
      </c>
      <c r="P1163">
        <v>13</v>
      </c>
      <c r="Q1163" t="s">
        <v>161</v>
      </c>
      <c r="S1163" t="str">
        <f>_xlfn.XLOOKUP(UNIVERSO[[#This Row],[Ruta]],'[1]CUOTA RUTA'!A:A,'[1]CUOTA RUTA'!D:D)</f>
        <v>Cargar</v>
      </c>
    </row>
    <row r="1164" spans="1:19" x14ac:dyDescent="0.25">
      <c r="A1164">
        <v>1500066840</v>
      </c>
      <c r="B1164" t="s">
        <v>2519</v>
      </c>
      <c r="C1164" t="s">
        <v>19</v>
      </c>
      <c r="D1164" t="s">
        <v>324</v>
      </c>
      <c r="E1164" t="s">
        <v>21</v>
      </c>
      <c r="F1164" t="s">
        <v>22</v>
      </c>
      <c r="G1164" t="s">
        <v>33</v>
      </c>
      <c r="H1164" t="s">
        <v>331</v>
      </c>
      <c r="I1164" t="s">
        <v>2520</v>
      </c>
      <c r="J1164">
        <v>10.4519</v>
      </c>
      <c r="K1164">
        <v>-84.276300000000006</v>
      </c>
      <c r="L1164" t="s">
        <v>1225</v>
      </c>
      <c r="M1164" t="s">
        <v>327</v>
      </c>
      <c r="N1164" t="s">
        <v>328</v>
      </c>
      <c r="O1164" t="s">
        <v>329</v>
      </c>
      <c r="P1164">
        <v>18</v>
      </c>
      <c r="Q1164" t="s">
        <v>84</v>
      </c>
      <c r="S1164" t="str">
        <f>_xlfn.XLOOKUP(UNIVERSO[[#This Row],[Ruta]],'[1]CUOTA RUTA'!A:A,'[1]CUOTA RUTA'!D:D)</f>
        <v>Cargar</v>
      </c>
    </row>
    <row r="1165" spans="1:19" x14ac:dyDescent="0.25">
      <c r="A1165">
        <v>1500066848</v>
      </c>
      <c r="B1165" t="s">
        <v>2249</v>
      </c>
      <c r="C1165" t="s">
        <v>19</v>
      </c>
      <c r="D1165" t="s">
        <v>324</v>
      </c>
      <c r="E1165" t="s">
        <v>21</v>
      </c>
      <c r="F1165" t="s">
        <v>22</v>
      </c>
      <c r="G1165" t="s">
        <v>33</v>
      </c>
      <c r="H1165" t="s">
        <v>393</v>
      </c>
      <c r="I1165" t="s">
        <v>2521</v>
      </c>
      <c r="J1165">
        <v>10.3443</v>
      </c>
      <c r="K1165">
        <v>-84.407470000000004</v>
      </c>
      <c r="L1165" t="s">
        <v>1225</v>
      </c>
      <c r="M1165" t="s">
        <v>327</v>
      </c>
      <c r="N1165" t="s">
        <v>328</v>
      </c>
      <c r="O1165" t="s">
        <v>329</v>
      </c>
      <c r="P1165">
        <v>15</v>
      </c>
      <c r="Q1165" t="s">
        <v>231</v>
      </c>
      <c r="S1165" t="str">
        <f>_xlfn.XLOOKUP(UNIVERSO[[#This Row],[Ruta]],'[1]CUOTA RUTA'!A:A,'[1]CUOTA RUTA'!D:D)</f>
        <v>Cargar</v>
      </c>
    </row>
    <row r="1166" spans="1:19" x14ac:dyDescent="0.25">
      <c r="A1166">
        <v>1500066852</v>
      </c>
      <c r="B1166" t="s">
        <v>929</v>
      </c>
      <c r="C1166" t="s">
        <v>19</v>
      </c>
      <c r="D1166" t="s">
        <v>324</v>
      </c>
      <c r="E1166" t="s">
        <v>21</v>
      </c>
      <c r="F1166" t="s">
        <v>22</v>
      </c>
      <c r="G1166" t="s">
        <v>33</v>
      </c>
      <c r="H1166" t="s">
        <v>393</v>
      </c>
      <c r="I1166" t="s">
        <v>2522</v>
      </c>
      <c r="J1166">
        <v>10.3605</v>
      </c>
      <c r="K1166">
        <v>-84.390410000000003</v>
      </c>
      <c r="L1166" t="s">
        <v>1225</v>
      </c>
      <c r="M1166" t="s">
        <v>327</v>
      </c>
      <c r="N1166" t="s">
        <v>328</v>
      </c>
      <c r="O1166" t="s">
        <v>329</v>
      </c>
      <c r="P1166">
        <v>15</v>
      </c>
      <c r="Q1166" t="s">
        <v>231</v>
      </c>
      <c r="S1166" t="str">
        <f>_xlfn.XLOOKUP(UNIVERSO[[#This Row],[Ruta]],'[1]CUOTA RUTA'!A:A,'[1]CUOTA RUTA'!D:D)</f>
        <v>Cargar</v>
      </c>
    </row>
    <row r="1167" spans="1:19" x14ac:dyDescent="0.25">
      <c r="A1167">
        <v>1500066907</v>
      </c>
      <c r="B1167" t="s">
        <v>2523</v>
      </c>
      <c r="C1167" t="s">
        <v>19</v>
      </c>
      <c r="D1167" t="s">
        <v>324</v>
      </c>
      <c r="E1167" t="s">
        <v>21</v>
      </c>
      <c r="F1167" t="s">
        <v>22</v>
      </c>
      <c r="G1167" t="s">
        <v>33</v>
      </c>
      <c r="H1167" t="s">
        <v>331</v>
      </c>
      <c r="I1167" t="s">
        <v>2524</v>
      </c>
      <c r="J1167">
        <v>10.4366</v>
      </c>
      <c r="K1167">
        <v>-84.341319999999996</v>
      </c>
      <c r="L1167" t="s">
        <v>1225</v>
      </c>
      <c r="M1167" t="s">
        <v>327</v>
      </c>
      <c r="N1167" t="s">
        <v>328</v>
      </c>
      <c r="O1167" t="s">
        <v>329</v>
      </c>
      <c r="P1167">
        <v>20</v>
      </c>
      <c r="Q1167" t="s">
        <v>74</v>
      </c>
      <c r="S1167" t="str">
        <f>_xlfn.XLOOKUP(UNIVERSO[[#This Row],[Ruta]],'[1]CUOTA RUTA'!A:A,'[1]CUOTA RUTA'!D:D)</f>
        <v>Cargar</v>
      </c>
    </row>
    <row r="1168" spans="1:19" x14ac:dyDescent="0.25">
      <c r="A1168">
        <v>1500066922</v>
      </c>
      <c r="B1168" t="s">
        <v>2525</v>
      </c>
      <c r="C1168" t="s">
        <v>19</v>
      </c>
      <c r="D1168" t="s">
        <v>324</v>
      </c>
      <c r="E1168" t="s">
        <v>21</v>
      </c>
      <c r="F1168" t="s">
        <v>22</v>
      </c>
      <c r="G1168" t="s">
        <v>64</v>
      </c>
      <c r="H1168" t="s">
        <v>331</v>
      </c>
      <c r="I1168" t="s">
        <v>2526</v>
      </c>
      <c r="J1168">
        <v>10.388400000000001</v>
      </c>
      <c r="K1168">
        <v>-84.339290000000005</v>
      </c>
      <c r="L1168" t="s">
        <v>1225</v>
      </c>
      <c r="M1168" t="s">
        <v>327</v>
      </c>
      <c r="N1168" t="s">
        <v>328</v>
      </c>
      <c r="O1168" t="s">
        <v>329</v>
      </c>
      <c r="P1168">
        <v>18</v>
      </c>
      <c r="Q1168" t="s">
        <v>84</v>
      </c>
      <c r="S1168" t="str">
        <f>_xlfn.XLOOKUP(UNIVERSO[[#This Row],[Ruta]],'[1]CUOTA RUTA'!A:A,'[1]CUOTA RUTA'!D:D)</f>
        <v>Cargar</v>
      </c>
    </row>
    <row r="1169" spans="1:19" x14ac:dyDescent="0.25">
      <c r="A1169">
        <v>1500067004</v>
      </c>
      <c r="B1169" t="s">
        <v>2527</v>
      </c>
      <c r="C1169" t="s">
        <v>19</v>
      </c>
      <c r="D1169" t="s">
        <v>324</v>
      </c>
      <c r="E1169" t="s">
        <v>21</v>
      </c>
      <c r="F1169" t="s">
        <v>22</v>
      </c>
      <c r="G1169" t="s">
        <v>33</v>
      </c>
      <c r="H1169" t="s">
        <v>331</v>
      </c>
      <c r="I1169" t="s">
        <v>2528</v>
      </c>
      <c r="J1169">
        <v>10.343</v>
      </c>
      <c r="K1169">
        <v>-84.215980000000002</v>
      </c>
      <c r="L1169" t="s">
        <v>1225</v>
      </c>
      <c r="M1169" t="s">
        <v>327</v>
      </c>
      <c r="N1169" t="s">
        <v>328</v>
      </c>
      <c r="O1169" t="s">
        <v>329</v>
      </c>
      <c r="P1169">
        <v>16</v>
      </c>
      <c r="Q1169" t="s">
        <v>60</v>
      </c>
      <c r="S1169" t="str">
        <f>_xlfn.XLOOKUP(UNIVERSO[[#This Row],[Ruta]],'[1]CUOTA RUTA'!A:A,'[1]CUOTA RUTA'!D:D)</f>
        <v>Cargar</v>
      </c>
    </row>
    <row r="1170" spans="1:19" x14ac:dyDescent="0.25">
      <c r="A1170">
        <v>1500067117</v>
      </c>
      <c r="B1170" t="s">
        <v>2529</v>
      </c>
      <c r="C1170" t="s">
        <v>19</v>
      </c>
      <c r="D1170" t="s">
        <v>324</v>
      </c>
      <c r="E1170" t="s">
        <v>21</v>
      </c>
      <c r="F1170" t="s">
        <v>22</v>
      </c>
      <c r="G1170" t="s">
        <v>64</v>
      </c>
      <c r="H1170" t="s">
        <v>325</v>
      </c>
      <c r="I1170" t="s">
        <v>2530</v>
      </c>
      <c r="J1170">
        <v>10.367054</v>
      </c>
      <c r="K1170">
        <v>-84.521949000000006</v>
      </c>
      <c r="L1170" t="s">
        <v>1225</v>
      </c>
      <c r="M1170" t="s">
        <v>327</v>
      </c>
      <c r="N1170" t="s">
        <v>328</v>
      </c>
      <c r="O1170" t="s">
        <v>329</v>
      </c>
      <c r="P1170">
        <v>14</v>
      </c>
      <c r="Q1170" t="s">
        <v>181</v>
      </c>
      <c r="S1170" t="str">
        <f>_xlfn.XLOOKUP(UNIVERSO[[#This Row],[Ruta]],'[1]CUOTA RUTA'!A:A,'[1]CUOTA RUTA'!D:D)</f>
        <v>Cargar</v>
      </c>
    </row>
    <row r="1171" spans="1:19" x14ac:dyDescent="0.25">
      <c r="A1171">
        <v>1500067200</v>
      </c>
      <c r="B1171" t="s">
        <v>2531</v>
      </c>
      <c r="C1171" t="s">
        <v>19</v>
      </c>
      <c r="D1171" t="s">
        <v>201</v>
      </c>
      <c r="E1171" t="s">
        <v>21</v>
      </c>
      <c r="F1171" t="s">
        <v>22</v>
      </c>
      <c r="G1171" t="s">
        <v>23</v>
      </c>
      <c r="H1171" t="s">
        <v>593</v>
      </c>
      <c r="I1171" t="s">
        <v>2532</v>
      </c>
      <c r="J1171">
        <v>9.9762020000000007</v>
      </c>
      <c r="K1171">
        <v>-84.835059999999999</v>
      </c>
      <c r="L1171" t="s">
        <v>1225</v>
      </c>
      <c r="M1171" t="s">
        <v>204</v>
      </c>
      <c r="N1171" t="s">
        <v>205</v>
      </c>
      <c r="O1171" t="s">
        <v>206</v>
      </c>
      <c r="P1171">
        <v>11</v>
      </c>
      <c r="Q1171" t="s">
        <v>108</v>
      </c>
      <c r="S1171" t="str">
        <f>_xlfn.XLOOKUP(UNIVERSO[[#This Row],[Ruta]],'[1]CUOTA RUTA'!A:A,'[1]CUOTA RUTA'!D:D)</f>
        <v>Cargar</v>
      </c>
    </row>
    <row r="1172" spans="1:19" x14ac:dyDescent="0.25">
      <c r="A1172">
        <v>1500068474</v>
      </c>
      <c r="B1172" t="s">
        <v>2533</v>
      </c>
      <c r="C1172" t="s">
        <v>19</v>
      </c>
      <c r="D1172" t="s">
        <v>201</v>
      </c>
      <c r="E1172" t="s">
        <v>21</v>
      </c>
      <c r="F1172" t="s">
        <v>22</v>
      </c>
      <c r="G1172" t="s">
        <v>64</v>
      </c>
      <c r="H1172" t="s">
        <v>202</v>
      </c>
      <c r="I1172" t="s">
        <v>2534</v>
      </c>
      <c r="J1172">
        <v>9.9723310000000005</v>
      </c>
      <c r="K1172">
        <v>-84.724226000000002</v>
      </c>
      <c r="L1172" t="s">
        <v>1225</v>
      </c>
      <c r="M1172" t="s">
        <v>204</v>
      </c>
      <c r="N1172" t="s">
        <v>205</v>
      </c>
      <c r="O1172" t="s">
        <v>206</v>
      </c>
      <c r="P1172">
        <v>7</v>
      </c>
      <c r="Q1172" t="s">
        <v>39</v>
      </c>
      <c r="S1172" t="str">
        <f>_xlfn.XLOOKUP(UNIVERSO[[#This Row],[Ruta]],'[1]CUOTA RUTA'!A:A,'[1]CUOTA RUTA'!D:D)</f>
        <v>Cargar</v>
      </c>
    </row>
    <row r="1173" spans="1:19" x14ac:dyDescent="0.25">
      <c r="A1173">
        <v>1500068539</v>
      </c>
      <c r="B1173" t="s">
        <v>2535</v>
      </c>
      <c r="C1173" t="s">
        <v>19</v>
      </c>
      <c r="D1173" t="s">
        <v>201</v>
      </c>
      <c r="E1173" t="s">
        <v>21</v>
      </c>
      <c r="F1173" t="s">
        <v>22</v>
      </c>
      <c r="G1173" t="s">
        <v>64</v>
      </c>
      <c r="H1173" t="s">
        <v>202</v>
      </c>
      <c r="I1173" t="s">
        <v>2536</v>
      </c>
      <c r="J1173">
        <v>9.9776699999999998</v>
      </c>
      <c r="K1173">
        <v>-84.722049999999996</v>
      </c>
      <c r="L1173" t="s">
        <v>1225</v>
      </c>
      <c r="M1173" t="s">
        <v>204</v>
      </c>
      <c r="N1173" t="s">
        <v>205</v>
      </c>
      <c r="O1173" t="s">
        <v>206</v>
      </c>
      <c r="P1173">
        <v>7</v>
      </c>
      <c r="Q1173" t="s">
        <v>39</v>
      </c>
      <c r="S1173" t="str">
        <f>_xlfn.XLOOKUP(UNIVERSO[[#This Row],[Ruta]],'[1]CUOTA RUTA'!A:A,'[1]CUOTA RUTA'!D:D)</f>
        <v>Cargar</v>
      </c>
    </row>
    <row r="1174" spans="1:19" x14ac:dyDescent="0.25">
      <c r="A1174">
        <v>1500068571</v>
      </c>
      <c r="B1174" t="s">
        <v>2537</v>
      </c>
      <c r="C1174" t="s">
        <v>19</v>
      </c>
      <c r="D1174" t="s">
        <v>201</v>
      </c>
      <c r="E1174" t="s">
        <v>21</v>
      </c>
      <c r="F1174" t="s">
        <v>22</v>
      </c>
      <c r="G1174" t="s">
        <v>23</v>
      </c>
      <c r="H1174" t="s">
        <v>334</v>
      </c>
      <c r="I1174" t="s">
        <v>2538</v>
      </c>
      <c r="J1174">
        <v>9.9818239000000002</v>
      </c>
      <c r="K1174">
        <v>-84.719988499999999</v>
      </c>
      <c r="L1174" t="s">
        <v>1225</v>
      </c>
      <c r="M1174" t="s">
        <v>204</v>
      </c>
      <c r="N1174" t="s">
        <v>205</v>
      </c>
      <c r="O1174" t="s">
        <v>206</v>
      </c>
      <c r="P1174">
        <v>8</v>
      </c>
      <c r="Q1174" t="s">
        <v>97</v>
      </c>
      <c r="S1174" t="str">
        <f>_xlfn.XLOOKUP(UNIVERSO[[#This Row],[Ruta]],'[1]CUOTA RUTA'!A:A,'[1]CUOTA RUTA'!D:D)</f>
        <v>Cargar</v>
      </c>
    </row>
    <row r="1175" spans="1:19" x14ac:dyDescent="0.25">
      <c r="A1175">
        <v>1500068667</v>
      </c>
      <c r="B1175" t="s">
        <v>2539</v>
      </c>
      <c r="C1175" t="s">
        <v>19</v>
      </c>
      <c r="D1175" t="s">
        <v>201</v>
      </c>
      <c r="E1175" t="s">
        <v>21</v>
      </c>
      <c r="F1175" t="s">
        <v>22</v>
      </c>
      <c r="G1175" t="s">
        <v>33</v>
      </c>
      <c r="H1175" t="s">
        <v>334</v>
      </c>
      <c r="I1175" t="s">
        <v>2540</v>
      </c>
      <c r="J1175">
        <v>9.9806852999999993</v>
      </c>
      <c r="K1175">
        <v>-84.717109600000001</v>
      </c>
      <c r="L1175" t="s">
        <v>1225</v>
      </c>
      <c r="M1175" t="s">
        <v>204</v>
      </c>
      <c r="N1175" t="s">
        <v>205</v>
      </c>
      <c r="O1175" t="s">
        <v>206</v>
      </c>
      <c r="P1175">
        <v>8</v>
      </c>
      <c r="Q1175" t="s">
        <v>97</v>
      </c>
      <c r="S1175" t="str">
        <f>_xlfn.XLOOKUP(UNIVERSO[[#This Row],[Ruta]],'[1]CUOTA RUTA'!A:A,'[1]CUOTA RUTA'!D:D)</f>
        <v>Cargar</v>
      </c>
    </row>
    <row r="1176" spans="1:19" x14ac:dyDescent="0.25">
      <c r="A1176">
        <v>1500068841</v>
      </c>
      <c r="B1176" t="s">
        <v>2541</v>
      </c>
      <c r="C1176" t="s">
        <v>19</v>
      </c>
      <c r="D1176" t="s">
        <v>201</v>
      </c>
      <c r="E1176" t="s">
        <v>21</v>
      </c>
      <c r="F1176" t="s">
        <v>51</v>
      </c>
      <c r="G1176" t="s">
        <v>23</v>
      </c>
      <c r="H1176" t="s">
        <v>334</v>
      </c>
      <c r="I1176" t="s">
        <v>2542</v>
      </c>
      <c r="J1176">
        <v>9.9882194999999996</v>
      </c>
      <c r="K1176">
        <v>-84.673483099999999</v>
      </c>
      <c r="L1176" t="s">
        <v>1225</v>
      </c>
      <c r="M1176" t="s">
        <v>204</v>
      </c>
      <c r="N1176" t="s">
        <v>205</v>
      </c>
      <c r="O1176" t="s">
        <v>206</v>
      </c>
      <c r="P1176">
        <v>13</v>
      </c>
      <c r="Q1176" t="s">
        <v>161</v>
      </c>
      <c r="S1176" t="str">
        <f>_xlfn.XLOOKUP(UNIVERSO[[#This Row],[Ruta]],'[1]CUOTA RUTA'!A:A,'[1]CUOTA RUTA'!D:D)</f>
        <v>Cargar</v>
      </c>
    </row>
    <row r="1177" spans="1:19" x14ac:dyDescent="0.25">
      <c r="A1177">
        <v>1500069011</v>
      </c>
      <c r="B1177" t="s">
        <v>2543</v>
      </c>
      <c r="C1177" t="s">
        <v>19</v>
      </c>
      <c r="D1177" t="s">
        <v>201</v>
      </c>
      <c r="E1177" t="s">
        <v>21</v>
      </c>
      <c r="F1177" t="s">
        <v>22</v>
      </c>
      <c r="G1177" t="s">
        <v>33</v>
      </c>
      <c r="H1177" t="s">
        <v>499</v>
      </c>
      <c r="I1177" t="s">
        <v>2544</v>
      </c>
      <c r="J1177">
        <v>9.9138099999999998</v>
      </c>
      <c r="K1177">
        <v>-84.531685100000004</v>
      </c>
      <c r="L1177" t="s">
        <v>1225</v>
      </c>
      <c r="M1177" t="s">
        <v>204</v>
      </c>
      <c r="N1177" t="s">
        <v>205</v>
      </c>
      <c r="O1177" t="s">
        <v>206</v>
      </c>
      <c r="P1177">
        <v>2</v>
      </c>
      <c r="Q1177" t="s">
        <v>150</v>
      </c>
      <c r="S1177" t="str">
        <f>_xlfn.XLOOKUP(UNIVERSO[[#This Row],[Ruta]],'[1]CUOTA RUTA'!A:A,'[1]CUOTA RUTA'!D:D)</f>
        <v>Cargar</v>
      </c>
    </row>
    <row r="1178" spans="1:19" x14ac:dyDescent="0.25">
      <c r="A1178">
        <v>1500069012</v>
      </c>
      <c r="B1178" t="s">
        <v>2545</v>
      </c>
      <c r="C1178" t="s">
        <v>19</v>
      </c>
      <c r="D1178" t="s">
        <v>201</v>
      </c>
      <c r="E1178" t="s">
        <v>21</v>
      </c>
      <c r="F1178" t="s">
        <v>22</v>
      </c>
      <c r="G1178" t="s">
        <v>64</v>
      </c>
      <c r="H1178" t="s">
        <v>499</v>
      </c>
      <c r="I1178" t="s">
        <v>2546</v>
      </c>
      <c r="J1178">
        <v>9.9085695000000005</v>
      </c>
      <c r="K1178">
        <v>-84.539357699999996</v>
      </c>
      <c r="L1178" t="s">
        <v>1225</v>
      </c>
      <c r="M1178" t="s">
        <v>204</v>
      </c>
      <c r="N1178" t="s">
        <v>205</v>
      </c>
      <c r="O1178" t="s">
        <v>206</v>
      </c>
      <c r="P1178">
        <v>3</v>
      </c>
      <c r="Q1178" t="s">
        <v>101</v>
      </c>
      <c r="S1178" t="str">
        <f>_xlfn.XLOOKUP(UNIVERSO[[#This Row],[Ruta]],'[1]CUOTA RUTA'!A:A,'[1]CUOTA RUTA'!D:D)</f>
        <v>Cargar</v>
      </c>
    </row>
    <row r="1179" spans="1:19" x14ac:dyDescent="0.25">
      <c r="A1179">
        <v>1500069099</v>
      </c>
      <c r="B1179" t="s">
        <v>2547</v>
      </c>
      <c r="C1179" t="s">
        <v>19</v>
      </c>
      <c r="D1179" t="s">
        <v>201</v>
      </c>
      <c r="E1179" t="s">
        <v>21</v>
      </c>
      <c r="F1179" t="s">
        <v>51</v>
      </c>
      <c r="G1179" t="s">
        <v>23</v>
      </c>
      <c r="H1179" t="s">
        <v>533</v>
      </c>
      <c r="I1179" t="s">
        <v>2548</v>
      </c>
      <c r="J1179">
        <v>9.9145599999999998</v>
      </c>
      <c r="K1179">
        <v>-84.541581699999995</v>
      </c>
      <c r="L1179" t="s">
        <v>1225</v>
      </c>
      <c r="M1179" t="s">
        <v>204</v>
      </c>
      <c r="N1179" t="s">
        <v>205</v>
      </c>
      <c r="O1179" t="s">
        <v>206</v>
      </c>
      <c r="P1179">
        <v>3</v>
      </c>
      <c r="Q1179" t="s">
        <v>101</v>
      </c>
      <c r="S1179" t="str">
        <f>_xlfn.XLOOKUP(UNIVERSO[[#This Row],[Ruta]],'[1]CUOTA RUTA'!A:A,'[1]CUOTA RUTA'!D:D)</f>
        <v>Cargar</v>
      </c>
    </row>
    <row r="1180" spans="1:19" x14ac:dyDescent="0.25">
      <c r="A1180">
        <v>1500069326</v>
      </c>
      <c r="B1180" t="s">
        <v>2549</v>
      </c>
      <c r="C1180" t="s">
        <v>19</v>
      </c>
      <c r="D1180" t="s">
        <v>201</v>
      </c>
      <c r="E1180" t="s">
        <v>21</v>
      </c>
      <c r="F1180" t="s">
        <v>22</v>
      </c>
      <c r="G1180" t="s">
        <v>33</v>
      </c>
      <c r="H1180" t="s">
        <v>794</v>
      </c>
      <c r="I1180" t="s">
        <v>2550</v>
      </c>
      <c r="J1180">
        <v>9.6167023999999994</v>
      </c>
      <c r="K1180">
        <v>-84.627167700000001</v>
      </c>
      <c r="L1180" t="s">
        <v>1225</v>
      </c>
      <c r="M1180" t="s">
        <v>204</v>
      </c>
      <c r="N1180" t="s">
        <v>205</v>
      </c>
      <c r="O1180" t="s">
        <v>206</v>
      </c>
      <c r="P1180">
        <v>5</v>
      </c>
      <c r="Q1180" t="s">
        <v>117</v>
      </c>
      <c r="S1180" t="str">
        <f>_xlfn.XLOOKUP(UNIVERSO[[#This Row],[Ruta]],'[1]CUOTA RUTA'!A:A,'[1]CUOTA RUTA'!D:D)</f>
        <v>Cargar</v>
      </c>
    </row>
    <row r="1181" spans="1:19" x14ac:dyDescent="0.25">
      <c r="A1181">
        <v>1500069509</v>
      </c>
      <c r="B1181" t="s">
        <v>2551</v>
      </c>
      <c r="C1181" t="s">
        <v>19</v>
      </c>
      <c r="D1181" t="s">
        <v>201</v>
      </c>
      <c r="E1181" t="s">
        <v>21</v>
      </c>
      <c r="F1181" t="s">
        <v>51</v>
      </c>
      <c r="G1181" t="s">
        <v>23</v>
      </c>
      <c r="H1181" t="s">
        <v>528</v>
      </c>
      <c r="I1181" t="s">
        <v>2552</v>
      </c>
      <c r="J1181">
        <v>10.25808</v>
      </c>
      <c r="K1181">
        <v>-85.015280000000004</v>
      </c>
      <c r="L1181" t="s">
        <v>1225</v>
      </c>
      <c r="M1181" t="s">
        <v>327</v>
      </c>
      <c r="N1181" t="s">
        <v>530</v>
      </c>
      <c r="O1181" t="s">
        <v>531</v>
      </c>
      <c r="P1181">
        <v>1</v>
      </c>
      <c r="Q1181" t="s">
        <v>155</v>
      </c>
      <c r="S1181" t="str">
        <f>_xlfn.XLOOKUP(UNIVERSO[[#This Row],[Ruta]],'[1]CUOTA RUTA'!A:A,'[1]CUOTA RUTA'!D:D)</f>
        <v>Cargar</v>
      </c>
    </row>
    <row r="1182" spans="1:19" x14ac:dyDescent="0.25">
      <c r="A1182">
        <v>1500069634</v>
      </c>
      <c r="B1182" t="s">
        <v>2553</v>
      </c>
      <c r="C1182" t="s">
        <v>19</v>
      </c>
      <c r="D1182" t="s">
        <v>201</v>
      </c>
      <c r="E1182" t="s">
        <v>21</v>
      </c>
      <c r="F1182" t="s">
        <v>51</v>
      </c>
      <c r="G1182" t="s">
        <v>23</v>
      </c>
      <c r="H1182" t="s">
        <v>528</v>
      </c>
      <c r="I1182" t="s">
        <v>2554</v>
      </c>
      <c r="J1182">
        <v>10.280986</v>
      </c>
      <c r="K1182">
        <v>-84.957770999999994</v>
      </c>
      <c r="L1182" t="s">
        <v>1225</v>
      </c>
      <c r="M1182" t="s">
        <v>327</v>
      </c>
      <c r="N1182" t="s">
        <v>530</v>
      </c>
      <c r="O1182" t="s">
        <v>531</v>
      </c>
      <c r="P1182">
        <v>1</v>
      </c>
      <c r="Q1182" t="s">
        <v>155</v>
      </c>
      <c r="S1182" t="str">
        <f>_xlfn.XLOOKUP(UNIVERSO[[#This Row],[Ruta]],'[1]CUOTA RUTA'!A:A,'[1]CUOTA RUTA'!D:D)</f>
        <v>Cargar</v>
      </c>
    </row>
    <row r="1183" spans="1:19" x14ac:dyDescent="0.25">
      <c r="A1183">
        <v>1500069810</v>
      </c>
      <c r="B1183" t="s">
        <v>832</v>
      </c>
      <c r="C1183" t="s">
        <v>19</v>
      </c>
      <c r="D1183" t="s">
        <v>201</v>
      </c>
      <c r="E1183" t="s">
        <v>21</v>
      </c>
      <c r="F1183" t="s">
        <v>22</v>
      </c>
      <c r="G1183" t="s">
        <v>33</v>
      </c>
      <c r="H1183" t="s">
        <v>785</v>
      </c>
      <c r="I1183" t="s">
        <v>2555</v>
      </c>
      <c r="J1183">
        <v>10.0987846</v>
      </c>
      <c r="K1183">
        <v>-84.989220399999994</v>
      </c>
      <c r="L1183" t="s">
        <v>1225</v>
      </c>
      <c r="M1183" t="s">
        <v>204</v>
      </c>
      <c r="N1183" t="s">
        <v>205</v>
      </c>
      <c r="O1183" t="s">
        <v>206</v>
      </c>
      <c r="P1183">
        <v>12</v>
      </c>
      <c r="Q1183" t="s">
        <v>42</v>
      </c>
      <c r="S1183" t="str">
        <f>_xlfn.XLOOKUP(UNIVERSO[[#This Row],[Ruta]],'[1]CUOTA RUTA'!A:A,'[1]CUOTA RUTA'!D:D)</f>
        <v>Cargar</v>
      </c>
    </row>
    <row r="1184" spans="1:19" x14ac:dyDescent="0.25">
      <c r="A1184">
        <v>1500069939</v>
      </c>
      <c r="B1184" t="s">
        <v>2556</v>
      </c>
      <c r="C1184" t="s">
        <v>19</v>
      </c>
      <c r="D1184" t="s">
        <v>201</v>
      </c>
      <c r="E1184" t="s">
        <v>21</v>
      </c>
      <c r="F1184" t="s">
        <v>22</v>
      </c>
      <c r="G1184" t="s">
        <v>33</v>
      </c>
      <c r="H1184" t="s">
        <v>488</v>
      </c>
      <c r="I1184" t="s">
        <v>2557</v>
      </c>
      <c r="J1184">
        <v>10.1164775</v>
      </c>
      <c r="K1184">
        <v>-84.825558900000004</v>
      </c>
      <c r="L1184" t="s">
        <v>1225</v>
      </c>
      <c r="M1184" t="s">
        <v>204</v>
      </c>
      <c r="N1184" t="s">
        <v>205</v>
      </c>
      <c r="O1184" t="s">
        <v>206</v>
      </c>
      <c r="P1184">
        <v>12</v>
      </c>
      <c r="Q1184" t="s">
        <v>42</v>
      </c>
      <c r="S1184" t="str">
        <f>_xlfn.XLOOKUP(UNIVERSO[[#This Row],[Ruta]],'[1]CUOTA RUTA'!A:A,'[1]CUOTA RUTA'!D:D)</f>
        <v>Cargar</v>
      </c>
    </row>
    <row r="1185" spans="1:19" x14ac:dyDescent="0.25">
      <c r="A1185">
        <v>1500070601</v>
      </c>
      <c r="B1185" t="s">
        <v>2558</v>
      </c>
      <c r="C1185" t="s">
        <v>19</v>
      </c>
      <c r="D1185" t="s">
        <v>201</v>
      </c>
      <c r="E1185" t="s">
        <v>62</v>
      </c>
      <c r="F1185" t="s">
        <v>63</v>
      </c>
      <c r="G1185" t="s">
        <v>64</v>
      </c>
      <c r="H1185" t="s">
        <v>533</v>
      </c>
      <c r="I1185" t="s">
        <v>2559</v>
      </c>
      <c r="J1185">
        <v>9.9128790000000002</v>
      </c>
      <c r="K1185">
        <v>-84.519502000000003</v>
      </c>
      <c r="L1185" t="s">
        <v>1225</v>
      </c>
      <c r="M1185" t="s">
        <v>204</v>
      </c>
      <c r="N1185" t="s">
        <v>205</v>
      </c>
      <c r="O1185" t="s">
        <v>206</v>
      </c>
      <c r="P1185">
        <v>1</v>
      </c>
      <c r="Q1185" t="s">
        <v>155</v>
      </c>
      <c r="S1185" t="str">
        <f>_xlfn.XLOOKUP(UNIVERSO[[#This Row],[Ruta]],'[1]CUOTA RUTA'!A:A,'[1]CUOTA RUTA'!D:D)</f>
        <v>Cargar</v>
      </c>
    </row>
    <row r="1186" spans="1:19" x14ac:dyDescent="0.25">
      <c r="A1186">
        <v>1500071618</v>
      </c>
      <c r="B1186" t="s">
        <v>2560</v>
      </c>
      <c r="C1186" t="s">
        <v>19</v>
      </c>
      <c r="D1186" t="s">
        <v>201</v>
      </c>
      <c r="E1186" t="s">
        <v>21</v>
      </c>
      <c r="F1186" t="s">
        <v>22</v>
      </c>
      <c r="G1186" t="s">
        <v>33</v>
      </c>
      <c r="H1186" t="s">
        <v>593</v>
      </c>
      <c r="I1186" t="s">
        <v>2561</v>
      </c>
      <c r="J1186">
        <v>9.9841499999999996</v>
      </c>
      <c r="K1186">
        <v>-84.772400000000005</v>
      </c>
      <c r="L1186" t="s">
        <v>1225</v>
      </c>
      <c r="M1186" t="s">
        <v>204</v>
      </c>
      <c r="N1186" t="s">
        <v>205</v>
      </c>
      <c r="O1186" t="s">
        <v>206</v>
      </c>
      <c r="P1186">
        <v>10</v>
      </c>
      <c r="Q1186" t="s">
        <v>136</v>
      </c>
      <c r="S1186" t="str">
        <f>_xlfn.XLOOKUP(UNIVERSO[[#This Row],[Ruta]],'[1]CUOTA RUTA'!A:A,'[1]CUOTA RUTA'!D:D)</f>
        <v>Cargar</v>
      </c>
    </row>
    <row r="1187" spans="1:19" x14ac:dyDescent="0.25">
      <c r="A1187">
        <v>1500086206</v>
      </c>
      <c r="B1187" t="s">
        <v>2562</v>
      </c>
      <c r="C1187" t="s">
        <v>19</v>
      </c>
      <c r="D1187" t="s">
        <v>337</v>
      </c>
      <c r="E1187" t="s">
        <v>21</v>
      </c>
      <c r="F1187" t="s">
        <v>22</v>
      </c>
      <c r="G1187" t="s">
        <v>64</v>
      </c>
      <c r="H1187" t="s">
        <v>338</v>
      </c>
      <c r="I1187" t="s">
        <v>2563</v>
      </c>
      <c r="J1187">
        <v>10.43328348</v>
      </c>
      <c r="K1187">
        <v>-85.094300169999997</v>
      </c>
      <c r="L1187" t="s">
        <v>1225</v>
      </c>
      <c r="M1187" t="s">
        <v>327</v>
      </c>
      <c r="N1187" t="s">
        <v>340</v>
      </c>
      <c r="O1187" t="s">
        <v>341</v>
      </c>
      <c r="P1187">
        <v>22</v>
      </c>
      <c r="Q1187" t="s">
        <v>30</v>
      </c>
      <c r="S1187" t="str">
        <f>_xlfn.XLOOKUP(UNIVERSO[[#This Row],[Ruta]],'[1]CUOTA RUTA'!A:A,'[1]CUOTA RUTA'!D:D)</f>
        <v>Cargar</v>
      </c>
    </row>
    <row r="1188" spans="1:19" x14ac:dyDescent="0.25">
      <c r="A1188">
        <v>1500086306</v>
      </c>
      <c r="B1188" t="s">
        <v>2564</v>
      </c>
      <c r="C1188" t="s">
        <v>19</v>
      </c>
      <c r="D1188" t="s">
        <v>337</v>
      </c>
      <c r="E1188" t="s">
        <v>21</v>
      </c>
      <c r="F1188" t="s">
        <v>22</v>
      </c>
      <c r="G1188" t="s">
        <v>33</v>
      </c>
      <c r="H1188" t="s">
        <v>483</v>
      </c>
      <c r="I1188" t="s">
        <v>2565</v>
      </c>
      <c r="J1188">
        <v>10.45211815</v>
      </c>
      <c r="K1188">
        <v>-85.554243330000006</v>
      </c>
      <c r="L1188" t="s">
        <v>1225</v>
      </c>
      <c r="M1188" t="s">
        <v>327</v>
      </c>
      <c r="N1188" t="s">
        <v>340</v>
      </c>
      <c r="O1188" t="s">
        <v>341</v>
      </c>
      <c r="P1188">
        <v>16</v>
      </c>
      <c r="Q1188" t="s">
        <v>60</v>
      </c>
      <c r="S1188" t="str">
        <f>_xlfn.XLOOKUP(UNIVERSO[[#This Row],[Ruta]],'[1]CUOTA RUTA'!A:A,'[1]CUOTA RUTA'!D:D)</f>
        <v>Cargar</v>
      </c>
    </row>
    <row r="1189" spans="1:19" x14ac:dyDescent="0.25">
      <c r="A1189">
        <v>1500086338</v>
      </c>
      <c r="B1189" t="s">
        <v>2566</v>
      </c>
      <c r="C1189" t="s">
        <v>19</v>
      </c>
      <c r="D1189" t="s">
        <v>337</v>
      </c>
      <c r="E1189" t="s">
        <v>21</v>
      </c>
      <c r="F1189" t="s">
        <v>51</v>
      </c>
      <c r="G1189" t="s">
        <v>23</v>
      </c>
      <c r="H1189" t="s">
        <v>483</v>
      </c>
      <c r="I1189" t="s">
        <v>2567</v>
      </c>
      <c r="J1189">
        <v>10.448453170000001</v>
      </c>
      <c r="K1189">
        <v>-85.552454490000002</v>
      </c>
      <c r="L1189" t="s">
        <v>1225</v>
      </c>
      <c r="M1189" t="s">
        <v>327</v>
      </c>
      <c r="N1189" t="s">
        <v>340</v>
      </c>
      <c r="O1189" t="s">
        <v>341</v>
      </c>
      <c r="P1189">
        <v>16</v>
      </c>
      <c r="Q1189" t="s">
        <v>60</v>
      </c>
      <c r="S1189" t="str">
        <f>_xlfn.XLOOKUP(UNIVERSO[[#This Row],[Ruta]],'[1]CUOTA RUTA'!A:A,'[1]CUOTA RUTA'!D:D)</f>
        <v>Cargar</v>
      </c>
    </row>
    <row r="1190" spans="1:19" x14ac:dyDescent="0.25">
      <c r="A1190">
        <v>1500086646</v>
      </c>
      <c r="B1190" t="s">
        <v>2568</v>
      </c>
      <c r="C1190" t="s">
        <v>19</v>
      </c>
      <c r="D1190" t="s">
        <v>337</v>
      </c>
      <c r="E1190" t="s">
        <v>21</v>
      </c>
      <c r="F1190" t="s">
        <v>51</v>
      </c>
      <c r="G1190" t="s">
        <v>23</v>
      </c>
      <c r="H1190" t="s">
        <v>401</v>
      </c>
      <c r="I1190" t="s">
        <v>2569</v>
      </c>
      <c r="J1190">
        <v>10.63191576</v>
      </c>
      <c r="K1190">
        <v>-85.442358110000001</v>
      </c>
      <c r="L1190" t="s">
        <v>1225</v>
      </c>
      <c r="M1190" t="s">
        <v>327</v>
      </c>
      <c r="N1190" t="s">
        <v>340</v>
      </c>
      <c r="O1190" t="s">
        <v>341</v>
      </c>
      <c r="P1190">
        <v>14</v>
      </c>
      <c r="Q1190" t="s">
        <v>181</v>
      </c>
      <c r="S1190" t="str">
        <f>_xlfn.XLOOKUP(UNIVERSO[[#This Row],[Ruta]],'[1]CUOTA RUTA'!A:A,'[1]CUOTA RUTA'!D:D)</f>
        <v>Cargar</v>
      </c>
    </row>
    <row r="1191" spans="1:19" x14ac:dyDescent="0.25">
      <c r="A1191">
        <v>1500087021</v>
      </c>
      <c r="B1191" t="s">
        <v>2570</v>
      </c>
      <c r="C1191" t="s">
        <v>19</v>
      </c>
      <c r="D1191" t="s">
        <v>349</v>
      </c>
      <c r="E1191" t="s">
        <v>21</v>
      </c>
      <c r="F1191" t="s">
        <v>22</v>
      </c>
      <c r="G1191" t="s">
        <v>23</v>
      </c>
      <c r="H1191" t="s">
        <v>350</v>
      </c>
      <c r="I1191" t="s">
        <v>2571</v>
      </c>
      <c r="J1191">
        <v>10.34876467</v>
      </c>
      <c r="K1191">
        <v>-85.792447539999998</v>
      </c>
      <c r="L1191" t="s">
        <v>1225</v>
      </c>
      <c r="M1191" t="s">
        <v>352</v>
      </c>
      <c r="N1191" t="s">
        <v>353</v>
      </c>
      <c r="O1191" t="s">
        <v>354</v>
      </c>
      <c r="P1191">
        <v>5</v>
      </c>
      <c r="Q1191" t="s">
        <v>117</v>
      </c>
      <c r="S1191" t="str">
        <f>_xlfn.XLOOKUP(UNIVERSO[[#This Row],[Ruta]],'[1]CUOTA RUTA'!A:A,'[1]CUOTA RUTA'!D:D)</f>
        <v>Cargar</v>
      </c>
    </row>
    <row r="1192" spans="1:19" x14ac:dyDescent="0.25">
      <c r="A1192">
        <v>1500087096</v>
      </c>
      <c r="B1192" t="s">
        <v>2572</v>
      </c>
      <c r="C1192" t="s">
        <v>19</v>
      </c>
      <c r="D1192" t="s">
        <v>337</v>
      </c>
      <c r="E1192" t="s">
        <v>21</v>
      </c>
      <c r="F1192" t="s">
        <v>22</v>
      </c>
      <c r="G1192" t="s">
        <v>33</v>
      </c>
      <c r="H1192" t="s">
        <v>343</v>
      </c>
      <c r="I1192" t="s">
        <v>2573</v>
      </c>
      <c r="J1192">
        <v>10.419301000000001</v>
      </c>
      <c r="K1192">
        <v>-85.719888999999995</v>
      </c>
      <c r="L1192" t="s">
        <v>1225</v>
      </c>
      <c r="M1192" t="s">
        <v>327</v>
      </c>
      <c r="N1192" t="s">
        <v>340</v>
      </c>
      <c r="O1192" t="s">
        <v>341</v>
      </c>
      <c r="P1192">
        <v>19</v>
      </c>
      <c r="Q1192" t="s">
        <v>67</v>
      </c>
      <c r="S1192" t="str">
        <f>_xlfn.XLOOKUP(UNIVERSO[[#This Row],[Ruta]],'[1]CUOTA RUTA'!A:A,'[1]CUOTA RUTA'!D:D)</f>
        <v>Cargar</v>
      </c>
    </row>
    <row r="1193" spans="1:19" x14ac:dyDescent="0.25">
      <c r="A1193">
        <v>1500087416</v>
      </c>
      <c r="B1193" t="s">
        <v>2574</v>
      </c>
      <c r="C1193" t="s">
        <v>19</v>
      </c>
      <c r="D1193" t="s">
        <v>337</v>
      </c>
      <c r="E1193" t="s">
        <v>21</v>
      </c>
      <c r="F1193" t="s">
        <v>22</v>
      </c>
      <c r="G1193" t="s">
        <v>33</v>
      </c>
      <c r="H1193" t="s">
        <v>346</v>
      </c>
      <c r="I1193" t="s">
        <v>2575</v>
      </c>
      <c r="J1193">
        <v>10.474615500000001</v>
      </c>
      <c r="K1193">
        <v>-85.210535050000004</v>
      </c>
      <c r="L1193" t="s">
        <v>1225</v>
      </c>
      <c r="M1193" t="s">
        <v>327</v>
      </c>
      <c r="N1193" t="s">
        <v>340</v>
      </c>
      <c r="O1193" t="s">
        <v>341</v>
      </c>
      <c r="P1193">
        <v>20</v>
      </c>
      <c r="Q1193" t="s">
        <v>74</v>
      </c>
      <c r="S1193" t="str">
        <f>_xlfn.XLOOKUP(UNIVERSO[[#This Row],[Ruta]],'[1]CUOTA RUTA'!A:A,'[1]CUOTA RUTA'!D:D)</f>
        <v>Cargar</v>
      </c>
    </row>
    <row r="1194" spans="1:19" x14ac:dyDescent="0.25">
      <c r="A1194">
        <v>1500087445</v>
      </c>
      <c r="B1194" t="s">
        <v>2576</v>
      </c>
      <c r="C1194" t="s">
        <v>19</v>
      </c>
      <c r="D1194" t="s">
        <v>337</v>
      </c>
      <c r="E1194" t="s">
        <v>21</v>
      </c>
      <c r="F1194" t="s">
        <v>22</v>
      </c>
      <c r="G1194" t="s">
        <v>33</v>
      </c>
      <c r="H1194" t="s">
        <v>451</v>
      </c>
      <c r="I1194" t="s">
        <v>2577</v>
      </c>
      <c r="J1194">
        <v>10.63987</v>
      </c>
      <c r="K1194">
        <v>-85.430130000000005</v>
      </c>
      <c r="L1194" t="s">
        <v>1225</v>
      </c>
      <c r="M1194" t="s">
        <v>327</v>
      </c>
      <c r="N1194" t="s">
        <v>340</v>
      </c>
      <c r="O1194" t="s">
        <v>341</v>
      </c>
      <c r="P1194">
        <v>12</v>
      </c>
      <c r="Q1194" t="s">
        <v>42</v>
      </c>
      <c r="S1194" t="str">
        <f>_xlfn.XLOOKUP(UNIVERSO[[#This Row],[Ruta]],'[1]CUOTA RUTA'!A:A,'[1]CUOTA RUTA'!D:D)</f>
        <v>Cargar</v>
      </c>
    </row>
    <row r="1195" spans="1:19" x14ac:dyDescent="0.25">
      <c r="A1195">
        <v>1500087451</v>
      </c>
      <c r="B1195" t="s">
        <v>2578</v>
      </c>
      <c r="C1195" t="s">
        <v>19</v>
      </c>
      <c r="D1195" t="s">
        <v>337</v>
      </c>
      <c r="E1195" t="s">
        <v>21</v>
      </c>
      <c r="F1195" t="s">
        <v>22</v>
      </c>
      <c r="G1195" t="s">
        <v>33</v>
      </c>
      <c r="H1195" t="s">
        <v>451</v>
      </c>
      <c r="I1195" t="s">
        <v>2579</v>
      </c>
      <c r="J1195">
        <v>10.639799999999999</v>
      </c>
      <c r="K1195">
        <v>-85.427289999999999</v>
      </c>
      <c r="L1195" t="s">
        <v>1225</v>
      </c>
      <c r="M1195" t="s">
        <v>327</v>
      </c>
      <c r="N1195" t="s">
        <v>340</v>
      </c>
      <c r="O1195" t="s">
        <v>341</v>
      </c>
      <c r="P1195">
        <v>12</v>
      </c>
      <c r="Q1195" t="s">
        <v>42</v>
      </c>
      <c r="S1195" t="str">
        <f>_xlfn.XLOOKUP(UNIVERSO[[#This Row],[Ruta]],'[1]CUOTA RUTA'!A:A,'[1]CUOTA RUTA'!D:D)</f>
        <v>Cargar</v>
      </c>
    </row>
    <row r="1196" spans="1:19" x14ac:dyDescent="0.25">
      <c r="A1196">
        <v>1500087469</v>
      </c>
      <c r="B1196" t="s">
        <v>2580</v>
      </c>
      <c r="C1196" t="s">
        <v>19</v>
      </c>
      <c r="D1196" t="s">
        <v>337</v>
      </c>
      <c r="E1196" t="s">
        <v>21</v>
      </c>
      <c r="F1196" t="s">
        <v>22</v>
      </c>
      <c r="G1196" t="s">
        <v>64</v>
      </c>
      <c r="H1196" t="s">
        <v>401</v>
      </c>
      <c r="I1196" t="s">
        <v>2581</v>
      </c>
      <c r="J1196">
        <v>10.633760000000001</v>
      </c>
      <c r="K1196">
        <v>-85.430509999999998</v>
      </c>
      <c r="L1196" t="s">
        <v>1225</v>
      </c>
      <c r="M1196" t="s">
        <v>327</v>
      </c>
      <c r="N1196" t="s">
        <v>340</v>
      </c>
      <c r="O1196" t="s">
        <v>341</v>
      </c>
      <c r="P1196">
        <v>13</v>
      </c>
      <c r="Q1196" t="s">
        <v>161</v>
      </c>
      <c r="S1196" t="str">
        <f>_xlfn.XLOOKUP(UNIVERSO[[#This Row],[Ruta]],'[1]CUOTA RUTA'!A:A,'[1]CUOTA RUTA'!D:D)</f>
        <v>Cargar</v>
      </c>
    </row>
    <row r="1197" spans="1:19" x14ac:dyDescent="0.25">
      <c r="A1197">
        <v>1500087568</v>
      </c>
      <c r="B1197" t="s">
        <v>2582</v>
      </c>
      <c r="C1197" t="s">
        <v>19</v>
      </c>
      <c r="D1197" t="s">
        <v>337</v>
      </c>
      <c r="E1197" t="s">
        <v>21</v>
      </c>
      <c r="F1197" t="s">
        <v>22</v>
      </c>
      <c r="G1197" t="s">
        <v>64</v>
      </c>
      <c r="H1197" t="s">
        <v>451</v>
      </c>
      <c r="I1197" t="s">
        <v>2583</v>
      </c>
      <c r="J1197">
        <v>10.641709000000001</v>
      </c>
      <c r="K1197">
        <v>-85.443998759999999</v>
      </c>
      <c r="L1197" t="s">
        <v>1225</v>
      </c>
      <c r="M1197" t="s">
        <v>327</v>
      </c>
      <c r="N1197" t="s">
        <v>340</v>
      </c>
      <c r="O1197" t="s">
        <v>341</v>
      </c>
      <c r="P1197">
        <v>13</v>
      </c>
      <c r="Q1197" t="s">
        <v>161</v>
      </c>
      <c r="S1197" t="str">
        <f>_xlfn.XLOOKUP(UNIVERSO[[#This Row],[Ruta]],'[1]CUOTA RUTA'!A:A,'[1]CUOTA RUTA'!D:D)</f>
        <v>Cargar</v>
      </c>
    </row>
    <row r="1198" spans="1:19" x14ac:dyDescent="0.25">
      <c r="A1198">
        <v>1500087653</v>
      </c>
      <c r="B1198" t="s">
        <v>1863</v>
      </c>
      <c r="C1198" t="s">
        <v>19</v>
      </c>
      <c r="D1198" t="s">
        <v>337</v>
      </c>
      <c r="E1198" t="s">
        <v>21</v>
      </c>
      <c r="F1198" t="s">
        <v>22</v>
      </c>
      <c r="G1198" t="s">
        <v>33</v>
      </c>
      <c r="H1198" t="s">
        <v>483</v>
      </c>
      <c r="I1198" t="s">
        <v>2584</v>
      </c>
      <c r="J1198">
        <v>10.491361039999999</v>
      </c>
      <c r="K1198">
        <v>-85.020290779999996</v>
      </c>
      <c r="L1198" t="s">
        <v>1225</v>
      </c>
      <c r="M1198" t="s">
        <v>327</v>
      </c>
      <c r="N1198" t="s">
        <v>340</v>
      </c>
      <c r="O1198" t="s">
        <v>341</v>
      </c>
      <c r="P1198">
        <v>22</v>
      </c>
      <c r="Q1198" t="s">
        <v>30</v>
      </c>
      <c r="S1198" t="str">
        <f>_xlfn.XLOOKUP(UNIVERSO[[#This Row],[Ruta]],'[1]CUOTA RUTA'!A:A,'[1]CUOTA RUTA'!D:D)</f>
        <v>Cargar</v>
      </c>
    </row>
    <row r="1199" spans="1:19" x14ac:dyDescent="0.25">
      <c r="A1199">
        <v>1500087665</v>
      </c>
      <c r="B1199" t="s">
        <v>226</v>
      </c>
      <c r="C1199" t="s">
        <v>19</v>
      </c>
      <c r="D1199" t="s">
        <v>337</v>
      </c>
      <c r="E1199" t="s">
        <v>21</v>
      </c>
      <c r="F1199" t="s">
        <v>22</v>
      </c>
      <c r="G1199" t="s">
        <v>23</v>
      </c>
      <c r="H1199" t="s">
        <v>1732</v>
      </c>
      <c r="I1199" t="s">
        <v>2585</v>
      </c>
      <c r="J1199">
        <v>10.50060948</v>
      </c>
      <c r="K1199">
        <v>-84.923027169999997</v>
      </c>
      <c r="L1199" t="s">
        <v>1225</v>
      </c>
      <c r="M1199" t="s">
        <v>327</v>
      </c>
      <c r="N1199" t="s">
        <v>340</v>
      </c>
      <c r="O1199" t="s">
        <v>341</v>
      </c>
      <c r="P1199">
        <v>23</v>
      </c>
      <c r="Q1199" t="s">
        <v>125</v>
      </c>
      <c r="S1199" t="str">
        <f>_xlfn.XLOOKUP(UNIVERSO[[#This Row],[Ruta]],'[1]CUOTA RUTA'!A:A,'[1]CUOTA RUTA'!D:D)</f>
        <v>Cargar</v>
      </c>
    </row>
    <row r="1200" spans="1:19" x14ac:dyDescent="0.25">
      <c r="A1200">
        <v>1500087681</v>
      </c>
      <c r="B1200" t="s">
        <v>2448</v>
      </c>
      <c r="C1200" t="s">
        <v>19</v>
      </c>
      <c r="D1200" t="s">
        <v>337</v>
      </c>
      <c r="E1200" t="s">
        <v>21</v>
      </c>
      <c r="F1200" t="s">
        <v>22</v>
      </c>
      <c r="G1200" t="s">
        <v>33</v>
      </c>
      <c r="H1200" t="s">
        <v>483</v>
      </c>
      <c r="I1200" t="s">
        <v>2586</v>
      </c>
      <c r="J1200">
        <v>10.418837</v>
      </c>
      <c r="K1200">
        <v>-84.986531999999997</v>
      </c>
      <c r="L1200" t="s">
        <v>1225</v>
      </c>
      <c r="M1200" t="s">
        <v>327</v>
      </c>
      <c r="N1200" t="s">
        <v>340</v>
      </c>
      <c r="O1200" t="s">
        <v>341</v>
      </c>
      <c r="P1200">
        <v>23</v>
      </c>
      <c r="Q1200" t="s">
        <v>125</v>
      </c>
      <c r="S1200" t="str">
        <f>_xlfn.XLOOKUP(UNIVERSO[[#This Row],[Ruta]],'[1]CUOTA RUTA'!A:A,'[1]CUOTA RUTA'!D:D)</f>
        <v>Cargar</v>
      </c>
    </row>
    <row r="1201" spans="1:19" x14ac:dyDescent="0.25">
      <c r="A1201">
        <v>1500087683</v>
      </c>
      <c r="B1201" t="s">
        <v>2587</v>
      </c>
      <c r="C1201" t="s">
        <v>19</v>
      </c>
      <c r="D1201" t="s">
        <v>337</v>
      </c>
      <c r="E1201" t="s">
        <v>21</v>
      </c>
      <c r="F1201" t="s">
        <v>22</v>
      </c>
      <c r="G1201" t="s">
        <v>33</v>
      </c>
      <c r="H1201" t="s">
        <v>483</v>
      </c>
      <c r="I1201" t="s">
        <v>2588</v>
      </c>
      <c r="J1201">
        <v>10.49065493</v>
      </c>
      <c r="K1201">
        <v>-85.020852270000006</v>
      </c>
      <c r="L1201" t="s">
        <v>1225</v>
      </c>
      <c r="M1201" t="s">
        <v>327</v>
      </c>
      <c r="N1201" t="s">
        <v>340</v>
      </c>
      <c r="O1201" t="s">
        <v>341</v>
      </c>
      <c r="P1201">
        <v>22</v>
      </c>
      <c r="Q1201" t="s">
        <v>30</v>
      </c>
      <c r="S1201" t="str">
        <f>_xlfn.XLOOKUP(UNIVERSO[[#This Row],[Ruta]],'[1]CUOTA RUTA'!A:A,'[1]CUOTA RUTA'!D:D)</f>
        <v>Cargar</v>
      </c>
    </row>
    <row r="1202" spans="1:19" x14ac:dyDescent="0.25">
      <c r="A1202">
        <v>1500088077</v>
      </c>
      <c r="B1202" t="s">
        <v>2589</v>
      </c>
      <c r="C1202" t="s">
        <v>19</v>
      </c>
      <c r="D1202" t="s">
        <v>349</v>
      </c>
      <c r="E1202" t="s">
        <v>21</v>
      </c>
      <c r="F1202" t="s">
        <v>51</v>
      </c>
      <c r="G1202" t="s">
        <v>23</v>
      </c>
      <c r="H1202" t="s">
        <v>350</v>
      </c>
      <c r="I1202" t="s">
        <v>2590</v>
      </c>
      <c r="J1202">
        <v>10.31231316</v>
      </c>
      <c r="K1202">
        <v>-85.788940170000004</v>
      </c>
      <c r="L1202" t="s">
        <v>1225</v>
      </c>
      <c r="M1202" t="s">
        <v>352</v>
      </c>
      <c r="N1202" t="s">
        <v>353</v>
      </c>
      <c r="O1202" t="s">
        <v>354</v>
      </c>
      <c r="P1202">
        <v>5</v>
      </c>
      <c r="Q1202" t="s">
        <v>117</v>
      </c>
      <c r="S1202" t="str">
        <f>_xlfn.XLOOKUP(UNIVERSO[[#This Row],[Ruta]],'[1]CUOTA RUTA'!A:A,'[1]CUOTA RUTA'!D:D)</f>
        <v>Cargar</v>
      </c>
    </row>
    <row r="1203" spans="1:19" x14ac:dyDescent="0.25">
      <c r="A1203">
        <v>1500088241</v>
      </c>
      <c r="B1203" t="s">
        <v>2591</v>
      </c>
      <c r="C1203" t="s">
        <v>19</v>
      </c>
      <c r="D1203" t="s">
        <v>349</v>
      </c>
      <c r="E1203" t="s">
        <v>21</v>
      </c>
      <c r="F1203" t="s">
        <v>22</v>
      </c>
      <c r="G1203" t="s">
        <v>64</v>
      </c>
      <c r="H1203" t="s">
        <v>350</v>
      </c>
      <c r="I1203" t="s">
        <v>2592</v>
      </c>
      <c r="J1203">
        <v>10.328969900000001</v>
      </c>
      <c r="K1203">
        <v>-85.561884649999996</v>
      </c>
      <c r="L1203" t="s">
        <v>1225</v>
      </c>
      <c r="M1203" t="s">
        <v>352</v>
      </c>
      <c r="N1203" t="s">
        <v>353</v>
      </c>
      <c r="O1203" t="s">
        <v>354</v>
      </c>
      <c r="P1203">
        <v>3</v>
      </c>
      <c r="Q1203" t="s">
        <v>101</v>
      </c>
      <c r="S1203" t="str">
        <f>_xlfn.XLOOKUP(UNIVERSO[[#This Row],[Ruta]],'[1]CUOTA RUTA'!A:A,'[1]CUOTA RUTA'!D:D)</f>
        <v>Cargar</v>
      </c>
    </row>
    <row r="1204" spans="1:19" x14ac:dyDescent="0.25">
      <c r="A1204">
        <v>1500088365</v>
      </c>
      <c r="B1204" t="s">
        <v>2593</v>
      </c>
      <c r="C1204" t="s">
        <v>19</v>
      </c>
      <c r="D1204" t="s">
        <v>349</v>
      </c>
      <c r="E1204" t="s">
        <v>62</v>
      </c>
      <c r="F1204" t="s">
        <v>63</v>
      </c>
      <c r="G1204" t="s">
        <v>64</v>
      </c>
      <c r="H1204" t="s">
        <v>356</v>
      </c>
      <c r="I1204" t="s">
        <v>2594</v>
      </c>
      <c r="J1204">
        <v>10.261900000000001</v>
      </c>
      <c r="K1204">
        <v>-85.581800000000001</v>
      </c>
      <c r="L1204" t="s">
        <v>1225</v>
      </c>
      <c r="M1204" t="s">
        <v>352</v>
      </c>
      <c r="N1204" t="s">
        <v>353</v>
      </c>
      <c r="O1204" t="s">
        <v>354</v>
      </c>
      <c r="P1204">
        <v>1</v>
      </c>
      <c r="Q1204" t="s">
        <v>155</v>
      </c>
      <c r="S1204" t="str">
        <f>_xlfn.XLOOKUP(UNIVERSO[[#This Row],[Ruta]],'[1]CUOTA RUTA'!A:A,'[1]CUOTA RUTA'!D:D)</f>
        <v>Cargar</v>
      </c>
    </row>
    <row r="1205" spans="1:19" x14ac:dyDescent="0.25">
      <c r="A1205">
        <v>1500088374</v>
      </c>
      <c r="B1205" t="s">
        <v>2589</v>
      </c>
      <c r="C1205" t="s">
        <v>19</v>
      </c>
      <c r="D1205" t="s">
        <v>349</v>
      </c>
      <c r="E1205" t="s">
        <v>21</v>
      </c>
      <c r="F1205" t="s">
        <v>22</v>
      </c>
      <c r="G1205" t="s">
        <v>33</v>
      </c>
      <c r="H1205" t="s">
        <v>350</v>
      </c>
      <c r="I1205" t="s">
        <v>2595</v>
      </c>
      <c r="J1205">
        <v>10.25552667</v>
      </c>
      <c r="K1205">
        <v>-85.580927520000003</v>
      </c>
      <c r="L1205" t="s">
        <v>1225</v>
      </c>
      <c r="M1205" t="s">
        <v>352</v>
      </c>
      <c r="N1205" t="s">
        <v>353</v>
      </c>
      <c r="O1205" t="s">
        <v>354</v>
      </c>
      <c r="P1205">
        <v>1</v>
      </c>
      <c r="Q1205" t="s">
        <v>155</v>
      </c>
      <c r="S1205" t="str">
        <f>_xlfn.XLOOKUP(UNIVERSO[[#This Row],[Ruta]],'[1]CUOTA RUTA'!A:A,'[1]CUOTA RUTA'!D:D)</f>
        <v>Cargar</v>
      </c>
    </row>
    <row r="1206" spans="1:19" x14ac:dyDescent="0.25">
      <c r="A1206">
        <v>1500088401</v>
      </c>
      <c r="B1206" t="s">
        <v>2596</v>
      </c>
      <c r="C1206" t="s">
        <v>19</v>
      </c>
      <c r="D1206" t="s">
        <v>349</v>
      </c>
      <c r="E1206" t="s">
        <v>21</v>
      </c>
      <c r="F1206" t="s">
        <v>22</v>
      </c>
      <c r="G1206" t="s">
        <v>33</v>
      </c>
      <c r="H1206" t="s">
        <v>356</v>
      </c>
      <c r="I1206" t="s">
        <v>2597</v>
      </c>
      <c r="J1206">
        <v>10.259612000000001</v>
      </c>
      <c r="K1206">
        <v>-85.589704999999995</v>
      </c>
      <c r="L1206" t="s">
        <v>1225</v>
      </c>
      <c r="M1206" t="s">
        <v>352</v>
      </c>
      <c r="N1206" t="s">
        <v>353</v>
      </c>
      <c r="O1206" t="s">
        <v>354</v>
      </c>
      <c r="P1206">
        <v>2</v>
      </c>
      <c r="Q1206" t="s">
        <v>150</v>
      </c>
      <c r="S1206" t="str">
        <f>_xlfn.XLOOKUP(UNIVERSO[[#This Row],[Ruta]],'[1]CUOTA RUTA'!A:A,'[1]CUOTA RUTA'!D:D)</f>
        <v>Cargar</v>
      </c>
    </row>
    <row r="1207" spans="1:19" x14ac:dyDescent="0.25">
      <c r="A1207">
        <v>1500088534</v>
      </c>
      <c r="B1207" t="s">
        <v>1223</v>
      </c>
      <c r="C1207" t="s">
        <v>19</v>
      </c>
      <c r="D1207" t="s">
        <v>349</v>
      </c>
      <c r="E1207" t="s">
        <v>21</v>
      </c>
      <c r="F1207" t="s">
        <v>22</v>
      </c>
      <c r="G1207" t="s">
        <v>64</v>
      </c>
      <c r="H1207" t="s">
        <v>356</v>
      </c>
      <c r="I1207" t="s">
        <v>2598</v>
      </c>
      <c r="J1207">
        <v>10.156737</v>
      </c>
      <c r="K1207">
        <v>-85.454032999999995</v>
      </c>
      <c r="L1207" t="s">
        <v>1225</v>
      </c>
      <c r="M1207" t="s">
        <v>352</v>
      </c>
      <c r="N1207" t="s">
        <v>353</v>
      </c>
      <c r="O1207" t="s">
        <v>354</v>
      </c>
      <c r="P1207">
        <v>13</v>
      </c>
      <c r="Q1207" t="s">
        <v>161</v>
      </c>
      <c r="S1207" t="str">
        <f>_xlfn.XLOOKUP(UNIVERSO[[#This Row],[Ruta]],'[1]CUOTA RUTA'!A:A,'[1]CUOTA RUTA'!D:D)</f>
        <v>Cargar</v>
      </c>
    </row>
    <row r="1208" spans="1:19" x14ac:dyDescent="0.25">
      <c r="A1208">
        <v>1500088541</v>
      </c>
      <c r="B1208" t="s">
        <v>2599</v>
      </c>
      <c r="C1208" t="s">
        <v>19</v>
      </c>
      <c r="D1208" t="s">
        <v>349</v>
      </c>
      <c r="E1208" t="s">
        <v>21</v>
      </c>
      <c r="F1208" t="s">
        <v>22</v>
      </c>
      <c r="G1208" t="s">
        <v>33</v>
      </c>
      <c r="H1208" t="s">
        <v>356</v>
      </c>
      <c r="I1208" t="s">
        <v>2600</v>
      </c>
      <c r="J1208">
        <v>10.155282</v>
      </c>
      <c r="K1208">
        <v>-85.456367</v>
      </c>
      <c r="L1208" t="s">
        <v>1225</v>
      </c>
      <c r="M1208" t="s">
        <v>352</v>
      </c>
      <c r="N1208" t="s">
        <v>353</v>
      </c>
      <c r="O1208" t="s">
        <v>354</v>
      </c>
      <c r="P1208">
        <v>14</v>
      </c>
      <c r="Q1208" t="s">
        <v>181</v>
      </c>
      <c r="S1208" t="str">
        <f>_xlfn.XLOOKUP(UNIVERSO[[#This Row],[Ruta]],'[1]CUOTA RUTA'!A:A,'[1]CUOTA RUTA'!D:D)</f>
        <v>Cargar</v>
      </c>
    </row>
    <row r="1209" spans="1:19" x14ac:dyDescent="0.25">
      <c r="A1209">
        <v>1500088586</v>
      </c>
      <c r="B1209" t="s">
        <v>2601</v>
      </c>
      <c r="C1209" t="s">
        <v>19</v>
      </c>
      <c r="D1209" t="s">
        <v>349</v>
      </c>
      <c r="E1209" t="s">
        <v>21</v>
      </c>
      <c r="F1209" t="s">
        <v>51</v>
      </c>
      <c r="G1209" t="s">
        <v>23</v>
      </c>
      <c r="H1209" t="s">
        <v>908</v>
      </c>
      <c r="I1209" t="s">
        <v>2602</v>
      </c>
      <c r="J1209">
        <v>10.060541000000001</v>
      </c>
      <c r="K1209">
        <v>-85.419049999999999</v>
      </c>
      <c r="L1209" t="s">
        <v>1225</v>
      </c>
      <c r="M1209" t="s">
        <v>352</v>
      </c>
      <c r="N1209" t="s">
        <v>353</v>
      </c>
      <c r="O1209" t="s">
        <v>354</v>
      </c>
      <c r="P1209">
        <v>16</v>
      </c>
      <c r="Q1209" t="s">
        <v>60</v>
      </c>
      <c r="S1209" t="str">
        <f>_xlfn.XLOOKUP(UNIVERSO[[#This Row],[Ruta]],'[1]CUOTA RUTA'!A:A,'[1]CUOTA RUTA'!D:D)</f>
        <v>Cargar</v>
      </c>
    </row>
    <row r="1210" spans="1:19" x14ac:dyDescent="0.25">
      <c r="A1210">
        <v>1500088638</v>
      </c>
      <c r="B1210" t="s">
        <v>2603</v>
      </c>
      <c r="C1210" t="s">
        <v>19</v>
      </c>
      <c r="D1210" t="s">
        <v>349</v>
      </c>
      <c r="E1210" t="s">
        <v>21</v>
      </c>
      <c r="F1210" t="s">
        <v>51</v>
      </c>
      <c r="G1210" t="s">
        <v>23</v>
      </c>
      <c r="H1210" t="s">
        <v>908</v>
      </c>
      <c r="I1210" t="s">
        <v>2604</v>
      </c>
      <c r="J1210">
        <v>9.9714700000000001</v>
      </c>
      <c r="K1210">
        <v>-85.658951999999999</v>
      </c>
      <c r="L1210" t="s">
        <v>1225</v>
      </c>
      <c r="M1210" t="s">
        <v>352</v>
      </c>
      <c r="N1210" t="s">
        <v>353</v>
      </c>
      <c r="O1210" t="s">
        <v>354</v>
      </c>
      <c r="P1210">
        <v>6</v>
      </c>
      <c r="Q1210" t="s">
        <v>49</v>
      </c>
      <c r="S1210" t="str">
        <f>_xlfn.XLOOKUP(UNIVERSO[[#This Row],[Ruta]],'[1]CUOTA RUTA'!A:A,'[1]CUOTA RUTA'!D:D)</f>
        <v>Cargar</v>
      </c>
    </row>
    <row r="1211" spans="1:19" x14ac:dyDescent="0.25">
      <c r="A1211">
        <v>1500088687</v>
      </c>
      <c r="B1211" t="s">
        <v>2500</v>
      </c>
      <c r="C1211" t="s">
        <v>19</v>
      </c>
      <c r="D1211" t="s">
        <v>349</v>
      </c>
      <c r="E1211" t="s">
        <v>21</v>
      </c>
      <c r="F1211" t="s">
        <v>22</v>
      </c>
      <c r="G1211" t="s">
        <v>64</v>
      </c>
      <c r="H1211" t="s">
        <v>359</v>
      </c>
      <c r="I1211" t="s">
        <v>2605</v>
      </c>
      <c r="J1211">
        <v>10.037668</v>
      </c>
      <c r="K1211">
        <v>-85.256900999999999</v>
      </c>
      <c r="L1211" t="s">
        <v>1225</v>
      </c>
      <c r="M1211" t="s">
        <v>352</v>
      </c>
      <c r="N1211" t="s">
        <v>353</v>
      </c>
      <c r="O1211" t="s">
        <v>354</v>
      </c>
      <c r="P1211">
        <v>11</v>
      </c>
      <c r="Q1211" t="s">
        <v>108</v>
      </c>
      <c r="S1211" t="str">
        <f>_xlfn.XLOOKUP(UNIVERSO[[#This Row],[Ruta]],'[1]CUOTA RUTA'!A:A,'[1]CUOTA RUTA'!D:D)</f>
        <v>Cargar</v>
      </c>
    </row>
    <row r="1212" spans="1:19" x14ac:dyDescent="0.25">
      <c r="A1212">
        <v>1500088728</v>
      </c>
      <c r="B1212" t="s">
        <v>2606</v>
      </c>
      <c r="C1212" t="s">
        <v>19</v>
      </c>
      <c r="D1212" t="s">
        <v>349</v>
      </c>
      <c r="E1212" t="s">
        <v>21</v>
      </c>
      <c r="F1212" t="s">
        <v>22</v>
      </c>
      <c r="G1212" t="s">
        <v>23</v>
      </c>
      <c r="H1212" t="s">
        <v>350</v>
      </c>
      <c r="I1212" t="s">
        <v>2607</v>
      </c>
      <c r="J1212">
        <v>9.864986</v>
      </c>
      <c r="K1212">
        <v>-85.478566999999998</v>
      </c>
      <c r="L1212" t="s">
        <v>1225</v>
      </c>
      <c r="M1212" t="s">
        <v>352</v>
      </c>
      <c r="N1212" t="s">
        <v>353</v>
      </c>
      <c r="O1212" t="s">
        <v>354</v>
      </c>
      <c r="P1212">
        <v>8</v>
      </c>
      <c r="Q1212" t="s">
        <v>97</v>
      </c>
      <c r="S1212" t="str">
        <f>_xlfn.XLOOKUP(UNIVERSO[[#This Row],[Ruta]],'[1]CUOTA RUTA'!A:A,'[1]CUOTA RUTA'!D:D)</f>
        <v>Cargar</v>
      </c>
    </row>
    <row r="1213" spans="1:19" x14ac:dyDescent="0.25">
      <c r="A1213">
        <v>1500088736</v>
      </c>
      <c r="B1213" t="s">
        <v>2608</v>
      </c>
      <c r="C1213" t="s">
        <v>19</v>
      </c>
      <c r="D1213" t="s">
        <v>349</v>
      </c>
      <c r="E1213" t="s">
        <v>21</v>
      </c>
      <c r="F1213" t="s">
        <v>22</v>
      </c>
      <c r="G1213" t="s">
        <v>23</v>
      </c>
      <c r="H1213" t="s">
        <v>350</v>
      </c>
      <c r="I1213" t="s">
        <v>2609</v>
      </c>
      <c r="J1213">
        <v>9.8834126199999996</v>
      </c>
      <c r="K1213">
        <v>-85.526563400000001</v>
      </c>
      <c r="L1213" t="s">
        <v>1225</v>
      </c>
      <c r="M1213" t="s">
        <v>352</v>
      </c>
      <c r="N1213" t="s">
        <v>353</v>
      </c>
      <c r="O1213" t="s">
        <v>354</v>
      </c>
      <c r="P1213">
        <v>8</v>
      </c>
      <c r="Q1213" t="s">
        <v>97</v>
      </c>
      <c r="S1213" t="str">
        <f>_xlfn.XLOOKUP(UNIVERSO[[#This Row],[Ruta]],'[1]CUOTA RUTA'!A:A,'[1]CUOTA RUTA'!D:D)</f>
        <v>Cargar</v>
      </c>
    </row>
    <row r="1214" spans="1:19" x14ac:dyDescent="0.25">
      <c r="A1214">
        <v>1500088811</v>
      </c>
      <c r="B1214" t="s">
        <v>2610</v>
      </c>
      <c r="C1214" t="s">
        <v>19</v>
      </c>
      <c r="D1214" t="s">
        <v>349</v>
      </c>
      <c r="E1214" t="s">
        <v>21</v>
      </c>
      <c r="F1214" t="s">
        <v>22</v>
      </c>
      <c r="G1214" t="s">
        <v>33</v>
      </c>
      <c r="H1214" t="s">
        <v>359</v>
      </c>
      <c r="I1214" t="s">
        <v>2611</v>
      </c>
      <c r="J1214">
        <v>10.019799000000001</v>
      </c>
      <c r="K1214">
        <v>-85.501834000000002</v>
      </c>
      <c r="L1214" t="s">
        <v>1225</v>
      </c>
      <c r="M1214" t="s">
        <v>352</v>
      </c>
      <c r="N1214" t="s">
        <v>353</v>
      </c>
      <c r="O1214" t="s">
        <v>354</v>
      </c>
      <c r="P1214">
        <v>14</v>
      </c>
      <c r="Q1214" t="s">
        <v>181</v>
      </c>
      <c r="S1214" t="str">
        <f>_xlfn.XLOOKUP(UNIVERSO[[#This Row],[Ruta]],'[1]CUOTA RUTA'!A:A,'[1]CUOTA RUTA'!D:D)</f>
        <v>Cargar</v>
      </c>
    </row>
    <row r="1215" spans="1:19" x14ac:dyDescent="0.25">
      <c r="A1215">
        <v>1500088874</v>
      </c>
      <c r="B1215" t="s">
        <v>2612</v>
      </c>
      <c r="C1215" t="s">
        <v>19</v>
      </c>
      <c r="D1215" t="s">
        <v>349</v>
      </c>
      <c r="E1215" t="s">
        <v>21</v>
      </c>
      <c r="F1215" t="s">
        <v>22</v>
      </c>
      <c r="G1215" t="s">
        <v>64</v>
      </c>
      <c r="H1215" t="s">
        <v>359</v>
      </c>
      <c r="I1215" t="s">
        <v>2613</v>
      </c>
      <c r="J1215">
        <v>9.9634289999999996</v>
      </c>
      <c r="K1215">
        <v>-85.127052000000006</v>
      </c>
      <c r="L1215" t="s">
        <v>1225</v>
      </c>
      <c r="M1215" t="s">
        <v>352</v>
      </c>
      <c r="N1215" t="s">
        <v>353</v>
      </c>
      <c r="O1215" t="s">
        <v>354</v>
      </c>
      <c r="P1215">
        <v>10</v>
      </c>
      <c r="Q1215" t="s">
        <v>136</v>
      </c>
      <c r="S1215" t="str">
        <f>_xlfn.XLOOKUP(UNIVERSO[[#This Row],[Ruta]],'[1]CUOTA RUTA'!A:A,'[1]CUOTA RUTA'!D:D)</f>
        <v>Cargar</v>
      </c>
    </row>
    <row r="1216" spans="1:19" x14ac:dyDescent="0.25">
      <c r="A1216">
        <v>1500089029</v>
      </c>
      <c r="B1216" t="s">
        <v>2614</v>
      </c>
      <c r="C1216" t="s">
        <v>19</v>
      </c>
      <c r="D1216" t="s">
        <v>349</v>
      </c>
      <c r="E1216" t="s">
        <v>21</v>
      </c>
      <c r="F1216" t="s">
        <v>22</v>
      </c>
      <c r="G1216" t="s">
        <v>33</v>
      </c>
      <c r="H1216" t="s">
        <v>496</v>
      </c>
      <c r="I1216" t="s">
        <v>2615</v>
      </c>
      <c r="J1216">
        <v>9.9323960000000007</v>
      </c>
      <c r="K1216">
        <v>-84.996562999999995</v>
      </c>
      <c r="L1216" t="s">
        <v>1225</v>
      </c>
      <c r="M1216" t="s">
        <v>352</v>
      </c>
      <c r="N1216" t="s">
        <v>353</v>
      </c>
      <c r="O1216" t="s">
        <v>354</v>
      </c>
      <c r="P1216">
        <v>15</v>
      </c>
      <c r="Q1216" t="s">
        <v>231</v>
      </c>
      <c r="S1216" t="str">
        <f>_xlfn.XLOOKUP(UNIVERSO[[#This Row],[Ruta]],'[1]CUOTA RUTA'!A:A,'[1]CUOTA RUTA'!D:D)</f>
        <v>Cargar</v>
      </c>
    </row>
    <row r="1217" spans="1:19" x14ac:dyDescent="0.25">
      <c r="A1217">
        <v>1500089065</v>
      </c>
      <c r="B1217" t="s">
        <v>2616</v>
      </c>
      <c r="C1217" t="s">
        <v>19</v>
      </c>
      <c r="D1217" t="s">
        <v>349</v>
      </c>
      <c r="E1217" t="s">
        <v>21</v>
      </c>
      <c r="F1217" t="s">
        <v>22</v>
      </c>
      <c r="G1217" t="s">
        <v>33</v>
      </c>
      <c r="H1217" t="s">
        <v>359</v>
      </c>
      <c r="I1217" t="s">
        <v>2617</v>
      </c>
      <c r="J1217">
        <v>10.030290000000001</v>
      </c>
      <c r="K1217">
        <v>-85.242503999999997</v>
      </c>
      <c r="L1217" t="s">
        <v>1225</v>
      </c>
      <c r="M1217" t="s">
        <v>352</v>
      </c>
      <c r="N1217" t="s">
        <v>353</v>
      </c>
      <c r="O1217" t="s">
        <v>354</v>
      </c>
      <c r="P1217">
        <v>11</v>
      </c>
      <c r="Q1217" t="s">
        <v>108</v>
      </c>
      <c r="S1217" t="str">
        <f>_xlfn.XLOOKUP(UNIVERSO[[#This Row],[Ruta]],'[1]CUOTA RUTA'!A:A,'[1]CUOTA RUTA'!D:D)</f>
        <v>Cargar</v>
      </c>
    </row>
    <row r="1218" spans="1:19" x14ac:dyDescent="0.25">
      <c r="A1218">
        <v>1500089271</v>
      </c>
      <c r="B1218" t="s">
        <v>2618</v>
      </c>
      <c r="C1218" t="s">
        <v>19</v>
      </c>
      <c r="D1218" t="s">
        <v>349</v>
      </c>
      <c r="E1218" t="s">
        <v>21</v>
      </c>
      <c r="F1218" t="s">
        <v>22</v>
      </c>
      <c r="G1218" t="s">
        <v>64</v>
      </c>
      <c r="H1218" t="s">
        <v>359</v>
      </c>
      <c r="I1218" t="s">
        <v>2619</v>
      </c>
      <c r="J1218">
        <v>10.080765</v>
      </c>
      <c r="K1218">
        <v>-85.494422999999998</v>
      </c>
      <c r="L1218" t="s">
        <v>1225</v>
      </c>
      <c r="M1218" t="s">
        <v>352</v>
      </c>
      <c r="N1218" t="s">
        <v>353</v>
      </c>
      <c r="O1218" t="s">
        <v>354</v>
      </c>
      <c r="P1218">
        <v>14</v>
      </c>
      <c r="Q1218" t="s">
        <v>181</v>
      </c>
      <c r="S1218" t="str">
        <f>_xlfn.XLOOKUP(UNIVERSO[[#This Row],[Ruta]],'[1]CUOTA RUTA'!A:A,'[1]CUOTA RUTA'!D:D)</f>
        <v>Cargar</v>
      </c>
    </row>
    <row r="1219" spans="1:19" x14ac:dyDescent="0.25">
      <c r="A1219">
        <v>1500089375</v>
      </c>
      <c r="B1219" t="s">
        <v>2620</v>
      </c>
      <c r="C1219" t="s">
        <v>19</v>
      </c>
      <c r="D1219" t="s">
        <v>32</v>
      </c>
      <c r="E1219" t="s">
        <v>21</v>
      </c>
      <c r="F1219" t="s">
        <v>22</v>
      </c>
      <c r="G1219" t="s">
        <v>33</v>
      </c>
      <c r="H1219" t="s">
        <v>174</v>
      </c>
      <c r="I1219" t="s">
        <v>2621</v>
      </c>
      <c r="J1219">
        <v>9.9390889999999992</v>
      </c>
      <c r="K1219">
        <v>-84.084016000000005</v>
      </c>
      <c r="L1219" t="s">
        <v>1225</v>
      </c>
      <c r="M1219" t="s">
        <v>71</v>
      </c>
      <c r="N1219" t="s">
        <v>72</v>
      </c>
      <c r="O1219" t="s">
        <v>73</v>
      </c>
      <c r="P1219">
        <v>1</v>
      </c>
      <c r="Q1219" t="s">
        <v>155</v>
      </c>
      <c r="S1219" t="str">
        <f>_xlfn.XLOOKUP(UNIVERSO[[#This Row],[Ruta]],'[1]CUOTA RUTA'!A:A,'[1]CUOTA RUTA'!D:D)</f>
        <v>Cargar</v>
      </c>
    </row>
    <row r="1220" spans="1:19" x14ac:dyDescent="0.25">
      <c r="A1220">
        <v>1500089402</v>
      </c>
      <c r="B1220" t="s">
        <v>2622</v>
      </c>
      <c r="C1220" t="s">
        <v>19</v>
      </c>
      <c r="D1220" t="s">
        <v>32</v>
      </c>
      <c r="E1220" t="s">
        <v>21</v>
      </c>
      <c r="F1220" t="s">
        <v>22</v>
      </c>
      <c r="G1220" t="s">
        <v>64</v>
      </c>
      <c r="H1220" t="s">
        <v>174</v>
      </c>
      <c r="I1220" t="s">
        <v>2623</v>
      </c>
      <c r="J1220">
        <v>9.9424899999999994</v>
      </c>
      <c r="K1220">
        <v>-84.084130999999999</v>
      </c>
      <c r="L1220" t="s">
        <v>1225</v>
      </c>
      <c r="M1220" t="s">
        <v>71</v>
      </c>
      <c r="N1220" t="s">
        <v>72</v>
      </c>
      <c r="O1220" t="s">
        <v>73</v>
      </c>
      <c r="P1220">
        <v>1</v>
      </c>
      <c r="Q1220" t="s">
        <v>155</v>
      </c>
      <c r="S1220" t="str">
        <f>_xlfn.XLOOKUP(UNIVERSO[[#This Row],[Ruta]],'[1]CUOTA RUTA'!A:A,'[1]CUOTA RUTA'!D:D)</f>
        <v>Cargar</v>
      </c>
    </row>
    <row r="1221" spans="1:19" x14ac:dyDescent="0.25">
      <c r="A1221">
        <v>1500089409</v>
      </c>
      <c r="B1221" t="s">
        <v>2624</v>
      </c>
      <c r="C1221" t="s">
        <v>19</v>
      </c>
      <c r="D1221" t="s">
        <v>32</v>
      </c>
      <c r="E1221" t="s">
        <v>21</v>
      </c>
      <c r="F1221" t="s">
        <v>22</v>
      </c>
      <c r="G1221" t="s">
        <v>33</v>
      </c>
      <c r="H1221" t="s">
        <v>683</v>
      </c>
      <c r="I1221" t="s">
        <v>2625</v>
      </c>
      <c r="J1221">
        <v>9.9373780000000007</v>
      </c>
      <c r="K1221">
        <v>-84.093525999999997</v>
      </c>
      <c r="L1221" t="s">
        <v>1225</v>
      </c>
      <c r="M1221" t="s">
        <v>71</v>
      </c>
      <c r="N1221" t="s">
        <v>72</v>
      </c>
      <c r="O1221" t="s">
        <v>73</v>
      </c>
      <c r="P1221">
        <v>4</v>
      </c>
      <c r="Q1221" t="s">
        <v>120</v>
      </c>
      <c r="S1221" t="str">
        <f>_xlfn.XLOOKUP(UNIVERSO[[#This Row],[Ruta]],'[1]CUOTA RUTA'!A:A,'[1]CUOTA RUTA'!D:D)</f>
        <v>Cargar</v>
      </c>
    </row>
    <row r="1222" spans="1:19" x14ac:dyDescent="0.25">
      <c r="A1222">
        <v>1500089419</v>
      </c>
      <c r="B1222" t="s">
        <v>2626</v>
      </c>
      <c r="C1222" t="s">
        <v>19</v>
      </c>
      <c r="D1222" t="s">
        <v>32</v>
      </c>
      <c r="E1222" t="s">
        <v>21</v>
      </c>
      <c r="F1222" t="s">
        <v>22</v>
      </c>
      <c r="G1222" t="s">
        <v>23</v>
      </c>
      <c r="H1222" t="s">
        <v>103</v>
      </c>
      <c r="I1222" t="s">
        <v>2627</v>
      </c>
      <c r="J1222">
        <v>9.942107</v>
      </c>
      <c r="K1222">
        <v>-84.088249000000005</v>
      </c>
      <c r="L1222" t="s">
        <v>1225</v>
      </c>
      <c r="M1222" t="s">
        <v>71</v>
      </c>
      <c r="N1222" t="s">
        <v>72</v>
      </c>
      <c r="O1222" t="s">
        <v>73</v>
      </c>
      <c r="P1222">
        <v>1</v>
      </c>
      <c r="Q1222" t="s">
        <v>155</v>
      </c>
      <c r="S1222" t="str">
        <f>_xlfn.XLOOKUP(UNIVERSO[[#This Row],[Ruta]],'[1]CUOTA RUTA'!A:A,'[1]CUOTA RUTA'!D:D)</f>
        <v>Cargar</v>
      </c>
    </row>
    <row r="1223" spans="1:19" x14ac:dyDescent="0.25">
      <c r="A1223">
        <v>1500089427</v>
      </c>
      <c r="B1223" t="s">
        <v>2628</v>
      </c>
      <c r="C1223" t="s">
        <v>19</v>
      </c>
      <c r="D1223" t="s">
        <v>32</v>
      </c>
      <c r="E1223" t="s">
        <v>21</v>
      </c>
      <c r="F1223" t="s">
        <v>22</v>
      </c>
      <c r="G1223" t="s">
        <v>64</v>
      </c>
      <c r="H1223" t="s">
        <v>174</v>
      </c>
      <c r="I1223" t="s">
        <v>2629</v>
      </c>
      <c r="J1223">
        <v>9.9436599999999995</v>
      </c>
      <c r="K1223">
        <v>-84.086500000000001</v>
      </c>
      <c r="L1223" t="s">
        <v>1225</v>
      </c>
      <c r="M1223" t="s">
        <v>71</v>
      </c>
      <c r="N1223" t="s">
        <v>72</v>
      </c>
      <c r="O1223" t="s">
        <v>73</v>
      </c>
      <c r="P1223">
        <v>1</v>
      </c>
      <c r="Q1223" t="s">
        <v>155</v>
      </c>
      <c r="S1223" t="str">
        <f>_xlfn.XLOOKUP(UNIVERSO[[#This Row],[Ruta]],'[1]CUOTA RUTA'!A:A,'[1]CUOTA RUTA'!D:D)</f>
        <v>Cargar</v>
      </c>
    </row>
    <row r="1224" spans="1:19" x14ac:dyDescent="0.25">
      <c r="A1224">
        <v>1500089600</v>
      </c>
      <c r="B1224" t="s">
        <v>2630</v>
      </c>
      <c r="C1224" t="s">
        <v>19</v>
      </c>
      <c r="D1224" t="s">
        <v>32</v>
      </c>
      <c r="E1224" t="s">
        <v>21</v>
      </c>
      <c r="F1224" t="s">
        <v>22</v>
      </c>
      <c r="G1224" t="s">
        <v>64</v>
      </c>
      <c r="H1224" t="s">
        <v>174</v>
      </c>
      <c r="I1224" t="s">
        <v>2631</v>
      </c>
      <c r="J1224">
        <v>9.9374800000000008</v>
      </c>
      <c r="K1224">
        <v>-84.080500000000001</v>
      </c>
      <c r="L1224" t="s">
        <v>1225</v>
      </c>
      <c r="M1224" t="s">
        <v>71</v>
      </c>
      <c r="N1224" t="s">
        <v>72</v>
      </c>
      <c r="O1224" t="s">
        <v>73</v>
      </c>
      <c r="P1224">
        <v>2</v>
      </c>
      <c r="Q1224" t="s">
        <v>150</v>
      </c>
      <c r="S1224" t="str">
        <f>_xlfn.XLOOKUP(UNIVERSO[[#This Row],[Ruta]],'[1]CUOTA RUTA'!A:A,'[1]CUOTA RUTA'!D:D)</f>
        <v>Cargar</v>
      </c>
    </row>
    <row r="1225" spans="1:19" x14ac:dyDescent="0.25">
      <c r="A1225">
        <v>1500089718</v>
      </c>
      <c r="B1225" t="s">
        <v>2632</v>
      </c>
      <c r="C1225" t="s">
        <v>19</v>
      </c>
      <c r="D1225" t="s">
        <v>32</v>
      </c>
      <c r="E1225" t="s">
        <v>21</v>
      </c>
      <c r="F1225" t="s">
        <v>22</v>
      </c>
      <c r="G1225" t="s">
        <v>33</v>
      </c>
      <c r="H1225" t="s">
        <v>1345</v>
      </c>
      <c r="I1225" t="s">
        <v>2633</v>
      </c>
      <c r="J1225">
        <v>9.9304389999999998</v>
      </c>
      <c r="K1225">
        <v>-84.074036000000007</v>
      </c>
      <c r="L1225" t="s">
        <v>1225</v>
      </c>
      <c r="M1225" t="s">
        <v>71</v>
      </c>
      <c r="N1225" t="s">
        <v>72</v>
      </c>
      <c r="O1225" t="s">
        <v>73</v>
      </c>
      <c r="P1225">
        <v>5</v>
      </c>
      <c r="Q1225" t="s">
        <v>117</v>
      </c>
      <c r="S1225" t="str">
        <f>_xlfn.XLOOKUP(UNIVERSO[[#This Row],[Ruta]],'[1]CUOTA RUTA'!A:A,'[1]CUOTA RUTA'!D:D)</f>
        <v>Cargar</v>
      </c>
    </row>
    <row r="1226" spans="1:19" x14ac:dyDescent="0.25">
      <c r="A1226">
        <v>1500090223</v>
      </c>
      <c r="B1226" t="s">
        <v>2355</v>
      </c>
      <c r="C1226" t="s">
        <v>19</v>
      </c>
      <c r="D1226" t="s">
        <v>32</v>
      </c>
      <c r="E1226" t="s">
        <v>21</v>
      </c>
      <c r="F1226" t="s">
        <v>22</v>
      </c>
      <c r="G1226" t="s">
        <v>64</v>
      </c>
      <c r="H1226" t="s">
        <v>99</v>
      </c>
      <c r="I1226" t="s">
        <v>2634</v>
      </c>
      <c r="J1226">
        <v>9.9301759999999994</v>
      </c>
      <c r="K1226">
        <v>-84.079521</v>
      </c>
      <c r="L1226" t="s">
        <v>1225</v>
      </c>
      <c r="M1226" t="s">
        <v>71</v>
      </c>
      <c r="N1226" t="s">
        <v>72</v>
      </c>
      <c r="O1226" t="s">
        <v>73</v>
      </c>
      <c r="P1226">
        <v>2</v>
      </c>
      <c r="Q1226" t="s">
        <v>150</v>
      </c>
      <c r="S1226" t="str">
        <f>_xlfn.XLOOKUP(UNIVERSO[[#This Row],[Ruta]],'[1]CUOTA RUTA'!A:A,'[1]CUOTA RUTA'!D:D)</f>
        <v>Cargar</v>
      </c>
    </row>
    <row r="1227" spans="1:19" x14ac:dyDescent="0.25">
      <c r="A1227">
        <v>1500090394</v>
      </c>
      <c r="B1227" t="s">
        <v>2635</v>
      </c>
      <c r="C1227" t="s">
        <v>19</v>
      </c>
      <c r="D1227" t="s">
        <v>32</v>
      </c>
      <c r="E1227" t="s">
        <v>21</v>
      </c>
      <c r="F1227" t="s">
        <v>22</v>
      </c>
      <c r="G1227" t="s">
        <v>64</v>
      </c>
      <c r="H1227" t="s">
        <v>879</v>
      </c>
      <c r="I1227" t="s">
        <v>2636</v>
      </c>
      <c r="J1227">
        <v>9.9289199999999997</v>
      </c>
      <c r="K1227">
        <v>-84.079400000000007</v>
      </c>
      <c r="L1227" t="s">
        <v>1225</v>
      </c>
      <c r="M1227" t="s">
        <v>71</v>
      </c>
      <c r="N1227" t="s">
        <v>72</v>
      </c>
      <c r="O1227" t="s">
        <v>73</v>
      </c>
      <c r="P1227">
        <v>2</v>
      </c>
      <c r="Q1227" t="s">
        <v>150</v>
      </c>
      <c r="S1227" t="str">
        <f>_xlfn.XLOOKUP(UNIVERSO[[#This Row],[Ruta]],'[1]CUOTA RUTA'!A:A,'[1]CUOTA RUTA'!D:D)</f>
        <v>Cargar</v>
      </c>
    </row>
    <row r="1228" spans="1:19" x14ac:dyDescent="0.25">
      <c r="A1228">
        <v>1500090477</v>
      </c>
      <c r="B1228" t="s">
        <v>2637</v>
      </c>
      <c r="C1228" t="s">
        <v>19</v>
      </c>
      <c r="D1228" t="s">
        <v>32</v>
      </c>
      <c r="E1228" t="s">
        <v>21</v>
      </c>
      <c r="F1228" t="s">
        <v>22</v>
      </c>
      <c r="G1228" t="s">
        <v>33</v>
      </c>
      <c r="H1228" t="s">
        <v>174</v>
      </c>
      <c r="I1228" t="s">
        <v>2638</v>
      </c>
      <c r="J1228">
        <v>9.9436119999999999</v>
      </c>
      <c r="K1228">
        <v>-84.083387999999999</v>
      </c>
      <c r="L1228" t="s">
        <v>1225</v>
      </c>
      <c r="M1228" t="s">
        <v>71</v>
      </c>
      <c r="N1228" t="s">
        <v>72</v>
      </c>
      <c r="O1228" t="s">
        <v>73</v>
      </c>
      <c r="P1228">
        <v>2</v>
      </c>
      <c r="Q1228" t="s">
        <v>150</v>
      </c>
      <c r="S1228" t="str">
        <f>_xlfn.XLOOKUP(UNIVERSO[[#This Row],[Ruta]],'[1]CUOTA RUTA'!A:A,'[1]CUOTA RUTA'!D:D)</f>
        <v>Cargar</v>
      </c>
    </row>
    <row r="1229" spans="1:19" x14ac:dyDescent="0.25">
      <c r="A1229">
        <v>1500090588</v>
      </c>
      <c r="B1229" t="s">
        <v>2639</v>
      </c>
      <c r="C1229" t="s">
        <v>19</v>
      </c>
      <c r="D1229" t="s">
        <v>32</v>
      </c>
      <c r="E1229" t="s">
        <v>21</v>
      </c>
      <c r="F1229" t="s">
        <v>22</v>
      </c>
      <c r="G1229" t="s">
        <v>64</v>
      </c>
      <c r="H1229" t="s">
        <v>683</v>
      </c>
      <c r="I1229" t="s">
        <v>2640</v>
      </c>
      <c r="J1229">
        <v>9.9323639999999997</v>
      </c>
      <c r="K1229">
        <v>-84.093755999999999</v>
      </c>
      <c r="L1229" t="s">
        <v>1225</v>
      </c>
      <c r="M1229" t="s">
        <v>71</v>
      </c>
      <c r="N1229" t="s">
        <v>72</v>
      </c>
      <c r="O1229" t="s">
        <v>73</v>
      </c>
      <c r="P1229">
        <v>5</v>
      </c>
      <c r="Q1229" t="s">
        <v>117</v>
      </c>
      <c r="S1229" t="str">
        <f>_xlfn.XLOOKUP(UNIVERSO[[#This Row],[Ruta]],'[1]CUOTA RUTA'!A:A,'[1]CUOTA RUTA'!D:D)</f>
        <v>Cargar</v>
      </c>
    </row>
    <row r="1230" spans="1:19" x14ac:dyDescent="0.25">
      <c r="A1230">
        <v>1500090605</v>
      </c>
      <c r="B1230" t="s">
        <v>2641</v>
      </c>
      <c r="C1230" t="s">
        <v>19</v>
      </c>
      <c r="D1230" t="s">
        <v>32</v>
      </c>
      <c r="E1230" t="s">
        <v>21</v>
      </c>
      <c r="F1230" t="s">
        <v>22</v>
      </c>
      <c r="G1230" t="s">
        <v>33</v>
      </c>
      <c r="H1230" t="s">
        <v>683</v>
      </c>
      <c r="I1230" t="s">
        <v>2642</v>
      </c>
      <c r="J1230">
        <v>9.9349100000000004</v>
      </c>
      <c r="K1230">
        <v>-84.096254999999999</v>
      </c>
      <c r="L1230" t="s">
        <v>1225</v>
      </c>
      <c r="M1230" t="s">
        <v>71</v>
      </c>
      <c r="N1230" t="s">
        <v>72</v>
      </c>
      <c r="O1230" t="s">
        <v>73</v>
      </c>
      <c r="P1230">
        <v>4</v>
      </c>
      <c r="Q1230" t="s">
        <v>120</v>
      </c>
      <c r="S1230" t="str">
        <f>_xlfn.XLOOKUP(UNIVERSO[[#This Row],[Ruta]],'[1]CUOTA RUTA'!A:A,'[1]CUOTA RUTA'!D:D)</f>
        <v>Cargar</v>
      </c>
    </row>
    <row r="1231" spans="1:19" x14ac:dyDescent="0.25">
      <c r="A1231">
        <v>1500090647</v>
      </c>
      <c r="B1231" t="s">
        <v>2643</v>
      </c>
      <c r="C1231" t="s">
        <v>19</v>
      </c>
      <c r="D1231" t="s">
        <v>32</v>
      </c>
      <c r="E1231" t="s">
        <v>21</v>
      </c>
      <c r="F1231" t="s">
        <v>22</v>
      </c>
      <c r="G1231" t="s">
        <v>64</v>
      </c>
      <c r="H1231" t="s">
        <v>99</v>
      </c>
      <c r="I1231" t="s">
        <v>2644</v>
      </c>
      <c r="J1231">
        <v>9.9264700000000001</v>
      </c>
      <c r="K1231">
        <v>-84.082800000000006</v>
      </c>
      <c r="L1231" t="s">
        <v>1225</v>
      </c>
      <c r="M1231" t="s">
        <v>71</v>
      </c>
      <c r="N1231" t="s">
        <v>72</v>
      </c>
      <c r="O1231" t="s">
        <v>73</v>
      </c>
      <c r="P1231">
        <v>5</v>
      </c>
      <c r="Q1231" t="s">
        <v>117</v>
      </c>
      <c r="S1231" t="str">
        <f>_xlfn.XLOOKUP(UNIVERSO[[#This Row],[Ruta]],'[1]CUOTA RUTA'!A:A,'[1]CUOTA RUTA'!D:D)</f>
        <v>Cargar</v>
      </c>
    </row>
    <row r="1232" spans="1:19" x14ac:dyDescent="0.25">
      <c r="A1232">
        <v>1500090720</v>
      </c>
      <c r="B1232" t="s">
        <v>2645</v>
      </c>
      <c r="C1232" t="s">
        <v>19</v>
      </c>
      <c r="D1232" t="s">
        <v>32</v>
      </c>
      <c r="E1232" t="s">
        <v>21</v>
      </c>
      <c r="F1232" t="s">
        <v>22</v>
      </c>
      <c r="G1232" t="s">
        <v>33</v>
      </c>
      <c r="H1232" t="s">
        <v>879</v>
      </c>
      <c r="I1232" t="s">
        <v>2646</v>
      </c>
      <c r="J1232">
        <v>9.9271999999999991</v>
      </c>
      <c r="K1232">
        <v>-84.078841999999995</v>
      </c>
      <c r="L1232" t="s">
        <v>1225</v>
      </c>
      <c r="M1232" t="s">
        <v>71</v>
      </c>
      <c r="N1232" t="s">
        <v>72</v>
      </c>
      <c r="O1232" t="s">
        <v>73</v>
      </c>
      <c r="P1232">
        <v>2</v>
      </c>
      <c r="Q1232" t="s">
        <v>150</v>
      </c>
      <c r="S1232" t="str">
        <f>_xlfn.XLOOKUP(UNIVERSO[[#This Row],[Ruta]],'[1]CUOTA RUTA'!A:A,'[1]CUOTA RUTA'!D:D)</f>
        <v>Cargar</v>
      </c>
    </row>
    <row r="1233" spans="1:19" x14ac:dyDescent="0.25">
      <c r="A1233">
        <v>1500091159</v>
      </c>
      <c r="B1233" t="s">
        <v>2647</v>
      </c>
      <c r="C1233" t="s">
        <v>19</v>
      </c>
      <c r="D1233" t="s">
        <v>266</v>
      </c>
      <c r="E1233" t="s">
        <v>21</v>
      </c>
      <c r="F1233" t="s">
        <v>22</v>
      </c>
      <c r="G1233" t="s">
        <v>33</v>
      </c>
      <c r="H1233" t="s">
        <v>366</v>
      </c>
      <c r="I1233" t="s">
        <v>2648</v>
      </c>
      <c r="J1233">
        <v>9.8378466666669997</v>
      </c>
      <c r="K1233">
        <v>-83.921364999999994</v>
      </c>
      <c r="L1233" t="s">
        <v>1225</v>
      </c>
      <c r="M1233" t="s">
        <v>36</v>
      </c>
      <c r="N1233" t="s">
        <v>316</v>
      </c>
      <c r="O1233" t="s">
        <v>317</v>
      </c>
      <c r="P1233">
        <v>17</v>
      </c>
      <c r="Q1233" t="s">
        <v>287</v>
      </c>
      <c r="S1233" t="str">
        <f>_xlfn.XLOOKUP(UNIVERSO[[#This Row],[Ruta]],'[1]CUOTA RUTA'!A:A,'[1]CUOTA RUTA'!D:D)</f>
        <v>Cargar</v>
      </c>
    </row>
    <row r="1234" spans="1:19" x14ac:dyDescent="0.25">
      <c r="A1234">
        <v>1500091222</v>
      </c>
      <c r="B1234" t="s">
        <v>2649</v>
      </c>
      <c r="C1234" t="s">
        <v>19</v>
      </c>
      <c r="D1234" t="s">
        <v>266</v>
      </c>
      <c r="E1234" t="s">
        <v>21</v>
      </c>
      <c r="F1234" t="s">
        <v>22</v>
      </c>
      <c r="G1234" t="s">
        <v>64</v>
      </c>
      <c r="H1234" t="s">
        <v>703</v>
      </c>
      <c r="I1234" t="s">
        <v>2650</v>
      </c>
      <c r="J1234">
        <v>9.8503900000000009</v>
      </c>
      <c r="K1234">
        <v>-83.939148000000003</v>
      </c>
      <c r="L1234" t="s">
        <v>1225</v>
      </c>
      <c r="M1234" t="s">
        <v>36</v>
      </c>
      <c r="N1234" t="s">
        <v>316</v>
      </c>
      <c r="O1234" t="s">
        <v>317</v>
      </c>
      <c r="P1234">
        <v>17</v>
      </c>
      <c r="Q1234" t="s">
        <v>287</v>
      </c>
      <c r="S1234" t="str">
        <f>_xlfn.XLOOKUP(UNIVERSO[[#This Row],[Ruta]],'[1]CUOTA RUTA'!A:A,'[1]CUOTA RUTA'!D:D)</f>
        <v>Cargar</v>
      </c>
    </row>
    <row r="1235" spans="1:19" x14ac:dyDescent="0.25">
      <c r="A1235">
        <v>1500091271</v>
      </c>
      <c r="B1235" t="s">
        <v>2651</v>
      </c>
      <c r="C1235" t="s">
        <v>19</v>
      </c>
      <c r="D1235" t="s">
        <v>324</v>
      </c>
      <c r="E1235" t="s">
        <v>21</v>
      </c>
      <c r="F1235" t="s">
        <v>22</v>
      </c>
      <c r="G1235" t="s">
        <v>33</v>
      </c>
      <c r="H1235" t="s">
        <v>331</v>
      </c>
      <c r="I1235" t="s">
        <v>2652</v>
      </c>
      <c r="J1235">
        <v>10.4483</v>
      </c>
      <c r="K1235">
        <v>-84.40155</v>
      </c>
      <c r="L1235" t="s">
        <v>1225</v>
      </c>
      <c r="M1235" t="s">
        <v>327</v>
      </c>
      <c r="N1235" t="s">
        <v>328</v>
      </c>
      <c r="O1235" t="s">
        <v>329</v>
      </c>
      <c r="P1235">
        <v>19</v>
      </c>
      <c r="Q1235" t="s">
        <v>67</v>
      </c>
      <c r="S1235" t="str">
        <f>_xlfn.XLOOKUP(UNIVERSO[[#This Row],[Ruta]],'[1]CUOTA RUTA'!A:A,'[1]CUOTA RUTA'!D:D)</f>
        <v>Cargar</v>
      </c>
    </row>
    <row r="1236" spans="1:19" x14ac:dyDescent="0.25">
      <c r="A1236">
        <v>1500091299</v>
      </c>
      <c r="B1236" t="s">
        <v>2653</v>
      </c>
      <c r="C1236" t="s">
        <v>19</v>
      </c>
      <c r="D1236" t="s">
        <v>324</v>
      </c>
      <c r="E1236" t="s">
        <v>21</v>
      </c>
      <c r="F1236" t="s">
        <v>22</v>
      </c>
      <c r="G1236" t="s">
        <v>64</v>
      </c>
      <c r="H1236" t="s">
        <v>511</v>
      </c>
      <c r="I1236" t="s">
        <v>2654</v>
      </c>
      <c r="J1236">
        <v>10.4282</v>
      </c>
      <c r="K1236">
        <v>-84.588310000000007</v>
      </c>
      <c r="L1236" t="s">
        <v>1225</v>
      </c>
      <c r="M1236" t="s">
        <v>327</v>
      </c>
      <c r="N1236" t="s">
        <v>328</v>
      </c>
      <c r="O1236" t="s">
        <v>329</v>
      </c>
      <c r="P1236">
        <v>12</v>
      </c>
      <c r="Q1236" t="s">
        <v>42</v>
      </c>
      <c r="S1236" t="str">
        <f>_xlfn.XLOOKUP(UNIVERSO[[#This Row],[Ruta]],'[1]CUOTA RUTA'!A:A,'[1]CUOTA RUTA'!D:D)</f>
        <v>Cargar</v>
      </c>
    </row>
    <row r="1237" spans="1:19" x14ac:dyDescent="0.25">
      <c r="A1237">
        <v>1500091355</v>
      </c>
      <c r="B1237" t="s">
        <v>2655</v>
      </c>
      <c r="C1237" t="s">
        <v>19</v>
      </c>
      <c r="D1237" t="s">
        <v>324</v>
      </c>
      <c r="E1237" t="s">
        <v>62</v>
      </c>
      <c r="F1237" t="s">
        <v>63</v>
      </c>
      <c r="G1237" t="s">
        <v>64</v>
      </c>
      <c r="H1237" t="s">
        <v>331</v>
      </c>
      <c r="I1237" t="s">
        <v>2656</v>
      </c>
      <c r="J1237">
        <v>10.4431268</v>
      </c>
      <c r="K1237">
        <v>-84.364127199999999</v>
      </c>
      <c r="L1237" t="s">
        <v>1225</v>
      </c>
      <c r="M1237" t="s">
        <v>327</v>
      </c>
      <c r="N1237" t="s">
        <v>328</v>
      </c>
      <c r="O1237" t="s">
        <v>329</v>
      </c>
      <c r="P1237">
        <v>19</v>
      </c>
      <c r="Q1237" t="s">
        <v>67</v>
      </c>
      <c r="S1237" t="str">
        <f>_xlfn.XLOOKUP(UNIVERSO[[#This Row],[Ruta]],'[1]CUOTA RUTA'!A:A,'[1]CUOTA RUTA'!D:D)</f>
        <v>Cargar</v>
      </c>
    </row>
    <row r="1238" spans="1:19" x14ac:dyDescent="0.25">
      <c r="A1238">
        <v>1500091689</v>
      </c>
      <c r="B1238" t="s">
        <v>2657</v>
      </c>
      <c r="C1238" t="s">
        <v>19</v>
      </c>
      <c r="D1238" t="s">
        <v>266</v>
      </c>
      <c r="E1238" t="s">
        <v>21</v>
      </c>
      <c r="F1238" t="s">
        <v>22</v>
      </c>
      <c r="G1238" t="s">
        <v>33</v>
      </c>
      <c r="H1238" t="s">
        <v>706</v>
      </c>
      <c r="I1238" t="s">
        <v>2658</v>
      </c>
      <c r="J1238">
        <v>9.8641930000000002</v>
      </c>
      <c r="K1238">
        <v>-83.929725000000005</v>
      </c>
      <c r="L1238" t="s">
        <v>1225</v>
      </c>
      <c r="M1238" t="s">
        <v>36</v>
      </c>
      <c r="N1238" t="s">
        <v>316</v>
      </c>
      <c r="O1238" t="s">
        <v>317</v>
      </c>
      <c r="P1238">
        <v>16</v>
      </c>
      <c r="Q1238" t="s">
        <v>60</v>
      </c>
      <c r="S1238" t="str">
        <f>_xlfn.XLOOKUP(UNIVERSO[[#This Row],[Ruta]],'[1]CUOTA RUTA'!A:A,'[1]CUOTA RUTA'!D:D)</f>
        <v>Cargar</v>
      </c>
    </row>
    <row r="1239" spans="1:19" x14ac:dyDescent="0.25">
      <c r="A1239">
        <v>1500091936</v>
      </c>
      <c r="B1239" t="s">
        <v>2659</v>
      </c>
      <c r="C1239" t="s">
        <v>19</v>
      </c>
      <c r="D1239" t="s">
        <v>266</v>
      </c>
      <c r="E1239" t="s">
        <v>21</v>
      </c>
      <c r="F1239" t="s">
        <v>22</v>
      </c>
      <c r="G1239" t="s">
        <v>64</v>
      </c>
      <c r="H1239" t="s">
        <v>404</v>
      </c>
      <c r="I1239" t="s">
        <v>2660</v>
      </c>
      <c r="J1239">
        <v>9.8341410000000007</v>
      </c>
      <c r="K1239">
        <v>-83.867206999999993</v>
      </c>
      <c r="L1239" t="s">
        <v>1225</v>
      </c>
      <c r="M1239" t="s">
        <v>36</v>
      </c>
      <c r="N1239" t="s">
        <v>316</v>
      </c>
      <c r="O1239" t="s">
        <v>317</v>
      </c>
      <c r="P1239">
        <v>23</v>
      </c>
      <c r="Q1239" t="s">
        <v>125</v>
      </c>
      <c r="S1239" t="str">
        <f>_xlfn.XLOOKUP(UNIVERSO[[#This Row],[Ruta]],'[1]CUOTA RUTA'!A:A,'[1]CUOTA RUTA'!D:D)</f>
        <v>Cargar</v>
      </c>
    </row>
    <row r="1240" spans="1:19" x14ac:dyDescent="0.25">
      <c r="A1240">
        <v>1500091942</v>
      </c>
      <c r="B1240" t="s">
        <v>1279</v>
      </c>
      <c r="C1240" t="s">
        <v>19</v>
      </c>
      <c r="D1240" t="s">
        <v>266</v>
      </c>
      <c r="E1240" t="s">
        <v>21</v>
      </c>
      <c r="F1240" t="s">
        <v>22</v>
      </c>
      <c r="G1240" t="s">
        <v>64</v>
      </c>
      <c r="H1240" t="s">
        <v>272</v>
      </c>
      <c r="I1240" t="s">
        <v>2661</v>
      </c>
      <c r="J1240">
        <v>9.8489704000000007</v>
      </c>
      <c r="K1240">
        <v>-83.845050999999998</v>
      </c>
      <c r="L1240" t="s">
        <v>1225</v>
      </c>
      <c r="M1240" t="s">
        <v>54</v>
      </c>
      <c r="N1240" t="s">
        <v>274</v>
      </c>
      <c r="O1240" t="s">
        <v>275</v>
      </c>
      <c r="P1240">
        <v>21</v>
      </c>
      <c r="Q1240" t="s">
        <v>239</v>
      </c>
      <c r="S1240" t="str">
        <f>_xlfn.XLOOKUP(UNIVERSO[[#This Row],[Ruta]],'[1]CUOTA RUTA'!A:A,'[1]CUOTA RUTA'!D:D)</f>
        <v>Cargar</v>
      </c>
    </row>
    <row r="1241" spans="1:19" x14ac:dyDescent="0.25">
      <c r="A1241">
        <v>1500092365</v>
      </c>
      <c r="B1241" t="s">
        <v>1344</v>
      </c>
      <c r="C1241" t="s">
        <v>19</v>
      </c>
      <c r="D1241" t="s">
        <v>20</v>
      </c>
      <c r="E1241" t="s">
        <v>21</v>
      </c>
      <c r="F1241" t="s">
        <v>22</v>
      </c>
      <c r="G1241" t="s">
        <v>33</v>
      </c>
      <c r="H1241" t="s">
        <v>743</v>
      </c>
      <c r="I1241" t="s">
        <v>2662</v>
      </c>
      <c r="J1241">
        <v>9.9815199999999997</v>
      </c>
      <c r="K1241">
        <v>-84.415949999999995</v>
      </c>
      <c r="L1241" t="s">
        <v>1225</v>
      </c>
      <c r="M1241" t="s">
        <v>46</v>
      </c>
      <c r="N1241" t="s">
        <v>47</v>
      </c>
      <c r="O1241" t="s">
        <v>48</v>
      </c>
      <c r="P1241">
        <v>9</v>
      </c>
      <c r="Q1241" t="s">
        <v>80</v>
      </c>
      <c r="S1241" t="str">
        <f>_xlfn.XLOOKUP(UNIVERSO[[#This Row],[Ruta]],'[1]CUOTA RUTA'!A:A,'[1]CUOTA RUTA'!D:D)</f>
        <v>Cargar</v>
      </c>
    </row>
    <row r="1242" spans="1:19" x14ac:dyDescent="0.25">
      <c r="A1242">
        <v>1500092463</v>
      </c>
      <c r="B1242" t="s">
        <v>2663</v>
      </c>
      <c r="C1242" t="s">
        <v>19</v>
      </c>
      <c r="D1242" t="s">
        <v>20</v>
      </c>
      <c r="E1242" t="s">
        <v>21</v>
      </c>
      <c r="F1242" t="s">
        <v>22</v>
      </c>
      <c r="G1242" t="s">
        <v>33</v>
      </c>
      <c r="H1242" t="s">
        <v>743</v>
      </c>
      <c r="I1242" t="s">
        <v>2664</v>
      </c>
      <c r="J1242">
        <v>9.9749999999999996</v>
      </c>
      <c r="K1242">
        <v>-84.378150000000005</v>
      </c>
      <c r="L1242" t="s">
        <v>1225</v>
      </c>
      <c r="M1242" t="s">
        <v>46</v>
      </c>
      <c r="N1242" t="s">
        <v>47</v>
      </c>
      <c r="O1242" t="s">
        <v>48</v>
      </c>
      <c r="P1242">
        <v>10</v>
      </c>
      <c r="Q1242" t="s">
        <v>136</v>
      </c>
      <c r="S1242" t="str">
        <f>_xlfn.XLOOKUP(UNIVERSO[[#This Row],[Ruta]],'[1]CUOTA RUTA'!A:A,'[1]CUOTA RUTA'!D:D)</f>
        <v>Cargar</v>
      </c>
    </row>
    <row r="1243" spans="1:19" x14ac:dyDescent="0.25">
      <c r="A1243">
        <v>1500092580</v>
      </c>
      <c r="B1243" t="s">
        <v>2665</v>
      </c>
      <c r="C1243" t="s">
        <v>19</v>
      </c>
      <c r="D1243" t="s">
        <v>20</v>
      </c>
      <c r="E1243" t="s">
        <v>21</v>
      </c>
      <c r="F1243" t="s">
        <v>22</v>
      </c>
      <c r="G1243" t="s">
        <v>23</v>
      </c>
      <c r="H1243" t="s">
        <v>862</v>
      </c>
      <c r="I1243" t="s">
        <v>2666</v>
      </c>
      <c r="J1243">
        <v>9.9574499999999997</v>
      </c>
      <c r="K1243">
        <v>-84.190669999999997</v>
      </c>
      <c r="L1243" t="s">
        <v>1225</v>
      </c>
      <c r="M1243" t="s">
        <v>27</v>
      </c>
      <c r="N1243" t="s">
        <v>28</v>
      </c>
      <c r="O1243" t="s">
        <v>29</v>
      </c>
      <c r="P1243">
        <v>23</v>
      </c>
      <c r="Q1243" t="s">
        <v>125</v>
      </c>
      <c r="S1243" t="str">
        <f>_xlfn.XLOOKUP(UNIVERSO[[#This Row],[Ruta]],'[1]CUOTA RUTA'!A:A,'[1]CUOTA RUTA'!D:D)</f>
        <v>Cargar</v>
      </c>
    </row>
    <row r="1244" spans="1:19" x14ac:dyDescent="0.25">
      <c r="A1244">
        <v>1500093045</v>
      </c>
      <c r="B1244" t="s">
        <v>2667</v>
      </c>
      <c r="C1244" t="s">
        <v>19</v>
      </c>
      <c r="D1244" t="s">
        <v>337</v>
      </c>
      <c r="E1244" t="s">
        <v>21</v>
      </c>
      <c r="F1244" t="s">
        <v>22</v>
      </c>
      <c r="G1244" t="s">
        <v>64</v>
      </c>
      <c r="H1244" t="s">
        <v>1732</v>
      </c>
      <c r="I1244" t="s">
        <v>2668</v>
      </c>
      <c r="J1244">
        <v>10.501799999999999</v>
      </c>
      <c r="K1244">
        <v>-84.94323</v>
      </c>
      <c r="L1244" t="s">
        <v>1225</v>
      </c>
      <c r="M1244" t="s">
        <v>327</v>
      </c>
      <c r="N1244" t="s">
        <v>340</v>
      </c>
      <c r="O1244" t="s">
        <v>341</v>
      </c>
      <c r="P1244">
        <v>23</v>
      </c>
      <c r="Q1244" t="s">
        <v>125</v>
      </c>
      <c r="S1244" t="str">
        <f>_xlfn.XLOOKUP(UNIVERSO[[#This Row],[Ruta]],'[1]CUOTA RUTA'!A:A,'[1]CUOTA RUTA'!D:D)</f>
        <v>Cargar</v>
      </c>
    </row>
    <row r="1245" spans="1:19" x14ac:dyDescent="0.25">
      <c r="A1245">
        <v>1500093226</v>
      </c>
      <c r="B1245" t="s">
        <v>2669</v>
      </c>
      <c r="C1245" t="s">
        <v>19</v>
      </c>
      <c r="D1245" t="s">
        <v>337</v>
      </c>
      <c r="E1245" t="s">
        <v>21</v>
      </c>
      <c r="F1245" t="s">
        <v>51</v>
      </c>
      <c r="G1245" t="s">
        <v>23</v>
      </c>
      <c r="H1245" t="s">
        <v>1732</v>
      </c>
      <c r="I1245" t="s">
        <v>2670</v>
      </c>
      <c r="J1245">
        <v>10.459219170000001</v>
      </c>
      <c r="K1245">
        <v>-85.771703950000003</v>
      </c>
      <c r="L1245" t="s">
        <v>1225</v>
      </c>
      <c r="M1245" t="s">
        <v>327</v>
      </c>
      <c r="N1245" t="s">
        <v>340</v>
      </c>
      <c r="O1245" t="s">
        <v>341</v>
      </c>
      <c r="P1245">
        <v>18</v>
      </c>
      <c r="Q1245" t="s">
        <v>84</v>
      </c>
      <c r="S1245" t="str">
        <f>_xlfn.XLOOKUP(UNIVERSO[[#This Row],[Ruta]],'[1]CUOTA RUTA'!A:A,'[1]CUOTA RUTA'!D:D)</f>
        <v>Cargar</v>
      </c>
    </row>
    <row r="1246" spans="1:19" x14ac:dyDescent="0.25">
      <c r="A1246">
        <v>1500093384</v>
      </c>
      <c r="B1246" t="s">
        <v>730</v>
      </c>
      <c r="C1246" t="s">
        <v>19</v>
      </c>
      <c r="D1246" t="s">
        <v>266</v>
      </c>
      <c r="E1246" t="s">
        <v>21</v>
      </c>
      <c r="F1246" t="s">
        <v>22</v>
      </c>
      <c r="G1246" t="s">
        <v>33</v>
      </c>
      <c r="H1246" t="s">
        <v>1011</v>
      </c>
      <c r="I1246" t="s">
        <v>2671</v>
      </c>
      <c r="J1246">
        <v>9.9372945999999995</v>
      </c>
      <c r="K1246">
        <v>-83.913306800000001</v>
      </c>
      <c r="L1246" t="s">
        <v>1225</v>
      </c>
      <c r="M1246" t="s">
        <v>54</v>
      </c>
      <c r="N1246" t="s">
        <v>274</v>
      </c>
      <c r="O1246" t="s">
        <v>275</v>
      </c>
      <c r="P1246">
        <v>21</v>
      </c>
      <c r="Q1246" t="s">
        <v>239</v>
      </c>
      <c r="S1246" t="str">
        <f>_xlfn.XLOOKUP(UNIVERSO[[#This Row],[Ruta]],'[1]CUOTA RUTA'!A:A,'[1]CUOTA RUTA'!D:D)</f>
        <v>Cargar</v>
      </c>
    </row>
    <row r="1247" spans="1:19" x14ac:dyDescent="0.25">
      <c r="A1247">
        <v>1500093514</v>
      </c>
      <c r="B1247" t="s">
        <v>2672</v>
      </c>
      <c r="C1247" t="s">
        <v>19</v>
      </c>
      <c r="D1247" t="s">
        <v>349</v>
      </c>
      <c r="E1247" t="s">
        <v>21</v>
      </c>
      <c r="F1247" t="s">
        <v>22</v>
      </c>
      <c r="G1247" t="s">
        <v>23</v>
      </c>
      <c r="H1247" t="s">
        <v>356</v>
      </c>
      <c r="I1247" t="s">
        <v>2673</v>
      </c>
      <c r="J1247">
        <v>10.110296999999999</v>
      </c>
      <c r="K1247">
        <v>-85.349022000000005</v>
      </c>
      <c r="L1247" t="s">
        <v>1225</v>
      </c>
      <c r="M1247" t="s">
        <v>352</v>
      </c>
      <c r="N1247" t="s">
        <v>353</v>
      </c>
      <c r="O1247" t="s">
        <v>354</v>
      </c>
      <c r="P1247">
        <v>12</v>
      </c>
      <c r="Q1247" t="s">
        <v>42</v>
      </c>
      <c r="S1247" t="str">
        <f>_xlfn.XLOOKUP(UNIVERSO[[#This Row],[Ruta]],'[1]CUOTA RUTA'!A:A,'[1]CUOTA RUTA'!D:D)</f>
        <v>Cargar</v>
      </c>
    </row>
    <row r="1248" spans="1:19" x14ac:dyDescent="0.25">
      <c r="A1248">
        <v>1500093590</v>
      </c>
      <c r="B1248" t="s">
        <v>2674</v>
      </c>
      <c r="C1248" t="s">
        <v>19</v>
      </c>
      <c r="D1248" t="s">
        <v>349</v>
      </c>
      <c r="E1248" t="s">
        <v>21</v>
      </c>
      <c r="F1248" t="s">
        <v>22</v>
      </c>
      <c r="G1248" t="s">
        <v>64</v>
      </c>
      <c r="H1248" t="s">
        <v>350</v>
      </c>
      <c r="I1248" t="s">
        <v>2675</v>
      </c>
      <c r="J1248">
        <v>10.308773</v>
      </c>
      <c r="K1248">
        <v>-85.798238999999995</v>
      </c>
      <c r="L1248" t="s">
        <v>1225</v>
      </c>
      <c r="M1248" t="s">
        <v>352</v>
      </c>
      <c r="N1248" t="s">
        <v>353</v>
      </c>
      <c r="O1248" t="s">
        <v>354</v>
      </c>
      <c r="P1248">
        <v>5</v>
      </c>
      <c r="Q1248" t="s">
        <v>117</v>
      </c>
      <c r="S1248" t="str">
        <f>_xlfn.XLOOKUP(UNIVERSO[[#This Row],[Ruta]],'[1]CUOTA RUTA'!A:A,'[1]CUOTA RUTA'!D:D)</f>
        <v>Cargar</v>
      </c>
    </row>
    <row r="1249" spans="1:19" x14ac:dyDescent="0.25">
      <c r="A1249">
        <v>1500093795</v>
      </c>
      <c r="B1249" t="s">
        <v>2676</v>
      </c>
      <c r="C1249" t="s">
        <v>19</v>
      </c>
      <c r="D1249" t="s">
        <v>266</v>
      </c>
      <c r="E1249" t="s">
        <v>21</v>
      </c>
      <c r="F1249" t="s">
        <v>22</v>
      </c>
      <c r="G1249" t="s">
        <v>33</v>
      </c>
      <c r="H1249" t="s">
        <v>272</v>
      </c>
      <c r="I1249" t="s">
        <v>2677</v>
      </c>
      <c r="J1249">
        <v>9.8739749999999997</v>
      </c>
      <c r="K1249">
        <v>-83.820324999999997</v>
      </c>
      <c r="L1249" t="s">
        <v>1225</v>
      </c>
      <c r="M1249" t="s">
        <v>54</v>
      </c>
      <c r="N1249" t="s">
        <v>274</v>
      </c>
      <c r="O1249" t="s">
        <v>275</v>
      </c>
      <c r="P1249">
        <v>21</v>
      </c>
      <c r="Q1249" t="s">
        <v>239</v>
      </c>
      <c r="S1249" t="str">
        <f>_xlfn.XLOOKUP(UNIVERSO[[#This Row],[Ruta]],'[1]CUOTA RUTA'!A:A,'[1]CUOTA RUTA'!D:D)</f>
        <v>Cargar</v>
      </c>
    </row>
    <row r="1250" spans="1:19" x14ac:dyDescent="0.25">
      <c r="A1250">
        <v>1500093877</v>
      </c>
      <c r="B1250" t="s">
        <v>2556</v>
      </c>
      <c r="C1250" t="s">
        <v>19</v>
      </c>
      <c r="D1250" t="s">
        <v>337</v>
      </c>
      <c r="E1250" t="s">
        <v>21</v>
      </c>
      <c r="F1250" t="s">
        <v>22</v>
      </c>
      <c r="G1250" t="s">
        <v>23</v>
      </c>
      <c r="H1250" t="s">
        <v>576</v>
      </c>
      <c r="I1250" t="s">
        <v>2678</v>
      </c>
      <c r="J1250">
        <v>10.51995</v>
      </c>
      <c r="K1250">
        <v>-85.649692000000002</v>
      </c>
      <c r="L1250" t="s">
        <v>1225</v>
      </c>
      <c r="M1250" t="s">
        <v>327</v>
      </c>
      <c r="N1250" t="s">
        <v>340</v>
      </c>
      <c r="O1250" t="s">
        <v>341</v>
      </c>
      <c r="P1250">
        <v>19</v>
      </c>
      <c r="Q1250" t="s">
        <v>67</v>
      </c>
      <c r="S1250" t="str">
        <f>_xlfn.XLOOKUP(UNIVERSO[[#This Row],[Ruta]],'[1]CUOTA RUTA'!A:A,'[1]CUOTA RUTA'!D:D)</f>
        <v>Cargar</v>
      </c>
    </row>
    <row r="1251" spans="1:19" x14ac:dyDescent="0.25">
      <c r="A1251">
        <v>1500094160</v>
      </c>
      <c r="B1251" t="s">
        <v>2679</v>
      </c>
      <c r="C1251" t="s">
        <v>19</v>
      </c>
      <c r="D1251" t="s">
        <v>20</v>
      </c>
      <c r="E1251" t="s">
        <v>21</v>
      </c>
      <c r="F1251" t="s">
        <v>22</v>
      </c>
      <c r="G1251" t="s">
        <v>23</v>
      </c>
      <c r="H1251" t="s">
        <v>458</v>
      </c>
      <c r="I1251" t="s">
        <v>2680</v>
      </c>
      <c r="J1251">
        <v>9.9735046999999994</v>
      </c>
      <c r="K1251">
        <v>-84.257126</v>
      </c>
      <c r="L1251" t="s">
        <v>1225</v>
      </c>
      <c r="M1251" t="s">
        <v>54</v>
      </c>
      <c r="N1251" t="s">
        <v>55</v>
      </c>
      <c r="O1251" t="s">
        <v>56</v>
      </c>
      <c r="P1251">
        <v>6</v>
      </c>
      <c r="Q1251" t="s">
        <v>49</v>
      </c>
      <c r="S1251" t="str">
        <f>_xlfn.XLOOKUP(UNIVERSO[[#This Row],[Ruta]],'[1]CUOTA RUTA'!A:A,'[1]CUOTA RUTA'!D:D)</f>
        <v>Cargar</v>
      </c>
    </row>
    <row r="1252" spans="1:19" x14ac:dyDescent="0.25">
      <c r="A1252">
        <v>1500094350</v>
      </c>
      <c r="B1252" t="s">
        <v>2681</v>
      </c>
      <c r="C1252" t="s">
        <v>19</v>
      </c>
      <c r="D1252" t="s">
        <v>20</v>
      </c>
      <c r="E1252" t="s">
        <v>21</v>
      </c>
      <c r="F1252" t="s">
        <v>22</v>
      </c>
      <c r="G1252" t="s">
        <v>23</v>
      </c>
      <c r="H1252" t="s">
        <v>308</v>
      </c>
      <c r="I1252" t="s">
        <v>2682</v>
      </c>
      <c r="J1252">
        <v>9.8759300000000003</v>
      </c>
      <c r="K1252">
        <v>-84.446470000000005</v>
      </c>
      <c r="L1252" t="s">
        <v>1225</v>
      </c>
      <c r="M1252" t="s">
        <v>54</v>
      </c>
      <c r="N1252" t="s">
        <v>55</v>
      </c>
      <c r="O1252" t="s">
        <v>56</v>
      </c>
      <c r="P1252">
        <v>21</v>
      </c>
      <c r="Q1252" t="s">
        <v>239</v>
      </c>
      <c r="S1252" t="str">
        <f>_xlfn.XLOOKUP(UNIVERSO[[#This Row],[Ruta]],'[1]CUOTA RUTA'!A:A,'[1]CUOTA RUTA'!D:D)</f>
        <v>Cargar</v>
      </c>
    </row>
    <row r="1253" spans="1:19" x14ac:dyDescent="0.25">
      <c r="A1253">
        <v>1500094567</v>
      </c>
      <c r="B1253" t="s">
        <v>2683</v>
      </c>
      <c r="C1253" t="s">
        <v>19</v>
      </c>
      <c r="D1253" t="s">
        <v>20</v>
      </c>
      <c r="E1253" t="s">
        <v>21</v>
      </c>
      <c r="F1253" t="s">
        <v>22</v>
      </c>
      <c r="G1253" t="s">
        <v>64</v>
      </c>
      <c r="H1253" t="s">
        <v>303</v>
      </c>
      <c r="I1253" t="s">
        <v>2684</v>
      </c>
      <c r="J1253">
        <v>9.9936000000000007</v>
      </c>
      <c r="K1253">
        <v>-84.198499999999996</v>
      </c>
      <c r="L1253" t="s">
        <v>1225</v>
      </c>
      <c r="M1253" t="s">
        <v>54</v>
      </c>
      <c r="N1253" t="s">
        <v>55</v>
      </c>
      <c r="O1253" t="s">
        <v>56</v>
      </c>
      <c r="P1253">
        <v>17</v>
      </c>
      <c r="Q1253" t="s">
        <v>287</v>
      </c>
      <c r="S1253" t="str">
        <f>_xlfn.XLOOKUP(UNIVERSO[[#This Row],[Ruta]],'[1]CUOTA RUTA'!A:A,'[1]CUOTA RUTA'!D:D)</f>
        <v>Cargar</v>
      </c>
    </row>
    <row r="1254" spans="1:19" x14ac:dyDescent="0.25">
      <c r="A1254">
        <v>1500094713</v>
      </c>
      <c r="B1254" t="s">
        <v>2685</v>
      </c>
      <c r="C1254" t="s">
        <v>19</v>
      </c>
      <c r="D1254" t="s">
        <v>20</v>
      </c>
      <c r="E1254" t="s">
        <v>21</v>
      </c>
      <c r="F1254" t="s">
        <v>22</v>
      </c>
      <c r="G1254" t="s">
        <v>23</v>
      </c>
      <c r="H1254" t="s">
        <v>58</v>
      </c>
      <c r="I1254" t="s">
        <v>2686</v>
      </c>
      <c r="J1254">
        <v>10.03125</v>
      </c>
      <c r="K1254">
        <v>-84.203400000000002</v>
      </c>
      <c r="L1254" t="s">
        <v>1225</v>
      </c>
      <c r="M1254" t="s">
        <v>54</v>
      </c>
      <c r="N1254" t="s">
        <v>55</v>
      </c>
      <c r="O1254" t="s">
        <v>56</v>
      </c>
      <c r="P1254">
        <v>16</v>
      </c>
      <c r="Q1254" t="s">
        <v>60</v>
      </c>
      <c r="S1254" t="str">
        <f>_xlfn.XLOOKUP(UNIVERSO[[#This Row],[Ruta]],'[1]CUOTA RUTA'!A:A,'[1]CUOTA RUTA'!D:D)</f>
        <v>Cargar</v>
      </c>
    </row>
    <row r="1255" spans="1:19" x14ac:dyDescent="0.25">
      <c r="A1255">
        <v>1500096283</v>
      </c>
      <c r="B1255" t="s">
        <v>2687</v>
      </c>
      <c r="C1255" t="s">
        <v>19</v>
      </c>
      <c r="D1255" t="s">
        <v>20</v>
      </c>
      <c r="E1255" t="s">
        <v>21</v>
      </c>
      <c r="F1255" t="s">
        <v>22</v>
      </c>
      <c r="G1255" t="s">
        <v>33</v>
      </c>
      <c r="H1255" t="s">
        <v>308</v>
      </c>
      <c r="I1255" t="s">
        <v>2688</v>
      </c>
      <c r="J1255">
        <v>9.8515999999999995</v>
      </c>
      <c r="K1255">
        <v>-84.456630000000004</v>
      </c>
      <c r="L1255" t="s">
        <v>1225</v>
      </c>
      <c r="M1255" t="s">
        <v>54</v>
      </c>
      <c r="N1255" t="s">
        <v>55</v>
      </c>
      <c r="O1255" t="s">
        <v>56</v>
      </c>
      <c r="P1255">
        <v>21</v>
      </c>
      <c r="Q1255" t="s">
        <v>239</v>
      </c>
      <c r="S1255" t="str">
        <f>_xlfn.XLOOKUP(UNIVERSO[[#This Row],[Ruta]],'[1]CUOTA RUTA'!A:A,'[1]CUOTA RUTA'!D:D)</f>
        <v>Cargar</v>
      </c>
    </row>
    <row r="1256" spans="1:19" x14ac:dyDescent="0.25">
      <c r="A1256">
        <v>1500096322</v>
      </c>
      <c r="B1256" t="s">
        <v>2689</v>
      </c>
      <c r="C1256" t="s">
        <v>19</v>
      </c>
      <c r="D1256" t="s">
        <v>20</v>
      </c>
      <c r="E1256" t="s">
        <v>21</v>
      </c>
      <c r="F1256" t="s">
        <v>22</v>
      </c>
      <c r="G1256" t="s">
        <v>33</v>
      </c>
      <c r="H1256" t="s">
        <v>250</v>
      </c>
      <c r="I1256" t="s">
        <v>2690</v>
      </c>
      <c r="J1256">
        <v>10.011990000000001</v>
      </c>
      <c r="K1256">
        <v>-84.246702999999997</v>
      </c>
      <c r="L1256" t="s">
        <v>1225</v>
      </c>
      <c r="M1256" t="s">
        <v>46</v>
      </c>
      <c r="N1256" t="s">
        <v>47</v>
      </c>
      <c r="O1256" t="s">
        <v>48</v>
      </c>
      <c r="P1256">
        <v>3</v>
      </c>
      <c r="Q1256" t="s">
        <v>101</v>
      </c>
      <c r="S1256" t="str">
        <f>_xlfn.XLOOKUP(UNIVERSO[[#This Row],[Ruta]],'[1]CUOTA RUTA'!A:A,'[1]CUOTA RUTA'!D:D)</f>
        <v>Cargar</v>
      </c>
    </row>
    <row r="1257" spans="1:19" x14ac:dyDescent="0.25">
      <c r="A1257">
        <v>1500096546</v>
      </c>
      <c r="B1257" t="s">
        <v>2691</v>
      </c>
      <c r="C1257" t="s">
        <v>19</v>
      </c>
      <c r="D1257" t="s">
        <v>266</v>
      </c>
      <c r="E1257" t="s">
        <v>21</v>
      </c>
      <c r="F1257" t="s">
        <v>22</v>
      </c>
      <c r="G1257" t="s">
        <v>33</v>
      </c>
      <c r="H1257" t="s">
        <v>366</v>
      </c>
      <c r="I1257" t="s">
        <v>2692</v>
      </c>
      <c r="J1257">
        <v>9.8518699999999999</v>
      </c>
      <c r="K1257">
        <v>-83.921691666659996</v>
      </c>
      <c r="L1257" t="s">
        <v>1225</v>
      </c>
      <c r="M1257" t="s">
        <v>36</v>
      </c>
      <c r="N1257" t="s">
        <v>316</v>
      </c>
      <c r="O1257" t="s">
        <v>317</v>
      </c>
      <c r="P1257">
        <v>18</v>
      </c>
      <c r="Q1257" t="s">
        <v>84</v>
      </c>
      <c r="S1257" t="str">
        <f>_xlfn.XLOOKUP(UNIVERSO[[#This Row],[Ruta]],'[1]CUOTA RUTA'!A:A,'[1]CUOTA RUTA'!D:D)</f>
        <v>Cargar</v>
      </c>
    </row>
    <row r="1258" spans="1:19" x14ac:dyDescent="0.25">
      <c r="A1258">
        <v>1500096741</v>
      </c>
      <c r="B1258" t="s">
        <v>1661</v>
      </c>
      <c r="C1258" t="s">
        <v>19</v>
      </c>
      <c r="D1258" t="s">
        <v>266</v>
      </c>
      <c r="E1258" t="s">
        <v>21</v>
      </c>
      <c r="F1258" t="s">
        <v>22</v>
      </c>
      <c r="G1258" t="s">
        <v>33</v>
      </c>
      <c r="H1258" t="s">
        <v>372</v>
      </c>
      <c r="I1258" t="s">
        <v>2693</v>
      </c>
      <c r="J1258">
        <v>9.9659829900000005</v>
      </c>
      <c r="K1258">
        <v>-83.730497299999996</v>
      </c>
      <c r="L1258" t="s">
        <v>1225</v>
      </c>
      <c r="M1258" t="s">
        <v>189</v>
      </c>
      <c r="N1258" t="s">
        <v>269</v>
      </c>
      <c r="O1258" t="s">
        <v>270</v>
      </c>
      <c r="P1258">
        <v>23</v>
      </c>
      <c r="Q1258" t="s">
        <v>125</v>
      </c>
      <c r="S1258" t="str">
        <f>_xlfn.XLOOKUP(UNIVERSO[[#This Row],[Ruta]],'[1]CUOTA RUTA'!A:A,'[1]CUOTA RUTA'!D:D)</f>
        <v>Cargar</v>
      </c>
    </row>
    <row r="1259" spans="1:19" x14ac:dyDescent="0.25">
      <c r="A1259">
        <v>1500096963</v>
      </c>
      <c r="B1259" t="s">
        <v>2694</v>
      </c>
      <c r="C1259" t="s">
        <v>19</v>
      </c>
      <c r="D1259" t="s">
        <v>337</v>
      </c>
      <c r="E1259" t="s">
        <v>21</v>
      </c>
      <c r="F1259" t="s">
        <v>22</v>
      </c>
      <c r="G1259" t="s">
        <v>33</v>
      </c>
      <c r="H1259" t="s">
        <v>451</v>
      </c>
      <c r="I1259" t="s">
        <v>2695</v>
      </c>
      <c r="J1259">
        <v>10.634999880000001</v>
      </c>
      <c r="K1259">
        <v>-85.438071620000002</v>
      </c>
      <c r="L1259" t="s">
        <v>1225</v>
      </c>
      <c r="M1259" t="s">
        <v>327</v>
      </c>
      <c r="N1259" t="s">
        <v>340</v>
      </c>
      <c r="O1259" t="s">
        <v>341</v>
      </c>
      <c r="P1259">
        <v>12</v>
      </c>
      <c r="Q1259" t="s">
        <v>42</v>
      </c>
      <c r="S1259" t="str">
        <f>_xlfn.XLOOKUP(UNIVERSO[[#This Row],[Ruta]],'[1]CUOTA RUTA'!A:A,'[1]CUOTA RUTA'!D:D)</f>
        <v>Cargar</v>
      </c>
    </row>
    <row r="1260" spans="1:19" x14ac:dyDescent="0.25">
      <c r="A1260">
        <v>1500097196</v>
      </c>
      <c r="B1260" t="s">
        <v>2696</v>
      </c>
      <c r="C1260" t="s">
        <v>19</v>
      </c>
      <c r="D1260" t="s">
        <v>20</v>
      </c>
      <c r="E1260" t="s">
        <v>21</v>
      </c>
      <c r="F1260" t="s">
        <v>22</v>
      </c>
      <c r="G1260" t="s">
        <v>23</v>
      </c>
      <c r="H1260" t="s">
        <v>743</v>
      </c>
      <c r="I1260" t="s">
        <v>2697</v>
      </c>
      <c r="J1260">
        <v>9.97288</v>
      </c>
      <c r="K1260">
        <v>-84.425870000000003</v>
      </c>
      <c r="L1260" t="s">
        <v>1225</v>
      </c>
      <c r="M1260" t="s">
        <v>46</v>
      </c>
      <c r="N1260" t="s">
        <v>47</v>
      </c>
      <c r="O1260" t="s">
        <v>48</v>
      </c>
      <c r="P1260">
        <v>9</v>
      </c>
      <c r="Q1260" t="s">
        <v>80</v>
      </c>
      <c r="S1260" t="str">
        <f>_xlfn.XLOOKUP(UNIVERSO[[#This Row],[Ruta]],'[1]CUOTA RUTA'!A:A,'[1]CUOTA RUTA'!D:D)</f>
        <v>Cargar</v>
      </c>
    </row>
    <row r="1261" spans="1:19" x14ac:dyDescent="0.25">
      <c r="A1261">
        <v>1500097681</v>
      </c>
      <c r="B1261" t="s">
        <v>2698</v>
      </c>
      <c r="C1261" t="s">
        <v>19</v>
      </c>
      <c r="D1261" t="s">
        <v>324</v>
      </c>
      <c r="E1261" t="s">
        <v>21</v>
      </c>
      <c r="F1261" t="s">
        <v>22</v>
      </c>
      <c r="G1261" t="s">
        <v>23</v>
      </c>
      <c r="H1261" t="s">
        <v>331</v>
      </c>
      <c r="I1261" t="s">
        <v>2699</v>
      </c>
      <c r="J1261">
        <v>10.4567</v>
      </c>
      <c r="K1261">
        <v>-84.407210000000006</v>
      </c>
      <c r="L1261" t="s">
        <v>1225</v>
      </c>
      <c r="M1261" t="s">
        <v>327</v>
      </c>
      <c r="N1261" t="s">
        <v>328</v>
      </c>
      <c r="O1261" t="s">
        <v>329</v>
      </c>
      <c r="P1261">
        <v>19</v>
      </c>
      <c r="Q1261" t="s">
        <v>67</v>
      </c>
      <c r="S1261" t="str">
        <f>_xlfn.XLOOKUP(UNIVERSO[[#This Row],[Ruta]],'[1]CUOTA RUTA'!A:A,'[1]CUOTA RUTA'!D:D)</f>
        <v>Cargar</v>
      </c>
    </row>
    <row r="1262" spans="1:19" x14ac:dyDescent="0.25">
      <c r="A1262">
        <v>1500097794</v>
      </c>
      <c r="B1262" t="s">
        <v>2700</v>
      </c>
      <c r="C1262" t="s">
        <v>19</v>
      </c>
      <c r="D1262" t="s">
        <v>266</v>
      </c>
      <c r="E1262" t="s">
        <v>21</v>
      </c>
      <c r="F1262" t="s">
        <v>22</v>
      </c>
      <c r="G1262" t="s">
        <v>64</v>
      </c>
      <c r="H1262" t="s">
        <v>272</v>
      </c>
      <c r="I1262" t="s">
        <v>2701</v>
      </c>
      <c r="J1262">
        <v>9.8928019999999997</v>
      </c>
      <c r="K1262">
        <v>-83.844522799999993</v>
      </c>
      <c r="L1262" t="s">
        <v>1225</v>
      </c>
      <c r="M1262" t="s">
        <v>54</v>
      </c>
      <c r="N1262" t="s">
        <v>274</v>
      </c>
      <c r="O1262" t="s">
        <v>275</v>
      </c>
      <c r="P1262">
        <v>23</v>
      </c>
      <c r="Q1262" t="s">
        <v>125</v>
      </c>
      <c r="S1262" t="str">
        <f>_xlfn.XLOOKUP(UNIVERSO[[#This Row],[Ruta]],'[1]CUOTA RUTA'!A:A,'[1]CUOTA RUTA'!D:D)</f>
        <v>Cargar</v>
      </c>
    </row>
    <row r="1263" spans="1:19" x14ac:dyDescent="0.25">
      <c r="A1263">
        <v>1500097897</v>
      </c>
      <c r="B1263" t="s">
        <v>2702</v>
      </c>
      <c r="C1263" t="s">
        <v>19</v>
      </c>
      <c r="D1263" t="s">
        <v>208</v>
      </c>
      <c r="E1263" t="s">
        <v>21</v>
      </c>
      <c r="F1263" t="s">
        <v>22</v>
      </c>
      <c r="G1263" t="s">
        <v>64</v>
      </c>
      <c r="H1263" t="s">
        <v>616</v>
      </c>
      <c r="I1263" t="s">
        <v>2703</v>
      </c>
      <c r="J1263">
        <v>10.360295000000001</v>
      </c>
      <c r="K1263">
        <v>-83.733892999999995</v>
      </c>
      <c r="L1263" t="s">
        <v>1225</v>
      </c>
      <c r="M1263" t="s">
        <v>189</v>
      </c>
      <c r="N1263" t="s">
        <v>211</v>
      </c>
      <c r="O1263" t="s">
        <v>212</v>
      </c>
      <c r="P1263">
        <v>1</v>
      </c>
      <c r="Q1263" t="s">
        <v>155</v>
      </c>
      <c r="S1263" t="str">
        <f>_xlfn.XLOOKUP(UNIVERSO[[#This Row],[Ruta]],'[1]CUOTA RUTA'!A:A,'[1]CUOTA RUTA'!D:D)</f>
        <v>Cargar</v>
      </c>
    </row>
    <row r="1264" spans="1:19" x14ac:dyDescent="0.25">
      <c r="A1264">
        <v>1500098227</v>
      </c>
      <c r="B1264" t="s">
        <v>2704</v>
      </c>
      <c r="C1264" t="s">
        <v>19</v>
      </c>
      <c r="D1264" t="s">
        <v>349</v>
      </c>
      <c r="E1264" t="s">
        <v>21</v>
      </c>
      <c r="F1264" t="s">
        <v>22</v>
      </c>
      <c r="G1264" t="s">
        <v>64</v>
      </c>
      <c r="H1264" t="s">
        <v>711</v>
      </c>
      <c r="I1264" t="s">
        <v>2705</v>
      </c>
      <c r="J1264">
        <v>9.9957449999999994</v>
      </c>
      <c r="K1264">
        <v>-85.701753999999994</v>
      </c>
      <c r="L1264" t="s">
        <v>1225</v>
      </c>
      <c r="M1264" t="s">
        <v>352</v>
      </c>
      <c r="N1264" t="s">
        <v>353</v>
      </c>
      <c r="O1264" t="s">
        <v>354</v>
      </c>
      <c r="P1264">
        <v>6</v>
      </c>
      <c r="Q1264" t="s">
        <v>49</v>
      </c>
      <c r="S1264" t="str">
        <f>_xlfn.XLOOKUP(UNIVERSO[[#This Row],[Ruta]],'[1]CUOTA RUTA'!A:A,'[1]CUOTA RUTA'!D:D)</f>
        <v>Cargar</v>
      </c>
    </row>
    <row r="1265" spans="1:19" x14ac:dyDescent="0.25">
      <c r="A1265">
        <v>1500098289</v>
      </c>
      <c r="B1265" t="s">
        <v>2706</v>
      </c>
      <c r="C1265" t="s">
        <v>19</v>
      </c>
      <c r="D1265" t="s">
        <v>349</v>
      </c>
      <c r="E1265" t="s">
        <v>21</v>
      </c>
      <c r="F1265" t="s">
        <v>22</v>
      </c>
      <c r="G1265" t="s">
        <v>33</v>
      </c>
      <c r="H1265" t="s">
        <v>350</v>
      </c>
      <c r="I1265" t="s">
        <v>2707</v>
      </c>
      <c r="J1265">
        <v>9.8802850000000007</v>
      </c>
      <c r="K1265">
        <v>-85.517402000000004</v>
      </c>
      <c r="L1265" t="s">
        <v>1225</v>
      </c>
      <c r="M1265" t="s">
        <v>352</v>
      </c>
      <c r="N1265" t="s">
        <v>353</v>
      </c>
      <c r="O1265" t="s">
        <v>354</v>
      </c>
      <c r="P1265">
        <v>8</v>
      </c>
      <c r="Q1265" t="s">
        <v>97</v>
      </c>
      <c r="S1265" t="str">
        <f>_xlfn.XLOOKUP(UNIVERSO[[#This Row],[Ruta]],'[1]CUOTA RUTA'!A:A,'[1]CUOTA RUTA'!D:D)</f>
        <v>Cargar</v>
      </c>
    </row>
    <row r="1266" spans="1:19" x14ac:dyDescent="0.25">
      <c r="A1266">
        <v>1500098306</v>
      </c>
      <c r="B1266" t="s">
        <v>1094</v>
      </c>
      <c r="C1266" t="s">
        <v>19</v>
      </c>
      <c r="D1266" t="s">
        <v>32</v>
      </c>
      <c r="E1266" t="s">
        <v>21</v>
      </c>
      <c r="F1266" t="s">
        <v>22</v>
      </c>
      <c r="G1266" t="s">
        <v>33</v>
      </c>
      <c r="H1266" t="s">
        <v>159</v>
      </c>
      <c r="I1266" t="s">
        <v>2708</v>
      </c>
      <c r="J1266">
        <v>9.903079</v>
      </c>
      <c r="K1266">
        <v>-84.096671999999998</v>
      </c>
      <c r="L1266" t="s">
        <v>1225</v>
      </c>
      <c r="M1266" t="s">
        <v>71</v>
      </c>
      <c r="N1266" t="s">
        <v>72</v>
      </c>
      <c r="O1266" t="s">
        <v>73</v>
      </c>
      <c r="P1266">
        <v>9</v>
      </c>
      <c r="Q1266" t="s">
        <v>80</v>
      </c>
      <c r="S1266" t="str">
        <f>_xlfn.XLOOKUP(UNIVERSO[[#This Row],[Ruta]],'[1]CUOTA RUTA'!A:A,'[1]CUOTA RUTA'!D:D)</f>
        <v>Cargar</v>
      </c>
    </row>
    <row r="1267" spans="1:19" x14ac:dyDescent="0.25">
      <c r="A1267">
        <v>1500098349</v>
      </c>
      <c r="B1267" t="s">
        <v>2709</v>
      </c>
      <c r="C1267" t="s">
        <v>19</v>
      </c>
      <c r="D1267" t="s">
        <v>32</v>
      </c>
      <c r="E1267" t="s">
        <v>21</v>
      </c>
      <c r="F1267" t="s">
        <v>22</v>
      </c>
      <c r="G1267" t="s">
        <v>33</v>
      </c>
      <c r="H1267" t="s">
        <v>99</v>
      </c>
      <c r="I1267" t="s">
        <v>2710</v>
      </c>
      <c r="J1267">
        <v>9.9264799999999997</v>
      </c>
      <c r="K1267">
        <v>-84.087900000000005</v>
      </c>
      <c r="L1267" t="s">
        <v>1225</v>
      </c>
      <c r="M1267" t="s">
        <v>71</v>
      </c>
      <c r="N1267" t="s">
        <v>72</v>
      </c>
      <c r="O1267" t="s">
        <v>73</v>
      </c>
      <c r="P1267">
        <v>3</v>
      </c>
      <c r="Q1267" t="s">
        <v>101</v>
      </c>
      <c r="S1267" t="str">
        <f>_xlfn.XLOOKUP(UNIVERSO[[#This Row],[Ruta]],'[1]CUOTA RUTA'!A:A,'[1]CUOTA RUTA'!D:D)</f>
        <v>Cargar</v>
      </c>
    </row>
    <row r="1268" spans="1:19" x14ac:dyDescent="0.25">
      <c r="A1268">
        <v>1500098375</v>
      </c>
      <c r="B1268" t="s">
        <v>2711</v>
      </c>
      <c r="C1268" t="s">
        <v>19</v>
      </c>
      <c r="D1268" t="s">
        <v>32</v>
      </c>
      <c r="E1268" t="s">
        <v>21</v>
      </c>
      <c r="F1268" t="s">
        <v>22</v>
      </c>
      <c r="G1268" t="s">
        <v>64</v>
      </c>
      <c r="H1268" t="s">
        <v>89</v>
      </c>
      <c r="I1268" t="s">
        <v>2712</v>
      </c>
      <c r="J1268">
        <v>9.8833754000000003</v>
      </c>
      <c r="K1268">
        <v>-84.088909099999995</v>
      </c>
      <c r="L1268" t="s">
        <v>1225</v>
      </c>
      <c r="M1268" t="s">
        <v>71</v>
      </c>
      <c r="N1268" t="s">
        <v>72</v>
      </c>
      <c r="O1268" t="s">
        <v>73</v>
      </c>
      <c r="P1268">
        <v>17</v>
      </c>
      <c r="Q1268" t="s">
        <v>287</v>
      </c>
      <c r="S1268" t="str">
        <f>_xlfn.XLOOKUP(UNIVERSO[[#This Row],[Ruta]],'[1]CUOTA RUTA'!A:A,'[1]CUOTA RUTA'!D:D)</f>
        <v>Cargar</v>
      </c>
    </row>
    <row r="1269" spans="1:19" x14ac:dyDescent="0.25">
      <c r="A1269">
        <v>1500098426</v>
      </c>
      <c r="B1269" t="s">
        <v>2713</v>
      </c>
      <c r="C1269" t="s">
        <v>19</v>
      </c>
      <c r="D1269" t="s">
        <v>324</v>
      </c>
      <c r="E1269" t="s">
        <v>21</v>
      </c>
      <c r="F1269" t="s">
        <v>22</v>
      </c>
      <c r="G1269" t="s">
        <v>33</v>
      </c>
      <c r="H1269" t="s">
        <v>331</v>
      </c>
      <c r="I1269" t="s">
        <v>2714</v>
      </c>
      <c r="J1269">
        <v>10.453853403964001</v>
      </c>
      <c r="K1269">
        <v>-84.273190918520001</v>
      </c>
      <c r="L1269" t="s">
        <v>1225</v>
      </c>
      <c r="M1269" t="s">
        <v>327</v>
      </c>
      <c r="N1269" t="s">
        <v>328</v>
      </c>
      <c r="O1269" t="s">
        <v>329</v>
      </c>
      <c r="P1269">
        <v>17</v>
      </c>
      <c r="Q1269" t="s">
        <v>287</v>
      </c>
      <c r="S1269" t="str">
        <f>_xlfn.XLOOKUP(UNIVERSO[[#This Row],[Ruta]],'[1]CUOTA RUTA'!A:A,'[1]CUOTA RUTA'!D:D)</f>
        <v>Cargar</v>
      </c>
    </row>
    <row r="1270" spans="1:19" x14ac:dyDescent="0.25">
      <c r="A1270">
        <v>1500099638</v>
      </c>
      <c r="B1270" t="s">
        <v>2715</v>
      </c>
      <c r="C1270" t="s">
        <v>19</v>
      </c>
      <c r="D1270" t="s">
        <v>32</v>
      </c>
      <c r="E1270" t="s">
        <v>21</v>
      </c>
      <c r="F1270" t="s">
        <v>22</v>
      </c>
      <c r="G1270" t="s">
        <v>64</v>
      </c>
      <c r="H1270" t="s">
        <v>69</v>
      </c>
      <c r="I1270" t="s">
        <v>2716</v>
      </c>
      <c r="J1270">
        <v>9.8698733333330004</v>
      </c>
      <c r="K1270">
        <v>-84.057233333330004</v>
      </c>
      <c r="L1270" t="s">
        <v>1225</v>
      </c>
      <c r="M1270" t="s">
        <v>71</v>
      </c>
      <c r="N1270" t="s">
        <v>72</v>
      </c>
      <c r="O1270" t="s">
        <v>73</v>
      </c>
      <c r="P1270">
        <v>20</v>
      </c>
      <c r="Q1270" t="s">
        <v>74</v>
      </c>
      <c r="S1270" t="str">
        <f>_xlfn.XLOOKUP(UNIVERSO[[#This Row],[Ruta]],'[1]CUOTA RUTA'!A:A,'[1]CUOTA RUTA'!D:D)</f>
        <v>Cargar</v>
      </c>
    </row>
    <row r="1271" spans="1:19" x14ac:dyDescent="0.25">
      <c r="A1271">
        <v>1500099789</v>
      </c>
      <c r="B1271" t="s">
        <v>2717</v>
      </c>
      <c r="C1271" t="s">
        <v>19</v>
      </c>
      <c r="D1271" t="s">
        <v>32</v>
      </c>
      <c r="E1271" t="s">
        <v>21</v>
      </c>
      <c r="F1271" t="s">
        <v>22</v>
      </c>
      <c r="G1271" t="s">
        <v>33</v>
      </c>
      <c r="H1271" t="s">
        <v>683</v>
      </c>
      <c r="I1271" t="s">
        <v>2718</v>
      </c>
      <c r="J1271">
        <v>9.9191140000000004</v>
      </c>
      <c r="K1271">
        <v>-84.073839000000007</v>
      </c>
      <c r="L1271" t="s">
        <v>1225</v>
      </c>
      <c r="M1271" t="s">
        <v>71</v>
      </c>
      <c r="N1271" t="s">
        <v>72</v>
      </c>
      <c r="O1271" t="s">
        <v>73</v>
      </c>
      <c r="P1271">
        <v>2</v>
      </c>
      <c r="Q1271" t="s">
        <v>150</v>
      </c>
      <c r="S1271" t="str">
        <f>_xlfn.XLOOKUP(UNIVERSO[[#This Row],[Ruta]],'[1]CUOTA RUTA'!A:A,'[1]CUOTA RUTA'!D:D)</f>
        <v>Cargar</v>
      </c>
    </row>
    <row r="1272" spans="1:19" x14ac:dyDescent="0.25">
      <c r="A1272">
        <v>1500100304</v>
      </c>
      <c r="B1272" t="s">
        <v>2719</v>
      </c>
      <c r="C1272" t="s">
        <v>19</v>
      </c>
      <c r="D1272" t="s">
        <v>20</v>
      </c>
      <c r="E1272" t="s">
        <v>21</v>
      </c>
      <c r="F1272" t="s">
        <v>22</v>
      </c>
      <c r="G1272" t="s">
        <v>23</v>
      </c>
      <c r="H1272" t="s">
        <v>52</v>
      </c>
      <c r="I1272" t="s">
        <v>2720</v>
      </c>
      <c r="J1272">
        <v>9.9033849000000007</v>
      </c>
      <c r="K1272">
        <v>-84.132767999999999</v>
      </c>
      <c r="L1272" t="s">
        <v>1225</v>
      </c>
      <c r="M1272" t="s">
        <v>54</v>
      </c>
      <c r="N1272" t="s">
        <v>55</v>
      </c>
      <c r="O1272" t="s">
        <v>56</v>
      </c>
      <c r="P1272">
        <v>12</v>
      </c>
      <c r="Q1272" t="s">
        <v>42</v>
      </c>
      <c r="S1272" t="str">
        <f>_xlfn.XLOOKUP(UNIVERSO[[#This Row],[Ruta]],'[1]CUOTA RUTA'!A:A,'[1]CUOTA RUTA'!D:D)</f>
        <v>Cargar</v>
      </c>
    </row>
    <row r="1273" spans="1:19" x14ac:dyDescent="0.25">
      <c r="A1273">
        <v>1500100340</v>
      </c>
      <c r="B1273" t="s">
        <v>2721</v>
      </c>
      <c r="C1273" t="s">
        <v>19</v>
      </c>
      <c r="D1273" t="s">
        <v>32</v>
      </c>
      <c r="E1273" t="s">
        <v>21</v>
      </c>
      <c r="F1273" t="s">
        <v>22</v>
      </c>
      <c r="G1273" t="s">
        <v>23</v>
      </c>
      <c r="H1273" t="s">
        <v>103</v>
      </c>
      <c r="I1273" t="s">
        <v>2722</v>
      </c>
      <c r="J1273">
        <v>9.9181830000000009</v>
      </c>
      <c r="K1273">
        <v>-84.117170000000002</v>
      </c>
      <c r="L1273" t="s">
        <v>1225</v>
      </c>
      <c r="M1273" t="s">
        <v>71</v>
      </c>
      <c r="N1273" t="s">
        <v>72</v>
      </c>
      <c r="O1273" t="s">
        <v>73</v>
      </c>
      <c r="P1273">
        <v>11</v>
      </c>
      <c r="Q1273" t="s">
        <v>108</v>
      </c>
      <c r="S1273" t="str">
        <f>_xlfn.XLOOKUP(UNIVERSO[[#This Row],[Ruta]],'[1]CUOTA RUTA'!A:A,'[1]CUOTA RUTA'!D:D)</f>
        <v>Cargar</v>
      </c>
    </row>
    <row r="1274" spans="1:19" x14ac:dyDescent="0.25">
      <c r="A1274">
        <v>1500100438</v>
      </c>
      <c r="B1274" t="s">
        <v>2723</v>
      </c>
      <c r="C1274" t="s">
        <v>19</v>
      </c>
      <c r="D1274" t="s">
        <v>32</v>
      </c>
      <c r="E1274" t="s">
        <v>21</v>
      </c>
      <c r="F1274" t="s">
        <v>22</v>
      </c>
      <c r="G1274" t="s">
        <v>64</v>
      </c>
      <c r="H1274" t="s">
        <v>425</v>
      </c>
      <c r="I1274" t="s">
        <v>2724</v>
      </c>
      <c r="J1274">
        <v>9.8638320000000004</v>
      </c>
      <c r="K1274">
        <v>-84.082229999999996</v>
      </c>
      <c r="L1274" t="s">
        <v>1225</v>
      </c>
      <c r="M1274" t="s">
        <v>71</v>
      </c>
      <c r="N1274" t="s">
        <v>72</v>
      </c>
      <c r="O1274" t="s">
        <v>73</v>
      </c>
      <c r="P1274">
        <v>16</v>
      </c>
      <c r="Q1274" t="s">
        <v>60</v>
      </c>
      <c r="S1274" t="str">
        <f>_xlfn.XLOOKUP(UNIVERSO[[#This Row],[Ruta]],'[1]CUOTA RUTA'!A:A,'[1]CUOTA RUTA'!D:D)</f>
        <v>Cargar</v>
      </c>
    </row>
    <row r="1275" spans="1:19" x14ac:dyDescent="0.25">
      <c r="A1275">
        <v>1500100483</v>
      </c>
      <c r="B1275" t="s">
        <v>2725</v>
      </c>
      <c r="C1275" t="s">
        <v>19</v>
      </c>
      <c r="D1275" t="s">
        <v>32</v>
      </c>
      <c r="E1275" t="s">
        <v>21</v>
      </c>
      <c r="F1275" t="s">
        <v>22</v>
      </c>
      <c r="G1275" t="s">
        <v>33</v>
      </c>
      <c r="H1275" t="s">
        <v>683</v>
      </c>
      <c r="I1275" t="s">
        <v>2726</v>
      </c>
      <c r="J1275">
        <v>9.9439010000000003</v>
      </c>
      <c r="K1275">
        <v>-84.101798000000002</v>
      </c>
      <c r="L1275" t="s">
        <v>1225</v>
      </c>
      <c r="M1275" t="s">
        <v>71</v>
      </c>
      <c r="N1275" t="s">
        <v>72</v>
      </c>
      <c r="O1275" t="s">
        <v>73</v>
      </c>
      <c r="P1275">
        <v>23</v>
      </c>
      <c r="Q1275" t="s">
        <v>125</v>
      </c>
      <c r="S1275" t="str">
        <f>_xlfn.XLOOKUP(UNIVERSO[[#This Row],[Ruta]],'[1]CUOTA RUTA'!A:A,'[1]CUOTA RUTA'!D:D)</f>
        <v>Cargar</v>
      </c>
    </row>
    <row r="1276" spans="1:19" x14ac:dyDescent="0.25">
      <c r="A1276">
        <v>1500100581</v>
      </c>
      <c r="B1276" t="s">
        <v>2727</v>
      </c>
      <c r="C1276" t="s">
        <v>19</v>
      </c>
      <c r="D1276" t="s">
        <v>32</v>
      </c>
      <c r="E1276" t="s">
        <v>21</v>
      </c>
      <c r="F1276" t="s">
        <v>22</v>
      </c>
      <c r="G1276" t="s">
        <v>33</v>
      </c>
      <c r="H1276" t="s">
        <v>159</v>
      </c>
      <c r="I1276" t="s">
        <v>2728</v>
      </c>
      <c r="J1276">
        <v>9.9068780000000007</v>
      </c>
      <c r="K1276">
        <v>-84.106696999999997</v>
      </c>
      <c r="L1276" t="s">
        <v>1225</v>
      </c>
      <c r="M1276" t="s">
        <v>71</v>
      </c>
      <c r="N1276" t="s">
        <v>72</v>
      </c>
      <c r="O1276" t="s">
        <v>73</v>
      </c>
      <c r="P1276">
        <v>12</v>
      </c>
      <c r="Q1276" t="s">
        <v>42</v>
      </c>
      <c r="S1276" t="str">
        <f>_xlfn.XLOOKUP(UNIVERSO[[#This Row],[Ruta]],'[1]CUOTA RUTA'!A:A,'[1]CUOTA RUTA'!D:D)</f>
        <v>Cargar</v>
      </c>
    </row>
    <row r="1277" spans="1:19" x14ac:dyDescent="0.25">
      <c r="A1277">
        <v>1500100727</v>
      </c>
      <c r="B1277" t="s">
        <v>2729</v>
      </c>
      <c r="C1277" t="s">
        <v>19</v>
      </c>
      <c r="D1277" t="s">
        <v>32</v>
      </c>
      <c r="E1277" t="s">
        <v>21</v>
      </c>
      <c r="F1277" t="s">
        <v>22</v>
      </c>
      <c r="G1277" t="s">
        <v>64</v>
      </c>
      <c r="H1277" t="s">
        <v>127</v>
      </c>
      <c r="I1277" t="s">
        <v>2730</v>
      </c>
      <c r="J1277">
        <v>9.7841816666669992</v>
      </c>
      <c r="K1277">
        <v>-84.129496666660003</v>
      </c>
      <c r="L1277" t="s">
        <v>1225</v>
      </c>
      <c r="M1277" t="s">
        <v>54</v>
      </c>
      <c r="N1277" t="s">
        <v>129</v>
      </c>
      <c r="O1277" t="s">
        <v>130</v>
      </c>
      <c r="P1277">
        <v>22</v>
      </c>
      <c r="Q1277" t="s">
        <v>30</v>
      </c>
      <c r="S1277" t="str">
        <f>_xlfn.XLOOKUP(UNIVERSO[[#This Row],[Ruta]],'[1]CUOTA RUTA'!A:A,'[1]CUOTA RUTA'!D:D)</f>
        <v>Cargar</v>
      </c>
    </row>
    <row r="1278" spans="1:19" x14ac:dyDescent="0.25">
      <c r="A1278">
        <v>1500100828</v>
      </c>
      <c r="B1278" t="s">
        <v>2731</v>
      </c>
      <c r="C1278" t="s">
        <v>19</v>
      </c>
      <c r="D1278" t="s">
        <v>32</v>
      </c>
      <c r="E1278" t="s">
        <v>21</v>
      </c>
      <c r="F1278" t="s">
        <v>22</v>
      </c>
      <c r="G1278" t="s">
        <v>64</v>
      </c>
      <c r="H1278" t="s">
        <v>159</v>
      </c>
      <c r="I1278" t="s">
        <v>2732</v>
      </c>
      <c r="J1278">
        <v>9.9057999999999993</v>
      </c>
      <c r="K1278">
        <v>-84.110200000000006</v>
      </c>
      <c r="L1278" t="s">
        <v>1225</v>
      </c>
      <c r="M1278" t="s">
        <v>71</v>
      </c>
      <c r="N1278" t="s">
        <v>72</v>
      </c>
      <c r="O1278" t="s">
        <v>73</v>
      </c>
      <c r="P1278">
        <v>12</v>
      </c>
      <c r="Q1278" t="s">
        <v>42</v>
      </c>
      <c r="S1278" t="str">
        <f>_xlfn.XLOOKUP(UNIVERSO[[#This Row],[Ruta]],'[1]CUOTA RUTA'!A:A,'[1]CUOTA RUTA'!D:D)</f>
        <v>Cargar</v>
      </c>
    </row>
    <row r="1279" spans="1:19" x14ac:dyDescent="0.25">
      <c r="A1279">
        <v>1500100955</v>
      </c>
      <c r="B1279" t="s">
        <v>2733</v>
      </c>
      <c r="C1279" t="s">
        <v>19</v>
      </c>
      <c r="D1279" t="s">
        <v>32</v>
      </c>
      <c r="E1279" t="s">
        <v>21</v>
      </c>
      <c r="F1279" t="s">
        <v>22</v>
      </c>
      <c r="G1279" t="s">
        <v>64</v>
      </c>
      <c r="H1279" t="s">
        <v>106</v>
      </c>
      <c r="I1279" t="s">
        <v>2734</v>
      </c>
      <c r="J1279">
        <v>9.9157670000000007</v>
      </c>
      <c r="K1279">
        <v>-84.102310000000003</v>
      </c>
      <c r="L1279" t="s">
        <v>1225</v>
      </c>
      <c r="M1279" t="s">
        <v>71</v>
      </c>
      <c r="N1279" t="s">
        <v>72</v>
      </c>
      <c r="O1279" t="s">
        <v>73</v>
      </c>
      <c r="P1279">
        <v>10</v>
      </c>
      <c r="Q1279" t="s">
        <v>136</v>
      </c>
      <c r="S1279" t="str">
        <f>_xlfn.XLOOKUP(UNIVERSO[[#This Row],[Ruta]],'[1]CUOTA RUTA'!A:A,'[1]CUOTA RUTA'!D:D)</f>
        <v>Cargar</v>
      </c>
    </row>
    <row r="1280" spans="1:19" x14ac:dyDescent="0.25">
      <c r="A1280">
        <v>1500101573</v>
      </c>
      <c r="B1280" t="s">
        <v>1378</v>
      </c>
      <c r="C1280" t="s">
        <v>19</v>
      </c>
      <c r="D1280" t="s">
        <v>201</v>
      </c>
      <c r="E1280" t="s">
        <v>21</v>
      </c>
      <c r="F1280" t="s">
        <v>22</v>
      </c>
      <c r="G1280" t="s">
        <v>64</v>
      </c>
      <c r="H1280" t="s">
        <v>499</v>
      </c>
      <c r="I1280" t="s">
        <v>2735</v>
      </c>
      <c r="J1280">
        <v>9.8850458999999997</v>
      </c>
      <c r="K1280">
        <v>-84.575956199999993</v>
      </c>
      <c r="L1280" t="s">
        <v>1225</v>
      </c>
      <c r="M1280" t="s">
        <v>204</v>
      </c>
      <c r="N1280" t="s">
        <v>205</v>
      </c>
      <c r="O1280" t="s">
        <v>206</v>
      </c>
      <c r="P1280">
        <v>3</v>
      </c>
      <c r="Q1280" t="s">
        <v>101</v>
      </c>
      <c r="S1280" t="str">
        <f>_xlfn.XLOOKUP(UNIVERSO[[#This Row],[Ruta]],'[1]CUOTA RUTA'!A:A,'[1]CUOTA RUTA'!D:D)</f>
        <v>Cargar</v>
      </c>
    </row>
    <row r="1281" spans="1:19" x14ac:dyDescent="0.25">
      <c r="A1281">
        <v>1500101746</v>
      </c>
      <c r="B1281" t="s">
        <v>2736</v>
      </c>
      <c r="C1281" t="s">
        <v>19</v>
      </c>
      <c r="D1281" t="s">
        <v>201</v>
      </c>
      <c r="E1281" t="s">
        <v>21</v>
      </c>
      <c r="F1281" t="s">
        <v>22</v>
      </c>
      <c r="G1281" t="s">
        <v>64</v>
      </c>
      <c r="H1281" t="s">
        <v>785</v>
      </c>
      <c r="I1281" t="s">
        <v>2737</v>
      </c>
      <c r="J1281">
        <v>10.0935931</v>
      </c>
      <c r="K1281">
        <v>-84.976598199999998</v>
      </c>
      <c r="L1281" t="s">
        <v>1225</v>
      </c>
      <c r="M1281" t="s">
        <v>204</v>
      </c>
      <c r="N1281" t="s">
        <v>205</v>
      </c>
      <c r="O1281" t="s">
        <v>206</v>
      </c>
      <c r="P1281">
        <v>12</v>
      </c>
      <c r="Q1281" t="s">
        <v>42</v>
      </c>
      <c r="S1281" t="str">
        <f>_xlfn.XLOOKUP(UNIVERSO[[#This Row],[Ruta]],'[1]CUOTA RUTA'!A:A,'[1]CUOTA RUTA'!D:D)</f>
        <v>Cargar</v>
      </c>
    </row>
    <row r="1282" spans="1:19" x14ac:dyDescent="0.25">
      <c r="A1282">
        <v>1500101950</v>
      </c>
      <c r="B1282" t="s">
        <v>2738</v>
      </c>
      <c r="C1282" t="s">
        <v>19</v>
      </c>
      <c r="D1282" t="s">
        <v>201</v>
      </c>
      <c r="E1282" t="s">
        <v>21</v>
      </c>
      <c r="F1282" t="s">
        <v>22</v>
      </c>
      <c r="G1282" t="s">
        <v>33</v>
      </c>
      <c r="H1282" t="s">
        <v>334</v>
      </c>
      <c r="I1282" t="s">
        <v>2739</v>
      </c>
      <c r="J1282">
        <v>9.9881820999999995</v>
      </c>
      <c r="K1282">
        <v>-84.640796499999993</v>
      </c>
      <c r="L1282" t="s">
        <v>1225</v>
      </c>
      <c r="M1282" t="s">
        <v>204</v>
      </c>
      <c r="N1282" t="s">
        <v>205</v>
      </c>
      <c r="O1282" t="s">
        <v>206</v>
      </c>
      <c r="P1282">
        <v>14</v>
      </c>
      <c r="Q1282" t="s">
        <v>181</v>
      </c>
      <c r="S1282" t="str">
        <f>_xlfn.XLOOKUP(UNIVERSO[[#This Row],[Ruta]],'[1]CUOTA RUTA'!A:A,'[1]CUOTA RUTA'!D:D)</f>
        <v>Cargar</v>
      </c>
    </row>
    <row r="1283" spans="1:19" x14ac:dyDescent="0.25">
      <c r="A1283">
        <v>1500102083</v>
      </c>
      <c r="B1283" t="s">
        <v>2463</v>
      </c>
      <c r="C1283" t="s">
        <v>19</v>
      </c>
      <c r="D1283" t="s">
        <v>20</v>
      </c>
      <c r="E1283" t="s">
        <v>21</v>
      </c>
      <c r="F1283" t="s">
        <v>22</v>
      </c>
      <c r="G1283" t="s">
        <v>23</v>
      </c>
      <c r="H1283" t="s">
        <v>255</v>
      </c>
      <c r="I1283" t="s">
        <v>2740</v>
      </c>
      <c r="J1283">
        <v>10.0727183</v>
      </c>
      <c r="K1283">
        <v>-84.313914999999994</v>
      </c>
      <c r="L1283" t="s">
        <v>1225</v>
      </c>
      <c r="M1283" t="s">
        <v>46</v>
      </c>
      <c r="N1283" t="s">
        <v>47</v>
      </c>
      <c r="O1283" t="s">
        <v>48</v>
      </c>
      <c r="P1283">
        <v>4</v>
      </c>
      <c r="Q1283" t="s">
        <v>120</v>
      </c>
      <c r="S1283" t="str">
        <f>_xlfn.XLOOKUP(UNIVERSO[[#This Row],[Ruta]],'[1]CUOTA RUTA'!A:A,'[1]CUOTA RUTA'!D:D)</f>
        <v>Cargar</v>
      </c>
    </row>
    <row r="1284" spans="1:19" x14ac:dyDescent="0.25">
      <c r="A1284">
        <v>1500102384</v>
      </c>
      <c r="B1284" t="s">
        <v>2741</v>
      </c>
      <c r="C1284" t="s">
        <v>19</v>
      </c>
      <c r="D1284" t="s">
        <v>32</v>
      </c>
      <c r="E1284" t="s">
        <v>21</v>
      </c>
      <c r="F1284" t="s">
        <v>22</v>
      </c>
      <c r="G1284" t="s">
        <v>64</v>
      </c>
      <c r="H1284" t="s">
        <v>148</v>
      </c>
      <c r="I1284" t="s">
        <v>2742</v>
      </c>
      <c r="J1284">
        <v>9.9859600000000004</v>
      </c>
      <c r="K1284">
        <v>-83.960723999999999</v>
      </c>
      <c r="L1284" t="s">
        <v>1225</v>
      </c>
      <c r="M1284" t="s">
        <v>94</v>
      </c>
      <c r="N1284" t="s">
        <v>95</v>
      </c>
      <c r="O1284" t="s">
        <v>96</v>
      </c>
      <c r="P1284">
        <v>12</v>
      </c>
      <c r="Q1284" t="s">
        <v>42</v>
      </c>
      <c r="S1284" t="str">
        <f>_xlfn.XLOOKUP(UNIVERSO[[#This Row],[Ruta]],'[1]CUOTA RUTA'!A:A,'[1]CUOTA RUTA'!D:D)</f>
        <v>Cargar</v>
      </c>
    </row>
    <row r="1285" spans="1:19" x14ac:dyDescent="0.25">
      <c r="A1285">
        <v>1500102642</v>
      </c>
      <c r="B1285" t="s">
        <v>2743</v>
      </c>
      <c r="C1285" t="s">
        <v>19</v>
      </c>
      <c r="D1285" t="s">
        <v>20</v>
      </c>
      <c r="E1285" t="s">
        <v>21</v>
      </c>
      <c r="F1285" t="s">
        <v>22</v>
      </c>
      <c r="G1285" t="s">
        <v>33</v>
      </c>
      <c r="H1285" t="s">
        <v>901</v>
      </c>
      <c r="I1285" t="s">
        <v>2744</v>
      </c>
      <c r="J1285">
        <v>10.0453843</v>
      </c>
      <c r="K1285">
        <v>-84.344936700000005</v>
      </c>
      <c r="L1285" t="s">
        <v>1225</v>
      </c>
      <c r="M1285" t="s">
        <v>46</v>
      </c>
      <c r="N1285" t="s">
        <v>47</v>
      </c>
      <c r="O1285" t="s">
        <v>48</v>
      </c>
      <c r="P1285">
        <v>5</v>
      </c>
      <c r="Q1285" t="s">
        <v>117</v>
      </c>
      <c r="S1285" t="str">
        <f>_xlfn.XLOOKUP(UNIVERSO[[#This Row],[Ruta]],'[1]CUOTA RUTA'!A:A,'[1]CUOTA RUTA'!D:D)</f>
        <v>Cargar</v>
      </c>
    </row>
    <row r="1286" spans="1:19" x14ac:dyDescent="0.25">
      <c r="A1286">
        <v>1500102853</v>
      </c>
      <c r="B1286" t="s">
        <v>2745</v>
      </c>
      <c r="C1286" t="s">
        <v>19</v>
      </c>
      <c r="D1286" t="s">
        <v>20</v>
      </c>
      <c r="E1286" t="s">
        <v>21</v>
      </c>
      <c r="F1286" t="s">
        <v>22</v>
      </c>
      <c r="G1286" t="s">
        <v>64</v>
      </c>
      <c r="H1286" t="s">
        <v>901</v>
      </c>
      <c r="I1286" t="s">
        <v>2746</v>
      </c>
      <c r="J1286">
        <v>10.02928</v>
      </c>
      <c r="K1286">
        <v>-84.413650000000004</v>
      </c>
      <c r="L1286" t="s">
        <v>1225</v>
      </c>
      <c r="M1286" t="s">
        <v>46</v>
      </c>
      <c r="N1286" t="s">
        <v>47</v>
      </c>
      <c r="O1286" t="s">
        <v>48</v>
      </c>
      <c r="P1286">
        <v>9</v>
      </c>
      <c r="Q1286" t="s">
        <v>80</v>
      </c>
      <c r="S1286" t="str">
        <f>_xlfn.XLOOKUP(UNIVERSO[[#This Row],[Ruta]],'[1]CUOTA RUTA'!A:A,'[1]CUOTA RUTA'!D:D)</f>
        <v>Cargar</v>
      </c>
    </row>
    <row r="1287" spans="1:19" x14ac:dyDescent="0.25">
      <c r="A1287">
        <v>1500103091</v>
      </c>
      <c r="B1287" t="s">
        <v>2747</v>
      </c>
      <c r="C1287" t="s">
        <v>19</v>
      </c>
      <c r="D1287" t="s">
        <v>20</v>
      </c>
      <c r="E1287" t="s">
        <v>21</v>
      </c>
      <c r="F1287" t="s">
        <v>22</v>
      </c>
      <c r="G1287" t="s">
        <v>33</v>
      </c>
      <c r="H1287" t="s">
        <v>263</v>
      </c>
      <c r="I1287" t="s">
        <v>2748</v>
      </c>
      <c r="J1287">
        <v>10.09777137</v>
      </c>
      <c r="K1287">
        <v>-84.379668649999999</v>
      </c>
      <c r="L1287" t="s">
        <v>1225</v>
      </c>
      <c r="M1287" t="s">
        <v>46</v>
      </c>
      <c r="N1287" t="s">
        <v>47</v>
      </c>
      <c r="O1287" t="s">
        <v>48</v>
      </c>
      <c r="P1287">
        <v>2</v>
      </c>
      <c r="Q1287" t="s">
        <v>150</v>
      </c>
      <c r="S1287" t="str">
        <f>_xlfn.XLOOKUP(UNIVERSO[[#This Row],[Ruta]],'[1]CUOTA RUTA'!A:A,'[1]CUOTA RUTA'!D:D)</f>
        <v>Cargar</v>
      </c>
    </row>
    <row r="1288" spans="1:19" x14ac:dyDescent="0.25">
      <c r="A1288">
        <v>1500103220</v>
      </c>
      <c r="B1288" t="s">
        <v>2749</v>
      </c>
      <c r="C1288" t="s">
        <v>19</v>
      </c>
      <c r="D1288" t="s">
        <v>20</v>
      </c>
      <c r="E1288" t="s">
        <v>21</v>
      </c>
      <c r="F1288" t="s">
        <v>22</v>
      </c>
      <c r="G1288" t="s">
        <v>23</v>
      </c>
      <c r="H1288" t="s">
        <v>1128</v>
      </c>
      <c r="I1288" t="s">
        <v>2750</v>
      </c>
      <c r="J1288">
        <v>10.06527</v>
      </c>
      <c r="K1288">
        <v>-84.296310000000005</v>
      </c>
      <c r="L1288" t="s">
        <v>1225</v>
      </c>
      <c r="M1288" t="s">
        <v>46</v>
      </c>
      <c r="N1288" t="s">
        <v>47</v>
      </c>
      <c r="O1288" t="s">
        <v>48</v>
      </c>
      <c r="P1288">
        <v>5</v>
      </c>
      <c r="Q1288" t="s">
        <v>117</v>
      </c>
      <c r="S1288" t="str">
        <f>_xlfn.XLOOKUP(UNIVERSO[[#This Row],[Ruta]],'[1]CUOTA RUTA'!A:A,'[1]CUOTA RUTA'!D:D)</f>
        <v>Cargar</v>
      </c>
    </row>
    <row r="1289" spans="1:19" x14ac:dyDescent="0.25">
      <c r="A1289">
        <v>1500103373</v>
      </c>
      <c r="B1289" t="s">
        <v>2751</v>
      </c>
      <c r="C1289" t="s">
        <v>19</v>
      </c>
      <c r="D1289" t="s">
        <v>20</v>
      </c>
      <c r="E1289" t="s">
        <v>21</v>
      </c>
      <c r="F1289" t="s">
        <v>22</v>
      </c>
      <c r="G1289" t="s">
        <v>33</v>
      </c>
      <c r="H1289" t="s">
        <v>263</v>
      </c>
      <c r="I1289" t="s">
        <v>2752</v>
      </c>
      <c r="J1289">
        <v>10.09077388</v>
      </c>
      <c r="K1289">
        <v>-84.318321319999995</v>
      </c>
      <c r="L1289" t="s">
        <v>1225</v>
      </c>
      <c r="M1289" t="s">
        <v>46</v>
      </c>
      <c r="N1289" t="s">
        <v>47</v>
      </c>
      <c r="O1289" t="s">
        <v>48</v>
      </c>
      <c r="P1289">
        <v>4</v>
      </c>
      <c r="Q1289" t="s">
        <v>120</v>
      </c>
      <c r="S1289" t="str">
        <f>_xlfn.XLOOKUP(UNIVERSO[[#This Row],[Ruta]],'[1]CUOTA RUTA'!A:A,'[1]CUOTA RUTA'!D:D)</f>
        <v>Cargar</v>
      </c>
    </row>
    <row r="1290" spans="1:19" x14ac:dyDescent="0.25">
      <c r="A1290">
        <v>1500103438</v>
      </c>
      <c r="B1290" t="s">
        <v>2753</v>
      </c>
      <c r="C1290" t="s">
        <v>19</v>
      </c>
      <c r="D1290" t="s">
        <v>20</v>
      </c>
      <c r="E1290" t="s">
        <v>21</v>
      </c>
      <c r="F1290" t="s">
        <v>22</v>
      </c>
      <c r="G1290" t="s">
        <v>64</v>
      </c>
      <c r="H1290" t="s">
        <v>674</v>
      </c>
      <c r="I1290" t="s">
        <v>2754</v>
      </c>
      <c r="J1290">
        <v>10.11860626</v>
      </c>
      <c r="K1290">
        <v>-84.366516899999993</v>
      </c>
      <c r="L1290" t="s">
        <v>1225</v>
      </c>
      <c r="M1290" t="s">
        <v>46</v>
      </c>
      <c r="N1290" t="s">
        <v>47</v>
      </c>
      <c r="O1290" t="s">
        <v>48</v>
      </c>
      <c r="P1290">
        <v>2</v>
      </c>
      <c r="Q1290" t="s">
        <v>150</v>
      </c>
      <c r="S1290" t="str">
        <f>_xlfn.XLOOKUP(UNIVERSO[[#This Row],[Ruta]],'[1]CUOTA RUTA'!A:A,'[1]CUOTA RUTA'!D:D)</f>
        <v>Cargar</v>
      </c>
    </row>
    <row r="1291" spans="1:19" x14ac:dyDescent="0.25">
      <c r="A1291">
        <v>1500103553</v>
      </c>
      <c r="B1291" t="s">
        <v>2755</v>
      </c>
      <c r="C1291" t="s">
        <v>19</v>
      </c>
      <c r="D1291" t="s">
        <v>20</v>
      </c>
      <c r="E1291" t="s">
        <v>21</v>
      </c>
      <c r="F1291" t="s">
        <v>22</v>
      </c>
      <c r="G1291" t="s">
        <v>33</v>
      </c>
      <c r="H1291" t="s">
        <v>260</v>
      </c>
      <c r="I1291" t="s">
        <v>2756</v>
      </c>
      <c r="J1291">
        <v>10.116394140000001</v>
      </c>
      <c r="K1291">
        <v>-84.534244900000004</v>
      </c>
      <c r="L1291" t="s">
        <v>1225</v>
      </c>
      <c r="M1291" t="s">
        <v>46</v>
      </c>
      <c r="N1291" t="s">
        <v>47</v>
      </c>
      <c r="O1291" t="s">
        <v>48</v>
      </c>
      <c r="P1291">
        <v>9</v>
      </c>
      <c r="Q1291" t="s">
        <v>80</v>
      </c>
      <c r="S1291" t="str">
        <f>_xlfn.XLOOKUP(UNIVERSO[[#This Row],[Ruta]],'[1]CUOTA RUTA'!A:A,'[1]CUOTA RUTA'!D:D)</f>
        <v>Cargar</v>
      </c>
    </row>
    <row r="1292" spans="1:19" x14ac:dyDescent="0.25">
      <c r="A1292">
        <v>1500108148</v>
      </c>
      <c r="B1292" t="s">
        <v>2500</v>
      </c>
      <c r="C1292" t="s">
        <v>19</v>
      </c>
      <c r="D1292" t="s">
        <v>324</v>
      </c>
      <c r="E1292" t="s">
        <v>21</v>
      </c>
      <c r="F1292" t="s">
        <v>22</v>
      </c>
      <c r="G1292" t="s">
        <v>33</v>
      </c>
      <c r="H1292" t="s">
        <v>390</v>
      </c>
      <c r="I1292" t="s">
        <v>2757</v>
      </c>
      <c r="J1292">
        <v>10.321524</v>
      </c>
      <c r="K1292">
        <v>-84.439849170000002</v>
      </c>
      <c r="L1292" t="s">
        <v>1225</v>
      </c>
      <c r="M1292" t="s">
        <v>327</v>
      </c>
      <c r="N1292" t="s">
        <v>328</v>
      </c>
      <c r="O1292" t="s">
        <v>329</v>
      </c>
      <c r="P1292">
        <v>23</v>
      </c>
      <c r="Q1292" t="s">
        <v>125</v>
      </c>
      <c r="S1292" t="str">
        <f>_xlfn.XLOOKUP(UNIVERSO[[#This Row],[Ruta]],'[1]CUOTA RUTA'!A:A,'[1]CUOTA RUTA'!D:D)</f>
        <v>Cargar</v>
      </c>
    </row>
    <row r="1293" spans="1:19" x14ac:dyDescent="0.25">
      <c r="A1293">
        <v>1500108164</v>
      </c>
      <c r="B1293" t="s">
        <v>2758</v>
      </c>
      <c r="C1293" t="s">
        <v>19</v>
      </c>
      <c r="D1293" t="s">
        <v>324</v>
      </c>
      <c r="E1293" t="s">
        <v>21</v>
      </c>
      <c r="F1293" t="s">
        <v>22</v>
      </c>
      <c r="G1293" t="s">
        <v>23</v>
      </c>
      <c r="H1293" t="s">
        <v>396</v>
      </c>
      <c r="I1293" t="s">
        <v>2759</v>
      </c>
      <c r="J1293">
        <v>10.4556</v>
      </c>
      <c r="K1293">
        <v>-84.276110000000003</v>
      </c>
      <c r="L1293" t="s">
        <v>1225</v>
      </c>
      <c r="M1293" t="s">
        <v>327</v>
      </c>
      <c r="N1293" t="s">
        <v>328</v>
      </c>
      <c r="O1293" t="s">
        <v>329</v>
      </c>
      <c r="P1293">
        <v>17</v>
      </c>
      <c r="Q1293" t="s">
        <v>287</v>
      </c>
      <c r="S1293" t="str">
        <f>_xlfn.XLOOKUP(UNIVERSO[[#This Row],[Ruta]],'[1]CUOTA RUTA'!A:A,'[1]CUOTA RUTA'!D:D)</f>
        <v>Cargar</v>
      </c>
    </row>
    <row r="1294" spans="1:19" x14ac:dyDescent="0.25">
      <c r="A1294">
        <v>1500108210</v>
      </c>
      <c r="B1294" t="s">
        <v>2760</v>
      </c>
      <c r="C1294" t="s">
        <v>19</v>
      </c>
      <c r="D1294" t="s">
        <v>324</v>
      </c>
      <c r="E1294" t="s">
        <v>21</v>
      </c>
      <c r="F1294" t="s">
        <v>51</v>
      </c>
      <c r="G1294" t="s">
        <v>23</v>
      </c>
      <c r="H1294" t="s">
        <v>396</v>
      </c>
      <c r="I1294" t="s">
        <v>2761</v>
      </c>
      <c r="J1294">
        <v>10.466200000000001</v>
      </c>
      <c r="K1294">
        <v>-84.459919999999997</v>
      </c>
      <c r="L1294" t="s">
        <v>1225</v>
      </c>
      <c r="M1294" t="s">
        <v>327</v>
      </c>
      <c r="N1294" t="s">
        <v>328</v>
      </c>
      <c r="O1294" t="s">
        <v>329</v>
      </c>
      <c r="P1294">
        <v>22</v>
      </c>
      <c r="Q1294" t="s">
        <v>30</v>
      </c>
      <c r="S1294" t="str">
        <f>_xlfn.XLOOKUP(UNIVERSO[[#This Row],[Ruta]],'[1]CUOTA RUTA'!A:A,'[1]CUOTA RUTA'!D:D)</f>
        <v>Cargar</v>
      </c>
    </row>
    <row r="1295" spans="1:19" x14ac:dyDescent="0.25">
      <c r="A1295">
        <v>1500108320</v>
      </c>
      <c r="B1295" t="s">
        <v>18</v>
      </c>
      <c r="C1295" t="s">
        <v>19</v>
      </c>
      <c r="D1295" t="s">
        <v>324</v>
      </c>
      <c r="E1295" t="s">
        <v>21</v>
      </c>
      <c r="F1295" t="s">
        <v>22</v>
      </c>
      <c r="G1295" t="s">
        <v>33</v>
      </c>
      <c r="H1295" t="s">
        <v>511</v>
      </c>
      <c r="I1295" t="s">
        <v>2762</v>
      </c>
      <c r="J1295">
        <v>10.4071</v>
      </c>
      <c r="K1295">
        <v>-84.598420000000004</v>
      </c>
      <c r="L1295" t="s">
        <v>1225</v>
      </c>
      <c r="M1295" t="s">
        <v>327</v>
      </c>
      <c r="N1295" t="s">
        <v>328</v>
      </c>
      <c r="O1295" t="s">
        <v>329</v>
      </c>
      <c r="P1295">
        <v>12</v>
      </c>
      <c r="Q1295" t="s">
        <v>42</v>
      </c>
      <c r="S1295" t="str">
        <f>_xlfn.XLOOKUP(UNIVERSO[[#This Row],[Ruta]],'[1]CUOTA RUTA'!A:A,'[1]CUOTA RUTA'!D:D)</f>
        <v>Cargar</v>
      </c>
    </row>
    <row r="1296" spans="1:19" x14ac:dyDescent="0.25">
      <c r="A1296">
        <v>1500108434</v>
      </c>
      <c r="B1296" t="s">
        <v>2763</v>
      </c>
      <c r="C1296" t="s">
        <v>19</v>
      </c>
      <c r="D1296" t="s">
        <v>324</v>
      </c>
      <c r="E1296" t="s">
        <v>21</v>
      </c>
      <c r="F1296" t="s">
        <v>22</v>
      </c>
      <c r="G1296" t="s">
        <v>33</v>
      </c>
      <c r="H1296" t="s">
        <v>393</v>
      </c>
      <c r="I1296" t="s">
        <v>2764</v>
      </c>
      <c r="J1296">
        <v>10.367100000000001</v>
      </c>
      <c r="K1296">
        <v>-84.431120000000007</v>
      </c>
      <c r="L1296" t="s">
        <v>1225</v>
      </c>
      <c r="M1296" t="s">
        <v>327</v>
      </c>
      <c r="N1296" t="s">
        <v>328</v>
      </c>
      <c r="O1296" t="s">
        <v>329</v>
      </c>
      <c r="P1296">
        <v>15</v>
      </c>
      <c r="Q1296" t="s">
        <v>231</v>
      </c>
      <c r="S1296" t="str">
        <f>_xlfn.XLOOKUP(UNIVERSO[[#This Row],[Ruta]],'[1]CUOTA RUTA'!A:A,'[1]CUOTA RUTA'!D:D)</f>
        <v>Cargar</v>
      </c>
    </row>
    <row r="1297" spans="1:19" x14ac:dyDescent="0.25">
      <c r="A1297">
        <v>1500108463</v>
      </c>
      <c r="B1297" t="s">
        <v>2765</v>
      </c>
      <c r="C1297" t="s">
        <v>19</v>
      </c>
      <c r="D1297" t="s">
        <v>324</v>
      </c>
      <c r="E1297" t="s">
        <v>21</v>
      </c>
      <c r="F1297" t="s">
        <v>22</v>
      </c>
      <c r="G1297" t="s">
        <v>64</v>
      </c>
      <c r="H1297" t="s">
        <v>325</v>
      </c>
      <c r="I1297" t="s">
        <v>2766</v>
      </c>
      <c r="J1297">
        <v>10.3896</v>
      </c>
      <c r="K1297">
        <v>-84.501050000000006</v>
      </c>
      <c r="L1297" t="s">
        <v>1225</v>
      </c>
      <c r="M1297" t="s">
        <v>327</v>
      </c>
      <c r="N1297" t="s">
        <v>328</v>
      </c>
      <c r="O1297" t="s">
        <v>329</v>
      </c>
      <c r="P1297">
        <v>14</v>
      </c>
      <c r="Q1297" t="s">
        <v>181</v>
      </c>
      <c r="S1297" t="str">
        <f>_xlfn.XLOOKUP(UNIVERSO[[#This Row],[Ruta]],'[1]CUOTA RUTA'!A:A,'[1]CUOTA RUTA'!D:D)</f>
        <v>Cargar</v>
      </c>
    </row>
    <row r="1298" spans="1:19" x14ac:dyDescent="0.25">
      <c r="A1298">
        <v>1500108503</v>
      </c>
      <c r="B1298" t="s">
        <v>2767</v>
      </c>
      <c r="C1298" t="s">
        <v>19</v>
      </c>
      <c r="D1298" t="s">
        <v>324</v>
      </c>
      <c r="E1298" t="s">
        <v>21</v>
      </c>
      <c r="F1298" t="s">
        <v>22</v>
      </c>
      <c r="G1298" t="s">
        <v>33</v>
      </c>
      <c r="H1298" t="s">
        <v>325</v>
      </c>
      <c r="I1298" t="s">
        <v>2768</v>
      </c>
      <c r="J1298">
        <v>10.3133</v>
      </c>
      <c r="K1298">
        <v>-84.534099999999995</v>
      </c>
      <c r="L1298" t="s">
        <v>1225</v>
      </c>
      <c r="M1298" t="s">
        <v>327</v>
      </c>
      <c r="N1298" t="s">
        <v>328</v>
      </c>
      <c r="O1298" t="s">
        <v>329</v>
      </c>
      <c r="P1298">
        <v>14</v>
      </c>
      <c r="Q1298" t="s">
        <v>181</v>
      </c>
      <c r="S1298" t="str">
        <f>_xlfn.XLOOKUP(UNIVERSO[[#This Row],[Ruta]],'[1]CUOTA RUTA'!A:A,'[1]CUOTA RUTA'!D:D)</f>
        <v>Cargar</v>
      </c>
    </row>
    <row r="1299" spans="1:19" x14ac:dyDescent="0.25">
      <c r="A1299">
        <v>1500108670</v>
      </c>
      <c r="B1299" t="s">
        <v>2769</v>
      </c>
      <c r="C1299" t="s">
        <v>19</v>
      </c>
      <c r="D1299" t="s">
        <v>324</v>
      </c>
      <c r="E1299" t="s">
        <v>21</v>
      </c>
      <c r="F1299" t="s">
        <v>22</v>
      </c>
      <c r="G1299" t="s">
        <v>64</v>
      </c>
      <c r="H1299" t="s">
        <v>325</v>
      </c>
      <c r="I1299" t="s">
        <v>2770</v>
      </c>
      <c r="J1299">
        <v>10.362500000000001</v>
      </c>
      <c r="K1299">
        <v>-84.589619999999996</v>
      </c>
      <c r="L1299" t="s">
        <v>1225</v>
      </c>
      <c r="M1299" t="s">
        <v>327</v>
      </c>
      <c r="N1299" t="s">
        <v>328</v>
      </c>
      <c r="O1299" t="s">
        <v>329</v>
      </c>
      <c r="P1299">
        <v>13</v>
      </c>
      <c r="Q1299" t="s">
        <v>161</v>
      </c>
      <c r="S1299" t="str">
        <f>_xlfn.XLOOKUP(UNIVERSO[[#This Row],[Ruta]],'[1]CUOTA RUTA'!A:A,'[1]CUOTA RUTA'!D:D)</f>
        <v>Cargar</v>
      </c>
    </row>
    <row r="1300" spans="1:19" x14ac:dyDescent="0.25">
      <c r="A1300">
        <v>1500108672</v>
      </c>
      <c r="B1300" t="s">
        <v>2771</v>
      </c>
      <c r="C1300" t="s">
        <v>19</v>
      </c>
      <c r="D1300" t="s">
        <v>324</v>
      </c>
      <c r="E1300" t="s">
        <v>21</v>
      </c>
      <c r="F1300" t="s">
        <v>22</v>
      </c>
      <c r="G1300" t="s">
        <v>64</v>
      </c>
      <c r="H1300" t="s">
        <v>325</v>
      </c>
      <c r="I1300" t="s">
        <v>2772</v>
      </c>
      <c r="J1300">
        <v>10.362500000000001</v>
      </c>
      <c r="K1300">
        <v>-84.589479999999995</v>
      </c>
      <c r="L1300" t="s">
        <v>1225</v>
      </c>
      <c r="M1300" t="s">
        <v>327</v>
      </c>
      <c r="N1300" t="s">
        <v>328</v>
      </c>
      <c r="O1300" t="s">
        <v>329</v>
      </c>
      <c r="P1300">
        <v>13</v>
      </c>
      <c r="Q1300" t="s">
        <v>161</v>
      </c>
      <c r="S1300" t="str">
        <f>_xlfn.XLOOKUP(UNIVERSO[[#This Row],[Ruta]],'[1]CUOTA RUTA'!A:A,'[1]CUOTA RUTA'!D:D)</f>
        <v>Cargar</v>
      </c>
    </row>
    <row r="1301" spans="1:19" x14ac:dyDescent="0.25">
      <c r="A1301">
        <v>1500108690</v>
      </c>
      <c r="B1301" t="s">
        <v>2773</v>
      </c>
      <c r="C1301" t="s">
        <v>19</v>
      </c>
      <c r="D1301" t="s">
        <v>324</v>
      </c>
      <c r="E1301" t="s">
        <v>21</v>
      </c>
      <c r="F1301" t="s">
        <v>51</v>
      </c>
      <c r="G1301" t="s">
        <v>23</v>
      </c>
      <c r="H1301" t="s">
        <v>396</v>
      </c>
      <c r="I1301" t="s">
        <v>2774</v>
      </c>
      <c r="J1301">
        <v>10.4778226</v>
      </c>
      <c r="K1301">
        <v>-84.580350899999999</v>
      </c>
      <c r="L1301" t="s">
        <v>1225</v>
      </c>
      <c r="M1301" t="s">
        <v>327</v>
      </c>
      <c r="N1301" t="s">
        <v>328</v>
      </c>
      <c r="O1301" t="s">
        <v>329</v>
      </c>
      <c r="P1301">
        <v>13</v>
      </c>
      <c r="Q1301" t="s">
        <v>161</v>
      </c>
      <c r="S1301" t="str">
        <f>_xlfn.XLOOKUP(UNIVERSO[[#This Row],[Ruta]],'[1]CUOTA RUTA'!A:A,'[1]CUOTA RUTA'!D:D)</f>
        <v>Cargar</v>
      </c>
    </row>
    <row r="1302" spans="1:19" x14ac:dyDescent="0.25">
      <c r="A1302">
        <v>1500108750</v>
      </c>
      <c r="B1302" t="s">
        <v>2775</v>
      </c>
      <c r="C1302" t="s">
        <v>19</v>
      </c>
      <c r="D1302" t="s">
        <v>324</v>
      </c>
      <c r="E1302" t="s">
        <v>21</v>
      </c>
      <c r="F1302" t="s">
        <v>22</v>
      </c>
      <c r="G1302" t="s">
        <v>23</v>
      </c>
      <c r="H1302" t="s">
        <v>393</v>
      </c>
      <c r="I1302" t="s">
        <v>2776</v>
      </c>
      <c r="J1302">
        <v>10.394299999999999</v>
      </c>
      <c r="K1302">
        <v>-84.313310000000001</v>
      </c>
      <c r="L1302" t="s">
        <v>1225</v>
      </c>
      <c r="M1302" t="s">
        <v>327</v>
      </c>
      <c r="N1302" t="s">
        <v>328</v>
      </c>
      <c r="O1302" t="s">
        <v>329</v>
      </c>
      <c r="P1302">
        <v>16</v>
      </c>
      <c r="Q1302" t="s">
        <v>60</v>
      </c>
      <c r="S1302" t="str">
        <f>_xlfn.XLOOKUP(UNIVERSO[[#This Row],[Ruta]],'[1]CUOTA RUTA'!A:A,'[1]CUOTA RUTA'!D:D)</f>
        <v>Cargar</v>
      </c>
    </row>
    <row r="1303" spans="1:19" x14ac:dyDescent="0.25">
      <c r="A1303">
        <v>1500108774</v>
      </c>
      <c r="B1303" t="s">
        <v>2777</v>
      </c>
      <c r="C1303" t="s">
        <v>19</v>
      </c>
      <c r="D1303" t="s">
        <v>324</v>
      </c>
      <c r="E1303" t="s">
        <v>21</v>
      </c>
      <c r="F1303" t="s">
        <v>22</v>
      </c>
      <c r="G1303" t="s">
        <v>33</v>
      </c>
      <c r="H1303" t="s">
        <v>393</v>
      </c>
      <c r="I1303" t="s">
        <v>2778</v>
      </c>
      <c r="J1303">
        <v>10.412495</v>
      </c>
      <c r="K1303">
        <v>-84.471603999999999</v>
      </c>
      <c r="L1303" t="s">
        <v>1225</v>
      </c>
      <c r="M1303" t="s">
        <v>327</v>
      </c>
      <c r="N1303" t="s">
        <v>328</v>
      </c>
      <c r="O1303" t="s">
        <v>329</v>
      </c>
      <c r="P1303">
        <v>19</v>
      </c>
      <c r="Q1303" t="s">
        <v>67</v>
      </c>
      <c r="S1303" t="str">
        <f>_xlfn.XLOOKUP(UNIVERSO[[#This Row],[Ruta]],'[1]CUOTA RUTA'!A:A,'[1]CUOTA RUTA'!D:D)</f>
        <v>Cargar</v>
      </c>
    </row>
    <row r="1304" spans="1:19" x14ac:dyDescent="0.25">
      <c r="A1304">
        <v>1500108930</v>
      </c>
      <c r="B1304" t="s">
        <v>2779</v>
      </c>
      <c r="C1304" t="s">
        <v>19</v>
      </c>
      <c r="D1304" t="s">
        <v>324</v>
      </c>
      <c r="E1304" t="s">
        <v>21</v>
      </c>
      <c r="F1304" t="s">
        <v>22</v>
      </c>
      <c r="G1304" t="s">
        <v>64</v>
      </c>
      <c r="H1304" t="s">
        <v>390</v>
      </c>
      <c r="I1304" t="s">
        <v>2780</v>
      </c>
      <c r="J1304">
        <v>10.3225</v>
      </c>
      <c r="K1304">
        <v>-84.435270000000003</v>
      </c>
      <c r="L1304" t="s">
        <v>1225</v>
      </c>
      <c r="M1304" t="s">
        <v>327</v>
      </c>
      <c r="N1304" t="s">
        <v>328</v>
      </c>
      <c r="O1304" t="s">
        <v>329</v>
      </c>
      <c r="P1304">
        <v>22</v>
      </c>
      <c r="Q1304" t="s">
        <v>30</v>
      </c>
      <c r="S1304" t="str">
        <f>_xlfn.XLOOKUP(UNIVERSO[[#This Row],[Ruta]],'[1]CUOTA RUTA'!A:A,'[1]CUOTA RUTA'!D:D)</f>
        <v>Cargar</v>
      </c>
    </row>
    <row r="1305" spans="1:19" x14ac:dyDescent="0.25">
      <c r="A1305">
        <v>1500109160</v>
      </c>
      <c r="B1305" t="s">
        <v>2781</v>
      </c>
      <c r="C1305" t="s">
        <v>19</v>
      </c>
      <c r="D1305" t="s">
        <v>324</v>
      </c>
      <c r="E1305" t="s">
        <v>21</v>
      </c>
      <c r="F1305" t="s">
        <v>22</v>
      </c>
      <c r="G1305" t="s">
        <v>33</v>
      </c>
      <c r="H1305" t="s">
        <v>331</v>
      </c>
      <c r="I1305" t="s">
        <v>2782</v>
      </c>
      <c r="J1305">
        <v>10.31504</v>
      </c>
      <c r="K1305">
        <v>-84.181640000000002</v>
      </c>
      <c r="L1305" t="s">
        <v>1225</v>
      </c>
      <c r="M1305" t="s">
        <v>327</v>
      </c>
      <c r="N1305" t="s">
        <v>328</v>
      </c>
      <c r="O1305" t="s">
        <v>329</v>
      </c>
      <c r="P1305">
        <v>23</v>
      </c>
      <c r="Q1305" t="s">
        <v>125</v>
      </c>
      <c r="S1305" t="str">
        <f>_xlfn.XLOOKUP(UNIVERSO[[#This Row],[Ruta]],'[1]CUOTA RUTA'!A:A,'[1]CUOTA RUTA'!D:D)</f>
        <v>Cargar</v>
      </c>
    </row>
    <row r="1306" spans="1:19" x14ac:dyDescent="0.25">
      <c r="A1306">
        <v>1500109175</v>
      </c>
      <c r="B1306" t="s">
        <v>2783</v>
      </c>
      <c r="C1306" t="s">
        <v>19</v>
      </c>
      <c r="D1306" t="s">
        <v>324</v>
      </c>
      <c r="E1306" t="s">
        <v>21</v>
      </c>
      <c r="F1306" t="s">
        <v>22</v>
      </c>
      <c r="G1306" t="s">
        <v>64</v>
      </c>
      <c r="H1306" t="s">
        <v>390</v>
      </c>
      <c r="I1306" t="s">
        <v>2784</v>
      </c>
      <c r="J1306">
        <v>10.291600000000001</v>
      </c>
      <c r="K1306">
        <v>-84.428330000000003</v>
      </c>
      <c r="L1306" t="s">
        <v>1225</v>
      </c>
      <c r="M1306" t="s">
        <v>327</v>
      </c>
      <c r="N1306" t="s">
        <v>328</v>
      </c>
      <c r="O1306" t="s">
        <v>329</v>
      </c>
      <c r="P1306">
        <v>23</v>
      </c>
      <c r="Q1306" t="s">
        <v>125</v>
      </c>
      <c r="S1306" t="str">
        <f>_xlfn.XLOOKUP(UNIVERSO[[#This Row],[Ruta]],'[1]CUOTA RUTA'!A:A,'[1]CUOTA RUTA'!D:D)</f>
        <v>Cargar</v>
      </c>
    </row>
    <row r="1307" spans="1:19" x14ac:dyDescent="0.25">
      <c r="A1307">
        <v>1500109339</v>
      </c>
      <c r="B1307" t="s">
        <v>2785</v>
      </c>
      <c r="C1307" t="s">
        <v>19</v>
      </c>
      <c r="D1307" t="s">
        <v>324</v>
      </c>
      <c r="E1307" t="s">
        <v>21</v>
      </c>
      <c r="F1307" t="s">
        <v>22</v>
      </c>
      <c r="G1307" t="s">
        <v>23</v>
      </c>
      <c r="H1307" t="s">
        <v>511</v>
      </c>
      <c r="I1307" t="s">
        <v>2786</v>
      </c>
      <c r="J1307">
        <v>10.456300000000001</v>
      </c>
      <c r="K1307">
        <v>-84.530720000000002</v>
      </c>
      <c r="L1307" t="s">
        <v>1225</v>
      </c>
      <c r="M1307" t="s">
        <v>327</v>
      </c>
      <c r="N1307" t="s">
        <v>328</v>
      </c>
      <c r="O1307" t="s">
        <v>329</v>
      </c>
      <c r="P1307">
        <v>12</v>
      </c>
      <c r="Q1307" t="s">
        <v>42</v>
      </c>
      <c r="S1307" t="str">
        <f>_xlfn.XLOOKUP(UNIVERSO[[#This Row],[Ruta]],'[1]CUOTA RUTA'!A:A,'[1]CUOTA RUTA'!D:D)</f>
        <v>Cargar</v>
      </c>
    </row>
    <row r="1308" spans="1:19" x14ac:dyDescent="0.25">
      <c r="A1308">
        <v>1500109417</v>
      </c>
      <c r="B1308" t="s">
        <v>2787</v>
      </c>
      <c r="C1308" t="s">
        <v>19</v>
      </c>
      <c r="D1308" t="s">
        <v>324</v>
      </c>
      <c r="E1308" t="s">
        <v>21</v>
      </c>
      <c r="F1308" t="s">
        <v>22</v>
      </c>
      <c r="G1308" t="s">
        <v>64</v>
      </c>
      <c r="H1308" t="s">
        <v>331</v>
      </c>
      <c r="I1308" t="s">
        <v>2788</v>
      </c>
      <c r="J1308">
        <v>10.4069</v>
      </c>
      <c r="K1308">
        <v>-84.215680000000006</v>
      </c>
      <c r="L1308" t="s">
        <v>1225</v>
      </c>
      <c r="M1308" t="s">
        <v>327</v>
      </c>
      <c r="N1308" t="s">
        <v>328</v>
      </c>
      <c r="O1308" t="s">
        <v>329</v>
      </c>
      <c r="P1308">
        <v>17</v>
      </c>
      <c r="Q1308" t="s">
        <v>287</v>
      </c>
      <c r="S1308" t="str">
        <f>_xlfn.XLOOKUP(UNIVERSO[[#This Row],[Ruta]],'[1]CUOTA RUTA'!A:A,'[1]CUOTA RUTA'!D:D)</f>
        <v>Cargar</v>
      </c>
    </row>
    <row r="1309" spans="1:19" x14ac:dyDescent="0.25">
      <c r="A1309">
        <v>1500109737</v>
      </c>
      <c r="B1309" t="s">
        <v>2789</v>
      </c>
      <c r="C1309" t="s">
        <v>19</v>
      </c>
      <c r="D1309" t="s">
        <v>324</v>
      </c>
      <c r="E1309" t="s">
        <v>21</v>
      </c>
      <c r="F1309" t="s">
        <v>22</v>
      </c>
      <c r="G1309" t="s">
        <v>64</v>
      </c>
      <c r="H1309" t="s">
        <v>331</v>
      </c>
      <c r="I1309" t="s">
        <v>2790</v>
      </c>
      <c r="J1309">
        <v>10.3643</v>
      </c>
      <c r="K1309">
        <v>-84.200800000000001</v>
      </c>
      <c r="L1309" t="s">
        <v>1225</v>
      </c>
      <c r="M1309" t="s">
        <v>327</v>
      </c>
      <c r="N1309" t="s">
        <v>328</v>
      </c>
      <c r="O1309" t="s">
        <v>329</v>
      </c>
      <c r="P1309">
        <v>17</v>
      </c>
      <c r="Q1309" t="s">
        <v>287</v>
      </c>
      <c r="S1309" t="str">
        <f>_xlfn.XLOOKUP(UNIVERSO[[#This Row],[Ruta]],'[1]CUOTA RUTA'!A:A,'[1]CUOTA RUTA'!D:D)</f>
        <v>Cargar</v>
      </c>
    </row>
    <row r="1310" spans="1:19" x14ac:dyDescent="0.25">
      <c r="A1310">
        <v>1500109857</v>
      </c>
      <c r="B1310" t="s">
        <v>1738</v>
      </c>
      <c r="C1310" t="s">
        <v>19</v>
      </c>
      <c r="D1310" t="s">
        <v>324</v>
      </c>
      <c r="E1310" t="s">
        <v>21</v>
      </c>
      <c r="F1310" t="s">
        <v>22</v>
      </c>
      <c r="G1310" t="s">
        <v>64</v>
      </c>
      <c r="H1310" t="s">
        <v>390</v>
      </c>
      <c r="I1310" t="s">
        <v>2791</v>
      </c>
      <c r="J1310">
        <v>10.280200000000001</v>
      </c>
      <c r="K1310">
        <v>-84.393839999999997</v>
      </c>
      <c r="L1310" t="s">
        <v>1225</v>
      </c>
      <c r="M1310" t="s">
        <v>327</v>
      </c>
      <c r="N1310" t="s">
        <v>328</v>
      </c>
      <c r="O1310" t="s">
        <v>329</v>
      </c>
      <c r="P1310">
        <v>23</v>
      </c>
      <c r="Q1310" t="s">
        <v>125</v>
      </c>
      <c r="S1310" t="str">
        <f>_xlfn.XLOOKUP(UNIVERSO[[#This Row],[Ruta]],'[1]CUOTA RUTA'!A:A,'[1]CUOTA RUTA'!D:D)</f>
        <v>Cargar</v>
      </c>
    </row>
    <row r="1311" spans="1:19" x14ac:dyDescent="0.25">
      <c r="A1311">
        <v>1500109960</v>
      </c>
      <c r="B1311" t="s">
        <v>2792</v>
      </c>
      <c r="C1311" t="s">
        <v>19</v>
      </c>
      <c r="D1311" t="s">
        <v>324</v>
      </c>
      <c r="E1311" t="s">
        <v>21</v>
      </c>
      <c r="F1311" t="s">
        <v>22</v>
      </c>
      <c r="G1311" t="s">
        <v>33</v>
      </c>
      <c r="H1311" t="s">
        <v>511</v>
      </c>
      <c r="I1311" t="s">
        <v>2793</v>
      </c>
      <c r="J1311">
        <v>10.442034</v>
      </c>
      <c r="K1311">
        <v>-84.610493000000005</v>
      </c>
      <c r="L1311" t="s">
        <v>1225</v>
      </c>
      <c r="M1311" t="s">
        <v>327</v>
      </c>
      <c r="N1311" t="s">
        <v>328</v>
      </c>
      <c r="O1311" t="s">
        <v>329</v>
      </c>
      <c r="P1311">
        <v>20</v>
      </c>
      <c r="Q1311" t="s">
        <v>74</v>
      </c>
      <c r="S1311" t="str">
        <f>_xlfn.XLOOKUP(UNIVERSO[[#This Row],[Ruta]],'[1]CUOTA RUTA'!A:A,'[1]CUOTA RUTA'!D:D)</f>
        <v>Cargar</v>
      </c>
    </row>
    <row r="1312" spans="1:19" x14ac:dyDescent="0.25">
      <c r="A1312">
        <v>1500110111</v>
      </c>
      <c r="B1312" t="s">
        <v>2794</v>
      </c>
      <c r="C1312" t="s">
        <v>19</v>
      </c>
      <c r="D1312" t="s">
        <v>201</v>
      </c>
      <c r="E1312" t="s">
        <v>21</v>
      </c>
      <c r="F1312" t="s">
        <v>22</v>
      </c>
      <c r="G1312" t="s">
        <v>23</v>
      </c>
      <c r="H1312" t="s">
        <v>533</v>
      </c>
      <c r="I1312" t="s">
        <v>2795</v>
      </c>
      <c r="J1312">
        <v>9.9098920336509995</v>
      </c>
      <c r="K1312">
        <v>-84.519424968750002</v>
      </c>
      <c r="L1312" t="s">
        <v>1225</v>
      </c>
      <c r="M1312" t="s">
        <v>204</v>
      </c>
      <c r="N1312" t="s">
        <v>205</v>
      </c>
      <c r="O1312" t="s">
        <v>206</v>
      </c>
      <c r="P1312">
        <v>1</v>
      </c>
      <c r="Q1312" t="s">
        <v>155</v>
      </c>
      <c r="S1312" t="str">
        <f>_xlfn.XLOOKUP(UNIVERSO[[#This Row],[Ruta]],'[1]CUOTA RUTA'!A:A,'[1]CUOTA RUTA'!D:D)</f>
        <v>Cargar</v>
      </c>
    </row>
    <row r="1313" spans="1:19" x14ac:dyDescent="0.25">
      <c r="A1313">
        <v>1500110413</v>
      </c>
      <c r="B1313" t="s">
        <v>2796</v>
      </c>
      <c r="C1313" t="s">
        <v>19</v>
      </c>
      <c r="D1313" t="s">
        <v>201</v>
      </c>
      <c r="E1313" t="s">
        <v>21</v>
      </c>
      <c r="F1313" t="s">
        <v>22</v>
      </c>
      <c r="G1313" t="s">
        <v>33</v>
      </c>
      <c r="H1313" t="s">
        <v>593</v>
      </c>
      <c r="I1313" t="s">
        <v>2797</v>
      </c>
      <c r="J1313">
        <v>9.9864580000000007</v>
      </c>
      <c r="K1313">
        <v>-84.767356800000002</v>
      </c>
      <c r="L1313" t="s">
        <v>1225</v>
      </c>
      <c r="M1313" t="s">
        <v>204</v>
      </c>
      <c r="N1313" t="s">
        <v>205</v>
      </c>
      <c r="O1313" t="s">
        <v>206</v>
      </c>
      <c r="P1313">
        <v>10</v>
      </c>
      <c r="Q1313" t="s">
        <v>136</v>
      </c>
      <c r="S1313" t="str">
        <f>_xlfn.XLOOKUP(UNIVERSO[[#This Row],[Ruta]],'[1]CUOTA RUTA'!A:A,'[1]CUOTA RUTA'!D:D)</f>
        <v>Cargar</v>
      </c>
    </row>
    <row r="1314" spans="1:19" x14ac:dyDescent="0.25">
      <c r="A1314">
        <v>1500110476</v>
      </c>
      <c r="B1314" t="s">
        <v>2798</v>
      </c>
      <c r="C1314" t="s">
        <v>19</v>
      </c>
      <c r="D1314" t="s">
        <v>201</v>
      </c>
      <c r="E1314" t="s">
        <v>21</v>
      </c>
      <c r="F1314" t="s">
        <v>22</v>
      </c>
      <c r="G1314" t="s">
        <v>64</v>
      </c>
      <c r="H1314" t="s">
        <v>533</v>
      </c>
      <c r="I1314" t="s">
        <v>2799</v>
      </c>
      <c r="J1314">
        <v>9.9135658256570007</v>
      </c>
      <c r="K1314">
        <v>-84.525459581760003</v>
      </c>
      <c r="L1314" t="s">
        <v>1225</v>
      </c>
      <c r="M1314" t="s">
        <v>204</v>
      </c>
      <c r="N1314" t="s">
        <v>205</v>
      </c>
      <c r="O1314" t="s">
        <v>206</v>
      </c>
      <c r="P1314">
        <v>2</v>
      </c>
      <c r="Q1314" t="s">
        <v>150</v>
      </c>
      <c r="S1314" t="str">
        <f>_xlfn.XLOOKUP(UNIVERSO[[#This Row],[Ruta]],'[1]CUOTA RUTA'!A:A,'[1]CUOTA RUTA'!D:D)</f>
        <v>Cargar</v>
      </c>
    </row>
    <row r="1315" spans="1:19" x14ac:dyDescent="0.25">
      <c r="A1315">
        <v>1500110573</v>
      </c>
      <c r="B1315" t="s">
        <v>2800</v>
      </c>
      <c r="C1315" t="s">
        <v>19</v>
      </c>
      <c r="D1315" t="s">
        <v>201</v>
      </c>
      <c r="E1315" t="s">
        <v>21</v>
      </c>
      <c r="F1315" t="s">
        <v>22</v>
      </c>
      <c r="G1315" t="s">
        <v>33</v>
      </c>
      <c r="H1315" t="s">
        <v>202</v>
      </c>
      <c r="I1315" t="s">
        <v>2801</v>
      </c>
      <c r="J1315">
        <v>9.9739939999999994</v>
      </c>
      <c r="K1315">
        <v>-84.725331999999995</v>
      </c>
      <c r="L1315" t="s">
        <v>1225</v>
      </c>
      <c r="M1315" t="s">
        <v>204</v>
      </c>
      <c r="N1315" t="s">
        <v>205</v>
      </c>
      <c r="O1315" t="s">
        <v>206</v>
      </c>
      <c r="P1315">
        <v>7</v>
      </c>
      <c r="Q1315" t="s">
        <v>39</v>
      </c>
      <c r="S1315" t="str">
        <f>_xlfn.XLOOKUP(UNIVERSO[[#This Row],[Ruta]],'[1]CUOTA RUTA'!A:A,'[1]CUOTA RUTA'!D:D)</f>
        <v>Cargar</v>
      </c>
    </row>
    <row r="1316" spans="1:19" x14ac:dyDescent="0.25">
      <c r="A1316">
        <v>1500111123</v>
      </c>
      <c r="B1316" t="s">
        <v>2802</v>
      </c>
      <c r="C1316" t="s">
        <v>19</v>
      </c>
      <c r="D1316" t="s">
        <v>349</v>
      </c>
      <c r="E1316" t="s">
        <v>21</v>
      </c>
      <c r="F1316" t="s">
        <v>51</v>
      </c>
      <c r="G1316" t="s">
        <v>23</v>
      </c>
      <c r="H1316" t="s">
        <v>908</v>
      </c>
      <c r="I1316" t="s">
        <v>2803</v>
      </c>
      <c r="J1316">
        <v>9.9494509999999998</v>
      </c>
      <c r="K1316">
        <v>-85.669979999999995</v>
      </c>
      <c r="L1316" t="s">
        <v>1225</v>
      </c>
      <c r="M1316" t="s">
        <v>352</v>
      </c>
      <c r="N1316" t="s">
        <v>353</v>
      </c>
      <c r="O1316" t="s">
        <v>354</v>
      </c>
      <c r="P1316">
        <v>7</v>
      </c>
      <c r="Q1316" t="s">
        <v>39</v>
      </c>
      <c r="S1316" t="str">
        <f>_xlfn.XLOOKUP(UNIVERSO[[#This Row],[Ruta]],'[1]CUOTA RUTA'!A:A,'[1]CUOTA RUTA'!D:D)</f>
        <v>Cargar</v>
      </c>
    </row>
    <row r="1317" spans="1:19" x14ac:dyDescent="0.25">
      <c r="A1317">
        <v>1500111158</v>
      </c>
      <c r="B1317" t="s">
        <v>2804</v>
      </c>
      <c r="C1317" t="s">
        <v>19</v>
      </c>
      <c r="D1317" t="s">
        <v>349</v>
      </c>
      <c r="E1317" t="s">
        <v>21</v>
      </c>
      <c r="F1317" t="s">
        <v>22</v>
      </c>
      <c r="G1317" t="s">
        <v>33</v>
      </c>
      <c r="H1317" t="s">
        <v>496</v>
      </c>
      <c r="I1317" t="s">
        <v>2805</v>
      </c>
      <c r="J1317">
        <v>10.143332300000001</v>
      </c>
      <c r="K1317">
        <v>-85.456368499999996</v>
      </c>
      <c r="L1317" t="s">
        <v>1225</v>
      </c>
      <c r="M1317" t="s">
        <v>352</v>
      </c>
      <c r="N1317" t="s">
        <v>353</v>
      </c>
      <c r="O1317" t="s">
        <v>354</v>
      </c>
      <c r="P1317">
        <v>13</v>
      </c>
      <c r="Q1317" t="s">
        <v>161</v>
      </c>
      <c r="S1317" t="str">
        <f>_xlfn.XLOOKUP(UNIVERSO[[#This Row],[Ruta]],'[1]CUOTA RUTA'!A:A,'[1]CUOTA RUTA'!D:D)</f>
        <v>Cargar</v>
      </c>
    </row>
    <row r="1318" spans="1:19" x14ac:dyDescent="0.25">
      <c r="A1318">
        <v>1500111185</v>
      </c>
      <c r="B1318" t="s">
        <v>2806</v>
      </c>
      <c r="C1318" t="s">
        <v>19</v>
      </c>
      <c r="D1318" t="s">
        <v>349</v>
      </c>
      <c r="E1318" t="s">
        <v>21</v>
      </c>
      <c r="F1318" t="s">
        <v>22</v>
      </c>
      <c r="G1318" t="s">
        <v>64</v>
      </c>
      <c r="H1318" t="s">
        <v>496</v>
      </c>
      <c r="I1318" t="s">
        <v>2807</v>
      </c>
      <c r="J1318">
        <v>9.9290409499999992</v>
      </c>
      <c r="K1318">
        <v>-84.981807149999995</v>
      </c>
      <c r="L1318" t="s">
        <v>1225</v>
      </c>
      <c r="M1318" t="s">
        <v>352</v>
      </c>
      <c r="N1318" t="s">
        <v>353</v>
      </c>
      <c r="O1318" t="s">
        <v>354</v>
      </c>
      <c r="P1318">
        <v>15</v>
      </c>
      <c r="Q1318" t="s">
        <v>231</v>
      </c>
      <c r="S1318" t="str">
        <f>_xlfn.XLOOKUP(UNIVERSO[[#This Row],[Ruta]],'[1]CUOTA RUTA'!A:A,'[1]CUOTA RUTA'!D:D)</f>
        <v>Cargar</v>
      </c>
    </row>
    <row r="1319" spans="1:19" x14ac:dyDescent="0.25">
      <c r="A1319">
        <v>1500111191</v>
      </c>
      <c r="B1319" t="s">
        <v>2808</v>
      </c>
      <c r="C1319" t="s">
        <v>19</v>
      </c>
      <c r="D1319" t="s">
        <v>349</v>
      </c>
      <c r="E1319" t="s">
        <v>21</v>
      </c>
      <c r="F1319" t="s">
        <v>22</v>
      </c>
      <c r="G1319" t="s">
        <v>33</v>
      </c>
      <c r="H1319" t="s">
        <v>350</v>
      </c>
      <c r="I1319" t="s">
        <v>2809</v>
      </c>
      <c r="J1319">
        <v>10.256099969999999</v>
      </c>
      <c r="K1319">
        <v>-85.580306320000005</v>
      </c>
      <c r="L1319" t="s">
        <v>1225</v>
      </c>
      <c r="M1319" t="s">
        <v>352</v>
      </c>
      <c r="N1319" t="s">
        <v>353</v>
      </c>
      <c r="O1319" t="s">
        <v>354</v>
      </c>
      <c r="P1319">
        <v>1</v>
      </c>
      <c r="Q1319" t="s">
        <v>155</v>
      </c>
      <c r="S1319" t="str">
        <f>_xlfn.XLOOKUP(UNIVERSO[[#This Row],[Ruta]],'[1]CUOTA RUTA'!A:A,'[1]CUOTA RUTA'!D:D)</f>
        <v>Cargar</v>
      </c>
    </row>
    <row r="1320" spans="1:19" x14ac:dyDescent="0.25">
      <c r="A1320">
        <v>1500112002</v>
      </c>
      <c r="B1320" t="s">
        <v>2810</v>
      </c>
      <c r="C1320" t="s">
        <v>19</v>
      </c>
      <c r="D1320" t="s">
        <v>349</v>
      </c>
      <c r="E1320" t="s">
        <v>21</v>
      </c>
      <c r="F1320" t="s">
        <v>22</v>
      </c>
      <c r="G1320" t="s">
        <v>23</v>
      </c>
      <c r="H1320" t="s">
        <v>356</v>
      </c>
      <c r="I1320" t="s">
        <v>2811</v>
      </c>
      <c r="J1320">
        <v>10.110211</v>
      </c>
      <c r="K1320">
        <v>-85.312056999999996</v>
      </c>
      <c r="L1320" t="s">
        <v>1225</v>
      </c>
      <c r="M1320" t="s">
        <v>352</v>
      </c>
      <c r="N1320" t="s">
        <v>353</v>
      </c>
      <c r="O1320" t="s">
        <v>354</v>
      </c>
      <c r="P1320">
        <v>11</v>
      </c>
      <c r="Q1320" t="s">
        <v>108</v>
      </c>
      <c r="S1320" t="str">
        <f>_xlfn.XLOOKUP(UNIVERSO[[#This Row],[Ruta]],'[1]CUOTA RUTA'!A:A,'[1]CUOTA RUTA'!D:D)</f>
        <v>Cargar</v>
      </c>
    </row>
    <row r="1321" spans="1:19" x14ac:dyDescent="0.25">
      <c r="A1321">
        <v>1500112050</v>
      </c>
      <c r="B1321" t="s">
        <v>2812</v>
      </c>
      <c r="C1321" t="s">
        <v>19</v>
      </c>
      <c r="D1321" t="s">
        <v>349</v>
      </c>
      <c r="E1321" t="s">
        <v>21</v>
      </c>
      <c r="F1321" t="s">
        <v>51</v>
      </c>
      <c r="G1321" t="s">
        <v>23</v>
      </c>
      <c r="H1321" t="s">
        <v>908</v>
      </c>
      <c r="I1321" t="s">
        <v>2813</v>
      </c>
      <c r="J1321">
        <v>10.184727000000001</v>
      </c>
      <c r="K1321">
        <v>-85.796880000000002</v>
      </c>
      <c r="L1321" t="s">
        <v>1225</v>
      </c>
      <c r="M1321" t="s">
        <v>352</v>
      </c>
      <c r="N1321" t="s">
        <v>353</v>
      </c>
      <c r="O1321" t="s">
        <v>354</v>
      </c>
      <c r="P1321">
        <v>6</v>
      </c>
      <c r="Q1321" t="s">
        <v>49</v>
      </c>
      <c r="S1321" t="str">
        <f>_xlfn.XLOOKUP(UNIVERSO[[#This Row],[Ruta]],'[1]CUOTA RUTA'!A:A,'[1]CUOTA RUTA'!D:D)</f>
        <v>Cargar</v>
      </c>
    </row>
    <row r="1322" spans="1:19" x14ac:dyDescent="0.25">
      <c r="A1322">
        <v>1500112054</v>
      </c>
      <c r="B1322" t="s">
        <v>2814</v>
      </c>
      <c r="C1322" t="s">
        <v>19</v>
      </c>
      <c r="D1322" t="s">
        <v>349</v>
      </c>
      <c r="E1322" t="s">
        <v>21</v>
      </c>
      <c r="F1322" t="s">
        <v>22</v>
      </c>
      <c r="G1322" t="s">
        <v>64</v>
      </c>
      <c r="H1322" t="s">
        <v>711</v>
      </c>
      <c r="I1322" t="s">
        <v>2815</v>
      </c>
      <c r="J1322">
        <v>10.244638</v>
      </c>
      <c r="K1322">
        <v>-85.693224999999998</v>
      </c>
      <c r="L1322" t="s">
        <v>1225</v>
      </c>
      <c r="M1322" t="s">
        <v>352</v>
      </c>
      <c r="N1322" t="s">
        <v>353</v>
      </c>
      <c r="O1322" t="s">
        <v>354</v>
      </c>
      <c r="P1322">
        <v>4</v>
      </c>
      <c r="Q1322" t="s">
        <v>120</v>
      </c>
      <c r="S1322" t="str">
        <f>_xlfn.XLOOKUP(UNIVERSO[[#This Row],[Ruta]],'[1]CUOTA RUTA'!A:A,'[1]CUOTA RUTA'!D:D)</f>
        <v>Cargar</v>
      </c>
    </row>
    <row r="1323" spans="1:19" x14ac:dyDescent="0.25">
      <c r="A1323">
        <v>1500112088</v>
      </c>
      <c r="B1323" t="s">
        <v>2816</v>
      </c>
      <c r="C1323" t="s">
        <v>19</v>
      </c>
      <c r="D1323" t="s">
        <v>349</v>
      </c>
      <c r="E1323" t="s">
        <v>21</v>
      </c>
      <c r="F1323" t="s">
        <v>22</v>
      </c>
      <c r="G1323" t="s">
        <v>33</v>
      </c>
      <c r="H1323" t="s">
        <v>350</v>
      </c>
      <c r="I1323" t="s">
        <v>2817</v>
      </c>
      <c r="J1323">
        <v>10.26337214</v>
      </c>
      <c r="K1323">
        <v>-85.5698826</v>
      </c>
      <c r="L1323" t="s">
        <v>1225</v>
      </c>
      <c r="M1323" t="s">
        <v>352</v>
      </c>
      <c r="N1323" t="s">
        <v>353</v>
      </c>
      <c r="O1323" t="s">
        <v>354</v>
      </c>
      <c r="P1323">
        <v>2</v>
      </c>
      <c r="Q1323" t="s">
        <v>150</v>
      </c>
      <c r="S1323" t="str">
        <f>_xlfn.XLOOKUP(UNIVERSO[[#This Row],[Ruta]],'[1]CUOTA RUTA'!A:A,'[1]CUOTA RUTA'!D:D)</f>
        <v>Cargar</v>
      </c>
    </row>
    <row r="1324" spans="1:19" x14ac:dyDescent="0.25">
      <c r="A1324">
        <v>1500114262</v>
      </c>
      <c r="B1324" t="s">
        <v>2818</v>
      </c>
      <c r="C1324" t="s">
        <v>19</v>
      </c>
      <c r="D1324" t="s">
        <v>337</v>
      </c>
      <c r="E1324" t="s">
        <v>21</v>
      </c>
      <c r="F1324" t="s">
        <v>22</v>
      </c>
      <c r="G1324" t="s">
        <v>64</v>
      </c>
      <c r="H1324" t="s">
        <v>451</v>
      </c>
      <c r="I1324" t="s">
        <v>2819</v>
      </c>
      <c r="J1324">
        <v>10.6396628</v>
      </c>
      <c r="K1324">
        <v>-85.438771430000003</v>
      </c>
      <c r="L1324" t="s">
        <v>1225</v>
      </c>
      <c r="M1324" t="s">
        <v>327</v>
      </c>
      <c r="N1324" t="s">
        <v>340</v>
      </c>
      <c r="O1324" t="s">
        <v>341</v>
      </c>
      <c r="P1324">
        <v>13</v>
      </c>
      <c r="Q1324" t="s">
        <v>161</v>
      </c>
      <c r="S1324" t="str">
        <f>_xlfn.XLOOKUP(UNIVERSO[[#This Row],[Ruta]],'[1]CUOTA RUTA'!A:A,'[1]CUOTA RUTA'!D:D)</f>
        <v>Cargar</v>
      </c>
    </row>
    <row r="1325" spans="1:19" x14ac:dyDescent="0.25">
      <c r="A1325">
        <v>1500116129</v>
      </c>
      <c r="B1325" t="s">
        <v>2820</v>
      </c>
      <c r="C1325" t="s">
        <v>19</v>
      </c>
      <c r="D1325" t="s">
        <v>266</v>
      </c>
      <c r="E1325" t="s">
        <v>21</v>
      </c>
      <c r="F1325" t="s">
        <v>22</v>
      </c>
      <c r="G1325" t="s">
        <v>33</v>
      </c>
      <c r="H1325" t="s">
        <v>706</v>
      </c>
      <c r="I1325" t="s">
        <v>2821</v>
      </c>
      <c r="J1325">
        <v>9.8659110000000005</v>
      </c>
      <c r="K1325">
        <v>-83.937003000000004</v>
      </c>
      <c r="L1325" t="s">
        <v>1225</v>
      </c>
      <c r="M1325" t="s">
        <v>36</v>
      </c>
      <c r="N1325" t="s">
        <v>316</v>
      </c>
      <c r="O1325" t="s">
        <v>317</v>
      </c>
      <c r="P1325">
        <v>22</v>
      </c>
      <c r="Q1325" t="s">
        <v>30</v>
      </c>
      <c r="S1325" t="str">
        <f>_xlfn.XLOOKUP(UNIVERSO[[#This Row],[Ruta]],'[1]CUOTA RUTA'!A:A,'[1]CUOTA RUTA'!D:D)</f>
        <v>Cargar</v>
      </c>
    </row>
    <row r="1326" spans="1:19" x14ac:dyDescent="0.25">
      <c r="A1326">
        <v>1500116190</v>
      </c>
      <c r="B1326" t="s">
        <v>2822</v>
      </c>
      <c r="C1326" t="s">
        <v>19</v>
      </c>
      <c r="D1326" t="s">
        <v>266</v>
      </c>
      <c r="E1326" t="s">
        <v>21</v>
      </c>
      <c r="F1326" t="s">
        <v>22</v>
      </c>
      <c r="G1326" t="s">
        <v>64</v>
      </c>
      <c r="H1326" t="s">
        <v>703</v>
      </c>
      <c r="I1326" t="s">
        <v>2823</v>
      </c>
      <c r="J1326">
        <v>9.8305000000000007</v>
      </c>
      <c r="K1326">
        <v>-84.008200000000002</v>
      </c>
      <c r="L1326" t="s">
        <v>1225</v>
      </c>
      <c r="M1326" t="s">
        <v>36</v>
      </c>
      <c r="N1326" t="s">
        <v>316</v>
      </c>
      <c r="O1326" t="s">
        <v>317</v>
      </c>
      <c r="P1326">
        <v>20</v>
      </c>
      <c r="Q1326" t="s">
        <v>74</v>
      </c>
      <c r="S1326" t="str">
        <f>_xlfn.XLOOKUP(UNIVERSO[[#This Row],[Ruta]],'[1]CUOTA RUTA'!A:A,'[1]CUOTA RUTA'!D:D)</f>
        <v>Cargar</v>
      </c>
    </row>
    <row r="1327" spans="1:19" x14ac:dyDescent="0.25">
      <c r="A1327">
        <v>1500116862</v>
      </c>
      <c r="B1327" t="s">
        <v>2824</v>
      </c>
      <c r="C1327" t="s">
        <v>19</v>
      </c>
      <c r="D1327" t="s">
        <v>266</v>
      </c>
      <c r="E1327" t="s">
        <v>21</v>
      </c>
      <c r="F1327" t="s">
        <v>22</v>
      </c>
      <c r="G1327" t="s">
        <v>33</v>
      </c>
      <c r="H1327" t="s">
        <v>703</v>
      </c>
      <c r="I1327" t="s">
        <v>2825</v>
      </c>
      <c r="J1327">
        <v>9.8391999999999999</v>
      </c>
      <c r="K1327">
        <v>-83.945658333330002</v>
      </c>
      <c r="L1327" t="s">
        <v>1225</v>
      </c>
      <c r="M1327" t="s">
        <v>36</v>
      </c>
      <c r="N1327" t="s">
        <v>316</v>
      </c>
      <c r="O1327" t="s">
        <v>317</v>
      </c>
      <c r="P1327">
        <v>19</v>
      </c>
      <c r="Q1327" t="s">
        <v>67</v>
      </c>
      <c r="S1327" t="str">
        <f>_xlfn.XLOOKUP(UNIVERSO[[#This Row],[Ruta]],'[1]CUOTA RUTA'!A:A,'[1]CUOTA RUTA'!D:D)</f>
        <v>Cargar</v>
      </c>
    </row>
    <row r="1328" spans="1:19" x14ac:dyDescent="0.25">
      <c r="A1328">
        <v>1500116872</v>
      </c>
      <c r="B1328" t="s">
        <v>2826</v>
      </c>
      <c r="C1328" t="s">
        <v>19</v>
      </c>
      <c r="D1328" t="s">
        <v>266</v>
      </c>
      <c r="E1328" t="s">
        <v>21</v>
      </c>
      <c r="F1328" t="s">
        <v>22</v>
      </c>
      <c r="G1328" t="s">
        <v>33</v>
      </c>
      <c r="H1328" t="s">
        <v>703</v>
      </c>
      <c r="I1328" t="s">
        <v>2827</v>
      </c>
      <c r="J1328">
        <v>9.8423545000000008</v>
      </c>
      <c r="K1328">
        <v>-83.947709700000004</v>
      </c>
      <c r="L1328" t="s">
        <v>1225</v>
      </c>
      <c r="M1328" t="s">
        <v>36</v>
      </c>
      <c r="N1328" t="s">
        <v>316</v>
      </c>
      <c r="O1328" t="s">
        <v>317</v>
      </c>
      <c r="P1328">
        <v>19</v>
      </c>
      <c r="Q1328" t="s">
        <v>67</v>
      </c>
      <c r="S1328" t="str">
        <f>_xlfn.XLOOKUP(UNIVERSO[[#This Row],[Ruta]],'[1]CUOTA RUTA'!A:A,'[1]CUOTA RUTA'!D:D)</f>
        <v>Cargar</v>
      </c>
    </row>
    <row r="1329" spans="1:19" x14ac:dyDescent="0.25">
      <c r="A1329">
        <v>1500117051</v>
      </c>
      <c r="B1329" t="s">
        <v>2828</v>
      </c>
      <c r="C1329" t="s">
        <v>19</v>
      </c>
      <c r="D1329" t="s">
        <v>266</v>
      </c>
      <c r="E1329" t="s">
        <v>21</v>
      </c>
      <c r="F1329" t="s">
        <v>22</v>
      </c>
      <c r="G1329" t="s">
        <v>33</v>
      </c>
      <c r="H1329" t="s">
        <v>703</v>
      </c>
      <c r="I1329" t="s">
        <v>2829</v>
      </c>
      <c r="J1329">
        <v>9.8362656000000008</v>
      </c>
      <c r="K1329">
        <v>-83.946333199999998</v>
      </c>
      <c r="L1329" t="s">
        <v>1225</v>
      </c>
      <c r="M1329" t="s">
        <v>36</v>
      </c>
      <c r="N1329" t="s">
        <v>316</v>
      </c>
      <c r="O1329" t="s">
        <v>317</v>
      </c>
      <c r="P1329">
        <v>19</v>
      </c>
      <c r="Q1329" t="s">
        <v>67</v>
      </c>
      <c r="S1329" t="str">
        <f>_xlfn.XLOOKUP(UNIVERSO[[#This Row],[Ruta]],'[1]CUOTA RUTA'!A:A,'[1]CUOTA RUTA'!D:D)</f>
        <v>Cargar</v>
      </c>
    </row>
    <row r="1330" spans="1:19" x14ac:dyDescent="0.25">
      <c r="A1330">
        <v>1500117084</v>
      </c>
      <c r="B1330" t="s">
        <v>166</v>
      </c>
      <c r="C1330" t="s">
        <v>19</v>
      </c>
      <c r="D1330" t="s">
        <v>266</v>
      </c>
      <c r="E1330" t="s">
        <v>21</v>
      </c>
      <c r="F1330" t="s">
        <v>22</v>
      </c>
      <c r="G1330" t="s">
        <v>33</v>
      </c>
      <c r="H1330" t="s">
        <v>703</v>
      </c>
      <c r="I1330" t="s">
        <v>2830</v>
      </c>
      <c r="J1330">
        <v>9.8605516666669999</v>
      </c>
      <c r="K1330">
        <v>-83.993078333330004</v>
      </c>
      <c r="L1330" t="s">
        <v>1225</v>
      </c>
      <c r="M1330" t="s">
        <v>36</v>
      </c>
      <c r="N1330" t="s">
        <v>316</v>
      </c>
      <c r="O1330" t="s">
        <v>317</v>
      </c>
      <c r="P1330">
        <v>21</v>
      </c>
      <c r="Q1330" t="s">
        <v>239</v>
      </c>
      <c r="S1330" t="str">
        <f>_xlfn.XLOOKUP(UNIVERSO[[#This Row],[Ruta]],'[1]CUOTA RUTA'!A:A,'[1]CUOTA RUTA'!D:D)</f>
        <v>Cargar</v>
      </c>
    </row>
    <row r="1331" spans="1:19" x14ac:dyDescent="0.25">
      <c r="A1331">
        <v>1500117152</v>
      </c>
      <c r="B1331" t="s">
        <v>2831</v>
      </c>
      <c r="C1331" t="s">
        <v>19</v>
      </c>
      <c r="D1331" t="s">
        <v>266</v>
      </c>
      <c r="E1331" t="s">
        <v>21</v>
      </c>
      <c r="F1331" t="s">
        <v>22</v>
      </c>
      <c r="G1331" t="s">
        <v>33</v>
      </c>
      <c r="H1331" t="s">
        <v>314</v>
      </c>
      <c r="I1331" t="s">
        <v>2832</v>
      </c>
      <c r="J1331">
        <v>9.8694566666670003</v>
      </c>
      <c r="K1331">
        <v>-83.906268333330004</v>
      </c>
      <c r="L1331" t="s">
        <v>1225</v>
      </c>
      <c r="M1331" t="s">
        <v>36</v>
      </c>
      <c r="N1331" t="s">
        <v>316</v>
      </c>
      <c r="O1331" t="s">
        <v>317</v>
      </c>
      <c r="P1331">
        <v>16</v>
      </c>
      <c r="Q1331" t="s">
        <v>60</v>
      </c>
      <c r="S1331" t="str">
        <f>_xlfn.XLOOKUP(UNIVERSO[[#This Row],[Ruta]],'[1]CUOTA RUTA'!A:A,'[1]CUOTA RUTA'!D:D)</f>
        <v>Cargar</v>
      </c>
    </row>
    <row r="1332" spans="1:19" x14ac:dyDescent="0.25">
      <c r="A1332">
        <v>1500117216</v>
      </c>
      <c r="B1332" t="s">
        <v>2833</v>
      </c>
      <c r="C1332" t="s">
        <v>19</v>
      </c>
      <c r="D1332" t="s">
        <v>266</v>
      </c>
      <c r="E1332" t="s">
        <v>21</v>
      </c>
      <c r="F1332" t="s">
        <v>22</v>
      </c>
      <c r="G1332" t="s">
        <v>23</v>
      </c>
      <c r="H1332" t="s">
        <v>1011</v>
      </c>
      <c r="I1332" t="s">
        <v>2834</v>
      </c>
      <c r="J1332">
        <v>9.8850529999999992</v>
      </c>
      <c r="K1332">
        <v>-83.932948999999994</v>
      </c>
      <c r="L1332" t="s">
        <v>1225</v>
      </c>
      <c r="M1332" t="s">
        <v>54</v>
      </c>
      <c r="N1332" t="s">
        <v>274</v>
      </c>
      <c r="O1332" t="s">
        <v>275</v>
      </c>
      <c r="P1332">
        <v>23</v>
      </c>
      <c r="Q1332" t="s">
        <v>125</v>
      </c>
      <c r="S1332" t="str">
        <f>_xlfn.XLOOKUP(UNIVERSO[[#This Row],[Ruta]],'[1]CUOTA RUTA'!A:A,'[1]CUOTA RUTA'!D:D)</f>
        <v>Cargar</v>
      </c>
    </row>
    <row r="1333" spans="1:19" x14ac:dyDescent="0.25">
      <c r="A1333">
        <v>1500117218</v>
      </c>
      <c r="B1333" t="s">
        <v>2835</v>
      </c>
      <c r="C1333" t="s">
        <v>19</v>
      </c>
      <c r="D1333" t="s">
        <v>266</v>
      </c>
      <c r="E1333" t="s">
        <v>21</v>
      </c>
      <c r="F1333" t="s">
        <v>22</v>
      </c>
      <c r="G1333" t="s">
        <v>33</v>
      </c>
      <c r="H1333" t="s">
        <v>1011</v>
      </c>
      <c r="I1333" t="s">
        <v>2836</v>
      </c>
      <c r="J1333">
        <v>9.9082700999999993</v>
      </c>
      <c r="K1333">
        <v>-83.944820399999998</v>
      </c>
      <c r="L1333" t="s">
        <v>1225</v>
      </c>
      <c r="M1333" t="s">
        <v>54</v>
      </c>
      <c r="N1333" t="s">
        <v>274</v>
      </c>
      <c r="O1333" t="s">
        <v>275</v>
      </c>
      <c r="P1333">
        <v>23</v>
      </c>
      <c r="Q1333" t="s">
        <v>125</v>
      </c>
      <c r="S1333" t="str">
        <f>_xlfn.XLOOKUP(UNIVERSO[[#This Row],[Ruta]],'[1]CUOTA RUTA'!A:A,'[1]CUOTA RUTA'!D:D)</f>
        <v>Cargar</v>
      </c>
    </row>
    <row r="1334" spans="1:19" x14ac:dyDescent="0.25">
      <c r="A1334">
        <v>1500117403</v>
      </c>
      <c r="B1334" t="s">
        <v>2837</v>
      </c>
      <c r="C1334" t="s">
        <v>19</v>
      </c>
      <c r="D1334" t="s">
        <v>266</v>
      </c>
      <c r="E1334" t="s">
        <v>21</v>
      </c>
      <c r="F1334" t="s">
        <v>22</v>
      </c>
      <c r="G1334" t="s">
        <v>23</v>
      </c>
      <c r="H1334" t="s">
        <v>272</v>
      </c>
      <c r="I1334" t="s">
        <v>2838</v>
      </c>
      <c r="J1334">
        <v>9.8542424000000004</v>
      </c>
      <c r="K1334">
        <v>-83.724641199999994</v>
      </c>
      <c r="L1334" t="s">
        <v>1225</v>
      </c>
      <c r="M1334" t="s">
        <v>54</v>
      </c>
      <c r="N1334" t="s">
        <v>274</v>
      </c>
      <c r="O1334" t="s">
        <v>275</v>
      </c>
      <c r="P1334">
        <v>23</v>
      </c>
      <c r="Q1334" t="s">
        <v>125</v>
      </c>
      <c r="S1334" t="str">
        <f>_xlfn.XLOOKUP(UNIVERSO[[#This Row],[Ruta]],'[1]CUOTA RUTA'!A:A,'[1]CUOTA RUTA'!D:D)</f>
        <v>Cargar</v>
      </c>
    </row>
    <row r="1335" spans="1:19" x14ac:dyDescent="0.25">
      <c r="A1335">
        <v>1500117521</v>
      </c>
      <c r="B1335" t="s">
        <v>2839</v>
      </c>
      <c r="C1335" t="s">
        <v>19</v>
      </c>
      <c r="D1335" t="s">
        <v>266</v>
      </c>
      <c r="E1335" t="s">
        <v>21</v>
      </c>
      <c r="F1335" t="s">
        <v>22</v>
      </c>
      <c r="G1335" t="s">
        <v>64</v>
      </c>
      <c r="H1335" t="s">
        <v>366</v>
      </c>
      <c r="I1335" t="s">
        <v>2840</v>
      </c>
      <c r="J1335">
        <v>9.8560966666669998</v>
      </c>
      <c r="K1335">
        <v>-83.921928333330001</v>
      </c>
      <c r="L1335" t="s">
        <v>1225</v>
      </c>
      <c r="M1335" t="s">
        <v>36</v>
      </c>
      <c r="N1335" t="s">
        <v>316</v>
      </c>
      <c r="O1335" t="s">
        <v>317</v>
      </c>
      <c r="P1335">
        <v>18</v>
      </c>
      <c r="Q1335" t="s">
        <v>84</v>
      </c>
      <c r="S1335" t="str">
        <f>_xlfn.XLOOKUP(UNIVERSO[[#This Row],[Ruta]],'[1]CUOTA RUTA'!A:A,'[1]CUOTA RUTA'!D:D)</f>
        <v>Cargar</v>
      </c>
    </row>
    <row r="1336" spans="1:19" x14ac:dyDescent="0.25">
      <c r="A1336">
        <v>1500117691</v>
      </c>
      <c r="B1336" t="s">
        <v>2841</v>
      </c>
      <c r="C1336" t="s">
        <v>19</v>
      </c>
      <c r="D1336" t="s">
        <v>266</v>
      </c>
      <c r="E1336" t="s">
        <v>21</v>
      </c>
      <c r="F1336" t="s">
        <v>22</v>
      </c>
      <c r="G1336" t="s">
        <v>33</v>
      </c>
      <c r="H1336" t="s">
        <v>404</v>
      </c>
      <c r="I1336" t="s">
        <v>2842</v>
      </c>
      <c r="J1336">
        <v>9.8315719999999995</v>
      </c>
      <c r="K1336">
        <v>-83.873993999999996</v>
      </c>
      <c r="L1336" t="s">
        <v>1225</v>
      </c>
      <c r="M1336" t="s">
        <v>36</v>
      </c>
      <c r="N1336" t="s">
        <v>316</v>
      </c>
      <c r="O1336" t="s">
        <v>317</v>
      </c>
      <c r="P1336">
        <v>23</v>
      </c>
      <c r="Q1336" t="s">
        <v>125</v>
      </c>
      <c r="S1336" t="str">
        <f>_xlfn.XLOOKUP(UNIVERSO[[#This Row],[Ruta]],'[1]CUOTA RUTA'!A:A,'[1]CUOTA RUTA'!D:D)</f>
        <v>Cargar</v>
      </c>
    </row>
    <row r="1337" spans="1:19" x14ac:dyDescent="0.25">
      <c r="A1337">
        <v>1500117739</v>
      </c>
      <c r="B1337" t="s">
        <v>2843</v>
      </c>
      <c r="C1337" t="s">
        <v>19</v>
      </c>
      <c r="D1337" t="s">
        <v>266</v>
      </c>
      <c r="E1337" t="s">
        <v>21</v>
      </c>
      <c r="F1337" t="s">
        <v>22</v>
      </c>
      <c r="G1337" t="s">
        <v>64</v>
      </c>
      <c r="H1337" t="s">
        <v>703</v>
      </c>
      <c r="I1337" t="s">
        <v>2844</v>
      </c>
      <c r="J1337">
        <v>9.8666029999999996</v>
      </c>
      <c r="K1337">
        <v>-83.992564000000002</v>
      </c>
      <c r="L1337" t="s">
        <v>1225</v>
      </c>
      <c r="M1337" t="s">
        <v>36</v>
      </c>
      <c r="N1337" t="s">
        <v>316</v>
      </c>
      <c r="O1337" t="s">
        <v>317</v>
      </c>
      <c r="P1337">
        <v>21</v>
      </c>
      <c r="Q1337" t="s">
        <v>239</v>
      </c>
      <c r="S1337" t="str">
        <f>_xlfn.XLOOKUP(UNIVERSO[[#This Row],[Ruta]],'[1]CUOTA RUTA'!A:A,'[1]CUOTA RUTA'!D:D)</f>
        <v>Cargar</v>
      </c>
    </row>
    <row r="1338" spans="1:19" x14ac:dyDescent="0.25">
      <c r="A1338">
        <v>1500117746</v>
      </c>
      <c r="B1338" t="s">
        <v>2845</v>
      </c>
      <c r="C1338" t="s">
        <v>19</v>
      </c>
      <c r="D1338" t="s">
        <v>266</v>
      </c>
      <c r="E1338" t="s">
        <v>21</v>
      </c>
      <c r="F1338" t="s">
        <v>22</v>
      </c>
      <c r="G1338" t="s">
        <v>64</v>
      </c>
      <c r="H1338" t="s">
        <v>372</v>
      </c>
      <c r="I1338" t="s">
        <v>2846</v>
      </c>
      <c r="J1338">
        <v>9.89884013</v>
      </c>
      <c r="K1338">
        <v>-83.679278550000006</v>
      </c>
      <c r="L1338" t="s">
        <v>1225</v>
      </c>
      <c r="M1338" t="s">
        <v>189</v>
      </c>
      <c r="N1338" t="s">
        <v>269</v>
      </c>
      <c r="O1338" t="s">
        <v>270</v>
      </c>
      <c r="P1338">
        <v>20</v>
      </c>
      <c r="Q1338" t="s">
        <v>74</v>
      </c>
      <c r="S1338" t="str">
        <f>_xlfn.XLOOKUP(UNIVERSO[[#This Row],[Ruta]],'[1]CUOTA RUTA'!A:A,'[1]CUOTA RUTA'!D:D)</f>
        <v>Cargar</v>
      </c>
    </row>
    <row r="1339" spans="1:19" x14ac:dyDescent="0.25">
      <c r="A1339">
        <v>1500117762</v>
      </c>
      <c r="B1339" t="s">
        <v>2847</v>
      </c>
      <c r="C1339" t="s">
        <v>19</v>
      </c>
      <c r="D1339" t="s">
        <v>266</v>
      </c>
      <c r="E1339" t="s">
        <v>21</v>
      </c>
      <c r="F1339" t="s">
        <v>22</v>
      </c>
      <c r="G1339" t="s">
        <v>33</v>
      </c>
      <c r="H1339" t="s">
        <v>321</v>
      </c>
      <c r="I1339" t="s">
        <v>2848</v>
      </c>
      <c r="J1339">
        <v>9.7926795000000002</v>
      </c>
      <c r="K1339">
        <v>-84.037430999999998</v>
      </c>
      <c r="L1339" t="s">
        <v>1225</v>
      </c>
      <c r="M1339" t="s">
        <v>54</v>
      </c>
      <c r="N1339" t="s">
        <v>274</v>
      </c>
      <c r="O1339" t="s">
        <v>275</v>
      </c>
      <c r="P1339">
        <v>23</v>
      </c>
      <c r="Q1339" t="s">
        <v>125</v>
      </c>
      <c r="S1339" t="str">
        <f>_xlfn.XLOOKUP(UNIVERSO[[#This Row],[Ruta]],'[1]CUOTA RUTA'!A:A,'[1]CUOTA RUTA'!D:D)</f>
        <v>Cargar</v>
      </c>
    </row>
    <row r="1340" spans="1:19" x14ac:dyDescent="0.25">
      <c r="A1340">
        <v>1500117898</v>
      </c>
      <c r="B1340" t="s">
        <v>2849</v>
      </c>
      <c r="C1340" t="s">
        <v>19</v>
      </c>
      <c r="D1340" t="s">
        <v>266</v>
      </c>
      <c r="E1340" t="s">
        <v>21</v>
      </c>
      <c r="F1340" t="s">
        <v>22</v>
      </c>
      <c r="G1340" t="s">
        <v>64</v>
      </c>
      <c r="H1340" t="s">
        <v>366</v>
      </c>
      <c r="I1340" t="s">
        <v>2850</v>
      </c>
      <c r="J1340">
        <v>9.8420783333329993</v>
      </c>
      <c r="K1340">
        <v>-83.933606666659998</v>
      </c>
      <c r="L1340" t="s">
        <v>1225</v>
      </c>
      <c r="M1340" t="s">
        <v>36</v>
      </c>
      <c r="N1340" t="s">
        <v>316</v>
      </c>
      <c r="O1340" t="s">
        <v>317</v>
      </c>
      <c r="P1340">
        <v>17</v>
      </c>
      <c r="Q1340" t="s">
        <v>287</v>
      </c>
      <c r="S1340" t="str">
        <f>_xlfn.XLOOKUP(UNIVERSO[[#This Row],[Ruta]],'[1]CUOTA RUTA'!A:A,'[1]CUOTA RUTA'!D:D)</f>
        <v>Cargar</v>
      </c>
    </row>
    <row r="1341" spans="1:19" x14ac:dyDescent="0.25">
      <c r="A1341">
        <v>1500117965</v>
      </c>
      <c r="B1341" t="s">
        <v>2851</v>
      </c>
      <c r="C1341" t="s">
        <v>19</v>
      </c>
      <c r="D1341" t="s">
        <v>266</v>
      </c>
      <c r="E1341" t="s">
        <v>21</v>
      </c>
      <c r="F1341" t="s">
        <v>22</v>
      </c>
      <c r="G1341" t="s">
        <v>23</v>
      </c>
      <c r="H1341" t="s">
        <v>267</v>
      </c>
      <c r="I1341" t="s">
        <v>2852</v>
      </c>
      <c r="J1341">
        <v>9.9113387999999993</v>
      </c>
      <c r="K1341">
        <v>-83.674663600000002</v>
      </c>
      <c r="L1341" t="s">
        <v>1225</v>
      </c>
      <c r="M1341" t="s">
        <v>189</v>
      </c>
      <c r="N1341" t="s">
        <v>269</v>
      </c>
      <c r="O1341" t="s">
        <v>270</v>
      </c>
      <c r="P1341">
        <v>21</v>
      </c>
      <c r="Q1341" t="s">
        <v>239</v>
      </c>
      <c r="S1341" t="str">
        <f>_xlfn.XLOOKUP(UNIVERSO[[#This Row],[Ruta]],'[1]CUOTA RUTA'!A:A,'[1]CUOTA RUTA'!D:D)</f>
        <v>Cargar</v>
      </c>
    </row>
    <row r="1342" spans="1:19" x14ac:dyDescent="0.25">
      <c r="A1342">
        <v>1500118201</v>
      </c>
      <c r="B1342" t="s">
        <v>2853</v>
      </c>
      <c r="C1342" t="s">
        <v>19</v>
      </c>
      <c r="D1342" t="s">
        <v>20</v>
      </c>
      <c r="E1342" t="s">
        <v>21</v>
      </c>
      <c r="F1342" t="s">
        <v>22</v>
      </c>
      <c r="G1342" t="s">
        <v>33</v>
      </c>
      <c r="H1342" t="s">
        <v>975</v>
      </c>
      <c r="I1342" t="s">
        <v>2854</v>
      </c>
      <c r="J1342">
        <v>10.00108</v>
      </c>
      <c r="K1342">
        <v>-84.110550000000003</v>
      </c>
      <c r="L1342" t="s">
        <v>1225</v>
      </c>
      <c r="M1342" t="s">
        <v>27</v>
      </c>
      <c r="N1342" t="s">
        <v>28</v>
      </c>
      <c r="O1342" t="s">
        <v>29</v>
      </c>
      <c r="P1342">
        <v>18</v>
      </c>
      <c r="Q1342" t="s">
        <v>84</v>
      </c>
      <c r="S1342" t="str">
        <f>_xlfn.XLOOKUP(UNIVERSO[[#This Row],[Ruta]],'[1]CUOTA RUTA'!A:A,'[1]CUOTA RUTA'!D:D)</f>
        <v>Cargar</v>
      </c>
    </row>
    <row r="1343" spans="1:19" x14ac:dyDescent="0.25">
      <c r="A1343">
        <v>1500118933</v>
      </c>
      <c r="B1343" t="s">
        <v>2855</v>
      </c>
      <c r="C1343" t="s">
        <v>19</v>
      </c>
      <c r="D1343" t="s">
        <v>20</v>
      </c>
      <c r="E1343" t="s">
        <v>21</v>
      </c>
      <c r="F1343" t="s">
        <v>22</v>
      </c>
      <c r="G1343" t="s">
        <v>23</v>
      </c>
      <c r="H1343" t="s">
        <v>277</v>
      </c>
      <c r="I1343" t="s">
        <v>2856</v>
      </c>
      <c r="J1343">
        <v>9.9620700000000006</v>
      </c>
      <c r="K1343">
        <v>-84.254869999999997</v>
      </c>
      <c r="L1343" t="s">
        <v>1225</v>
      </c>
      <c r="M1343" t="s">
        <v>54</v>
      </c>
      <c r="N1343" t="s">
        <v>55</v>
      </c>
      <c r="O1343" t="s">
        <v>56</v>
      </c>
      <c r="P1343">
        <v>6</v>
      </c>
      <c r="Q1343" t="s">
        <v>49</v>
      </c>
      <c r="S1343" t="str">
        <f>_xlfn.XLOOKUP(UNIVERSO[[#This Row],[Ruta]],'[1]CUOTA RUTA'!A:A,'[1]CUOTA RUTA'!D:D)</f>
        <v>Cargar</v>
      </c>
    </row>
    <row r="1344" spans="1:19" x14ac:dyDescent="0.25">
      <c r="A1344">
        <v>1500118975</v>
      </c>
      <c r="B1344" t="s">
        <v>832</v>
      </c>
      <c r="C1344" t="s">
        <v>19</v>
      </c>
      <c r="D1344" t="s">
        <v>20</v>
      </c>
      <c r="E1344" t="s">
        <v>21</v>
      </c>
      <c r="F1344" t="s">
        <v>22</v>
      </c>
      <c r="G1344" t="s">
        <v>33</v>
      </c>
      <c r="H1344" t="s">
        <v>308</v>
      </c>
      <c r="I1344" t="s">
        <v>2857</v>
      </c>
      <c r="J1344">
        <v>9.8473799999999994</v>
      </c>
      <c r="K1344">
        <v>-84.234179999999995</v>
      </c>
      <c r="L1344" t="s">
        <v>1225</v>
      </c>
      <c r="M1344" t="s">
        <v>54</v>
      </c>
      <c r="N1344" t="s">
        <v>55</v>
      </c>
      <c r="O1344" t="s">
        <v>56</v>
      </c>
      <c r="P1344">
        <v>23</v>
      </c>
      <c r="Q1344" t="s">
        <v>125</v>
      </c>
      <c r="S1344" t="str">
        <f>_xlfn.XLOOKUP(UNIVERSO[[#This Row],[Ruta]],'[1]CUOTA RUTA'!A:A,'[1]CUOTA RUTA'!D:D)</f>
        <v>Cargar</v>
      </c>
    </row>
    <row r="1345" spans="1:19" x14ac:dyDescent="0.25">
      <c r="A1345">
        <v>1500119341</v>
      </c>
      <c r="B1345" t="s">
        <v>2007</v>
      </c>
      <c r="C1345" t="s">
        <v>19</v>
      </c>
      <c r="D1345" t="s">
        <v>20</v>
      </c>
      <c r="E1345" t="s">
        <v>21</v>
      </c>
      <c r="F1345" t="s">
        <v>22</v>
      </c>
      <c r="G1345" t="s">
        <v>33</v>
      </c>
      <c r="H1345" t="s">
        <v>250</v>
      </c>
      <c r="I1345" t="s">
        <v>2858</v>
      </c>
      <c r="J1345">
        <v>10.022</v>
      </c>
      <c r="K1345">
        <v>-84.270079999999993</v>
      </c>
      <c r="L1345" t="s">
        <v>1225</v>
      </c>
      <c r="M1345" t="s">
        <v>46</v>
      </c>
      <c r="N1345" t="s">
        <v>47</v>
      </c>
      <c r="O1345" t="s">
        <v>48</v>
      </c>
      <c r="P1345">
        <v>3</v>
      </c>
      <c r="Q1345" t="s">
        <v>101</v>
      </c>
      <c r="S1345" t="str">
        <f>_xlfn.XLOOKUP(UNIVERSO[[#This Row],[Ruta]],'[1]CUOTA RUTA'!A:A,'[1]CUOTA RUTA'!D:D)</f>
        <v>Cargar</v>
      </c>
    </row>
    <row r="1346" spans="1:19" x14ac:dyDescent="0.25">
      <c r="A1346">
        <v>1500119549</v>
      </c>
      <c r="B1346" t="s">
        <v>2859</v>
      </c>
      <c r="C1346" t="s">
        <v>19</v>
      </c>
      <c r="D1346" t="s">
        <v>20</v>
      </c>
      <c r="E1346" t="s">
        <v>21</v>
      </c>
      <c r="F1346" t="s">
        <v>22</v>
      </c>
      <c r="G1346" t="s">
        <v>33</v>
      </c>
      <c r="H1346" t="s">
        <v>308</v>
      </c>
      <c r="I1346" t="s">
        <v>2860</v>
      </c>
      <c r="J1346">
        <v>9.8736200000000007</v>
      </c>
      <c r="K1346">
        <v>-84.287080000000003</v>
      </c>
      <c r="L1346" t="s">
        <v>1225</v>
      </c>
      <c r="M1346" t="s">
        <v>54</v>
      </c>
      <c r="N1346" t="s">
        <v>55</v>
      </c>
      <c r="O1346" t="s">
        <v>56</v>
      </c>
      <c r="P1346">
        <v>23</v>
      </c>
      <c r="Q1346" t="s">
        <v>125</v>
      </c>
      <c r="S1346" t="str">
        <f>_xlfn.XLOOKUP(UNIVERSO[[#This Row],[Ruta]],'[1]CUOTA RUTA'!A:A,'[1]CUOTA RUTA'!D:D)</f>
        <v>Cargar</v>
      </c>
    </row>
    <row r="1347" spans="1:19" x14ac:dyDescent="0.25">
      <c r="A1347">
        <v>1500119642</v>
      </c>
      <c r="B1347" t="s">
        <v>2861</v>
      </c>
      <c r="C1347" t="s">
        <v>19</v>
      </c>
      <c r="D1347" t="s">
        <v>20</v>
      </c>
      <c r="E1347" t="s">
        <v>21</v>
      </c>
      <c r="F1347" t="s">
        <v>22</v>
      </c>
      <c r="G1347" t="s">
        <v>23</v>
      </c>
      <c r="H1347" t="s">
        <v>369</v>
      </c>
      <c r="I1347" t="s">
        <v>2862</v>
      </c>
      <c r="J1347">
        <v>10.0132817</v>
      </c>
      <c r="K1347">
        <v>-84.107288299999993</v>
      </c>
      <c r="L1347" t="s">
        <v>1225</v>
      </c>
      <c r="M1347" t="s">
        <v>27</v>
      </c>
      <c r="N1347" t="s">
        <v>28</v>
      </c>
      <c r="O1347" t="s">
        <v>29</v>
      </c>
      <c r="P1347">
        <v>18</v>
      </c>
      <c r="Q1347" t="s">
        <v>84</v>
      </c>
      <c r="S1347" t="str">
        <f>_xlfn.XLOOKUP(UNIVERSO[[#This Row],[Ruta]],'[1]CUOTA RUTA'!A:A,'[1]CUOTA RUTA'!D:D)</f>
        <v>Cargar</v>
      </c>
    </row>
    <row r="1348" spans="1:19" x14ac:dyDescent="0.25">
      <c r="A1348">
        <v>1500119816</v>
      </c>
      <c r="B1348" t="s">
        <v>2863</v>
      </c>
      <c r="C1348" t="s">
        <v>19</v>
      </c>
      <c r="D1348" t="s">
        <v>20</v>
      </c>
      <c r="E1348" t="s">
        <v>21</v>
      </c>
      <c r="F1348" t="s">
        <v>22</v>
      </c>
      <c r="G1348" t="s">
        <v>33</v>
      </c>
      <c r="H1348" t="s">
        <v>308</v>
      </c>
      <c r="I1348" t="s">
        <v>2864</v>
      </c>
      <c r="J1348">
        <v>9.82728</v>
      </c>
      <c r="K1348">
        <v>-84.327029999999993</v>
      </c>
      <c r="L1348" t="s">
        <v>1225</v>
      </c>
      <c r="M1348" t="s">
        <v>54</v>
      </c>
      <c r="N1348" t="s">
        <v>55</v>
      </c>
      <c r="O1348" t="s">
        <v>56</v>
      </c>
      <c r="P1348">
        <v>22</v>
      </c>
      <c r="Q1348" t="s">
        <v>30</v>
      </c>
      <c r="S1348" t="str">
        <f>_xlfn.XLOOKUP(UNIVERSO[[#This Row],[Ruta]],'[1]CUOTA RUTA'!A:A,'[1]CUOTA RUTA'!D:D)</f>
        <v>Cargar</v>
      </c>
    </row>
    <row r="1349" spans="1:19" x14ac:dyDescent="0.25">
      <c r="A1349">
        <v>1500120330</v>
      </c>
      <c r="B1349" t="s">
        <v>2865</v>
      </c>
      <c r="C1349" t="s">
        <v>19</v>
      </c>
      <c r="D1349" t="s">
        <v>208</v>
      </c>
      <c r="E1349" t="s">
        <v>21</v>
      </c>
      <c r="F1349" t="s">
        <v>22</v>
      </c>
      <c r="G1349" t="s">
        <v>64</v>
      </c>
      <c r="H1349" t="s">
        <v>221</v>
      </c>
      <c r="I1349" t="s">
        <v>2866</v>
      </c>
      <c r="J1349">
        <v>10.114879999999999</v>
      </c>
      <c r="K1349">
        <v>-83.542000000000002</v>
      </c>
      <c r="L1349" t="s">
        <v>1225</v>
      </c>
      <c r="M1349" t="s">
        <v>189</v>
      </c>
      <c r="N1349" t="s">
        <v>211</v>
      </c>
      <c r="O1349" t="s">
        <v>212</v>
      </c>
      <c r="P1349">
        <v>8</v>
      </c>
      <c r="Q1349" t="s">
        <v>97</v>
      </c>
      <c r="S1349" t="str">
        <f>_xlfn.XLOOKUP(UNIVERSO[[#This Row],[Ruta]],'[1]CUOTA RUTA'!A:A,'[1]CUOTA RUTA'!D:D)</f>
        <v>Cargar</v>
      </c>
    </row>
    <row r="1350" spans="1:19" x14ac:dyDescent="0.25">
      <c r="A1350">
        <v>1500120449</v>
      </c>
      <c r="B1350" t="s">
        <v>2867</v>
      </c>
      <c r="C1350" t="s">
        <v>19</v>
      </c>
      <c r="D1350" t="s">
        <v>20</v>
      </c>
      <c r="E1350" t="s">
        <v>21</v>
      </c>
      <c r="F1350" t="s">
        <v>51</v>
      </c>
      <c r="G1350" t="s">
        <v>23</v>
      </c>
      <c r="H1350" t="s">
        <v>58</v>
      </c>
      <c r="I1350" t="s">
        <v>2868</v>
      </c>
      <c r="J1350">
        <v>10.0032946</v>
      </c>
      <c r="K1350">
        <v>-84.186391099999994</v>
      </c>
      <c r="L1350" t="s">
        <v>1225</v>
      </c>
      <c r="M1350" t="s">
        <v>54</v>
      </c>
      <c r="N1350" t="s">
        <v>55</v>
      </c>
      <c r="O1350" t="s">
        <v>56</v>
      </c>
      <c r="P1350">
        <v>15</v>
      </c>
      <c r="Q1350" t="s">
        <v>231</v>
      </c>
      <c r="S1350" t="str">
        <f>_xlfn.XLOOKUP(UNIVERSO[[#This Row],[Ruta]],'[1]CUOTA RUTA'!A:A,'[1]CUOTA RUTA'!D:D)</f>
        <v>Cargar</v>
      </c>
    </row>
    <row r="1351" spans="1:19" x14ac:dyDescent="0.25">
      <c r="A1351">
        <v>1500120603</v>
      </c>
      <c r="B1351" t="s">
        <v>954</v>
      </c>
      <c r="C1351" t="s">
        <v>19</v>
      </c>
      <c r="D1351" t="s">
        <v>20</v>
      </c>
      <c r="E1351" t="s">
        <v>21</v>
      </c>
      <c r="F1351" t="s">
        <v>51</v>
      </c>
      <c r="G1351" t="s">
        <v>23</v>
      </c>
      <c r="H1351" t="s">
        <v>250</v>
      </c>
      <c r="I1351" t="s">
        <v>2869</v>
      </c>
      <c r="J1351">
        <v>10.016135999999999</v>
      </c>
      <c r="K1351">
        <v>-84.246787999999995</v>
      </c>
      <c r="L1351" t="s">
        <v>1225</v>
      </c>
      <c r="M1351" t="s">
        <v>46</v>
      </c>
      <c r="N1351" t="s">
        <v>47</v>
      </c>
      <c r="O1351" t="s">
        <v>48</v>
      </c>
      <c r="P1351">
        <v>3</v>
      </c>
      <c r="Q1351" t="s">
        <v>101</v>
      </c>
      <c r="S1351" t="str">
        <f>_xlfn.XLOOKUP(UNIVERSO[[#This Row],[Ruta]],'[1]CUOTA RUTA'!A:A,'[1]CUOTA RUTA'!D:D)</f>
        <v>Cargar</v>
      </c>
    </row>
    <row r="1352" spans="1:19" x14ac:dyDescent="0.25">
      <c r="A1352">
        <v>1500120606</v>
      </c>
      <c r="B1352" t="s">
        <v>2870</v>
      </c>
      <c r="C1352" t="s">
        <v>19</v>
      </c>
      <c r="D1352" t="s">
        <v>20</v>
      </c>
      <c r="E1352" t="s">
        <v>21</v>
      </c>
      <c r="F1352" t="s">
        <v>22</v>
      </c>
      <c r="G1352" t="s">
        <v>33</v>
      </c>
      <c r="H1352" t="s">
        <v>910</v>
      </c>
      <c r="I1352" t="s">
        <v>2871</v>
      </c>
      <c r="J1352">
        <v>10.004236799999999</v>
      </c>
      <c r="K1352">
        <v>-84.164531299999993</v>
      </c>
      <c r="L1352" t="s">
        <v>1225</v>
      </c>
      <c r="M1352" t="s">
        <v>27</v>
      </c>
      <c r="N1352" t="s">
        <v>28</v>
      </c>
      <c r="O1352" t="s">
        <v>29</v>
      </c>
      <c r="P1352">
        <v>20</v>
      </c>
      <c r="Q1352" t="s">
        <v>74</v>
      </c>
      <c r="S1352" t="str">
        <f>_xlfn.XLOOKUP(UNIVERSO[[#This Row],[Ruta]],'[1]CUOTA RUTA'!A:A,'[1]CUOTA RUTA'!D:D)</f>
        <v>Cargar</v>
      </c>
    </row>
    <row r="1353" spans="1:19" x14ac:dyDescent="0.25">
      <c r="A1353">
        <v>1500120696</v>
      </c>
      <c r="B1353" t="s">
        <v>2872</v>
      </c>
      <c r="C1353" t="s">
        <v>19</v>
      </c>
      <c r="D1353" t="s">
        <v>20</v>
      </c>
      <c r="E1353" t="s">
        <v>21</v>
      </c>
      <c r="F1353" t="s">
        <v>22</v>
      </c>
      <c r="G1353" t="s">
        <v>23</v>
      </c>
      <c r="H1353" t="s">
        <v>24</v>
      </c>
      <c r="I1353" t="s">
        <v>2873</v>
      </c>
      <c r="J1353">
        <v>10.010972000000001</v>
      </c>
      <c r="K1353">
        <v>-84.112683000000004</v>
      </c>
      <c r="L1353" t="s">
        <v>1225</v>
      </c>
      <c r="M1353" t="s">
        <v>27</v>
      </c>
      <c r="N1353" t="s">
        <v>28</v>
      </c>
      <c r="O1353" t="s">
        <v>29</v>
      </c>
      <c r="P1353">
        <v>16</v>
      </c>
      <c r="Q1353" t="s">
        <v>60</v>
      </c>
      <c r="S1353" t="str">
        <f>_xlfn.XLOOKUP(UNIVERSO[[#This Row],[Ruta]],'[1]CUOTA RUTA'!A:A,'[1]CUOTA RUTA'!D:D)</f>
        <v>Cargar</v>
      </c>
    </row>
    <row r="1354" spans="1:19" x14ac:dyDescent="0.25">
      <c r="A1354">
        <v>1500120845</v>
      </c>
      <c r="B1354" t="s">
        <v>2874</v>
      </c>
      <c r="C1354" t="s">
        <v>19</v>
      </c>
      <c r="D1354" t="s">
        <v>20</v>
      </c>
      <c r="E1354" t="s">
        <v>21</v>
      </c>
      <c r="F1354" t="s">
        <v>51</v>
      </c>
      <c r="G1354" t="s">
        <v>23</v>
      </c>
      <c r="H1354" t="s">
        <v>774</v>
      </c>
      <c r="I1354" t="s">
        <v>2875</v>
      </c>
      <c r="J1354">
        <v>9.9308467</v>
      </c>
      <c r="K1354">
        <v>-84.236851700000003</v>
      </c>
      <c r="L1354" t="s">
        <v>1225</v>
      </c>
      <c r="M1354" t="s">
        <v>54</v>
      </c>
      <c r="N1354" t="s">
        <v>55</v>
      </c>
      <c r="O1354" t="s">
        <v>56</v>
      </c>
      <c r="P1354">
        <v>10</v>
      </c>
      <c r="Q1354" t="s">
        <v>136</v>
      </c>
      <c r="S1354" t="str">
        <f>_xlfn.XLOOKUP(UNIVERSO[[#This Row],[Ruta]],'[1]CUOTA RUTA'!A:A,'[1]CUOTA RUTA'!D:D)</f>
        <v>Cargar</v>
      </c>
    </row>
    <row r="1355" spans="1:19" x14ac:dyDescent="0.25">
      <c r="A1355">
        <v>1500120929</v>
      </c>
      <c r="B1355" t="s">
        <v>2876</v>
      </c>
      <c r="C1355" t="s">
        <v>19</v>
      </c>
      <c r="D1355" t="s">
        <v>20</v>
      </c>
      <c r="E1355" t="s">
        <v>21</v>
      </c>
      <c r="F1355" t="s">
        <v>22</v>
      </c>
      <c r="G1355" t="s">
        <v>23</v>
      </c>
      <c r="H1355" t="s">
        <v>1143</v>
      </c>
      <c r="I1355" t="s">
        <v>2877</v>
      </c>
      <c r="J1355">
        <v>10.123699999999999</v>
      </c>
      <c r="K1355">
        <v>-84.190179999999998</v>
      </c>
      <c r="L1355" t="s">
        <v>1225</v>
      </c>
      <c r="M1355" t="s">
        <v>54</v>
      </c>
      <c r="N1355" t="s">
        <v>55</v>
      </c>
      <c r="O1355" t="s">
        <v>56</v>
      </c>
      <c r="P1355">
        <v>18</v>
      </c>
      <c r="Q1355" t="s">
        <v>84</v>
      </c>
      <c r="S1355" t="str">
        <f>_xlfn.XLOOKUP(UNIVERSO[[#This Row],[Ruta]],'[1]CUOTA RUTA'!A:A,'[1]CUOTA RUTA'!D:D)</f>
        <v>Cargar</v>
      </c>
    </row>
    <row r="1356" spans="1:19" x14ac:dyDescent="0.25">
      <c r="A1356">
        <v>1500121163</v>
      </c>
      <c r="B1356" t="s">
        <v>2878</v>
      </c>
      <c r="C1356" t="s">
        <v>19</v>
      </c>
      <c r="D1356" t="s">
        <v>20</v>
      </c>
      <c r="E1356" t="s">
        <v>21</v>
      </c>
      <c r="F1356" t="s">
        <v>22</v>
      </c>
      <c r="G1356" t="s">
        <v>64</v>
      </c>
      <c r="H1356" t="s">
        <v>1021</v>
      </c>
      <c r="I1356" t="s">
        <v>2879</v>
      </c>
      <c r="J1356">
        <v>10.119429999999999</v>
      </c>
      <c r="K1356">
        <v>-84.236149999999995</v>
      </c>
      <c r="L1356" t="s">
        <v>1225</v>
      </c>
      <c r="M1356" t="s">
        <v>46</v>
      </c>
      <c r="N1356" t="s">
        <v>47</v>
      </c>
      <c r="O1356" t="s">
        <v>48</v>
      </c>
      <c r="P1356">
        <v>2</v>
      </c>
      <c r="Q1356" t="s">
        <v>150</v>
      </c>
      <c r="S1356" t="str">
        <f>_xlfn.XLOOKUP(UNIVERSO[[#This Row],[Ruta]],'[1]CUOTA RUTA'!A:A,'[1]CUOTA RUTA'!D:D)</f>
        <v>Cargar</v>
      </c>
    </row>
    <row r="1357" spans="1:19" x14ac:dyDescent="0.25">
      <c r="A1357">
        <v>1500121284</v>
      </c>
      <c r="B1357" t="s">
        <v>2792</v>
      </c>
      <c r="C1357" t="s">
        <v>19</v>
      </c>
      <c r="D1357" t="s">
        <v>20</v>
      </c>
      <c r="E1357" t="s">
        <v>21</v>
      </c>
      <c r="F1357" t="s">
        <v>22</v>
      </c>
      <c r="G1357" t="s">
        <v>33</v>
      </c>
      <c r="H1357" t="s">
        <v>285</v>
      </c>
      <c r="I1357" t="s">
        <v>2880</v>
      </c>
      <c r="J1357">
        <v>10.0056463</v>
      </c>
      <c r="K1357">
        <v>-84.205276400000002</v>
      </c>
      <c r="L1357" t="s">
        <v>1225</v>
      </c>
      <c r="M1357" t="s">
        <v>54</v>
      </c>
      <c r="N1357" t="s">
        <v>55</v>
      </c>
      <c r="O1357" t="s">
        <v>56</v>
      </c>
      <c r="P1357">
        <v>3</v>
      </c>
      <c r="Q1357" t="s">
        <v>101</v>
      </c>
      <c r="S1357" t="str">
        <f>_xlfn.XLOOKUP(UNIVERSO[[#This Row],[Ruta]],'[1]CUOTA RUTA'!A:A,'[1]CUOTA RUTA'!D:D)</f>
        <v>Cargar</v>
      </c>
    </row>
    <row r="1358" spans="1:19" x14ac:dyDescent="0.25">
      <c r="A1358">
        <v>1500121323</v>
      </c>
      <c r="B1358" t="s">
        <v>2881</v>
      </c>
      <c r="C1358" t="s">
        <v>19</v>
      </c>
      <c r="D1358" t="s">
        <v>20</v>
      </c>
      <c r="E1358" t="s">
        <v>21</v>
      </c>
      <c r="F1358" t="s">
        <v>22</v>
      </c>
      <c r="G1358" t="s">
        <v>33</v>
      </c>
      <c r="H1358" t="s">
        <v>198</v>
      </c>
      <c r="I1358" t="s">
        <v>2882</v>
      </c>
      <c r="J1358">
        <v>9.9433799999999994</v>
      </c>
      <c r="K1358">
        <v>-84.185119999999998</v>
      </c>
      <c r="L1358" t="s">
        <v>1225</v>
      </c>
      <c r="M1358" t="s">
        <v>54</v>
      </c>
      <c r="N1358" t="s">
        <v>55</v>
      </c>
      <c r="O1358" t="s">
        <v>56</v>
      </c>
      <c r="P1358">
        <v>13</v>
      </c>
      <c r="Q1358" t="s">
        <v>161</v>
      </c>
      <c r="S1358" t="str">
        <f>_xlfn.XLOOKUP(UNIVERSO[[#This Row],[Ruta]],'[1]CUOTA RUTA'!A:A,'[1]CUOTA RUTA'!D:D)</f>
        <v>Cargar</v>
      </c>
    </row>
    <row r="1359" spans="1:19" x14ac:dyDescent="0.25">
      <c r="A1359">
        <v>1500121362</v>
      </c>
      <c r="B1359" t="s">
        <v>2883</v>
      </c>
      <c r="C1359" t="s">
        <v>19</v>
      </c>
      <c r="D1359" t="s">
        <v>20</v>
      </c>
      <c r="E1359" t="s">
        <v>21</v>
      </c>
      <c r="F1359" t="s">
        <v>22</v>
      </c>
      <c r="G1359" t="s">
        <v>23</v>
      </c>
      <c r="H1359" t="s">
        <v>58</v>
      </c>
      <c r="I1359" t="s">
        <v>2884</v>
      </c>
      <c r="J1359">
        <v>10.02745</v>
      </c>
      <c r="K1359">
        <v>-84.205600000000004</v>
      </c>
      <c r="L1359" t="s">
        <v>1225</v>
      </c>
      <c r="M1359" t="s">
        <v>54</v>
      </c>
      <c r="N1359" t="s">
        <v>55</v>
      </c>
      <c r="O1359" t="s">
        <v>56</v>
      </c>
      <c r="P1359">
        <v>16</v>
      </c>
      <c r="Q1359" t="s">
        <v>60</v>
      </c>
      <c r="S1359" t="str">
        <f>_xlfn.XLOOKUP(UNIVERSO[[#This Row],[Ruta]],'[1]CUOTA RUTA'!A:A,'[1]CUOTA RUTA'!D:D)</f>
        <v>Cargar</v>
      </c>
    </row>
    <row r="1360" spans="1:19" x14ac:dyDescent="0.25">
      <c r="A1360">
        <v>1500121421</v>
      </c>
      <c r="B1360" t="s">
        <v>2885</v>
      </c>
      <c r="C1360" t="s">
        <v>19</v>
      </c>
      <c r="D1360" t="s">
        <v>20</v>
      </c>
      <c r="E1360" t="s">
        <v>21</v>
      </c>
      <c r="F1360" t="s">
        <v>22</v>
      </c>
      <c r="G1360" t="s">
        <v>33</v>
      </c>
      <c r="H1360" t="s">
        <v>198</v>
      </c>
      <c r="I1360" t="s">
        <v>2886</v>
      </c>
      <c r="J1360">
        <v>9.9341200000000001</v>
      </c>
      <c r="K1360">
        <v>-84.163730000000001</v>
      </c>
      <c r="L1360" t="s">
        <v>1225</v>
      </c>
      <c r="M1360" t="s">
        <v>54</v>
      </c>
      <c r="N1360" t="s">
        <v>55</v>
      </c>
      <c r="O1360" t="s">
        <v>56</v>
      </c>
      <c r="P1360">
        <v>13</v>
      </c>
      <c r="Q1360" t="s">
        <v>161</v>
      </c>
      <c r="S1360" t="str">
        <f>_xlfn.XLOOKUP(UNIVERSO[[#This Row],[Ruta]],'[1]CUOTA RUTA'!A:A,'[1]CUOTA RUTA'!D:D)</f>
        <v>Cargar</v>
      </c>
    </row>
    <row r="1361" spans="1:19" x14ac:dyDescent="0.25">
      <c r="A1361">
        <v>1500121455</v>
      </c>
      <c r="B1361" t="s">
        <v>2887</v>
      </c>
      <c r="C1361" t="s">
        <v>19</v>
      </c>
      <c r="D1361" t="s">
        <v>20</v>
      </c>
      <c r="E1361" t="s">
        <v>21</v>
      </c>
      <c r="F1361" t="s">
        <v>22</v>
      </c>
      <c r="G1361" t="s">
        <v>33</v>
      </c>
      <c r="H1361" t="s">
        <v>1021</v>
      </c>
      <c r="I1361" t="s">
        <v>2888</v>
      </c>
      <c r="J1361">
        <v>10.0761</v>
      </c>
      <c r="K1361">
        <v>-84.215450000000004</v>
      </c>
      <c r="L1361" t="s">
        <v>1225</v>
      </c>
      <c r="M1361" t="s">
        <v>46</v>
      </c>
      <c r="N1361" t="s">
        <v>47</v>
      </c>
      <c r="O1361" t="s">
        <v>48</v>
      </c>
      <c r="P1361">
        <v>12</v>
      </c>
      <c r="Q1361" t="s">
        <v>42</v>
      </c>
      <c r="S1361" t="str">
        <f>_xlfn.XLOOKUP(UNIVERSO[[#This Row],[Ruta]],'[1]CUOTA RUTA'!A:A,'[1]CUOTA RUTA'!D:D)</f>
        <v>Cargar</v>
      </c>
    </row>
    <row r="1362" spans="1:19" x14ac:dyDescent="0.25">
      <c r="A1362">
        <v>1500121805</v>
      </c>
      <c r="B1362" t="s">
        <v>2889</v>
      </c>
      <c r="C1362" t="s">
        <v>19</v>
      </c>
      <c r="D1362" t="s">
        <v>208</v>
      </c>
      <c r="E1362" t="s">
        <v>21</v>
      </c>
      <c r="F1362" t="s">
        <v>22</v>
      </c>
      <c r="G1362" t="s">
        <v>33</v>
      </c>
      <c r="H1362" t="s">
        <v>719</v>
      </c>
      <c r="I1362" t="s">
        <v>2890</v>
      </c>
      <c r="J1362">
        <v>10.37266</v>
      </c>
      <c r="K1362">
        <v>-83.728999999999999</v>
      </c>
      <c r="L1362" t="s">
        <v>1225</v>
      </c>
      <c r="M1362" t="s">
        <v>189</v>
      </c>
      <c r="N1362" t="s">
        <v>211</v>
      </c>
      <c r="O1362" t="s">
        <v>212</v>
      </c>
      <c r="P1362">
        <v>2</v>
      </c>
      <c r="Q1362" t="s">
        <v>150</v>
      </c>
      <c r="S1362" t="str">
        <f>_xlfn.XLOOKUP(UNIVERSO[[#This Row],[Ruta]],'[1]CUOTA RUTA'!A:A,'[1]CUOTA RUTA'!D:D)</f>
        <v>Cargar</v>
      </c>
    </row>
    <row r="1363" spans="1:19" x14ac:dyDescent="0.25">
      <c r="A1363">
        <v>1500121834</v>
      </c>
      <c r="B1363" t="s">
        <v>2891</v>
      </c>
      <c r="C1363" t="s">
        <v>19</v>
      </c>
      <c r="D1363" t="s">
        <v>208</v>
      </c>
      <c r="E1363" t="s">
        <v>21</v>
      </c>
      <c r="F1363" t="s">
        <v>22</v>
      </c>
      <c r="G1363" t="s">
        <v>33</v>
      </c>
      <c r="H1363" t="s">
        <v>1794</v>
      </c>
      <c r="I1363" t="s">
        <v>2892</v>
      </c>
      <c r="J1363">
        <v>10.213770179999999</v>
      </c>
      <c r="K1363">
        <v>-83.778460319999994</v>
      </c>
      <c r="L1363" t="s">
        <v>1225</v>
      </c>
      <c r="M1363" t="s">
        <v>189</v>
      </c>
      <c r="N1363" t="s">
        <v>211</v>
      </c>
      <c r="O1363" t="s">
        <v>212</v>
      </c>
      <c r="P1363">
        <v>5</v>
      </c>
      <c r="Q1363" t="s">
        <v>117</v>
      </c>
      <c r="S1363" t="str">
        <f>_xlfn.XLOOKUP(UNIVERSO[[#This Row],[Ruta]],'[1]CUOTA RUTA'!A:A,'[1]CUOTA RUTA'!D:D)</f>
        <v>Cargar</v>
      </c>
    </row>
    <row r="1364" spans="1:19" x14ac:dyDescent="0.25">
      <c r="A1364">
        <v>1500121900</v>
      </c>
      <c r="B1364" t="s">
        <v>2893</v>
      </c>
      <c r="C1364" t="s">
        <v>19</v>
      </c>
      <c r="D1364" t="s">
        <v>208</v>
      </c>
      <c r="E1364" t="s">
        <v>21</v>
      </c>
      <c r="F1364" t="s">
        <v>22</v>
      </c>
      <c r="G1364" t="s">
        <v>64</v>
      </c>
      <c r="H1364" t="s">
        <v>719</v>
      </c>
      <c r="I1364" t="s">
        <v>2894</v>
      </c>
      <c r="J1364">
        <v>10.3642</v>
      </c>
      <c r="K1364">
        <v>-83.736400000000003</v>
      </c>
      <c r="L1364" t="s">
        <v>1225</v>
      </c>
      <c r="M1364" t="s">
        <v>189</v>
      </c>
      <c r="N1364" t="s">
        <v>211</v>
      </c>
      <c r="O1364" t="s">
        <v>212</v>
      </c>
      <c r="P1364">
        <v>1</v>
      </c>
      <c r="Q1364" t="s">
        <v>155</v>
      </c>
      <c r="S1364" t="str">
        <f>_xlfn.XLOOKUP(UNIVERSO[[#This Row],[Ruta]],'[1]CUOTA RUTA'!A:A,'[1]CUOTA RUTA'!D:D)</f>
        <v>Cargar</v>
      </c>
    </row>
    <row r="1365" spans="1:19" x14ac:dyDescent="0.25">
      <c r="A1365">
        <v>1500121906</v>
      </c>
      <c r="B1365" t="s">
        <v>2895</v>
      </c>
      <c r="C1365" t="s">
        <v>19</v>
      </c>
      <c r="D1365" t="s">
        <v>208</v>
      </c>
      <c r="E1365" t="s">
        <v>21</v>
      </c>
      <c r="F1365" t="s">
        <v>22</v>
      </c>
      <c r="G1365" t="s">
        <v>23</v>
      </c>
      <c r="H1365" t="s">
        <v>224</v>
      </c>
      <c r="I1365" t="s">
        <v>2896</v>
      </c>
      <c r="J1365">
        <v>10.168990000000001</v>
      </c>
      <c r="K1365">
        <v>-83.606530000000006</v>
      </c>
      <c r="L1365" t="s">
        <v>1225</v>
      </c>
      <c r="M1365" t="s">
        <v>189</v>
      </c>
      <c r="N1365" t="s">
        <v>211</v>
      </c>
      <c r="O1365" t="s">
        <v>212</v>
      </c>
      <c r="P1365">
        <v>7</v>
      </c>
      <c r="Q1365" t="s">
        <v>39</v>
      </c>
      <c r="S1365" t="str">
        <f>_xlfn.XLOOKUP(UNIVERSO[[#This Row],[Ruta]],'[1]CUOTA RUTA'!A:A,'[1]CUOTA RUTA'!D:D)</f>
        <v>Cargar</v>
      </c>
    </row>
    <row r="1366" spans="1:19" x14ac:dyDescent="0.25">
      <c r="A1366">
        <v>1500122004</v>
      </c>
      <c r="B1366" t="s">
        <v>2897</v>
      </c>
      <c r="C1366" t="s">
        <v>19</v>
      </c>
      <c r="D1366" t="s">
        <v>208</v>
      </c>
      <c r="E1366" t="s">
        <v>21</v>
      </c>
      <c r="F1366" t="s">
        <v>22</v>
      </c>
      <c r="G1366" t="s">
        <v>23</v>
      </c>
      <c r="H1366" t="s">
        <v>417</v>
      </c>
      <c r="I1366" t="s">
        <v>2898</v>
      </c>
      <c r="J1366">
        <v>10.21707488</v>
      </c>
      <c r="K1366">
        <v>-83.7489688</v>
      </c>
      <c r="L1366" t="s">
        <v>1225</v>
      </c>
      <c r="M1366" t="s">
        <v>189</v>
      </c>
      <c r="N1366" t="s">
        <v>211</v>
      </c>
      <c r="O1366" t="s">
        <v>212</v>
      </c>
      <c r="P1366">
        <v>5</v>
      </c>
      <c r="Q1366" t="s">
        <v>117</v>
      </c>
      <c r="S1366" t="str">
        <f>_xlfn.XLOOKUP(UNIVERSO[[#This Row],[Ruta]],'[1]CUOTA RUTA'!A:A,'[1]CUOTA RUTA'!D:D)</f>
        <v>Cargar</v>
      </c>
    </row>
    <row r="1367" spans="1:19" x14ac:dyDescent="0.25">
      <c r="A1367">
        <v>1500122067</v>
      </c>
      <c r="B1367" t="s">
        <v>2899</v>
      </c>
      <c r="C1367" t="s">
        <v>19</v>
      </c>
      <c r="D1367" t="s">
        <v>20</v>
      </c>
      <c r="E1367" t="s">
        <v>21</v>
      </c>
      <c r="F1367" t="s">
        <v>22</v>
      </c>
      <c r="G1367" t="s">
        <v>33</v>
      </c>
      <c r="H1367" t="s">
        <v>303</v>
      </c>
      <c r="I1367" t="s">
        <v>2900</v>
      </c>
      <c r="J1367">
        <v>9.9993999999999996</v>
      </c>
      <c r="K1367">
        <v>-84.265600000000006</v>
      </c>
      <c r="L1367" t="s">
        <v>1225</v>
      </c>
      <c r="M1367" t="s">
        <v>54</v>
      </c>
      <c r="N1367" t="s">
        <v>55</v>
      </c>
      <c r="O1367" t="s">
        <v>56</v>
      </c>
      <c r="P1367">
        <v>7</v>
      </c>
      <c r="Q1367" t="s">
        <v>39</v>
      </c>
      <c r="S1367" t="str">
        <f>_xlfn.XLOOKUP(UNIVERSO[[#This Row],[Ruta]],'[1]CUOTA RUTA'!A:A,'[1]CUOTA RUTA'!D:D)</f>
        <v>Cargar</v>
      </c>
    </row>
    <row r="1368" spans="1:19" x14ac:dyDescent="0.25">
      <c r="A1368">
        <v>1500122635</v>
      </c>
      <c r="B1368" t="s">
        <v>2901</v>
      </c>
      <c r="C1368" t="s">
        <v>19</v>
      </c>
      <c r="D1368" t="s">
        <v>20</v>
      </c>
      <c r="E1368" t="s">
        <v>21</v>
      </c>
      <c r="F1368" t="s">
        <v>22</v>
      </c>
      <c r="G1368" t="s">
        <v>23</v>
      </c>
      <c r="H1368" t="s">
        <v>554</v>
      </c>
      <c r="I1368" t="s">
        <v>2902</v>
      </c>
      <c r="J1368">
        <v>10.042809</v>
      </c>
      <c r="K1368">
        <v>-84.131761999999995</v>
      </c>
      <c r="L1368" t="s">
        <v>1225</v>
      </c>
      <c r="M1368" t="s">
        <v>27</v>
      </c>
      <c r="N1368" t="s">
        <v>28</v>
      </c>
      <c r="O1368" t="s">
        <v>29</v>
      </c>
      <c r="P1368">
        <v>21</v>
      </c>
      <c r="Q1368" t="s">
        <v>239</v>
      </c>
      <c r="S1368" t="str">
        <f>_xlfn.XLOOKUP(UNIVERSO[[#This Row],[Ruta]],'[1]CUOTA RUTA'!A:A,'[1]CUOTA RUTA'!D:D)</f>
        <v>Cargar</v>
      </c>
    </row>
    <row r="1369" spans="1:19" x14ac:dyDescent="0.25">
      <c r="A1369">
        <v>1500122659</v>
      </c>
      <c r="B1369" t="s">
        <v>2903</v>
      </c>
      <c r="C1369" t="s">
        <v>19</v>
      </c>
      <c r="D1369" t="s">
        <v>186</v>
      </c>
      <c r="E1369" t="s">
        <v>21</v>
      </c>
      <c r="F1369" t="s">
        <v>22</v>
      </c>
      <c r="G1369" t="s">
        <v>23</v>
      </c>
      <c r="H1369" t="s">
        <v>241</v>
      </c>
      <c r="I1369" t="s">
        <v>2904</v>
      </c>
      <c r="J1369">
        <v>10.061</v>
      </c>
      <c r="K1369">
        <v>-83.280500000000004</v>
      </c>
      <c r="L1369" t="s">
        <v>1225</v>
      </c>
      <c r="M1369" t="s">
        <v>189</v>
      </c>
      <c r="N1369" t="s">
        <v>190</v>
      </c>
      <c r="O1369" t="s">
        <v>191</v>
      </c>
      <c r="P1369">
        <v>20</v>
      </c>
      <c r="Q1369" t="s">
        <v>74</v>
      </c>
      <c r="S1369" t="str">
        <f>_xlfn.XLOOKUP(UNIVERSO[[#This Row],[Ruta]],'[1]CUOTA RUTA'!A:A,'[1]CUOTA RUTA'!D:D)</f>
        <v>Cargar</v>
      </c>
    </row>
    <row r="1370" spans="1:19" x14ac:dyDescent="0.25">
      <c r="A1370">
        <v>1500123479</v>
      </c>
      <c r="B1370" t="s">
        <v>2905</v>
      </c>
      <c r="C1370" t="s">
        <v>19</v>
      </c>
      <c r="D1370" t="s">
        <v>186</v>
      </c>
      <c r="E1370" t="s">
        <v>21</v>
      </c>
      <c r="F1370" t="s">
        <v>22</v>
      </c>
      <c r="G1370" t="s">
        <v>33</v>
      </c>
      <c r="H1370" t="s">
        <v>229</v>
      </c>
      <c r="I1370" t="s">
        <v>2906</v>
      </c>
      <c r="J1370">
        <v>9.9772300000000005</v>
      </c>
      <c r="K1370">
        <v>-83.039959999999994</v>
      </c>
      <c r="L1370" t="s">
        <v>1225</v>
      </c>
      <c r="M1370" t="s">
        <v>189</v>
      </c>
      <c r="N1370" t="s">
        <v>190</v>
      </c>
      <c r="O1370" t="s">
        <v>191</v>
      </c>
      <c r="P1370">
        <v>15</v>
      </c>
      <c r="Q1370" t="s">
        <v>231</v>
      </c>
      <c r="S1370" t="str">
        <f>_xlfn.XLOOKUP(UNIVERSO[[#This Row],[Ruta]],'[1]CUOTA RUTA'!A:A,'[1]CUOTA RUTA'!D:D)</f>
        <v>Cargar</v>
      </c>
    </row>
    <row r="1371" spans="1:19" x14ac:dyDescent="0.25">
      <c r="A1371">
        <v>1500123754</v>
      </c>
      <c r="B1371" t="s">
        <v>2907</v>
      </c>
      <c r="C1371" t="s">
        <v>19</v>
      </c>
      <c r="D1371" t="s">
        <v>186</v>
      </c>
      <c r="E1371" t="s">
        <v>62</v>
      </c>
      <c r="F1371" t="s">
        <v>63</v>
      </c>
      <c r="G1371" t="s">
        <v>33</v>
      </c>
      <c r="H1371" t="s">
        <v>241</v>
      </c>
      <c r="I1371" t="s">
        <v>2908</v>
      </c>
      <c r="J1371">
        <v>9.9999699999999994</v>
      </c>
      <c r="K1371">
        <v>-83.168940000000006</v>
      </c>
      <c r="L1371" t="s">
        <v>1225</v>
      </c>
      <c r="M1371" t="s">
        <v>189</v>
      </c>
      <c r="N1371" t="s">
        <v>190</v>
      </c>
      <c r="O1371" t="s">
        <v>191</v>
      </c>
      <c r="P1371">
        <v>19</v>
      </c>
      <c r="Q1371" t="s">
        <v>67</v>
      </c>
      <c r="S1371" t="str">
        <f>_xlfn.XLOOKUP(UNIVERSO[[#This Row],[Ruta]],'[1]CUOTA RUTA'!A:A,'[1]CUOTA RUTA'!D:D)</f>
        <v>Cargar</v>
      </c>
    </row>
    <row r="1372" spans="1:19" x14ac:dyDescent="0.25">
      <c r="A1372">
        <v>1500123780</v>
      </c>
      <c r="B1372" t="s">
        <v>2909</v>
      </c>
      <c r="C1372" t="s">
        <v>19</v>
      </c>
      <c r="D1372" t="s">
        <v>186</v>
      </c>
      <c r="E1372" t="s">
        <v>21</v>
      </c>
      <c r="F1372" t="s">
        <v>22</v>
      </c>
      <c r="G1372" t="s">
        <v>23</v>
      </c>
      <c r="H1372" t="s">
        <v>241</v>
      </c>
      <c r="I1372" t="s">
        <v>2910</v>
      </c>
      <c r="J1372">
        <v>10.01458</v>
      </c>
      <c r="K1372">
        <v>-83.233549999999994</v>
      </c>
      <c r="L1372" t="s">
        <v>1225</v>
      </c>
      <c r="M1372" t="s">
        <v>189</v>
      </c>
      <c r="N1372" t="s">
        <v>190</v>
      </c>
      <c r="O1372" t="s">
        <v>191</v>
      </c>
      <c r="P1372">
        <v>23</v>
      </c>
      <c r="Q1372" t="s">
        <v>125</v>
      </c>
      <c r="S1372" t="str">
        <f>_xlfn.XLOOKUP(UNIVERSO[[#This Row],[Ruta]],'[1]CUOTA RUTA'!A:A,'[1]CUOTA RUTA'!D:D)</f>
        <v>Cargar</v>
      </c>
    </row>
    <row r="1373" spans="1:19" x14ac:dyDescent="0.25">
      <c r="A1373">
        <v>1500123817</v>
      </c>
      <c r="B1373" t="s">
        <v>2911</v>
      </c>
      <c r="C1373" t="s">
        <v>19</v>
      </c>
      <c r="D1373" t="s">
        <v>186</v>
      </c>
      <c r="E1373" t="s">
        <v>21</v>
      </c>
      <c r="F1373" t="s">
        <v>22</v>
      </c>
      <c r="G1373" t="s">
        <v>64</v>
      </c>
      <c r="H1373" t="s">
        <v>229</v>
      </c>
      <c r="I1373" t="s">
        <v>2912</v>
      </c>
      <c r="J1373">
        <v>9.9909921100000005</v>
      </c>
      <c r="K1373">
        <v>-83.032886050000002</v>
      </c>
      <c r="L1373" t="s">
        <v>1225</v>
      </c>
      <c r="M1373" t="s">
        <v>189</v>
      </c>
      <c r="N1373" t="s">
        <v>190</v>
      </c>
      <c r="O1373" t="s">
        <v>191</v>
      </c>
      <c r="P1373">
        <v>12</v>
      </c>
      <c r="Q1373" t="s">
        <v>42</v>
      </c>
      <c r="S1373" t="str">
        <f>_xlfn.XLOOKUP(UNIVERSO[[#This Row],[Ruta]],'[1]CUOTA RUTA'!A:A,'[1]CUOTA RUTA'!D:D)</f>
        <v>Cargar</v>
      </c>
    </row>
    <row r="1374" spans="1:19" x14ac:dyDescent="0.25">
      <c r="A1374">
        <v>1500124356</v>
      </c>
      <c r="B1374" t="s">
        <v>2758</v>
      </c>
      <c r="C1374" t="s">
        <v>19</v>
      </c>
      <c r="D1374" t="s">
        <v>201</v>
      </c>
      <c r="E1374" t="s">
        <v>21</v>
      </c>
      <c r="F1374" t="s">
        <v>51</v>
      </c>
      <c r="G1374" t="s">
        <v>23</v>
      </c>
      <c r="H1374" t="s">
        <v>528</v>
      </c>
      <c r="I1374" t="s">
        <v>2913</v>
      </c>
      <c r="J1374">
        <v>10.262648</v>
      </c>
      <c r="K1374">
        <v>-84.946670999999995</v>
      </c>
      <c r="L1374" t="s">
        <v>1225</v>
      </c>
      <c r="M1374" t="s">
        <v>327</v>
      </c>
      <c r="N1374" t="s">
        <v>530</v>
      </c>
      <c r="O1374" t="s">
        <v>531</v>
      </c>
      <c r="P1374">
        <v>1</v>
      </c>
      <c r="Q1374" t="s">
        <v>155</v>
      </c>
      <c r="S1374" t="str">
        <f>_xlfn.XLOOKUP(UNIVERSO[[#This Row],[Ruta]],'[1]CUOTA RUTA'!A:A,'[1]CUOTA RUTA'!D:D)</f>
        <v>Cargar</v>
      </c>
    </row>
    <row r="1375" spans="1:19" x14ac:dyDescent="0.25">
      <c r="A1375">
        <v>1500124455</v>
      </c>
      <c r="B1375" t="s">
        <v>2914</v>
      </c>
      <c r="C1375" t="s">
        <v>19</v>
      </c>
      <c r="D1375" t="s">
        <v>201</v>
      </c>
      <c r="E1375" t="s">
        <v>21</v>
      </c>
      <c r="F1375" t="s">
        <v>22</v>
      </c>
      <c r="G1375" t="s">
        <v>33</v>
      </c>
      <c r="H1375" t="s">
        <v>528</v>
      </c>
      <c r="I1375" t="s">
        <v>2915</v>
      </c>
      <c r="J1375">
        <v>10.185510000000001</v>
      </c>
      <c r="K1375">
        <v>-85.108419999999995</v>
      </c>
      <c r="L1375" t="s">
        <v>1225</v>
      </c>
      <c r="M1375" t="s">
        <v>327</v>
      </c>
      <c r="N1375" t="s">
        <v>530</v>
      </c>
      <c r="O1375" t="s">
        <v>531</v>
      </c>
      <c r="P1375">
        <v>2</v>
      </c>
      <c r="Q1375" t="s">
        <v>150</v>
      </c>
      <c r="S1375" t="str">
        <f>_xlfn.XLOOKUP(UNIVERSO[[#This Row],[Ruta]],'[1]CUOTA RUTA'!A:A,'[1]CUOTA RUTA'!D:D)</f>
        <v>Cargar</v>
      </c>
    </row>
    <row r="1376" spans="1:19" x14ac:dyDescent="0.25">
      <c r="A1376">
        <v>1500124511</v>
      </c>
      <c r="B1376" t="s">
        <v>2916</v>
      </c>
      <c r="C1376" t="s">
        <v>19</v>
      </c>
      <c r="D1376" t="s">
        <v>201</v>
      </c>
      <c r="E1376" t="s">
        <v>21</v>
      </c>
      <c r="F1376" t="s">
        <v>22</v>
      </c>
      <c r="G1376" t="s">
        <v>64</v>
      </c>
      <c r="H1376" t="s">
        <v>488</v>
      </c>
      <c r="I1376" t="s">
        <v>2917</v>
      </c>
      <c r="J1376">
        <v>10.30143</v>
      </c>
      <c r="K1376">
        <v>-84.928802000000005</v>
      </c>
      <c r="L1376" t="s">
        <v>1225</v>
      </c>
      <c r="M1376" t="s">
        <v>204</v>
      </c>
      <c r="N1376" t="s">
        <v>205</v>
      </c>
      <c r="O1376" t="s">
        <v>206</v>
      </c>
      <c r="P1376">
        <v>12</v>
      </c>
      <c r="Q1376" t="s">
        <v>42</v>
      </c>
      <c r="S1376" t="str">
        <f>_xlfn.XLOOKUP(UNIVERSO[[#This Row],[Ruta]],'[1]CUOTA RUTA'!A:A,'[1]CUOTA RUTA'!D:D)</f>
        <v>Cargar</v>
      </c>
    </row>
    <row r="1377" spans="1:19" x14ac:dyDescent="0.25">
      <c r="A1377">
        <v>1500124595</v>
      </c>
      <c r="B1377" t="s">
        <v>2918</v>
      </c>
      <c r="C1377" t="s">
        <v>19</v>
      </c>
      <c r="D1377" t="s">
        <v>201</v>
      </c>
      <c r="E1377" t="s">
        <v>21</v>
      </c>
      <c r="F1377" t="s">
        <v>22</v>
      </c>
      <c r="G1377" t="s">
        <v>64</v>
      </c>
      <c r="H1377" t="s">
        <v>528</v>
      </c>
      <c r="I1377" t="s">
        <v>2919</v>
      </c>
      <c r="J1377">
        <v>10.19267</v>
      </c>
      <c r="K1377">
        <v>-85.168729999999996</v>
      </c>
      <c r="L1377" t="s">
        <v>1225</v>
      </c>
      <c r="M1377" t="s">
        <v>327</v>
      </c>
      <c r="N1377" t="s">
        <v>530</v>
      </c>
      <c r="O1377" t="s">
        <v>531</v>
      </c>
      <c r="P1377">
        <v>2</v>
      </c>
      <c r="Q1377" t="s">
        <v>150</v>
      </c>
      <c r="S1377" t="str">
        <f>_xlfn.XLOOKUP(UNIVERSO[[#This Row],[Ruta]],'[1]CUOTA RUTA'!A:A,'[1]CUOTA RUTA'!D:D)</f>
        <v>Cargar</v>
      </c>
    </row>
    <row r="1378" spans="1:19" x14ac:dyDescent="0.25">
      <c r="A1378">
        <v>1500124726</v>
      </c>
      <c r="B1378" t="s">
        <v>2920</v>
      </c>
      <c r="C1378" t="s">
        <v>19</v>
      </c>
      <c r="D1378" t="s">
        <v>337</v>
      </c>
      <c r="E1378" t="s">
        <v>21</v>
      </c>
      <c r="F1378" t="s">
        <v>22</v>
      </c>
      <c r="G1378" t="s">
        <v>64</v>
      </c>
      <c r="H1378" t="s">
        <v>338</v>
      </c>
      <c r="I1378" t="s">
        <v>2921</v>
      </c>
      <c r="J1378">
        <v>10.42792298</v>
      </c>
      <c r="K1378">
        <v>-85.102176689999993</v>
      </c>
      <c r="L1378" t="s">
        <v>1225</v>
      </c>
      <c r="M1378" t="s">
        <v>327</v>
      </c>
      <c r="N1378" t="s">
        <v>340</v>
      </c>
      <c r="O1378" t="s">
        <v>341</v>
      </c>
      <c r="P1378">
        <v>22</v>
      </c>
      <c r="Q1378" t="s">
        <v>30</v>
      </c>
      <c r="S1378" t="str">
        <f>_xlfn.XLOOKUP(UNIVERSO[[#This Row],[Ruta]],'[1]CUOTA RUTA'!A:A,'[1]CUOTA RUTA'!D:D)</f>
        <v>Cargar</v>
      </c>
    </row>
    <row r="1379" spans="1:19" x14ac:dyDescent="0.25">
      <c r="A1379">
        <v>1500124892</v>
      </c>
      <c r="B1379" t="s">
        <v>2922</v>
      </c>
      <c r="C1379" t="s">
        <v>19</v>
      </c>
      <c r="D1379" t="s">
        <v>337</v>
      </c>
      <c r="E1379" t="s">
        <v>21</v>
      </c>
      <c r="F1379" t="s">
        <v>22</v>
      </c>
      <c r="G1379" t="s">
        <v>33</v>
      </c>
      <c r="H1379" t="s">
        <v>824</v>
      </c>
      <c r="I1379" t="s">
        <v>2923</v>
      </c>
      <c r="J1379">
        <v>10.423550000000001</v>
      </c>
      <c r="K1379">
        <v>-85.097880000000004</v>
      </c>
      <c r="L1379" t="s">
        <v>1225</v>
      </c>
      <c r="M1379" t="s">
        <v>327</v>
      </c>
      <c r="N1379" t="s">
        <v>340</v>
      </c>
      <c r="O1379" t="s">
        <v>341</v>
      </c>
      <c r="P1379">
        <v>22</v>
      </c>
      <c r="Q1379" t="s">
        <v>30</v>
      </c>
      <c r="S1379" t="str">
        <f>_xlfn.XLOOKUP(UNIVERSO[[#This Row],[Ruta]],'[1]CUOTA RUTA'!A:A,'[1]CUOTA RUTA'!D:D)</f>
        <v>Cargar</v>
      </c>
    </row>
    <row r="1380" spans="1:19" x14ac:dyDescent="0.25">
      <c r="A1380">
        <v>1500126273</v>
      </c>
      <c r="B1380" t="s">
        <v>2924</v>
      </c>
      <c r="C1380" t="s">
        <v>19</v>
      </c>
      <c r="D1380" t="s">
        <v>244</v>
      </c>
      <c r="E1380" t="s">
        <v>21</v>
      </c>
      <c r="F1380" t="s">
        <v>51</v>
      </c>
      <c r="G1380" t="s">
        <v>23</v>
      </c>
      <c r="H1380" t="s">
        <v>819</v>
      </c>
      <c r="I1380" t="s">
        <v>2925</v>
      </c>
      <c r="J1380">
        <v>9.5139800000000001</v>
      </c>
      <c r="K1380">
        <v>-84.321100000000001</v>
      </c>
      <c r="L1380" t="s">
        <v>1225</v>
      </c>
      <c r="M1380" t="s">
        <v>46</v>
      </c>
      <c r="N1380" t="s">
        <v>247</v>
      </c>
      <c r="O1380" t="s">
        <v>248</v>
      </c>
      <c r="P1380">
        <v>23</v>
      </c>
      <c r="Q1380" t="s">
        <v>125</v>
      </c>
      <c r="S1380" t="str">
        <f>_xlfn.XLOOKUP(UNIVERSO[[#This Row],[Ruta]],'[1]CUOTA RUTA'!A:A,'[1]CUOTA RUTA'!D:D)</f>
        <v>Cargar</v>
      </c>
    </row>
    <row r="1381" spans="1:19" x14ac:dyDescent="0.25">
      <c r="A1381">
        <v>1500126349</v>
      </c>
      <c r="B1381" t="s">
        <v>1145</v>
      </c>
      <c r="C1381" t="s">
        <v>19</v>
      </c>
      <c r="D1381" t="s">
        <v>244</v>
      </c>
      <c r="E1381" t="s">
        <v>21</v>
      </c>
      <c r="F1381" t="s">
        <v>51</v>
      </c>
      <c r="G1381" t="s">
        <v>23</v>
      </c>
      <c r="H1381" t="s">
        <v>436</v>
      </c>
      <c r="I1381" t="s">
        <v>2926</v>
      </c>
      <c r="J1381">
        <v>9.4602500000000003</v>
      </c>
      <c r="K1381">
        <v>-84.181100000000001</v>
      </c>
      <c r="L1381" t="s">
        <v>1225</v>
      </c>
      <c r="M1381" t="s">
        <v>46</v>
      </c>
      <c r="N1381" t="s">
        <v>247</v>
      </c>
      <c r="O1381" t="s">
        <v>248</v>
      </c>
      <c r="P1381">
        <v>21</v>
      </c>
      <c r="Q1381" t="s">
        <v>239</v>
      </c>
      <c r="S1381" t="str">
        <f>_xlfn.XLOOKUP(UNIVERSO[[#This Row],[Ruta]],'[1]CUOTA RUTA'!A:A,'[1]CUOTA RUTA'!D:D)</f>
        <v>Cargar</v>
      </c>
    </row>
    <row r="1382" spans="1:19" x14ac:dyDescent="0.25">
      <c r="A1382">
        <v>1500126362</v>
      </c>
      <c r="B1382" t="s">
        <v>2927</v>
      </c>
      <c r="C1382" t="s">
        <v>19</v>
      </c>
      <c r="D1382" t="s">
        <v>244</v>
      </c>
      <c r="E1382" t="s">
        <v>21</v>
      </c>
      <c r="F1382" t="s">
        <v>51</v>
      </c>
      <c r="G1382" t="s">
        <v>23</v>
      </c>
      <c r="H1382" t="s">
        <v>819</v>
      </c>
      <c r="I1382" t="s">
        <v>2928</v>
      </c>
      <c r="J1382">
        <v>9.4916300000000007</v>
      </c>
      <c r="K1382">
        <v>-84.210300000000004</v>
      </c>
      <c r="L1382" t="s">
        <v>1225</v>
      </c>
      <c r="M1382" t="s">
        <v>46</v>
      </c>
      <c r="N1382" t="s">
        <v>247</v>
      </c>
      <c r="O1382" t="s">
        <v>248</v>
      </c>
      <c r="P1382">
        <v>22</v>
      </c>
      <c r="Q1382" t="s">
        <v>30</v>
      </c>
      <c r="S1382" t="str">
        <f>_xlfn.XLOOKUP(UNIVERSO[[#This Row],[Ruta]],'[1]CUOTA RUTA'!A:A,'[1]CUOTA RUTA'!D:D)</f>
        <v>Cargar</v>
      </c>
    </row>
    <row r="1383" spans="1:19" x14ac:dyDescent="0.25">
      <c r="A1383">
        <v>1500126644</v>
      </c>
      <c r="B1383" t="s">
        <v>2929</v>
      </c>
      <c r="C1383" t="s">
        <v>19</v>
      </c>
      <c r="D1383" t="s">
        <v>244</v>
      </c>
      <c r="E1383" t="s">
        <v>21</v>
      </c>
      <c r="F1383" t="s">
        <v>22</v>
      </c>
      <c r="G1383" t="s">
        <v>33</v>
      </c>
      <c r="H1383" t="s">
        <v>436</v>
      </c>
      <c r="I1383" t="s">
        <v>2930</v>
      </c>
      <c r="J1383">
        <v>9.4716699999999996</v>
      </c>
      <c r="K1383">
        <v>-84.105999999999995</v>
      </c>
      <c r="L1383" t="s">
        <v>1225</v>
      </c>
      <c r="M1383" t="s">
        <v>46</v>
      </c>
      <c r="N1383" t="s">
        <v>247</v>
      </c>
      <c r="O1383" t="s">
        <v>248</v>
      </c>
      <c r="P1383">
        <v>20</v>
      </c>
      <c r="Q1383" t="s">
        <v>74</v>
      </c>
      <c r="S1383" t="str">
        <f>_xlfn.XLOOKUP(UNIVERSO[[#This Row],[Ruta]],'[1]CUOTA RUTA'!A:A,'[1]CUOTA RUTA'!D:D)</f>
        <v>Cargar</v>
      </c>
    </row>
    <row r="1384" spans="1:19" x14ac:dyDescent="0.25">
      <c r="A1384">
        <v>1500126937</v>
      </c>
      <c r="B1384" t="s">
        <v>2931</v>
      </c>
      <c r="C1384" t="s">
        <v>19</v>
      </c>
      <c r="D1384" t="s">
        <v>244</v>
      </c>
      <c r="E1384" t="s">
        <v>21</v>
      </c>
      <c r="F1384" t="s">
        <v>22</v>
      </c>
      <c r="G1384" t="s">
        <v>64</v>
      </c>
      <c r="H1384" t="s">
        <v>1233</v>
      </c>
      <c r="I1384" t="s">
        <v>2932</v>
      </c>
      <c r="J1384">
        <v>9.3584530000000008</v>
      </c>
      <c r="K1384">
        <v>-83.681240000000003</v>
      </c>
      <c r="L1384" t="s">
        <v>1225</v>
      </c>
      <c r="M1384" t="s">
        <v>46</v>
      </c>
      <c r="N1384" t="s">
        <v>247</v>
      </c>
      <c r="O1384" t="s">
        <v>248</v>
      </c>
      <c r="P1384">
        <v>14</v>
      </c>
      <c r="Q1384" t="s">
        <v>181</v>
      </c>
      <c r="S1384" t="str">
        <f>_xlfn.XLOOKUP(UNIVERSO[[#This Row],[Ruta]],'[1]CUOTA RUTA'!A:A,'[1]CUOTA RUTA'!D:D)</f>
        <v>Cargar</v>
      </c>
    </row>
    <row r="1385" spans="1:19" x14ac:dyDescent="0.25">
      <c r="A1385">
        <v>1500128583</v>
      </c>
      <c r="B1385" t="s">
        <v>2933</v>
      </c>
      <c r="C1385" t="s">
        <v>19</v>
      </c>
      <c r="D1385" t="s">
        <v>569</v>
      </c>
      <c r="E1385" t="s">
        <v>21</v>
      </c>
      <c r="F1385" t="s">
        <v>22</v>
      </c>
      <c r="G1385" t="s">
        <v>33</v>
      </c>
      <c r="H1385" t="s">
        <v>570</v>
      </c>
      <c r="I1385" t="s">
        <v>2934</v>
      </c>
      <c r="J1385">
        <v>8.6851970000000005</v>
      </c>
      <c r="K1385">
        <v>-83.066022000000004</v>
      </c>
      <c r="L1385" t="s">
        <v>1225</v>
      </c>
      <c r="M1385" t="s">
        <v>572</v>
      </c>
      <c r="N1385" t="s">
        <v>573</v>
      </c>
      <c r="O1385" t="s">
        <v>574</v>
      </c>
      <c r="P1385">
        <v>23</v>
      </c>
      <c r="Q1385" t="s">
        <v>125</v>
      </c>
      <c r="S1385" t="str">
        <f>_xlfn.XLOOKUP(UNIVERSO[[#This Row],[Ruta]],'[1]CUOTA RUTA'!A:A,'[1]CUOTA RUTA'!D:D)</f>
        <v>Cargar</v>
      </c>
    </row>
    <row r="1386" spans="1:19" x14ac:dyDescent="0.25">
      <c r="A1386">
        <v>1500128873</v>
      </c>
      <c r="B1386" t="s">
        <v>2935</v>
      </c>
      <c r="C1386" t="s">
        <v>19</v>
      </c>
      <c r="D1386" t="s">
        <v>569</v>
      </c>
      <c r="E1386" t="s">
        <v>21</v>
      </c>
      <c r="F1386" t="s">
        <v>22</v>
      </c>
      <c r="G1386" t="s">
        <v>33</v>
      </c>
      <c r="H1386" t="s">
        <v>570</v>
      </c>
      <c r="I1386" t="s">
        <v>2936</v>
      </c>
      <c r="J1386">
        <v>8.8725749999999994</v>
      </c>
      <c r="K1386">
        <v>-83.470425000000006</v>
      </c>
      <c r="L1386" t="s">
        <v>1225</v>
      </c>
      <c r="M1386" t="s">
        <v>572</v>
      </c>
      <c r="N1386" t="s">
        <v>573</v>
      </c>
      <c r="O1386" t="s">
        <v>574</v>
      </c>
      <c r="P1386">
        <v>22</v>
      </c>
      <c r="Q1386" t="s">
        <v>30</v>
      </c>
      <c r="S1386" t="str">
        <f>_xlfn.XLOOKUP(UNIVERSO[[#This Row],[Ruta]],'[1]CUOTA RUTA'!A:A,'[1]CUOTA RUTA'!D:D)</f>
        <v>Cargar</v>
      </c>
    </row>
    <row r="1387" spans="1:19" x14ac:dyDescent="0.25">
      <c r="A1387">
        <v>1500129482</v>
      </c>
      <c r="B1387" t="s">
        <v>2937</v>
      </c>
      <c r="C1387" t="s">
        <v>19</v>
      </c>
      <c r="D1387" t="s">
        <v>569</v>
      </c>
      <c r="E1387" t="s">
        <v>21</v>
      </c>
      <c r="F1387" t="s">
        <v>22</v>
      </c>
      <c r="G1387" t="s">
        <v>64</v>
      </c>
      <c r="H1387" t="s">
        <v>570</v>
      </c>
      <c r="I1387" t="s">
        <v>2938</v>
      </c>
      <c r="J1387">
        <v>8.6037370000000006</v>
      </c>
      <c r="K1387">
        <v>-83.093682999999999</v>
      </c>
      <c r="L1387" t="s">
        <v>1225</v>
      </c>
      <c r="M1387" t="s">
        <v>572</v>
      </c>
      <c r="N1387" t="s">
        <v>573</v>
      </c>
      <c r="O1387" t="s">
        <v>574</v>
      </c>
      <c r="P1387">
        <v>23</v>
      </c>
      <c r="Q1387" t="s">
        <v>125</v>
      </c>
      <c r="S1387" t="str">
        <f>_xlfn.XLOOKUP(UNIVERSO[[#This Row],[Ruta]],'[1]CUOTA RUTA'!A:A,'[1]CUOTA RUTA'!D:D)</f>
        <v>Cargar</v>
      </c>
    </row>
    <row r="1388" spans="1:19" x14ac:dyDescent="0.25">
      <c r="A1388">
        <v>1500131186</v>
      </c>
      <c r="B1388" t="s">
        <v>2939</v>
      </c>
      <c r="C1388" t="s">
        <v>19</v>
      </c>
      <c r="D1388" t="s">
        <v>32</v>
      </c>
      <c r="E1388" t="s">
        <v>21</v>
      </c>
      <c r="F1388" t="s">
        <v>22</v>
      </c>
      <c r="G1388" t="s">
        <v>33</v>
      </c>
      <c r="H1388" t="s">
        <v>82</v>
      </c>
      <c r="I1388" t="s">
        <v>2940</v>
      </c>
      <c r="J1388">
        <v>9.9039199999999994</v>
      </c>
      <c r="K1388">
        <v>-84.075599999999994</v>
      </c>
      <c r="L1388" t="s">
        <v>1225</v>
      </c>
      <c r="M1388" t="s">
        <v>71</v>
      </c>
      <c r="N1388" t="s">
        <v>72</v>
      </c>
      <c r="O1388" t="s">
        <v>73</v>
      </c>
      <c r="P1388">
        <v>7</v>
      </c>
      <c r="Q1388" t="s">
        <v>39</v>
      </c>
      <c r="S1388" t="str">
        <f>_xlfn.XLOOKUP(UNIVERSO[[#This Row],[Ruta]],'[1]CUOTA RUTA'!A:A,'[1]CUOTA RUTA'!D:D)</f>
        <v>Cargar</v>
      </c>
    </row>
    <row r="1389" spans="1:19" x14ac:dyDescent="0.25">
      <c r="A1389">
        <v>1500131190</v>
      </c>
      <c r="B1389" t="s">
        <v>2941</v>
      </c>
      <c r="C1389" t="s">
        <v>19</v>
      </c>
      <c r="D1389" t="s">
        <v>32</v>
      </c>
      <c r="E1389" t="s">
        <v>21</v>
      </c>
      <c r="F1389" t="s">
        <v>22</v>
      </c>
      <c r="G1389" t="s">
        <v>64</v>
      </c>
      <c r="H1389" t="s">
        <v>89</v>
      </c>
      <c r="I1389" t="s">
        <v>2942</v>
      </c>
      <c r="J1389">
        <v>9.8827809999999996</v>
      </c>
      <c r="K1389">
        <v>-84.086860999999999</v>
      </c>
      <c r="L1389" t="s">
        <v>1225</v>
      </c>
      <c r="M1389" t="s">
        <v>71</v>
      </c>
      <c r="N1389" t="s">
        <v>72</v>
      </c>
      <c r="O1389" t="s">
        <v>73</v>
      </c>
      <c r="P1389">
        <v>17</v>
      </c>
      <c r="Q1389" t="s">
        <v>287</v>
      </c>
      <c r="S1389" t="str">
        <f>_xlfn.XLOOKUP(UNIVERSO[[#This Row],[Ruta]],'[1]CUOTA RUTA'!A:A,'[1]CUOTA RUTA'!D:D)</f>
        <v>Cargar</v>
      </c>
    </row>
    <row r="1390" spans="1:19" x14ac:dyDescent="0.25">
      <c r="A1390">
        <v>1500131582</v>
      </c>
      <c r="B1390" t="s">
        <v>2943</v>
      </c>
      <c r="C1390" t="s">
        <v>19</v>
      </c>
      <c r="D1390" t="s">
        <v>32</v>
      </c>
      <c r="E1390" t="s">
        <v>21</v>
      </c>
      <c r="F1390" t="s">
        <v>22</v>
      </c>
      <c r="G1390" t="s">
        <v>33</v>
      </c>
      <c r="H1390" t="s">
        <v>76</v>
      </c>
      <c r="I1390" t="s">
        <v>2944</v>
      </c>
      <c r="J1390">
        <v>9.9373640000000005</v>
      </c>
      <c r="K1390">
        <v>-84.015418999999994</v>
      </c>
      <c r="L1390" t="s">
        <v>1225</v>
      </c>
      <c r="M1390" t="s">
        <v>36</v>
      </c>
      <c r="N1390" t="s">
        <v>37</v>
      </c>
      <c r="O1390" t="s">
        <v>38</v>
      </c>
      <c r="P1390">
        <v>9</v>
      </c>
      <c r="Q1390" t="s">
        <v>80</v>
      </c>
      <c r="S1390" t="str">
        <f>_xlfn.XLOOKUP(UNIVERSO[[#This Row],[Ruta]],'[1]CUOTA RUTA'!A:A,'[1]CUOTA RUTA'!D:D)</f>
        <v>Cargar</v>
      </c>
    </row>
    <row r="1391" spans="1:19" x14ac:dyDescent="0.25">
      <c r="A1391">
        <v>1500132504</v>
      </c>
      <c r="B1391" t="s">
        <v>2945</v>
      </c>
      <c r="C1391" t="s">
        <v>19</v>
      </c>
      <c r="D1391" t="s">
        <v>32</v>
      </c>
      <c r="E1391" t="s">
        <v>21</v>
      </c>
      <c r="F1391" t="s">
        <v>22</v>
      </c>
      <c r="G1391" t="s">
        <v>33</v>
      </c>
      <c r="H1391" t="s">
        <v>716</v>
      </c>
      <c r="I1391" t="s">
        <v>2946</v>
      </c>
      <c r="J1391">
        <v>9.9126300000000001</v>
      </c>
      <c r="K1391">
        <v>-84.037800000000004</v>
      </c>
      <c r="L1391" t="s">
        <v>1225</v>
      </c>
      <c r="M1391" t="s">
        <v>36</v>
      </c>
      <c r="N1391" t="s">
        <v>37</v>
      </c>
      <c r="O1391" t="s">
        <v>38</v>
      </c>
      <c r="P1391">
        <v>10</v>
      </c>
      <c r="Q1391" t="s">
        <v>136</v>
      </c>
      <c r="S1391" t="str">
        <f>_xlfn.XLOOKUP(UNIVERSO[[#This Row],[Ruta]],'[1]CUOTA RUTA'!A:A,'[1]CUOTA RUTA'!D:D)</f>
        <v>Cargar</v>
      </c>
    </row>
    <row r="1392" spans="1:19" x14ac:dyDescent="0.25">
      <c r="A1392">
        <v>1500132510</v>
      </c>
      <c r="B1392" t="s">
        <v>2947</v>
      </c>
      <c r="C1392" t="s">
        <v>19</v>
      </c>
      <c r="D1392" t="s">
        <v>32</v>
      </c>
      <c r="E1392" t="s">
        <v>21</v>
      </c>
      <c r="F1392" t="s">
        <v>22</v>
      </c>
      <c r="G1392" t="s">
        <v>33</v>
      </c>
      <c r="H1392" t="s">
        <v>1191</v>
      </c>
      <c r="I1392" t="s">
        <v>2948</v>
      </c>
      <c r="J1392">
        <v>9.8980910000000009</v>
      </c>
      <c r="K1392">
        <v>-84.027418999999995</v>
      </c>
      <c r="L1392" t="s">
        <v>1225</v>
      </c>
      <c r="M1392" t="s">
        <v>36</v>
      </c>
      <c r="N1392" t="s">
        <v>37</v>
      </c>
      <c r="O1392" t="s">
        <v>38</v>
      </c>
      <c r="P1392">
        <v>15</v>
      </c>
      <c r="Q1392" t="s">
        <v>231</v>
      </c>
      <c r="S1392" t="str">
        <f>_xlfn.XLOOKUP(UNIVERSO[[#This Row],[Ruta]],'[1]CUOTA RUTA'!A:A,'[1]CUOTA RUTA'!D:D)</f>
        <v>Cargar</v>
      </c>
    </row>
    <row r="1393" spans="1:19" x14ac:dyDescent="0.25">
      <c r="A1393">
        <v>1500132590</v>
      </c>
      <c r="B1393" t="s">
        <v>2949</v>
      </c>
      <c r="C1393" t="s">
        <v>19</v>
      </c>
      <c r="D1393" t="s">
        <v>32</v>
      </c>
      <c r="E1393" t="s">
        <v>21</v>
      </c>
      <c r="F1393" t="s">
        <v>51</v>
      </c>
      <c r="G1393" t="s">
        <v>23</v>
      </c>
      <c r="H1393" t="s">
        <v>34</v>
      </c>
      <c r="I1393" t="s">
        <v>2950</v>
      </c>
      <c r="J1393">
        <v>9.8963970000000003</v>
      </c>
      <c r="K1393">
        <v>-83.997946999999996</v>
      </c>
      <c r="L1393" t="s">
        <v>1225</v>
      </c>
      <c r="M1393" t="s">
        <v>36</v>
      </c>
      <c r="N1393" t="s">
        <v>37</v>
      </c>
      <c r="O1393" t="s">
        <v>38</v>
      </c>
      <c r="P1393">
        <v>18</v>
      </c>
      <c r="Q1393" t="s">
        <v>84</v>
      </c>
      <c r="S1393" t="str">
        <f>_xlfn.XLOOKUP(UNIVERSO[[#This Row],[Ruta]],'[1]CUOTA RUTA'!A:A,'[1]CUOTA RUTA'!D:D)</f>
        <v>Cargar</v>
      </c>
    </row>
    <row r="1394" spans="1:19" x14ac:dyDescent="0.25">
      <c r="A1394">
        <v>1500132595</v>
      </c>
      <c r="B1394" t="s">
        <v>2951</v>
      </c>
      <c r="C1394" t="s">
        <v>19</v>
      </c>
      <c r="D1394" t="s">
        <v>32</v>
      </c>
      <c r="E1394" t="s">
        <v>21</v>
      </c>
      <c r="F1394" t="s">
        <v>22</v>
      </c>
      <c r="G1394" t="s">
        <v>33</v>
      </c>
      <c r="H1394" t="s">
        <v>138</v>
      </c>
      <c r="I1394" t="s">
        <v>2952</v>
      </c>
      <c r="J1394">
        <v>9.930885</v>
      </c>
      <c r="K1394">
        <v>-84.053135999999995</v>
      </c>
      <c r="L1394" t="s">
        <v>1225</v>
      </c>
      <c r="M1394" t="s">
        <v>36</v>
      </c>
      <c r="N1394" t="s">
        <v>37</v>
      </c>
      <c r="O1394" t="s">
        <v>38</v>
      </c>
      <c r="P1394">
        <v>23</v>
      </c>
      <c r="Q1394" t="s">
        <v>125</v>
      </c>
      <c r="S1394" t="str">
        <f>_xlfn.XLOOKUP(UNIVERSO[[#This Row],[Ruta]],'[1]CUOTA RUTA'!A:A,'[1]CUOTA RUTA'!D:D)</f>
        <v>Cargar</v>
      </c>
    </row>
    <row r="1395" spans="1:19" x14ac:dyDescent="0.25">
      <c r="A1395">
        <v>1500132665</v>
      </c>
      <c r="B1395" t="s">
        <v>2953</v>
      </c>
      <c r="C1395" t="s">
        <v>19</v>
      </c>
      <c r="D1395" t="s">
        <v>32</v>
      </c>
      <c r="E1395" t="s">
        <v>21</v>
      </c>
      <c r="F1395" t="s">
        <v>22</v>
      </c>
      <c r="G1395" t="s">
        <v>33</v>
      </c>
      <c r="H1395" t="s">
        <v>425</v>
      </c>
      <c r="I1395" t="s">
        <v>2954</v>
      </c>
      <c r="J1395">
        <v>9.8654960000000003</v>
      </c>
      <c r="K1395">
        <v>-84.084807999999995</v>
      </c>
      <c r="L1395" t="s">
        <v>1225</v>
      </c>
      <c r="M1395" t="s">
        <v>71</v>
      </c>
      <c r="N1395" t="s">
        <v>72</v>
      </c>
      <c r="O1395" t="s">
        <v>73</v>
      </c>
      <c r="P1395">
        <v>15</v>
      </c>
      <c r="Q1395" t="s">
        <v>231</v>
      </c>
      <c r="S1395" t="str">
        <f>_xlfn.XLOOKUP(UNIVERSO[[#This Row],[Ruta]],'[1]CUOTA RUTA'!A:A,'[1]CUOTA RUTA'!D:D)</f>
        <v>Cargar</v>
      </c>
    </row>
    <row r="1396" spans="1:19" x14ac:dyDescent="0.25">
      <c r="A1396">
        <v>1500132887</v>
      </c>
      <c r="B1396" t="s">
        <v>2955</v>
      </c>
      <c r="C1396" t="s">
        <v>19</v>
      </c>
      <c r="D1396" t="s">
        <v>32</v>
      </c>
      <c r="E1396" t="s">
        <v>21</v>
      </c>
      <c r="F1396" t="s">
        <v>22</v>
      </c>
      <c r="G1396" t="s">
        <v>33</v>
      </c>
      <c r="H1396" t="s">
        <v>148</v>
      </c>
      <c r="I1396" t="s">
        <v>2956</v>
      </c>
      <c r="J1396">
        <v>9.9861599999999999</v>
      </c>
      <c r="K1396">
        <v>-84.023799999999994</v>
      </c>
      <c r="L1396" t="s">
        <v>1225</v>
      </c>
      <c r="M1396" t="s">
        <v>94</v>
      </c>
      <c r="N1396" t="s">
        <v>95</v>
      </c>
      <c r="O1396" t="s">
        <v>96</v>
      </c>
      <c r="P1396">
        <v>3</v>
      </c>
      <c r="Q1396" t="s">
        <v>101</v>
      </c>
      <c r="S1396" t="str">
        <f>_xlfn.XLOOKUP(UNIVERSO[[#This Row],[Ruta]],'[1]CUOTA RUTA'!A:A,'[1]CUOTA RUTA'!D:D)</f>
        <v>Cargar</v>
      </c>
    </row>
    <row r="1397" spans="1:19" x14ac:dyDescent="0.25">
      <c r="A1397">
        <v>1500132975</v>
      </c>
      <c r="B1397" t="s">
        <v>2957</v>
      </c>
      <c r="C1397" t="s">
        <v>19</v>
      </c>
      <c r="D1397" t="s">
        <v>32</v>
      </c>
      <c r="E1397" t="s">
        <v>21</v>
      </c>
      <c r="F1397" t="s">
        <v>22</v>
      </c>
      <c r="G1397" t="s">
        <v>33</v>
      </c>
      <c r="H1397" t="s">
        <v>69</v>
      </c>
      <c r="I1397" t="s">
        <v>2958</v>
      </c>
      <c r="J1397">
        <v>9.8519550000000002</v>
      </c>
      <c r="K1397">
        <v>-84.056391666660005</v>
      </c>
      <c r="L1397" t="s">
        <v>1225</v>
      </c>
      <c r="M1397" t="s">
        <v>71</v>
      </c>
      <c r="N1397" t="s">
        <v>72</v>
      </c>
      <c r="O1397" t="s">
        <v>73</v>
      </c>
      <c r="P1397">
        <v>22</v>
      </c>
      <c r="Q1397" t="s">
        <v>30</v>
      </c>
      <c r="S1397" t="str">
        <f>_xlfn.XLOOKUP(UNIVERSO[[#This Row],[Ruta]],'[1]CUOTA RUTA'!A:A,'[1]CUOTA RUTA'!D:D)</f>
        <v>Cargar</v>
      </c>
    </row>
    <row r="1398" spans="1:19" x14ac:dyDescent="0.25">
      <c r="A1398">
        <v>1500133010</v>
      </c>
      <c r="B1398" t="s">
        <v>2959</v>
      </c>
      <c r="C1398" t="s">
        <v>19</v>
      </c>
      <c r="D1398" t="s">
        <v>208</v>
      </c>
      <c r="E1398" t="s">
        <v>21</v>
      </c>
      <c r="F1398" t="s">
        <v>22</v>
      </c>
      <c r="G1398" t="s">
        <v>64</v>
      </c>
      <c r="H1398" t="s">
        <v>502</v>
      </c>
      <c r="I1398" t="s">
        <v>2960</v>
      </c>
      <c r="J1398">
        <v>10.352969999999999</v>
      </c>
      <c r="K1398">
        <v>-83.803100000000001</v>
      </c>
      <c r="L1398" t="s">
        <v>1225</v>
      </c>
      <c r="M1398" t="s">
        <v>189</v>
      </c>
      <c r="N1398" t="s">
        <v>211</v>
      </c>
      <c r="O1398" t="s">
        <v>212</v>
      </c>
      <c r="P1398">
        <v>2</v>
      </c>
      <c r="Q1398" t="s">
        <v>150</v>
      </c>
      <c r="S1398" t="str">
        <f>_xlfn.XLOOKUP(UNIVERSO[[#This Row],[Ruta]],'[1]CUOTA RUTA'!A:A,'[1]CUOTA RUTA'!D:D)</f>
        <v>Cargar</v>
      </c>
    </row>
    <row r="1399" spans="1:19" x14ac:dyDescent="0.25">
      <c r="A1399">
        <v>1500133131</v>
      </c>
      <c r="B1399" t="s">
        <v>2961</v>
      </c>
      <c r="C1399" t="s">
        <v>19</v>
      </c>
      <c r="D1399" t="s">
        <v>349</v>
      </c>
      <c r="E1399" t="s">
        <v>21</v>
      </c>
      <c r="F1399" t="s">
        <v>22</v>
      </c>
      <c r="G1399" t="s">
        <v>23</v>
      </c>
      <c r="H1399" t="s">
        <v>350</v>
      </c>
      <c r="I1399" t="s">
        <v>2962</v>
      </c>
      <c r="J1399">
        <v>10.308132000000001</v>
      </c>
      <c r="K1399">
        <v>-85.807889000000003</v>
      </c>
      <c r="L1399" t="s">
        <v>1225</v>
      </c>
      <c r="M1399" t="s">
        <v>352</v>
      </c>
      <c r="N1399" t="s">
        <v>353</v>
      </c>
      <c r="O1399" t="s">
        <v>354</v>
      </c>
      <c r="P1399">
        <v>5</v>
      </c>
      <c r="Q1399" t="s">
        <v>117</v>
      </c>
      <c r="S1399" t="str">
        <f>_xlfn.XLOOKUP(UNIVERSO[[#This Row],[Ruta]],'[1]CUOTA RUTA'!A:A,'[1]CUOTA RUTA'!D:D)</f>
        <v>Cargar</v>
      </c>
    </row>
    <row r="1400" spans="1:19" x14ac:dyDescent="0.25">
      <c r="A1400">
        <v>1500133266</v>
      </c>
      <c r="B1400" t="s">
        <v>2963</v>
      </c>
      <c r="C1400" t="s">
        <v>19</v>
      </c>
      <c r="D1400" t="s">
        <v>337</v>
      </c>
      <c r="E1400" t="s">
        <v>21</v>
      </c>
      <c r="F1400" t="s">
        <v>51</v>
      </c>
      <c r="G1400" t="s">
        <v>23</v>
      </c>
      <c r="H1400" t="s">
        <v>346</v>
      </c>
      <c r="I1400" t="s">
        <v>2964</v>
      </c>
      <c r="J1400">
        <v>10.433102659999999</v>
      </c>
      <c r="K1400">
        <v>-85.782473879999998</v>
      </c>
      <c r="L1400" t="s">
        <v>1225</v>
      </c>
      <c r="M1400" t="s">
        <v>327</v>
      </c>
      <c r="N1400" t="s">
        <v>340</v>
      </c>
      <c r="O1400" t="s">
        <v>341</v>
      </c>
      <c r="P1400">
        <v>18</v>
      </c>
      <c r="Q1400" t="s">
        <v>84</v>
      </c>
      <c r="S1400" t="str">
        <f>_xlfn.XLOOKUP(UNIVERSO[[#This Row],[Ruta]],'[1]CUOTA RUTA'!A:A,'[1]CUOTA RUTA'!D:D)</f>
        <v>Cargar</v>
      </c>
    </row>
    <row r="1401" spans="1:19" x14ac:dyDescent="0.25">
      <c r="A1401">
        <v>1500133338</v>
      </c>
      <c r="B1401" t="s">
        <v>2965</v>
      </c>
      <c r="C1401" t="s">
        <v>19</v>
      </c>
      <c r="D1401" t="s">
        <v>337</v>
      </c>
      <c r="E1401" t="s">
        <v>21</v>
      </c>
      <c r="F1401" t="s">
        <v>22</v>
      </c>
      <c r="G1401" t="s">
        <v>33</v>
      </c>
      <c r="H1401" t="s">
        <v>343</v>
      </c>
      <c r="I1401" t="s">
        <v>2966</v>
      </c>
      <c r="J1401">
        <v>10.361376</v>
      </c>
      <c r="K1401">
        <v>-85.709255999999996</v>
      </c>
      <c r="L1401" t="s">
        <v>1225</v>
      </c>
      <c r="M1401" t="s">
        <v>327</v>
      </c>
      <c r="N1401" t="s">
        <v>340</v>
      </c>
      <c r="O1401" t="s">
        <v>341</v>
      </c>
      <c r="P1401">
        <v>17</v>
      </c>
      <c r="Q1401" t="s">
        <v>287</v>
      </c>
      <c r="S1401" t="str">
        <f>_xlfn.XLOOKUP(UNIVERSO[[#This Row],[Ruta]],'[1]CUOTA RUTA'!A:A,'[1]CUOTA RUTA'!D:D)</f>
        <v>Cargar</v>
      </c>
    </row>
    <row r="1402" spans="1:19" x14ac:dyDescent="0.25">
      <c r="A1402">
        <v>1500133956</v>
      </c>
      <c r="B1402" t="s">
        <v>2967</v>
      </c>
      <c r="C1402" t="s">
        <v>19</v>
      </c>
      <c r="D1402" t="s">
        <v>20</v>
      </c>
      <c r="E1402" t="s">
        <v>21</v>
      </c>
      <c r="F1402" t="s">
        <v>22</v>
      </c>
      <c r="G1402" t="s">
        <v>64</v>
      </c>
      <c r="H1402" t="s">
        <v>303</v>
      </c>
      <c r="I1402" t="s">
        <v>2968</v>
      </c>
      <c r="J1402">
        <v>10.004519999999999</v>
      </c>
      <c r="K1402">
        <v>-84.247829999999993</v>
      </c>
      <c r="L1402" t="s">
        <v>1225</v>
      </c>
      <c r="M1402" t="s">
        <v>54</v>
      </c>
      <c r="N1402" t="s">
        <v>55</v>
      </c>
      <c r="O1402" t="s">
        <v>56</v>
      </c>
      <c r="P1402">
        <v>7</v>
      </c>
      <c r="Q1402" t="s">
        <v>39</v>
      </c>
      <c r="S1402" t="str">
        <f>_xlfn.XLOOKUP(UNIVERSO[[#This Row],[Ruta]],'[1]CUOTA RUTA'!A:A,'[1]CUOTA RUTA'!D:D)</f>
        <v>Cargar</v>
      </c>
    </row>
    <row r="1403" spans="1:19" x14ac:dyDescent="0.25">
      <c r="A1403">
        <v>1500134140</v>
      </c>
      <c r="B1403" t="s">
        <v>2969</v>
      </c>
      <c r="C1403" t="s">
        <v>19</v>
      </c>
      <c r="D1403" t="s">
        <v>20</v>
      </c>
      <c r="E1403" t="s">
        <v>21</v>
      </c>
      <c r="F1403" t="s">
        <v>51</v>
      </c>
      <c r="G1403" t="s">
        <v>23</v>
      </c>
      <c r="H1403" t="s">
        <v>58</v>
      </c>
      <c r="I1403" t="s">
        <v>2970</v>
      </c>
      <c r="J1403">
        <v>10.01904</v>
      </c>
      <c r="K1403">
        <v>-84.193749999999994</v>
      </c>
      <c r="L1403" t="s">
        <v>1225</v>
      </c>
      <c r="M1403" t="s">
        <v>54</v>
      </c>
      <c r="N1403" t="s">
        <v>55</v>
      </c>
      <c r="O1403" t="s">
        <v>56</v>
      </c>
      <c r="P1403">
        <v>16</v>
      </c>
      <c r="Q1403" t="s">
        <v>60</v>
      </c>
      <c r="S1403" t="str">
        <f>_xlfn.XLOOKUP(UNIVERSO[[#This Row],[Ruta]],'[1]CUOTA RUTA'!A:A,'[1]CUOTA RUTA'!D:D)</f>
        <v>Cargar</v>
      </c>
    </row>
    <row r="1404" spans="1:19" x14ac:dyDescent="0.25">
      <c r="A1404">
        <v>1500134271</v>
      </c>
      <c r="B1404" t="s">
        <v>2971</v>
      </c>
      <c r="C1404" t="s">
        <v>19</v>
      </c>
      <c r="D1404" t="s">
        <v>20</v>
      </c>
      <c r="E1404" t="s">
        <v>21</v>
      </c>
      <c r="F1404" t="s">
        <v>22</v>
      </c>
      <c r="G1404" t="s">
        <v>64</v>
      </c>
      <c r="H1404" t="s">
        <v>311</v>
      </c>
      <c r="I1404" t="s">
        <v>2972</v>
      </c>
      <c r="J1404">
        <v>9.9653133</v>
      </c>
      <c r="K1404">
        <v>-84.223126699999995</v>
      </c>
      <c r="L1404" t="s">
        <v>1225</v>
      </c>
      <c r="M1404" t="s">
        <v>54</v>
      </c>
      <c r="N1404" t="s">
        <v>55</v>
      </c>
      <c r="O1404" t="s">
        <v>56</v>
      </c>
      <c r="P1404">
        <v>9</v>
      </c>
      <c r="Q1404" t="s">
        <v>80</v>
      </c>
      <c r="S1404" t="str">
        <f>_xlfn.XLOOKUP(UNIVERSO[[#This Row],[Ruta]],'[1]CUOTA RUTA'!A:A,'[1]CUOTA RUTA'!D:D)</f>
        <v>Cargar</v>
      </c>
    </row>
    <row r="1405" spans="1:19" x14ac:dyDescent="0.25">
      <c r="A1405">
        <v>1500134534</v>
      </c>
      <c r="B1405" t="s">
        <v>2973</v>
      </c>
      <c r="C1405" t="s">
        <v>19</v>
      </c>
      <c r="D1405" t="s">
        <v>208</v>
      </c>
      <c r="E1405" t="s">
        <v>21</v>
      </c>
      <c r="F1405" t="s">
        <v>22</v>
      </c>
      <c r="G1405" t="s">
        <v>64</v>
      </c>
      <c r="H1405" t="s">
        <v>417</v>
      </c>
      <c r="I1405" t="s">
        <v>2974</v>
      </c>
      <c r="J1405">
        <v>10.214870919999999</v>
      </c>
      <c r="K1405">
        <v>-83.746835090000005</v>
      </c>
      <c r="L1405" t="s">
        <v>1225</v>
      </c>
      <c r="M1405" t="s">
        <v>189</v>
      </c>
      <c r="N1405" t="s">
        <v>211</v>
      </c>
      <c r="O1405" t="s">
        <v>212</v>
      </c>
      <c r="P1405">
        <v>5</v>
      </c>
      <c r="Q1405" t="s">
        <v>117</v>
      </c>
      <c r="S1405" t="str">
        <f>_xlfn.XLOOKUP(UNIVERSO[[#This Row],[Ruta]],'[1]CUOTA RUTA'!A:A,'[1]CUOTA RUTA'!D:D)</f>
        <v>Cargar</v>
      </c>
    </row>
    <row r="1406" spans="1:19" x14ac:dyDescent="0.25">
      <c r="A1406">
        <v>1500134568</v>
      </c>
      <c r="B1406" t="s">
        <v>2975</v>
      </c>
      <c r="C1406" t="s">
        <v>19</v>
      </c>
      <c r="D1406" t="s">
        <v>208</v>
      </c>
      <c r="E1406" t="s">
        <v>21</v>
      </c>
      <c r="F1406" t="s">
        <v>22</v>
      </c>
      <c r="G1406" t="s">
        <v>33</v>
      </c>
      <c r="H1406" t="s">
        <v>221</v>
      </c>
      <c r="I1406" t="s">
        <v>2976</v>
      </c>
      <c r="J1406">
        <v>10.270709999999999</v>
      </c>
      <c r="K1406">
        <v>-83.752399999999994</v>
      </c>
      <c r="L1406" t="s">
        <v>1225</v>
      </c>
      <c r="M1406" t="s">
        <v>189</v>
      </c>
      <c r="N1406" t="s">
        <v>211</v>
      </c>
      <c r="O1406" t="s">
        <v>212</v>
      </c>
      <c r="P1406">
        <v>1</v>
      </c>
      <c r="Q1406" t="s">
        <v>155</v>
      </c>
      <c r="S1406" t="str">
        <f>_xlfn.XLOOKUP(UNIVERSO[[#This Row],[Ruta]],'[1]CUOTA RUTA'!A:A,'[1]CUOTA RUTA'!D:D)</f>
        <v>Cargar</v>
      </c>
    </row>
    <row r="1407" spans="1:19" x14ac:dyDescent="0.25">
      <c r="A1407">
        <v>1500134594</v>
      </c>
      <c r="B1407" t="s">
        <v>2977</v>
      </c>
      <c r="C1407" t="s">
        <v>19</v>
      </c>
      <c r="D1407" t="s">
        <v>208</v>
      </c>
      <c r="E1407" t="s">
        <v>21</v>
      </c>
      <c r="F1407" t="s">
        <v>22</v>
      </c>
      <c r="G1407" t="s">
        <v>33</v>
      </c>
      <c r="H1407" t="s">
        <v>417</v>
      </c>
      <c r="I1407" t="s">
        <v>2978</v>
      </c>
      <c r="J1407">
        <v>10.320729999999999</v>
      </c>
      <c r="K1407">
        <v>-83.886799999999994</v>
      </c>
      <c r="L1407" t="s">
        <v>1225</v>
      </c>
      <c r="M1407" t="s">
        <v>189</v>
      </c>
      <c r="N1407" t="s">
        <v>211</v>
      </c>
      <c r="O1407" t="s">
        <v>212</v>
      </c>
      <c r="P1407">
        <v>3</v>
      </c>
      <c r="Q1407" t="s">
        <v>101</v>
      </c>
      <c r="S1407" t="str">
        <f>_xlfn.XLOOKUP(UNIVERSO[[#This Row],[Ruta]],'[1]CUOTA RUTA'!A:A,'[1]CUOTA RUTA'!D:D)</f>
        <v>Cargar</v>
      </c>
    </row>
    <row r="1408" spans="1:19" x14ac:dyDescent="0.25">
      <c r="A1408">
        <v>1500134599</v>
      </c>
      <c r="B1408" t="s">
        <v>2979</v>
      </c>
      <c r="C1408" t="s">
        <v>19</v>
      </c>
      <c r="D1408" t="s">
        <v>208</v>
      </c>
      <c r="E1408" t="s">
        <v>21</v>
      </c>
      <c r="F1408" t="s">
        <v>22</v>
      </c>
      <c r="G1408" t="s">
        <v>64</v>
      </c>
      <c r="H1408" t="s">
        <v>616</v>
      </c>
      <c r="I1408" t="s">
        <v>2980</v>
      </c>
      <c r="J1408">
        <v>10.350102</v>
      </c>
      <c r="K1408">
        <v>-83.7376</v>
      </c>
      <c r="L1408" t="s">
        <v>1225</v>
      </c>
      <c r="M1408" t="s">
        <v>189</v>
      </c>
      <c r="N1408" t="s">
        <v>211</v>
      </c>
      <c r="O1408" t="s">
        <v>212</v>
      </c>
      <c r="P1408">
        <v>1</v>
      </c>
      <c r="Q1408" t="s">
        <v>155</v>
      </c>
      <c r="S1408" t="str">
        <f>_xlfn.XLOOKUP(UNIVERSO[[#This Row],[Ruta]],'[1]CUOTA RUTA'!A:A,'[1]CUOTA RUTA'!D:D)</f>
        <v>Cargar</v>
      </c>
    </row>
    <row r="1409" spans="1:19" x14ac:dyDescent="0.25">
      <c r="A1409">
        <v>1500134760</v>
      </c>
      <c r="B1409" t="s">
        <v>2981</v>
      </c>
      <c r="C1409" t="s">
        <v>19</v>
      </c>
      <c r="D1409" t="s">
        <v>208</v>
      </c>
      <c r="E1409" t="s">
        <v>21</v>
      </c>
      <c r="F1409" t="s">
        <v>22</v>
      </c>
      <c r="G1409" t="s">
        <v>23</v>
      </c>
      <c r="H1409" t="s">
        <v>224</v>
      </c>
      <c r="I1409" t="s">
        <v>2982</v>
      </c>
      <c r="J1409">
        <v>10.341803799999999</v>
      </c>
      <c r="K1409">
        <v>-83.958993100000001</v>
      </c>
      <c r="L1409" t="s">
        <v>1225</v>
      </c>
      <c r="M1409" t="s">
        <v>189</v>
      </c>
      <c r="N1409" t="s">
        <v>211</v>
      </c>
      <c r="O1409" t="s">
        <v>212</v>
      </c>
      <c r="P1409">
        <v>3</v>
      </c>
      <c r="Q1409" t="s">
        <v>101</v>
      </c>
      <c r="S1409" t="str">
        <f>_xlfn.XLOOKUP(UNIVERSO[[#This Row],[Ruta]],'[1]CUOTA RUTA'!A:A,'[1]CUOTA RUTA'!D:D)</f>
        <v>Cargar</v>
      </c>
    </row>
    <row r="1410" spans="1:19" x14ac:dyDescent="0.25">
      <c r="A1410">
        <v>1500134920</v>
      </c>
      <c r="B1410" t="s">
        <v>2983</v>
      </c>
      <c r="C1410" t="s">
        <v>19</v>
      </c>
      <c r="D1410" t="s">
        <v>208</v>
      </c>
      <c r="E1410" t="s">
        <v>21</v>
      </c>
      <c r="F1410" t="s">
        <v>22</v>
      </c>
      <c r="G1410" t="s">
        <v>33</v>
      </c>
      <c r="H1410" t="s">
        <v>631</v>
      </c>
      <c r="I1410" t="s">
        <v>2984</v>
      </c>
      <c r="J1410">
        <v>10.197609999999999</v>
      </c>
      <c r="K1410">
        <v>-83.453100000000006</v>
      </c>
      <c r="L1410" t="s">
        <v>1225</v>
      </c>
      <c r="M1410" t="s">
        <v>189</v>
      </c>
      <c r="N1410" t="s">
        <v>211</v>
      </c>
      <c r="O1410" t="s">
        <v>212</v>
      </c>
      <c r="P1410">
        <v>9</v>
      </c>
      <c r="Q1410" t="s">
        <v>80</v>
      </c>
      <c r="S1410" t="str">
        <f>_xlfn.XLOOKUP(UNIVERSO[[#This Row],[Ruta]],'[1]CUOTA RUTA'!A:A,'[1]CUOTA RUTA'!D:D)</f>
        <v>Cargar</v>
      </c>
    </row>
    <row r="1411" spans="1:19" x14ac:dyDescent="0.25">
      <c r="A1411">
        <v>1500135081</v>
      </c>
      <c r="B1411" t="s">
        <v>2985</v>
      </c>
      <c r="C1411" t="s">
        <v>19</v>
      </c>
      <c r="D1411" t="s">
        <v>201</v>
      </c>
      <c r="E1411" t="s">
        <v>21</v>
      </c>
      <c r="F1411" t="s">
        <v>22</v>
      </c>
      <c r="G1411" t="s">
        <v>64</v>
      </c>
      <c r="H1411" t="s">
        <v>593</v>
      </c>
      <c r="I1411" t="s">
        <v>2986</v>
      </c>
      <c r="J1411">
        <v>9.9818975000000005</v>
      </c>
      <c r="K1411">
        <v>-84.769997599999996</v>
      </c>
      <c r="L1411" t="s">
        <v>1225</v>
      </c>
      <c r="M1411" t="s">
        <v>204</v>
      </c>
      <c r="N1411" t="s">
        <v>205</v>
      </c>
      <c r="O1411" t="s">
        <v>206</v>
      </c>
      <c r="P1411">
        <v>10</v>
      </c>
      <c r="Q1411" t="s">
        <v>136</v>
      </c>
      <c r="S1411" t="str">
        <f>_xlfn.XLOOKUP(UNIVERSO[[#This Row],[Ruta]],'[1]CUOTA RUTA'!A:A,'[1]CUOTA RUTA'!D:D)</f>
        <v>Cargar</v>
      </c>
    </row>
    <row r="1412" spans="1:19" x14ac:dyDescent="0.25">
      <c r="A1412">
        <v>1500135129</v>
      </c>
      <c r="B1412" t="s">
        <v>1655</v>
      </c>
      <c r="C1412" t="s">
        <v>19</v>
      </c>
      <c r="D1412" t="s">
        <v>201</v>
      </c>
      <c r="E1412" t="s">
        <v>21</v>
      </c>
      <c r="F1412" t="s">
        <v>22</v>
      </c>
      <c r="G1412" t="s">
        <v>64</v>
      </c>
      <c r="H1412" t="s">
        <v>334</v>
      </c>
      <c r="I1412" t="s">
        <v>2987</v>
      </c>
      <c r="J1412">
        <v>9.9827329999999996</v>
      </c>
      <c r="K1412">
        <v>-84.716894600000003</v>
      </c>
      <c r="L1412" t="s">
        <v>1225</v>
      </c>
      <c r="M1412" t="s">
        <v>204</v>
      </c>
      <c r="N1412" t="s">
        <v>205</v>
      </c>
      <c r="O1412" t="s">
        <v>206</v>
      </c>
      <c r="P1412">
        <v>8</v>
      </c>
      <c r="Q1412" t="s">
        <v>97</v>
      </c>
      <c r="S1412" t="str">
        <f>_xlfn.XLOOKUP(UNIVERSO[[#This Row],[Ruta]],'[1]CUOTA RUTA'!A:A,'[1]CUOTA RUTA'!D:D)</f>
        <v>Cargar</v>
      </c>
    </row>
    <row r="1413" spans="1:19" x14ac:dyDescent="0.25">
      <c r="A1413">
        <v>1500135267</v>
      </c>
      <c r="B1413" t="s">
        <v>2988</v>
      </c>
      <c r="C1413" t="s">
        <v>19</v>
      </c>
      <c r="D1413" t="s">
        <v>201</v>
      </c>
      <c r="E1413" t="s">
        <v>21</v>
      </c>
      <c r="F1413" t="s">
        <v>51</v>
      </c>
      <c r="G1413" t="s">
        <v>23</v>
      </c>
      <c r="H1413" t="s">
        <v>383</v>
      </c>
      <c r="I1413" t="s">
        <v>2989</v>
      </c>
      <c r="J1413">
        <v>9.9758098999999998</v>
      </c>
      <c r="K1413">
        <v>-84.618884399999999</v>
      </c>
      <c r="L1413" t="s">
        <v>1225</v>
      </c>
      <c r="M1413" t="s">
        <v>204</v>
      </c>
      <c r="N1413" t="s">
        <v>205</v>
      </c>
      <c r="O1413" t="s">
        <v>206</v>
      </c>
      <c r="P1413">
        <v>14</v>
      </c>
      <c r="Q1413" t="s">
        <v>181</v>
      </c>
      <c r="S1413" t="str">
        <f>_xlfn.XLOOKUP(UNIVERSO[[#This Row],[Ruta]],'[1]CUOTA RUTA'!A:A,'[1]CUOTA RUTA'!D:D)</f>
        <v>Cargar</v>
      </c>
    </row>
    <row r="1414" spans="1:19" x14ac:dyDescent="0.25">
      <c r="A1414">
        <v>1500135435</v>
      </c>
      <c r="B1414" t="s">
        <v>2990</v>
      </c>
      <c r="C1414" t="s">
        <v>19</v>
      </c>
      <c r="D1414" t="s">
        <v>201</v>
      </c>
      <c r="E1414" t="s">
        <v>21</v>
      </c>
      <c r="F1414" t="s">
        <v>51</v>
      </c>
      <c r="G1414" t="s">
        <v>23</v>
      </c>
      <c r="H1414" t="s">
        <v>383</v>
      </c>
      <c r="I1414" t="s">
        <v>2991</v>
      </c>
      <c r="J1414">
        <v>10.0905618</v>
      </c>
      <c r="K1414">
        <v>-84.729385899999997</v>
      </c>
      <c r="L1414" t="s">
        <v>1225</v>
      </c>
      <c r="M1414" t="s">
        <v>204</v>
      </c>
      <c r="N1414" t="s">
        <v>205</v>
      </c>
      <c r="O1414" t="s">
        <v>206</v>
      </c>
      <c r="P1414">
        <v>13</v>
      </c>
      <c r="Q1414" t="s">
        <v>161</v>
      </c>
      <c r="S1414" t="str">
        <f>_xlfn.XLOOKUP(UNIVERSO[[#This Row],[Ruta]],'[1]CUOTA RUTA'!A:A,'[1]CUOTA RUTA'!D:D)</f>
        <v>Cargar</v>
      </c>
    </row>
    <row r="1415" spans="1:19" x14ac:dyDescent="0.25">
      <c r="A1415">
        <v>1500135460</v>
      </c>
      <c r="B1415" t="s">
        <v>2992</v>
      </c>
      <c r="C1415" t="s">
        <v>19</v>
      </c>
      <c r="D1415" t="s">
        <v>201</v>
      </c>
      <c r="E1415" t="s">
        <v>21</v>
      </c>
      <c r="F1415" t="s">
        <v>51</v>
      </c>
      <c r="G1415" t="s">
        <v>23</v>
      </c>
      <c r="H1415" t="s">
        <v>383</v>
      </c>
      <c r="I1415" t="s">
        <v>2993</v>
      </c>
      <c r="J1415">
        <v>9.9806989000000002</v>
      </c>
      <c r="K1415">
        <v>-84.764501499999994</v>
      </c>
      <c r="L1415" t="s">
        <v>1225</v>
      </c>
      <c r="M1415" t="s">
        <v>204</v>
      </c>
      <c r="N1415" t="s">
        <v>205</v>
      </c>
      <c r="O1415" t="s">
        <v>206</v>
      </c>
      <c r="P1415">
        <v>10</v>
      </c>
      <c r="Q1415" t="s">
        <v>136</v>
      </c>
      <c r="S1415" t="str">
        <f>_xlfn.XLOOKUP(UNIVERSO[[#This Row],[Ruta]],'[1]CUOTA RUTA'!A:A,'[1]CUOTA RUTA'!D:D)</f>
        <v>Cargar</v>
      </c>
    </row>
    <row r="1416" spans="1:19" x14ac:dyDescent="0.25">
      <c r="A1416">
        <v>1500135750</v>
      </c>
      <c r="B1416" t="s">
        <v>2994</v>
      </c>
      <c r="C1416" t="s">
        <v>19</v>
      </c>
      <c r="D1416" t="s">
        <v>201</v>
      </c>
      <c r="E1416" t="s">
        <v>21</v>
      </c>
      <c r="F1416" t="s">
        <v>22</v>
      </c>
      <c r="G1416" t="s">
        <v>64</v>
      </c>
      <c r="H1416" t="s">
        <v>334</v>
      </c>
      <c r="I1416" t="s">
        <v>2995</v>
      </c>
      <c r="J1416">
        <v>10.0064399</v>
      </c>
      <c r="K1416">
        <v>-84.644119900000007</v>
      </c>
      <c r="L1416" t="s">
        <v>1225</v>
      </c>
      <c r="M1416" t="s">
        <v>204</v>
      </c>
      <c r="N1416" t="s">
        <v>205</v>
      </c>
      <c r="O1416" t="s">
        <v>206</v>
      </c>
      <c r="P1416">
        <v>14</v>
      </c>
      <c r="Q1416" t="s">
        <v>181</v>
      </c>
      <c r="S1416" t="str">
        <f>_xlfn.XLOOKUP(UNIVERSO[[#This Row],[Ruta]],'[1]CUOTA RUTA'!A:A,'[1]CUOTA RUTA'!D:D)</f>
        <v>Cargar</v>
      </c>
    </row>
    <row r="1417" spans="1:19" x14ac:dyDescent="0.25">
      <c r="A1417">
        <v>1500136249</v>
      </c>
      <c r="B1417" t="s">
        <v>2996</v>
      </c>
      <c r="C1417" t="s">
        <v>19</v>
      </c>
      <c r="D1417" t="s">
        <v>244</v>
      </c>
      <c r="E1417" t="s">
        <v>21</v>
      </c>
      <c r="F1417" t="s">
        <v>51</v>
      </c>
      <c r="G1417" t="s">
        <v>23</v>
      </c>
      <c r="H1417" t="s">
        <v>525</v>
      </c>
      <c r="I1417" t="s">
        <v>2997</v>
      </c>
      <c r="J1417">
        <v>9.5808199999999992</v>
      </c>
      <c r="K1417">
        <v>-84.609802999999999</v>
      </c>
      <c r="L1417" t="s">
        <v>1225</v>
      </c>
      <c r="M1417" t="s">
        <v>46</v>
      </c>
      <c r="N1417" t="s">
        <v>247</v>
      </c>
      <c r="O1417" t="s">
        <v>248</v>
      </c>
      <c r="P1417">
        <v>23</v>
      </c>
      <c r="Q1417" t="s">
        <v>125</v>
      </c>
      <c r="S1417" t="str">
        <f>_xlfn.XLOOKUP(UNIVERSO[[#This Row],[Ruta]],'[1]CUOTA RUTA'!A:A,'[1]CUOTA RUTA'!D:D)</f>
        <v>Cargar</v>
      </c>
    </row>
    <row r="1418" spans="1:19" x14ac:dyDescent="0.25">
      <c r="A1418">
        <v>1500136254</v>
      </c>
      <c r="B1418" t="s">
        <v>2998</v>
      </c>
      <c r="C1418" t="s">
        <v>19</v>
      </c>
      <c r="D1418" t="s">
        <v>244</v>
      </c>
      <c r="E1418" t="s">
        <v>21</v>
      </c>
      <c r="F1418" t="s">
        <v>51</v>
      </c>
      <c r="G1418" t="s">
        <v>23</v>
      </c>
      <c r="H1418" t="s">
        <v>525</v>
      </c>
      <c r="I1418" t="s">
        <v>2999</v>
      </c>
      <c r="J1418">
        <v>9.5278899999999993</v>
      </c>
      <c r="K1418">
        <v>-84.503100000000003</v>
      </c>
      <c r="L1418" t="s">
        <v>1225</v>
      </c>
      <c r="M1418" t="s">
        <v>46</v>
      </c>
      <c r="N1418" t="s">
        <v>247</v>
      </c>
      <c r="O1418" t="s">
        <v>248</v>
      </c>
      <c r="P1418">
        <v>23</v>
      </c>
      <c r="Q1418" t="s">
        <v>125</v>
      </c>
      <c r="S1418" t="str">
        <f>_xlfn.XLOOKUP(UNIVERSO[[#This Row],[Ruta]],'[1]CUOTA RUTA'!A:A,'[1]CUOTA RUTA'!D:D)</f>
        <v>Cargar</v>
      </c>
    </row>
    <row r="1419" spans="1:19" x14ac:dyDescent="0.25">
      <c r="A1419">
        <v>1500136440</v>
      </c>
      <c r="B1419" t="s">
        <v>3000</v>
      </c>
      <c r="C1419" t="s">
        <v>19</v>
      </c>
      <c r="D1419" t="s">
        <v>244</v>
      </c>
      <c r="E1419" t="s">
        <v>21</v>
      </c>
      <c r="F1419" t="s">
        <v>22</v>
      </c>
      <c r="G1419" t="s">
        <v>33</v>
      </c>
      <c r="H1419" t="s">
        <v>525</v>
      </c>
      <c r="I1419" t="s">
        <v>3001</v>
      </c>
      <c r="J1419">
        <v>9.5784400000000005</v>
      </c>
      <c r="K1419">
        <v>-84.565299999999993</v>
      </c>
      <c r="L1419" t="s">
        <v>1225</v>
      </c>
      <c r="M1419" t="s">
        <v>46</v>
      </c>
      <c r="N1419" t="s">
        <v>247</v>
      </c>
      <c r="O1419" t="s">
        <v>248</v>
      </c>
      <c r="P1419">
        <v>23</v>
      </c>
      <c r="Q1419" t="s">
        <v>125</v>
      </c>
      <c r="S1419" t="str">
        <f>_xlfn.XLOOKUP(UNIVERSO[[#This Row],[Ruta]],'[1]CUOTA RUTA'!A:A,'[1]CUOTA RUTA'!D:D)</f>
        <v>Cargar</v>
      </c>
    </row>
    <row r="1420" spans="1:19" x14ac:dyDescent="0.25">
      <c r="A1420">
        <v>1500136986</v>
      </c>
      <c r="B1420" t="s">
        <v>3002</v>
      </c>
      <c r="C1420" t="s">
        <v>19</v>
      </c>
      <c r="D1420" t="s">
        <v>244</v>
      </c>
      <c r="E1420" t="s">
        <v>21</v>
      </c>
      <c r="F1420" t="s">
        <v>22</v>
      </c>
      <c r="G1420" t="s">
        <v>33</v>
      </c>
      <c r="H1420" t="s">
        <v>819</v>
      </c>
      <c r="I1420" t="s">
        <v>3003</v>
      </c>
      <c r="J1420">
        <v>9.5264100000000003</v>
      </c>
      <c r="K1420">
        <v>-84.325599999999994</v>
      </c>
      <c r="L1420" t="s">
        <v>1225</v>
      </c>
      <c r="M1420" t="s">
        <v>46</v>
      </c>
      <c r="N1420" t="s">
        <v>247</v>
      </c>
      <c r="O1420" t="s">
        <v>248</v>
      </c>
      <c r="P1420">
        <v>23</v>
      </c>
      <c r="Q1420" t="s">
        <v>125</v>
      </c>
      <c r="S1420" t="str">
        <f>_xlfn.XLOOKUP(UNIVERSO[[#This Row],[Ruta]],'[1]CUOTA RUTA'!A:A,'[1]CUOTA RUTA'!D:D)</f>
        <v>Cargar</v>
      </c>
    </row>
    <row r="1421" spans="1:19" x14ac:dyDescent="0.25">
      <c r="A1421">
        <v>1500136991</v>
      </c>
      <c r="B1421" t="s">
        <v>3004</v>
      </c>
      <c r="C1421" t="s">
        <v>19</v>
      </c>
      <c r="D1421" t="s">
        <v>244</v>
      </c>
      <c r="E1421" t="s">
        <v>21</v>
      </c>
      <c r="F1421" t="s">
        <v>22</v>
      </c>
      <c r="G1421" t="s">
        <v>33</v>
      </c>
      <c r="H1421" t="s">
        <v>819</v>
      </c>
      <c r="I1421" t="s">
        <v>3005</v>
      </c>
      <c r="J1421">
        <v>9.5255600000000005</v>
      </c>
      <c r="K1421">
        <v>-84.325699999999998</v>
      </c>
      <c r="L1421" t="s">
        <v>1225</v>
      </c>
      <c r="M1421" t="s">
        <v>46</v>
      </c>
      <c r="N1421" t="s">
        <v>247</v>
      </c>
      <c r="O1421" t="s">
        <v>248</v>
      </c>
      <c r="P1421">
        <v>22</v>
      </c>
      <c r="Q1421" t="s">
        <v>30</v>
      </c>
      <c r="S1421" t="str">
        <f>_xlfn.XLOOKUP(UNIVERSO[[#This Row],[Ruta]],'[1]CUOTA RUTA'!A:A,'[1]CUOTA RUTA'!D:D)</f>
        <v>Cargar</v>
      </c>
    </row>
    <row r="1422" spans="1:19" x14ac:dyDescent="0.25">
      <c r="A1422">
        <v>1500137053</v>
      </c>
      <c r="B1422" t="s">
        <v>3006</v>
      </c>
      <c r="C1422" t="s">
        <v>19</v>
      </c>
      <c r="D1422" t="s">
        <v>20</v>
      </c>
      <c r="E1422" t="s">
        <v>21</v>
      </c>
      <c r="F1422" t="s">
        <v>22</v>
      </c>
      <c r="G1422" t="s">
        <v>23</v>
      </c>
      <c r="H1422" t="s">
        <v>285</v>
      </c>
      <c r="I1422" t="s">
        <v>3007</v>
      </c>
      <c r="J1422">
        <v>9.9919390000000003</v>
      </c>
      <c r="K1422">
        <v>-84.164708000000005</v>
      </c>
      <c r="L1422" t="s">
        <v>1225</v>
      </c>
      <c r="M1422" t="s">
        <v>54</v>
      </c>
      <c r="N1422" t="s">
        <v>55</v>
      </c>
      <c r="O1422" t="s">
        <v>56</v>
      </c>
      <c r="P1422">
        <v>17</v>
      </c>
      <c r="Q1422" t="s">
        <v>287</v>
      </c>
      <c r="S1422" t="str">
        <f>_xlfn.XLOOKUP(UNIVERSO[[#This Row],[Ruta]],'[1]CUOTA RUTA'!A:A,'[1]CUOTA RUTA'!D:D)</f>
        <v>Cargar</v>
      </c>
    </row>
    <row r="1423" spans="1:19" x14ac:dyDescent="0.25">
      <c r="A1423">
        <v>1500137075</v>
      </c>
      <c r="B1423" t="s">
        <v>3008</v>
      </c>
      <c r="C1423" t="s">
        <v>19</v>
      </c>
      <c r="D1423" t="s">
        <v>20</v>
      </c>
      <c r="E1423" t="s">
        <v>21</v>
      </c>
      <c r="F1423" t="s">
        <v>22</v>
      </c>
      <c r="G1423" t="s">
        <v>33</v>
      </c>
      <c r="H1423" t="s">
        <v>458</v>
      </c>
      <c r="I1423" t="s">
        <v>3009</v>
      </c>
      <c r="J1423">
        <v>9.9620546999999995</v>
      </c>
      <c r="K1423">
        <v>-84.270845800000004</v>
      </c>
      <c r="L1423" t="s">
        <v>1225</v>
      </c>
      <c r="M1423" t="s">
        <v>54</v>
      </c>
      <c r="N1423" t="s">
        <v>55</v>
      </c>
      <c r="O1423" t="s">
        <v>56</v>
      </c>
      <c r="P1423">
        <v>6</v>
      </c>
      <c r="Q1423" t="s">
        <v>49</v>
      </c>
      <c r="S1423" t="str">
        <f>_xlfn.XLOOKUP(UNIVERSO[[#This Row],[Ruta]],'[1]CUOTA RUTA'!A:A,'[1]CUOTA RUTA'!D:D)</f>
        <v>Cargar</v>
      </c>
    </row>
    <row r="1424" spans="1:19" x14ac:dyDescent="0.25">
      <c r="A1424">
        <v>1500137263</v>
      </c>
      <c r="B1424" t="s">
        <v>3010</v>
      </c>
      <c r="C1424" t="s">
        <v>19</v>
      </c>
      <c r="D1424" t="s">
        <v>20</v>
      </c>
      <c r="E1424" t="s">
        <v>21</v>
      </c>
      <c r="F1424" t="s">
        <v>22</v>
      </c>
      <c r="G1424" t="s">
        <v>33</v>
      </c>
      <c r="H1424" t="s">
        <v>311</v>
      </c>
      <c r="I1424" t="s">
        <v>3011</v>
      </c>
      <c r="J1424">
        <v>9.9683667000000007</v>
      </c>
      <c r="K1424">
        <v>-84.239916699999995</v>
      </c>
      <c r="L1424" t="s">
        <v>1225</v>
      </c>
      <c r="M1424" t="s">
        <v>54</v>
      </c>
      <c r="N1424" t="s">
        <v>55</v>
      </c>
      <c r="O1424" t="s">
        <v>56</v>
      </c>
      <c r="P1424">
        <v>9</v>
      </c>
      <c r="Q1424" t="s">
        <v>80</v>
      </c>
      <c r="S1424" t="str">
        <f>_xlfn.XLOOKUP(UNIVERSO[[#This Row],[Ruta]],'[1]CUOTA RUTA'!A:A,'[1]CUOTA RUTA'!D:D)</f>
        <v>Cargar</v>
      </c>
    </row>
    <row r="1425" spans="1:19" x14ac:dyDescent="0.25">
      <c r="A1425">
        <v>1500137546</v>
      </c>
      <c r="B1425" t="s">
        <v>3012</v>
      </c>
      <c r="C1425" t="s">
        <v>19</v>
      </c>
      <c r="D1425" t="s">
        <v>20</v>
      </c>
      <c r="E1425" t="s">
        <v>21</v>
      </c>
      <c r="F1425" t="s">
        <v>22</v>
      </c>
      <c r="G1425" t="s">
        <v>64</v>
      </c>
      <c r="H1425" t="s">
        <v>285</v>
      </c>
      <c r="I1425" t="s">
        <v>3013</v>
      </c>
      <c r="J1425">
        <v>10.0028548</v>
      </c>
      <c r="K1425">
        <v>-84.189734200000004</v>
      </c>
      <c r="L1425" t="s">
        <v>1225</v>
      </c>
      <c r="M1425" t="s">
        <v>54</v>
      </c>
      <c r="N1425" t="s">
        <v>55</v>
      </c>
      <c r="O1425" t="s">
        <v>56</v>
      </c>
      <c r="P1425">
        <v>15</v>
      </c>
      <c r="Q1425" t="s">
        <v>231</v>
      </c>
      <c r="S1425" t="str">
        <f>_xlfn.XLOOKUP(UNIVERSO[[#This Row],[Ruta]],'[1]CUOTA RUTA'!A:A,'[1]CUOTA RUTA'!D:D)</f>
        <v>Cargar</v>
      </c>
    </row>
    <row r="1426" spans="1:19" x14ac:dyDescent="0.25">
      <c r="A1426">
        <v>1500137550</v>
      </c>
      <c r="B1426" t="s">
        <v>3014</v>
      </c>
      <c r="C1426" t="s">
        <v>19</v>
      </c>
      <c r="D1426" t="s">
        <v>32</v>
      </c>
      <c r="E1426" t="s">
        <v>21</v>
      </c>
      <c r="F1426" t="s">
        <v>22</v>
      </c>
      <c r="G1426" t="s">
        <v>23</v>
      </c>
      <c r="H1426" t="s">
        <v>103</v>
      </c>
      <c r="I1426" t="s">
        <v>3015</v>
      </c>
      <c r="J1426">
        <v>9.9227430000000005</v>
      </c>
      <c r="K1426">
        <v>-84.117943999999994</v>
      </c>
      <c r="L1426" t="s">
        <v>1225</v>
      </c>
      <c r="M1426" t="s">
        <v>71</v>
      </c>
      <c r="N1426" t="s">
        <v>72</v>
      </c>
      <c r="O1426" t="s">
        <v>73</v>
      </c>
      <c r="P1426">
        <v>11</v>
      </c>
      <c r="Q1426" t="s">
        <v>108</v>
      </c>
      <c r="S1426" t="str">
        <f>_xlfn.XLOOKUP(UNIVERSO[[#This Row],[Ruta]],'[1]CUOTA RUTA'!A:A,'[1]CUOTA RUTA'!D:D)</f>
        <v>Cargar</v>
      </c>
    </row>
    <row r="1427" spans="1:19" x14ac:dyDescent="0.25">
      <c r="A1427">
        <v>1500137673</v>
      </c>
      <c r="B1427" t="s">
        <v>3016</v>
      </c>
      <c r="C1427" t="s">
        <v>19</v>
      </c>
      <c r="D1427" t="s">
        <v>20</v>
      </c>
      <c r="E1427" t="s">
        <v>21</v>
      </c>
      <c r="F1427" t="s">
        <v>22</v>
      </c>
      <c r="G1427" t="s">
        <v>23</v>
      </c>
      <c r="H1427" t="s">
        <v>774</v>
      </c>
      <c r="I1427" t="s">
        <v>3017</v>
      </c>
      <c r="J1427">
        <v>9.9289699999999996</v>
      </c>
      <c r="K1427">
        <v>-84.218469999999996</v>
      </c>
      <c r="L1427" t="s">
        <v>1225</v>
      </c>
      <c r="M1427" t="s">
        <v>54</v>
      </c>
      <c r="N1427" t="s">
        <v>55</v>
      </c>
      <c r="O1427" t="s">
        <v>56</v>
      </c>
      <c r="P1427">
        <v>10</v>
      </c>
      <c r="Q1427" t="s">
        <v>136</v>
      </c>
      <c r="S1427" t="str">
        <f>_xlfn.XLOOKUP(UNIVERSO[[#This Row],[Ruta]],'[1]CUOTA RUTA'!A:A,'[1]CUOTA RUTA'!D:D)</f>
        <v>Cargar</v>
      </c>
    </row>
    <row r="1428" spans="1:19" x14ac:dyDescent="0.25">
      <c r="A1428">
        <v>1500137741</v>
      </c>
      <c r="B1428" t="s">
        <v>968</v>
      </c>
      <c r="C1428" t="s">
        <v>19</v>
      </c>
      <c r="D1428" t="s">
        <v>20</v>
      </c>
      <c r="E1428" t="s">
        <v>21</v>
      </c>
      <c r="F1428" t="s">
        <v>22</v>
      </c>
      <c r="G1428" t="s">
        <v>23</v>
      </c>
      <c r="H1428" t="s">
        <v>554</v>
      </c>
      <c r="I1428" t="s">
        <v>3018</v>
      </c>
      <c r="J1428">
        <v>10.01864</v>
      </c>
      <c r="K1428">
        <v>-84.118793999999994</v>
      </c>
      <c r="L1428" t="s">
        <v>1225</v>
      </c>
      <c r="M1428" t="s">
        <v>27</v>
      </c>
      <c r="N1428" t="s">
        <v>28</v>
      </c>
      <c r="O1428" t="s">
        <v>29</v>
      </c>
      <c r="P1428">
        <v>15</v>
      </c>
      <c r="Q1428" t="s">
        <v>231</v>
      </c>
      <c r="S1428" t="str">
        <f>_xlfn.XLOOKUP(UNIVERSO[[#This Row],[Ruta]],'[1]CUOTA RUTA'!A:A,'[1]CUOTA RUTA'!D:D)</f>
        <v>Cargar</v>
      </c>
    </row>
    <row r="1429" spans="1:19" x14ac:dyDescent="0.25">
      <c r="A1429">
        <v>1500137791</v>
      </c>
      <c r="B1429" t="s">
        <v>3019</v>
      </c>
      <c r="C1429" t="s">
        <v>19</v>
      </c>
      <c r="D1429" t="s">
        <v>20</v>
      </c>
      <c r="E1429" t="s">
        <v>21</v>
      </c>
      <c r="F1429" t="s">
        <v>22</v>
      </c>
      <c r="G1429" t="s">
        <v>64</v>
      </c>
      <c r="H1429" t="s">
        <v>1021</v>
      </c>
      <c r="I1429" t="s">
        <v>3020</v>
      </c>
      <c r="J1429">
        <v>10.124638300000001</v>
      </c>
      <c r="K1429">
        <v>-84.209323299999994</v>
      </c>
      <c r="L1429" t="s">
        <v>1225</v>
      </c>
      <c r="M1429" t="s">
        <v>46</v>
      </c>
      <c r="N1429" t="s">
        <v>47</v>
      </c>
      <c r="O1429" t="s">
        <v>48</v>
      </c>
      <c r="P1429">
        <v>12</v>
      </c>
      <c r="Q1429" t="s">
        <v>42</v>
      </c>
      <c r="S1429" t="str">
        <f>_xlfn.XLOOKUP(UNIVERSO[[#This Row],[Ruta]],'[1]CUOTA RUTA'!A:A,'[1]CUOTA RUTA'!D:D)</f>
        <v>Cargar</v>
      </c>
    </row>
    <row r="1430" spans="1:19" x14ac:dyDescent="0.25">
      <c r="A1430">
        <v>1500137800</v>
      </c>
      <c r="B1430" t="s">
        <v>3021</v>
      </c>
      <c r="C1430" t="s">
        <v>19</v>
      </c>
      <c r="D1430" t="s">
        <v>20</v>
      </c>
      <c r="E1430" t="s">
        <v>21</v>
      </c>
      <c r="F1430" t="s">
        <v>22</v>
      </c>
      <c r="G1430" t="s">
        <v>64</v>
      </c>
      <c r="H1430" t="s">
        <v>250</v>
      </c>
      <c r="I1430" t="s">
        <v>3022</v>
      </c>
      <c r="J1430">
        <v>10.022759369999999</v>
      </c>
      <c r="K1430">
        <v>-84.235267809999996</v>
      </c>
      <c r="L1430" t="s">
        <v>1225</v>
      </c>
      <c r="M1430" t="s">
        <v>46</v>
      </c>
      <c r="N1430" t="s">
        <v>47</v>
      </c>
      <c r="O1430" t="s">
        <v>48</v>
      </c>
      <c r="P1430">
        <v>3</v>
      </c>
      <c r="Q1430" t="s">
        <v>101</v>
      </c>
      <c r="S1430" t="str">
        <f>_xlfn.XLOOKUP(UNIVERSO[[#This Row],[Ruta]],'[1]CUOTA RUTA'!A:A,'[1]CUOTA RUTA'!D:D)</f>
        <v>Cargar</v>
      </c>
    </row>
    <row r="1431" spans="1:19" x14ac:dyDescent="0.25">
      <c r="A1431">
        <v>1500137978</v>
      </c>
      <c r="B1431" t="s">
        <v>3023</v>
      </c>
      <c r="C1431" t="s">
        <v>19</v>
      </c>
      <c r="D1431" t="s">
        <v>20</v>
      </c>
      <c r="E1431" t="s">
        <v>21</v>
      </c>
      <c r="F1431" t="s">
        <v>22</v>
      </c>
      <c r="G1431" t="s">
        <v>23</v>
      </c>
      <c r="H1431" t="s">
        <v>193</v>
      </c>
      <c r="I1431" t="s">
        <v>3024</v>
      </c>
      <c r="J1431">
        <v>9.9601667000000003</v>
      </c>
      <c r="K1431">
        <v>-84.317843300000007</v>
      </c>
      <c r="L1431" t="s">
        <v>1225</v>
      </c>
      <c r="M1431" t="s">
        <v>54</v>
      </c>
      <c r="N1431" t="s">
        <v>55</v>
      </c>
      <c r="O1431" t="s">
        <v>56</v>
      </c>
      <c r="P1431">
        <v>20</v>
      </c>
      <c r="Q1431" t="s">
        <v>74</v>
      </c>
      <c r="S1431" t="str">
        <f>_xlfn.XLOOKUP(UNIVERSO[[#This Row],[Ruta]],'[1]CUOTA RUTA'!A:A,'[1]CUOTA RUTA'!D:D)</f>
        <v>Cargar</v>
      </c>
    </row>
    <row r="1432" spans="1:19" x14ac:dyDescent="0.25">
      <c r="A1432">
        <v>1500137997</v>
      </c>
      <c r="B1432" t="s">
        <v>3025</v>
      </c>
      <c r="C1432" t="s">
        <v>19</v>
      </c>
      <c r="D1432" t="s">
        <v>20</v>
      </c>
      <c r="E1432" t="s">
        <v>21</v>
      </c>
      <c r="F1432" t="s">
        <v>22</v>
      </c>
      <c r="G1432" t="s">
        <v>33</v>
      </c>
      <c r="H1432" t="s">
        <v>369</v>
      </c>
      <c r="I1432" t="s">
        <v>3026</v>
      </c>
      <c r="J1432">
        <v>10.023011520000001</v>
      </c>
      <c r="K1432">
        <v>-84.126722819999998</v>
      </c>
      <c r="L1432" t="s">
        <v>1225</v>
      </c>
      <c r="M1432" t="s">
        <v>27</v>
      </c>
      <c r="N1432" t="s">
        <v>28</v>
      </c>
      <c r="O1432" t="s">
        <v>29</v>
      </c>
      <c r="P1432">
        <v>15</v>
      </c>
      <c r="Q1432" t="s">
        <v>231</v>
      </c>
      <c r="S1432" t="str">
        <f>_xlfn.XLOOKUP(UNIVERSO[[#This Row],[Ruta]],'[1]CUOTA RUTA'!A:A,'[1]CUOTA RUTA'!D:D)</f>
        <v>Cargar</v>
      </c>
    </row>
    <row r="1433" spans="1:19" x14ac:dyDescent="0.25">
      <c r="A1433">
        <v>1500138001</v>
      </c>
      <c r="B1433" t="s">
        <v>3027</v>
      </c>
      <c r="C1433" t="s">
        <v>19</v>
      </c>
      <c r="D1433" t="s">
        <v>32</v>
      </c>
      <c r="E1433" t="s">
        <v>21</v>
      </c>
      <c r="F1433" t="s">
        <v>22</v>
      </c>
      <c r="G1433" t="s">
        <v>64</v>
      </c>
      <c r="H1433" t="s">
        <v>89</v>
      </c>
      <c r="I1433" t="s">
        <v>3028</v>
      </c>
      <c r="J1433">
        <v>9.8969959999999997</v>
      </c>
      <c r="K1433">
        <v>-84.091159000000005</v>
      </c>
      <c r="L1433" t="s">
        <v>1225</v>
      </c>
      <c r="M1433" t="s">
        <v>71</v>
      </c>
      <c r="N1433" t="s">
        <v>72</v>
      </c>
      <c r="O1433" t="s">
        <v>73</v>
      </c>
      <c r="P1433">
        <v>23</v>
      </c>
      <c r="Q1433" t="s">
        <v>125</v>
      </c>
      <c r="S1433" t="str">
        <f>_xlfn.XLOOKUP(UNIVERSO[[#This Row],[Ruta]],'[1]CUOTA RUTA'!A:A,'[1]CUOTA RUTA'!D:D)</f>
        <v>Cargar</v>
      </c>
    </row>
    <row r="1434" spans="1:19" x14ac:dyDescent="0.25">
      <c r="A1434">
        <v>1500138277</v>
      </c>
      <c r="B1434" t="s">
        <v>3029</v>
      </c>
      <c r="C1434" t="s">
        <v>19</v>
      </c>
      <c r="D1434" t="s">
        <v>32</v>
      </c>
      <c r="E1434" t="s">
        <v>21</v>
      </c>
      <c r="F1434" t="s">
        <v>22</v>
      </c>
      <c r="G1434" t="s">
        <v>23</v>
      </c>
      <c r="H1434" t="s">
        <v>103</v>
      </c>
      <c r="I1434" t="s">
        <v>3030</v>
      </c>
      <c r="J1434">
        <v>9.9157399999999996</v>
      </c>
      <c r="K1434">
        <v>-84.1083</v>
      </c>
      <c r="L1434" t="s">
        <v>1225</v>
      </c>
      <c r="M1434" t="s">
        <v>71</v>
      </c>
      <c r="N1434" t="s">
        <v>72</v>
      </c>
      <c r="O1434" t="s">
        <v>73</v>
      </c>
      <c r="P1434">
        <v>10</v>
      </c>
      <c r="Q1434" t="s">
        <v>136</v>
      </c>
      <c r="S1434" t="str">
        <f>_xlfn.XLOOKUP(UNIVERSO[[#This Row],[Ruta]],'[1]CUOTA RUTA'!A:A,'[1]CUOTA RUTA'!D:D)</f>
        <v>Cargar</v>
      </c>
    </row>
    <row r="1435" spans="1:19" x14ac:dyDescent="0.25">
      <c r="A1435">
        <v>1500138301</v>
      </c>
      <c r="B1435" t="s">
        <v>3031</v>
      </c>
      <c r="C1435" t="s">
        <v>19</v>
      </c>
      <c r="D1435" t="s">
        <v>20</v>
      </c>
      <c r="E1435" t="s">
        <v>21</v>
      </c>
      <c r="F1435" t="s">
        <v>51</v>
      </c>
      <c r="G1435" t="s">
        <v>23</v>
      </c>
      <c r="H1435" t="s">
        <v>193</v>
      </c>
      <c r="I1435" t="s">
        <v>3032</v>
      </c>
      <c r="J1435">
        <v>9.9993219999999994</v>
      </c>
      <c r="K1435">
        <v>-84.262150000000005</v>
      </c>
      <c r="L1435" t="s">
        <v>1225</v>
      </c>
      <c r="M1435" t="s">
        <v>54</v>
      </c>
      <c r="N1435" t="s">
        <v>55</v>
      </c>
      <c r="O1435" t="s">
        <v>56</v>
      </c>
      <c r="P1435">
        <v>7</v>
      </c>
      <c r="Q1435" t="s">
        <v>39</v>
      </c>
      <c r="S1435" t="str">
        <f>_xlfn.XLOOKUP(UNIVERSO[[#This Row],[Ruta]],'[1]CUOTA RUTA'!A:A,'[1]CUOTA RUTA'!D:D)</f>
        <v>Cargar</v>
      </c>
    </row>
    <row r="1436" spans="1:19" x14ac:dyDescent="0.25">
      <c r="A1436">
        <v>1500138360</v>
      </c>
      <c r="B1436" t="s">
        <v>3033</v>
      </c>
      <c r="C1436" t="s">
        <v>19</v>
      </c>
      <c r="D1436" t="s">
        <v>32</v>
      </c>
      <c r="E1436" t="s">
        <v>21</v>
      </c>
      <c r="F1436" t="s">
        <v>22</v>
      </c>
      <c r="G1436" t="s">
        <v>23</v>
      </c>
      <c r="H1436" t="s">
        <v>89</v>
      </c>
      <c r="I1436" t="s">
        <v>3034</v>
      </c>
      <c r="J1436">
        <v>9.89419</v>
      </c>
      <c r="K1436">
        <v>-84.091899999999995</v>
      </c>
      <c r="L1436" t="s">
        <v>1225</v>
      </c>
      <c r="M1436" t="s">
        <v>71</v>
      </c>
      <c r="N1436" t="s">
        <v>72</v>
      </c>
      <c r="O1436" t="s">
        <v>73</v>
      </c>
      <c r="P1436">
        <v>8</v>
      </c>
      <c r="Q1436" t="s">
        <v>97</v>
      </c>
      <c r="S1436" t="str">
        <f>_xlfn.XLOOKUP(UNIVERSO[[#This Row],[Ruta]],'[1]CUOTA RUTA'!A:A,'[1]CUOTA RUTA'!D:D)</f>
        <v>Cargar</v>
      </c>
    </row>
    <row r="1437" spans="1:19" x14ac:dyDescent="0.25">
      <c r="A1437">
        <v>1500138555</v>
      </c>
      <c r="B1437" t="s">
        <v>3035</v>
      </c>
      <c r="C1437" t="s">
        <v>19</v>
      </c>
      <c r="D1437" t="s">
        <v>20</v>
      </c>
      <c r="E1437" t="s">
        <v>21</v>
      </c>
      <c r="F1437" t="s">
        <v>22</v>
      </c>
      <c r="G1437" t="s">
        <v>33</v>
      </c>
      <c r="H1437" t="s">
        <v>910</v>
      </c>
      <c r="I1437" t="s">
        <v>3036</v>
      </c>
      <c r="J1437">
        <v>10.0047309</v>
      </c>
      <c r="K1437">
        <v>-84.152640300000002</v>
      </c>
      <c r="L1437" t="s">
        <v>1225</v>
      </c>
      <c r="M1437" t="s">
        <v>27</v>
      </c>
      <c r="N1437" t="s">
        <v>28</v>
      </c>
      <c r="O1437" t="s">
        <v>29</v>
      </c>
      <c r="P1437">
        <v>20</v>
      </c>
      <c r="Q1437" t="s">
        <v>74</v>
      </c>
      <c r="S1437" t="str">
        <f>_xlfn.XLOOKUP(UNIVERSO[[#This Row],[Ruta]],'[1]CUOTA RUTA'!A:A,'[1]CUOTA RUTA'!D:D)</f>
        <v>Cargar</v>
      </c>
    </row>
    <row r="1438" spans="1:19" x14ac:dyDescent="0.25">
      <c r="A1438">
        <v>1500138576</v>
      </c>
      <c r="B1438" t="s">
        <v>3037</v>
      </c>
      <c r="C1438" t="s">
        <v>19</v>
      </c>
      <c r="D1438" t="s">
        <v>20</v>
      </c>
      <c r="E1438" t="s">
        <v>21</v>
      </c>
      <c r="F1438" t="s">
        <v>22</v>
      </c>
      <c r="G1438" t="s">
        <v>64</v>
      </c>
      <c r="H1438" t="s">
        <v>1021</v>
      </c>
      <c r="I1438" t="s">
        <v>3038</v>
      </c>
      <c r="J1438">
        <v>10.060079999999999</v>
      </c>
      <c r="K1438">
        <v>-84.249830000000003</v>
      </c>
      <c r="L1438" t="s">
        <v>1225</v>
      </c>
      <c r="M1438" t="s">
        <v>46</v>
      </c>
      <c r="N1438" t="s">
        <v>47</v>
      </c>
      <c r="O1438" t="s">
        <v>48</v>
      </c>
      <c r="P1438">
        <v>2</v>
      </c>
      <c r="Q1438" t="s">
        <v>150</v>
      </c>
      <c r="S1438" t="str">
        <f>_xlfn.XLOOKUP(UNIVERSO[[#This Row],[Ruta]],'[1]CUOTA RUTA'!A:A,'[1]CUOTA RUTA'!D:D)</f>
        <v>Cargar</v>
      </c>
    </row>
    <row r="1439" spans="1:19" x14ac:dyDescent="0.25">
      <c r="A1439">
        <v>1500138665</v>
      </c>
      <c r="B1439" t="s">
        <v>2931</v>
      </c>
      <c r="C1439" t="s">
        <v>19</v>
      </c>
      <c r="D1439" t="s">
        <v>20</v>
      </c>
      <c r="E1439" t="s">
        <v>21</v>
      </c>
      <c r="F1439" t="s">
        <v>22</v>
      </c>
      <c r="G1439" t="s">
        <v>33</v>
      </c>
      <c r="H1439" t="s">
        <v>1506</v>
      </c>
      <c r="I1439" t="s">
        <v>3039</v>
      </c>
      <c r="J1439">
        <v>9.9861699999999995</v>
      </c>
      <c r="K1439">
        <v>-84.135599999999997</v>
      </c>
      <c r="L1439" t="s">
        <v>1225</v>
      </c>
      <c r="M1439" t="s">
        <v>27</v>
      </c>
      <c r="N1439" t="s">
        <v>28</v>
      </c>
      <c r="O1439" t="s">
        <v>29</v>
      </c>
      <c r="P1439">
        <v>5</v>
      </c>
      <c r="Q1439" t="s">
        <v>117</v>
      </c>
      <c r="S1439" t="str">
        <f>_xlfn.XLOOKUP(UNIVERSO[[#This Row],[Ruta]],'[1]CUOTA RUTA'!A:A,'[1]CUOTA RUTA'!D:D)</f>
        <v>Cargar</v>
      </c>
    </row>
    <row r="1440" spans="1:19" x14ac:dyDescent="0.25">
      <c r="A1440">
        <v>1500138670</v>
      </c>
      <c r="B1440" t="s">
        <v>2792</v>
      </c>
      <c r="C1440" t="s">
        <v>19</v>
      </c>
      <c r="D1440" t="s">
        <v>20</v>
      </c>
      <c r="E1440" t="s">
        <v>21</v>
      </c>
      <c r="F1440" t="s">
        <v>22</v>
      </c>
      <c r="G1440" t="s">
        <v>64</v>
      </c>
      <c r="H1440" t="s">
        <v>913</v>
      </c>
      <c r="I1440" t="s">
        <v>3040</v>
      </c>
      <c r="J1440">
        <v>9.9620499999999996</v>
      </c>
      <c r="K1440">
        <v>-84.150069999999999</v>
      </c>
      <c r="L1440" t="s">
        <v>1225</v>
      </c>
      <c r="M1440" t="s">
        <v>27</v>
      </c>
      <c r="N1440" t="s">
        <v>28</v>
      </c>
      <c r="O1440" t="s">
        <v>29</v>
      </c>
      <c r="P1440">
        <v>1</v>
      </c>
      <c r="Q1440" t="s">
        <v>155</v>
      </c>
      <c r="S1440" t="str">
        <f>_xlfn.XLOOKUP(UNIVERSO[[#This Row],[Ruta]],'[1]CUOTA RUTA'!A:A,'[1]CUOTA RUTA'!D:D)</f>
        <v>Cargar</v>
      </c>
    </row>
    <row r="1441" spans="1:19" x14ac:dyDescent="0.25">
      <c r="A1441">
        <v>1500138738</v>
      </c>
      <c r="B1441" t="s">
        <v>1690</v>
      </c>
      <c r="C1441" t="s">
        <v>19</v>
      </c>
      <c r="D1441" t="s">
        <v>20</v>
      </c>
      <c r="E1441" t="s">
        <v>21</v>
      </c>
      <c r="F1441" t="s">
        <v>22</v>
      </c>
      <c r="G1441" t="s">
        <v>33</v>
      </c>
      <c r="H1441" t="s">
        <v>24</v>
      </c>
      <c r="I1441" t="s">
        <v>3041</v>
      </c>
      <c r="J1441">
        <v>9.9576022700000006</v>
      </c>
      <c r="K1441">
        <v>-84.130591140000007</v>
      </c>
      <c r="L1441" t="s">
        <v>1225</v>
      </c>
      <c r="M1441" t="s">
        <v>27</v>
      </c>
      <c r="N1441" t="s">
        <v>28</v>
      </c>
      <c r="O1441" t="s">
        <v>29</v>
      </c>
      <c r="P1441">
        <v>8</v>
      </c>
      <c r="Q1441" t="s">
        <v>97</v>
      </c>
      <c r="S1441" t="str">
        <f>_xlfn.XLOOKUP(UNIVERSO[[#This Row],[Ruta]],'[1]CUOTA RUTA'!A:A,'[1]CUOTA RUTA'!D:D)</f>
        <v>Cargar</v>
      </c>
    </row>
    <row r="1442" spans="1:19" x14ac:dyDescent="0.25">
      <c r="A1442">
        <v>1500139081</v>
      </c>
      <c r="B1442" t="s">
        <v>2719</v>
      </c>
      <c r="C1442" t="s">
        <v>19</v>
      </c>
      <c r="D1442" t="s">
        <v>32</v>
      </c>
      <c r="E1442" t="s">
        <v>21</v>
      </c>
      <c r="F1442" t="s">
        <v>22</v>
      </c>
      <c r="G1442" t="s">
        <v>33</v>
      </c>
      <c r="H1442" t="s">
        <v>115</v>
      </c>
      <c r="I1442" t="s">
        <v>3042</v>
      </c>
      <c r="J1442">
        <v>9.9635300000000004</v>
      </c>
      <c r="K1442">
        <v>-84.085300000000004</v>
      </c>
      <c r="L1442" t="s">
        <v>1225</v>
      </c>
      <c r="M1442" t="s">
        <v>36</v>
      </c>
      <c r="N1442" t="s">
        <v>37</v>
      </c>
      <c r="O1442" t="s">
        <v>38</v>
      </c>
      <c r="P1442">
        <v>2</v>
      </c>
      <c r="Q1442" t="s">
        <v>150</v>
      </c>
      <c r="S1442" t="str">
        <f>_xlfn.XLOOKUP(UNIVERSO[[#This Row],[Ruta]],'[1]CUOTA RUTA'!A:A,'[1]CUOTA RUTA'!D:D)</f>
        <v>Cargar</v>
      </c>
    </row>
    <row r="1443" spans="1:19" x14ac:dyDescent="0.25">
      <c r="A1443">
        <v>1500139128</v>
      </c>
      <c r="B1443" t="s">
        <v>3043</v>
      </c>
      <c r="C1443" t="s">
        <v>19</v>
      </c>
      <c r="D1443" t="s">
        <v>32</v>
      </c>
      <c r="E1443" t="s">
        <v>21</v>
      </c>
      <c r="F1443" t="s">
        <v>22</v>
      </c>
      <c r="G1443" t="s">
        <v>33</v>
      </c>
      <c r="H1443" t="s">
        <v>115</v>
      </c>
      <c r="I1443" t="s">
        <v>3044</v>
      </c>
      <c r="J1443">
        <v>9.9605200000000007</v>
      </c>
      <c r="K1443">
        <v>-84.076576000000003</v>
      </c>
      <c r="L1443" t="s">
        <v>1225</v>
      </c>
      <c r="M1443" t="s">
        <v>36</v>
      </c>
      <c r="N1443" t="s">
        <v>37</v>
      </c>
      <c r="O1443" t="s">
        <v>38</v>
      </c>
      <c r="P1443">
        <v>3</v>
      </c>
      <c r="Q1443" t="s">
        <v>101</v>
      </c>
      <c r="S1443" t="str">
        <f>_xlfn.XLOOKUP(UNIVERSO[[#This Row],[Ruta]],'[1]CUOTA RUTA'!A:A,'[1]CUOTA RUTA'!D:D)</f>
        <v>Cargar</v>
      </c>
    </row>
    <row r="1444" spans="1:19" x14ac:dyDescent="0.25">
      <c r="A1444">
        <v>1500139225</v>
      </c>
      <c r="B1444" t="s">
        <v>137</v>
      </c>
      <c r="C1444" t="s">
        <v>19</v>
      </c>
      <c r="D1444" t="s">
        <v>32</v>
      </c>
      <c r="E1444" t="s">
        <v>21</v>
      </c>
      <c r="F1444" t="s">
        <v>51</v>
      </c>
      <c r="G1444" t="s">
        <v>23</v>
      </c>
      <c r="H1444" t="s">
        <v>34</v>
      </c>
      <c r="I1444" t="s">
        <v>3045</v>
      </c>
      <c r="J1444">
        <v>9.9015679999999993</v>
      </c>
      <c r="K1444">
        <v>-84.029182000000006</v>
      </c>
      <c r="L1444" t="s">
        <v>1225</v>
      </c>
      <c r="M1444" t="s">
        <v>36</v>
      </c>
      <c r="N1444" t="s">
        <v>37</v>
      </c>
      <c r="O1444" t="s">
        <v>38</v>
      </c>
      <c r="P1444">
        <v>14</v>
      </c>
      <c r="Q1444" t="s">
        <v>181</v>
      </c>
      <c r="S1444" t="str">
        <f>_xlfn.XLOOKUP(UNIVERSO[[#This Row],[Ruta]],'[1]CUOTA RUTA'!A:A,'[1]CUOTA RUTA'!D:D)</f>
        <v>Cargar</v>
      </c>
    </row>
    <row r="1445" spans="1:19" x14ac:dyDescent="0.25">
      <c r="A1445">
        <v>1500139324</v>
      </c>
      <c r="B1445" t="s">
        <v>3046</v>
      </c>
      <c r="C1445" t="s">
        <v>19</v>
      </c>
      <c r="D1445" t="s">
        <v>32</v>
      </c>
      <c r="E1445" t="s">
        <v>21</v>
      </c>
      <c r="F1445" t="s">
        <v>22</v>
      </c>
      <c r="G1445" t="s">
        <v>33</v>
      </c>
      <c r="H1445" t="s">
        <v>183</v>
      </c>
      <c r="I1445" t="s">
        <v>3047</v>
      </c>
      <c r="J1445">
        <v>9.9651519999999998</v>
      </c>
      <c r="K1445">
        <v>-84.044801000000007</v>
      </c>
      <c r="L1445" t="s">
        <v>1225</v>
      </c>
      <c r="M1445" t="s">
        <v>36</v>
      </c>
      <c r="N1445" t="s">
        <v>37</v>
      </c>
      <c r="O1445" t="s">
        <v>38</v>
      </c>
      <c r="P1445">
        <v>22</v>
      </c>
      <c r="Q1445" t="s">
        <v>30</v>
      </c>
      <c r="S1445" t="str">
        <f>_xlfn.XLOOKUP(UNIVERSO[[#This Row],[Ruta]],'[1]CUOTA RUTA'!A:A,'[1]CUOTA RUTA'!D:D)</f>
        <v>Cargar</v>
      </c>
    </row>
    <row r="1446" spans="1:19" x14ac:dyDescent="0.25">
      <c r="A1446">
        <v>1500139360</v>
      </c>
      <c r="B1446" t="s">
        <v>3048</v>
      </c>
      <c r="C1446" t="s">
        <v>19</v>
      </c>
      <c r="D1446" t="s">
        <v>32</v>
      </c>
      <c r="E1446" t="s">
        <v>21</v>
      </c>
      <c r="F1446" t="s">
        <v>22</v>
      </c>
      <c r="G1446" t="s">
        <v>64</v>
      </c>
      <c r="H1446" t="s">
        <v>879</v>
      </c>
      <c r="I1446" t="s">
        <v>3049</v>
      </c>
      <c r="J1446">
        <v>9.930536</v>
      </c>
      <c r="K1446">
        <v>-84.076026999999996</v>
      </c>
      <c r="L1446" t="s">
        <v>1225</v>
      </c>
      <c r="M1446" t="s">
        <v>71</v>
      </c>
      <c r="N1446" t="s">
        <v>72</v>
      </c>
      <c r="O1446" t="s">
        <v>73</v>
      </c>
      <c r="P1446">
        <v>5</v>
      </c>
      <c r="Q1446" t="s">
        <v>117</v>
      </c>
      <c r="S1446" t="str">
        <f>_xlfn.XLOOKUP(UNIVERSO[[#This Row],[Ruta]],'[1]CUOTA RUTA'!A:A,'[1]CUOTA RUTA'!D:D)</f>
        <v>Cargar</v>
      </c>
    </row>
    <row r="1447" spans="1:19" x14ac:dyDescent="0.25">
      <c r="A1447">
        <v>1500139502</v>
      </c>
      <c r="B1447" t="s">
        <v>3050</v>
      </c>
      <c r="C1447" t="s">
        <v>19</v>
      </c>
      <c r="D1447" t="s">
        <v>32</v>
      </c>
      <c r="E1447" t="s">
        <v>62</v>
      </c>
      <c r="F1447" t="s">
        <v>63</v>
      </c>
      <c r="G1447" t="s">
        <v>64</v>
      </c>
      <c r="H1447" t="s">
        <v>179</v>
      </c>
      <c r="I1447" t="s">
        <v>3051</v>
      </c>
      <c r="J1447">
        <v>9.9036100000000005</v>
      </c>
      <c r="K1447">
        <v>-84.045299</v>
      </c>
      <c r="L1447" t="s">
        <v>1225</v>
      </c>
      <c r="M1447" t="s">
        <v>36</v>
      </c>
      <c r="N1447" t="s">
        <v>37</v>
      </c>
      <c r="O1447" t="s">
        <v>38</v>
      </c>
      <c r="P1447">
        <v>14</v>
      </c>
      <c r="Q1447" t="s">
        <v>181</v>
      </c>
      <c r="S1447" t="str">
        <f>_xlfn.XLOOKUP(UNIVERSO[[#This Row],[Ruta]],'[1]CUOTA RUTA'!A:A,'[1]CUOTA RUTA'!D:D)</f>
        <v>Cargar</v>
      </c>
    </row>
    <row r="1448" spans="1:19" x14ac:dyDescent="0.25">
      <c r="A1448">
        <v>1500139567</v>
      </c>
      <c r="B1448" t="s">
        <v>3052</v>
      </c>
      <c r="C1448" t="s">
        <v>19</v>
      </c>
      <c r="D1448" t="s">
        <v>32</v>
      </c>
      <c r="E1448" t="s">
        <v>62</v>
      </c>
      <c r="F1448" t="s">
        <v>63</v>
      </c>
      <c r="G1448" t="s">
        <v>64</v>
      </c>
      <c r="H1448" t="s">
        <v>179</v>
      </c>
      <c r="I1448" t="s">
        <v>3053</v>
      </c>
      <c r="J1448">
        <v>9.9068109999999994</v>
      </c>
      <c r="K1448">
        <v>-84.062738999999993</v>
      </c>
      <c r="L1448" t="s">
        <v>1225</v>
      </c>
      <c r="M1448" t="s">
        <v>36</v>
      </c>
      <c r="N1448" t="s">
        <v>37</v>
      </c>
      <c r="O1448" t="s">
        <v>38</v>
      </c>
      <c r="P1448">
        <v>12</v>
      </c>
      <c r="Q1448" t="s">
        <v>42</v>
      </c>
      <c r="S1448" t="str">
        <f>_xlfn.XLOOKUP(UNIVERSO[[#This Row],[Ruta]],'[1]CUOTA RUTA'!A:A,'[1]CUOTA RUTA'!D:D)</f>
        <v>Cargar</v>
      </c>
    </row>
    <row r="1449" spans="1:19" x14ac:dyDescent="0.25">
      <c r="A1449">
        <v>1500139754</v>
      </c>
      <c r="B1449" t="s">
        <v>3054</v>
      </c>
      <c r="C1449" t="s">
        <v>19</v>
      </c>
      <c r="D1449" t="s">
        <v>32</v>
      </c>
      <c r="E1449" t="s">
        <v>21</v>
      </c>
      <c r="F1449" t="s">
        <v>22</v>
      </c>
      <c r="G1449" t="s">
        <v>64</v>
      </c>
      <c r="H1449" t="s">
        <v>127</v>
      </c>
      <c r="I1449" t="s">
        <v>3055</v>
      </c>
      <c r="J1449">
        <v>9.7926800000000007</v>
      </c>
      <c r="K1449">
        <v>-84.11569666666</v>
      </c>
      <c r="L1449" t="s">
        <v>1225</v>
      </c>
      <c r="M1449" t="s">
        <v>54</v>
      </c>
      <c r="N1449" t="s">
        <v>129</v>
      </c>
      <c r="O1449" t="s">
        <v>130</v>
      </c>
      <c r="P1449">
        <v>22</v>
      </c>
      <c r="Q1449" t="s">
        <v>30</v>
      </c>
      <c r="S1449" t="str">
        <f>_xlfn.XLOOKUP(UNIVERSO[[#This Row],[Ruta]],'[1]CUOTA RUTA'!A:A,'[1]CUOTA RUTA'!D:D)</f>
        <v>Cargar</v>
      </c>
    </row>
    <row r="1450" spans="1:19" x14ac:dyDescent="0.25">
      <c r="A1450">
        <v>1500139830</v>
      </c>
      <c r="B1450" t="s">
        <v>3056</v>
      </c>
      <c r="C1450" t="s">
        <v>19</v>
      </c>
      <c r="D1450" t="s">
        <v>32</v>
      </c>
      <c r="E1450" t="s">
        <v>21</v>
      </c>
      <c r="F1450" t="s">
        <v>22</v>
      </c>
      <c r="G1450" t="s">
        <v>64</v>
      </c>
      <c r="H1450" t="s">
        <v>92</v>
      </c>
      <c r="I1450" t="s">
        <v>3057</v>
      </c>
      <c r="J1450">
        <v>9.973687</v>
      </c>
      <c r="K1450">
        <v>-84.017021</v>
      </c>
      <c r="L1450" t="s">
        <v>1225</v>
      </c>
      <c r="M1450" t="s">
        <v>94</v>
      </c>
      <c r="N1450" t="s">
        <v>95</v>
      </c>
      <c r="O1450" t="s">
        <v>96</v>
      </c>
      <c r="P1450">
        <v>3</v>
      </c>
      <c r="Q1450" t="s">
        <v>101</v>
      </c>
      <c r="S1450" t="str">
        <f>_xlfn.XLOOKUP(UNIVERSO[[#This Row],[Ruta]],'[1]CUOTA RUTA'!A:A,'[1]CUOTA RUTA'!D:D)</f>
        <v>Cargar</v>
      </c>
    </row>
    <row r="1451" spans="1:19" x14ac:dyDescent="0.25">
      <c r="A1451">
        <v>1500139915</v>
      </c>
      <c r="B1451" t="s">
        <v>3058</v>
      </c>
      <c r="C1451" t="s">
        <v>19</v>
      </c>
      <c r="D1451" t="s">
        <v>32</v>
      </c>
      <c r="E1451" t="s">
        <v>21</v>
      </c>
      <c r="F1451" t="s">
        <v>51</v>
      </c>
      <c r="G1451" t="s">
        <v>23</v>
      </c>
      <c r="H1451" t="s">
        <v>127</v>
      </c>
      <c r="I1451" t="s">
        <v>3059</v>
      </c>
      <c r="J1451">
        <v>9.7873999999999999</v>
      </c>
      <c r="K1451">
        <v>-84.105924999999999</v>
      </c>
      <c r="L1451" t="s">
        <v>1225</v>
      </c>
      <c r="M1451" t="s">
        <v>54</v>
      </c>
      <c r="N1451" t="s">
        <v>129</v>
      </c>
      <c r="O1451" t="s">
        <v>130</v>
      </c>
      <c r="P1451">
        <v>22</v>
      </c>
      <c r="Q1451" t="s">
        <v>30</v>
      </c>
      <c r="S1451" t="str">
        <f>_xlfn.XLOOKUP(UNIVERSO[[#This Row],[Ruta]],'[1]CUOTA RUTA'!A:A,'[1]CUOTA RUTA'!D:D)</f>
        <v>Cargar</v>
      </c>
    </row>
    <row r="1452" spans="1:19" x14ac:dyDescent="0.25">
      <c r="A1452">
        <v>1500139941</v>
      </c>
      <c r="B1452" t="s">
        <v>3060</v>
      </c>
      <c r="C1452" t="s">
        <v>19</v>
      </c>
      <c r="D1452" t="s">
        <v>32</v>
      </c>
      <c r="E1452" t="s">
        <v>21</v>
      </c>
      <c r="F1452" t="s">
        <v>22</v>
      </c>
      <c r="G1452" t="s">
        <v>33</v>
      </c>
      <c r="H1452" t="s">
        <v>65</v>
      </c>
      <c r="I1452" t="s">
        <v>3061</v>
      </c>
      <c r="J1452">
        <v>9.9083699999999997</v>
      </c>
      <c r="K1452">
        <v>-83.990129999999994</v>
      </c>
      <c r="L1452" t="s">
        <v>1225</v>
      </c>
      <c r="M1452" t="s">
        <v>36</v>
      </c>
      <c r="N1452" t="s">
        <v>37</v>
      </c>
      <c r="O1452" t="s">
        <v>38</v>
      </c>
      <c r="P1452">
        <v>18</v>
      </c>
      <c r="Q1452" t="s">
        <v>84</v>
      </c>
      <c r="S1452" t="str">
        <f>_xlfn.XLOOKUP(UNIVERSO[[#This Row],[Ruta]],'[1]CUOTA RUTA'!A:A,'[1]CUOTA RUTA'!D:D)</f>
        <v>Cargar</v>
      </c>
    </row>
    <row r="1453" spans="1:19" x14ac:dyDescent="0.25">
      <c r="A1453">
        <v>1500139979</v>
      </c>
      <c r="B1453" t="s">
        <v>3062</v>
      </c>
      <c r="C1453" t="s">
        <v>19</v>
      </c>
      <c r="D1453" t="s">
        <v>32</v>
      </c>
      <c r="E1453" t="s">
        <v>21</v>
      </c>
      <c r="F1453" t="s">
        <v>22</v>
      </c>
      <c r="G1453" t="s">
        <v>64</v>
      </c>
      <c r="H1453" t="s">
        <v>425</v>
      </c>
      <c r="I1453" t="s">
        <v>3063</v>
      </c>
      <c r="J1453">
        <v>9.8696167599999995</v>
      </c>
      <c r="K1453">
        <v>-84.092918699999998</v>
      </c>
      <c r="L1453" t="s">
        <v>1225</v>
      </c>
      <c r="M1453" t="s">
        <v>71</v>
      </c>
      <c r="N1453" t="s">
        <v>72</v>
      </c>
      <c r="O1453" t="s">
        <v>73</v>
      </c>
      <c r="P1453">
        <v>17</v>
      </c>
      <c r="Q1453" t="s">
        <v>287</v>
      </c>
      <c r="S1453" t="str">
        <f>_xlfn.XLOOKUP(UNIVERSO[[#This Row],[Ruta]],'[1]CUOTA RUTA'!A:A,'[1]CUOTA RUTA'!D:D)</f>
        <v>Cargar</v>
      </c>
    </row>
    <row r="1454" spans="1:19" x14ac:dyDescent="0.25">
      <c r="A1454">
        <v>1500140132</v>
      </c>
      <c r="B1454" t="s">
        <v>3064</v>
      </c>
      <c r="C1454" t="s">
        <v>19</v>
      </c>
      <c r="D1454" t="s">
        <v>32</v>
      </c>
      <c r="E1454" t="s">
        <v>21</v>
      </c>
      <c r="F1454" t="s">
        <v>22</v>
      </c>
      <c r="G1454" t="s">
        <v>64</v>
      </c>
      <c r="H1454" t="s">
        <v>115</v>
      </c>
      <c r="I1454" t="s">
        <v>3065</v>
      </c>
      <c r="J1454">
        <v>9.9442260000000005</v>
      </c>
      <c r="K1454">
        <v>-84.071395999999993</v>
      </c>
      <c r="L1454" t="s">
        <v>1225</v>
      </c>
      <c r="M1454" t="s">
        <v>36</v>
      </c>
      <c r="N1454" t="s">
        <v>37</v>
      </c>
      <c r="O1454" t="s">
        <v>38</v>
      </c>
      <c r="P1454">
        <v>4</v>
      </c>
      <c r="Q1454" t="s">
        <v>120</v>
      </c>
      <c r="S1454" t="str">
        <f>_xlfn.XLOOKUP(UNIVERSO[[#This Row],[Ruta]],'[1]CUOTA RUTA'!A:A,'[1]CUOTA RUTA'!D:D)</f>
        <v>Cargar</v>
      </c>
    </row>
    <row r="1455" spans="1:19" x14ac:dyDescent="0.25">
      <c r="A1455">
        <v>1500140347</v>
      </c>
      <c r="B1455" t="s">
        <v>3066</v>
      </c>
      <c r="C1455" t="s">
        <v>19</v>
      </c>
      <c r="D1455" t="s">
        <v>32</v>
      </c>
      <c r="E1455" t="s">
        <v>21</v>
      </c>
      <c r="F1455" t="s">
        <v>22</v>
      </c>
      <c r="G1455" t="s">
        <v>33</v>
      </c>
      <c r="H1455" t="s">
        <v>148</v>
      </c>
      <c r="I1455" t="s">
        <v>3067</v>
      </c>
      <c r="J1455">
        <v>9.9825330000000001</v>
      </c>
      <c r="K1455">
        <v>-84.022362000000001</v>
      </c>
      <c r="L1455" t="s">
        <v>1225</v>
      </c>
      <c r="M1455" t="s">
        <v>94</v>
      </c>
      <c r="N1455" t="s">
        <v>95</v>
      </c>
      <c r="O1455" t="s">
        <v>96</v>
      </c>
      <c r="P1455">
        <v>3</v>
      </c>
      <c r="Q1455" t="s">
        <v>101</v>
      </c>
      <c r="S1455" t="str">
        <f>_xlfn.XLOOKUP(UNIVERSO[[#This Row],[Ruta]],'[1]CUOTA RUTA'!A:A,'[1]CUOTA RUTA'!D:D)</f>
        <v>Cargar</v>
      </c>
    </row>
    <row r="1456" spans="1:19" x14ac:dyDescent="0.25">
      <c r="A1456">
        <v>1500140421</v>
      </c>
      <c r="B1456" t="s">
        <v>3068</v>
      </c>
      <c r="C1456" t="s">
        <v>19</v>
      </c>
      <c r="D1456" t="s">
        <v>32</v>
      </c>
      <c r="E1456" t="s">
        <v>21</v>
      </c>
      <c r="F1456" t="s">
        <v>22</v>
      </c>
      <c r="G1456" t="s">
        <v>33</v>
      </c>
      <c r="H1456" t="s">
        <v>1383</v>
      </c>
      <c r="I1456" t="s">
        <v>3069</v>
      </c>
      <c r="J1456">
        <v>9.9034499999999994</v>
      </c>
      <c r="K1456">
        <v>-84.093699999999998</v>
      </c>
      <c r="L1456" t="s">
        <v>1225</v>
      </c>
      <c r="M1456" t="s">
        <v>71</v>
      </c>
      <c r="N1456" t="s">
        <v>72</v>
      </c>
      <c r="O1456" t="s">
        <v>73</v>
      </c>
      <c r="P1456">
        <v>6</v>
      </c>
      <c r="Q1456" t="s">
        <v>49</v>
      </c>
      <c r="S1456" t="str">
        <f>_xlfn.XLOOKUP(UNIVERSO[[#This Row],[Ruta]],'[1]CUOTA RUTA'!A:A,'[1]CUOTA RUTA'!D:D)</f>
        <v>Cargar</v>
      </c>
    </row>
    <row r="1457" spans="1:19" x14ac:dyDescent="0.25">
      <c r="A1457">
        <v>1500140504</v>
      </c>
      <c r="B1457" t="s">
        <v>832</v>
      </c>
      <c r="C1457" t="s">
        <v>19</v>
      </c>
      <c r="D1457" t="s">
        <v>32</v>
      </c>
      <c r="E1457" t="s">
        <v>21</v>
      </c>
      <c r="F1457" t="s">
        <v>22</v>
      </c>
      <c r="G1457" t="s">
        <v>33</v>
      </c>
      <c r="H1457" t="s">
        <v>716</v>
      </c>
      <c r="I1457" t="s">
        <v>3070</v>
      </c>
      <c r="J1457">
        <v>9.9148300000000003</v>
      </c>
      <c r="K1457">
        <v>-84.046999999999997</v>
      </c>
      <c r="L1457" t="s">
        <v>1225</v>
      </c>
      <c r="M1457" t="s">
        <v>36</v>
      </c>
      <c r="N1457" t="s">
        <v>37</v>
      </c>
      <c r="O1457" t="s">
        <v>38</v>
      </c>
      <c r="P1457">
        <v>11</v>
      </c>
      <c r="Q1457" t="s">
        <v>108</v>
      </c>
      <c r="S1457" t="str">
        <f>_xlfn.XLOOKUP(UNIVERSO[[#This Row],[Ruta]],'[1]CUOTA RUTA'!A:A,'[1]CUOTA RUTA'!D:D)</f>
        <v>Cargar</v>
      </c>
    </row>
    <row r="1458" spans="1:19" x14ac:dyDescent="0.25">
      <c r="A1458">
        <v>1500140560</v>
      </c>
      <c r="B1458" t="s">
        <v>3071</v>
      </c>
      <c r="C1458" t="s">
        <v>19</v>
      </c>
      <c r="D1458" t="s">
        <v>32</v>
      </c>
      <c r="E1458" t="s">
        <v>21</v>
      </c>
      <c r="F1458" t="s">
        <v>22</v>
      </c>
      <c r="G1458" t="s">
        <v>33</v>
      </c>
      <c r="H1458" t="s">
        <v>148</v>
      </c>
      <c r="I1458" t="s">
        <v>3072</v>
      </c>
      <c r="J1458">
        <v>9.9695660000000004</v>
      </c>
      <c r="K1458">
        <v>-84.026893999999999</v>
      </c>
      <c r="L1458" t="s">
        <v>1225</v>
      </c>
      <c r="M1458" t="s">
        <v>94</v>
      </c>
      <c r="N1458" t="s">
        <v>95</v>
      </c>
      <c r="O1458" t="s">
        <v>96</v>
      </c>
      <c r="P1458">
        <v>2</v>
      </c>
      <c r="Q1458" t="s">
        <v>150</v>
      </c>
      <c r="S1458" t="str">
        <f>_xlfn.XLOOKUP(UNIVERSO[[#This Row],[Ruta]],'[1]CUOTA RUTA'!A:A,'[1]CUOTA RUTA'!D:D)</f>
        <v>Cargar</v>
      </c>
    </row>
    <row r="1459" spans="1:19" x14ac:dyDescent="0.25">
      <c r="A1459">
        <v>1500140563</v>
      </c>
      <c r="B1459" t="s">
        <v>3073</v>
      </c>
      <c r="C1459" t="s">
        <v>19</v>
      </c>
      <c r="D1459" t="s">
        <v>32</v>
      </c>
      <c r="E1459" t="s">
        <v>21</v>
      </c>
      <c r="F1459" t="s">
        <v>22</v>
      </c>
      <c r="G1459" t="s">
        <v>33</v>
      </c>
      <c r="H1459" t="s">
        <v>82</v>
      </c>
      <c r="I1459" t="s">
        <v>3074</v>
      </c>
      <c r="J1459">
        <v>9.8935940000000002</v>
      </c>
      <c r="K1459">
        <v>-84.074686</v>
      </c>
      <c r="L1459" t="s">
        <v>1225</v>
      </c>
      <c r="M1459" t="s">
        <v>71</v>
      </c>
      <c r="N1459" t="s">
        <v>72</v>
      </c>
      <c r="O1459" t="s">
        <v>73</v>
      </c>
      <c r="P1459">
        <v>7</v>
      </c>
      <c r="Q1459" t="s">
        <v>39</v>
      </c>
      <c r="S1459" t="str">
        <f>_xlfn.XLOOKUP(UNIVERSO[[#This Row],[Ruta]],'[1]CUOTA RUTA'!A:A,'[1]CUOTA RUTA'!D:D)</f>
        <v>Cargar</v>
      </c>
    </row>
    <row r="1460" spans="1:19" x14ac:dyDescent="0.25">
      <c r="A1460">
        <v>1500140653</v>
      </c>
      <c r="B1460" t="s">
        <v>1639</v>
      </c>
      <c r="C1460" t="s">
        <v>19</v>
      </c>
      <c r="D1460" t="s">
        <v>32</v>
      </c>
      <c r="E1460" t="s">
        <v>21</v>
      </c>
      <c r="F1460" t="s">
        <v>22</v>
      </c>
      <c r="G1460" t="s">
        <v>33</v>
      </c>
      <c r="H1460" t="s">
        <v>425</v>
      </c>
      <c r="I1460" t="s">
        <v>3075</v>
      </c>
      <c r="J1460">
        <v>9.8684200000000004</v>
      </c>
      <c r="K1460">
        <v>-84.089399999999998</v>
      </c>
      <c r="L1460" t="s">
        <v>1225</v>
      </c>
      <c r="M1460" t="s">
        <v>71</v>
      </c>
      <c r="N1460" t="s">
        <v>72</v>
      </c>
      <c r="O1460" t="s">
        <v>73</v>
      </c>
      <c r="P1460">
        <v>15</v>
      </c>
      <c r="Q1460" t="s">
        <v>231</v>
      </c>
      <c r="S1460" t="str">
        <f>_xlfn.XLOOKUP(UNIVERSO[[#This Row],[Ruta]],'[1]CUOTA RUTA'!A:A,'[1]CUOTA RUTA'!D:D)</f>
        <v>Cargar</v>
      </c>
    </row>
    <row r="1461" spans="1:19" x14ac:dyDescent="0.25">
      <c r="A1461">
        <v>1500140665</v>
      </c>
      <c r="B1461" t="s">
        <v>243</v>
      </c>
      <c r="C1461" t="s">
        <v>19</v>
      </c>
      <c r="D1461" t="s">
        <v>32</v>
      </c>
      <c r="E1461" t="s">
        <v>21</v>
      </c>
      <c r="F1461" t="s">
        <v>22</v>
      </c>
      <c r="G1461" t="s">
        <v>33</v>
      </c>
      <c r="H1461" t="s">
        <v>112</v>
      </c>
      <c r="I1461" t="s">
        <v>3076</v>
      </c>
      <c r="J1461">
        <v>9.94876</v>
      </c>
      <c r="K1461">
        <v>-84.090118000000004</v>
      </c>
      <c r="L1461" t="s">
        <v>1225</v>
      </c>
      <c r="M1461" t="s">
        <v>94</v>
      </c>
      <c r="N1461" t="s">
        <v>95</v>
      </c>
      <c r="O1461" t="s">
        <v>96</v>
      </c>
      <c r="P1461">
        <v>11</v>
      </c>
      <c r="Q1461" t="s">
        <v>108</v>
      </c>
      <c r="S1461" t="str">
        <f>_xlfn.XLOOKUP(UNIVERSO[[#This Row],[Ruta]],'[1]CUOTA RUTA'!A:A,'[1]CUOTA RUTA'!D:D)</f>
        <v>Cargar</v>
      </c>
    </row>
    <row r="1462" spans="1:19" x14ac:dyDescent="0.25">
      <c r="A1462">
        <v>1500140719</v>
      </c>
      <c r="B1462" t="s">
        <v>2591</v>
      </c>
      <c r="C1462" t="s">
        <v>19</v>
      </c>
      <c r="D1462" t="s">
        <v>32</v>
      </c>
      <c r="E1462" t="s">
        <v>21</v>
      </c>
      <c r="F1462" t="s">
        <v>22</v>
      </c>
      <c r="G1462" t="s">
        <v>64</v>
      </c>
      <c r="H1462" t="s">
        <v>716</v>
      </c>
      <c r="I1462" t="s">
        <v>3077</v>
      </c>
      <c r="J1462">
        <v>9.9190020000000008</v>
      </c>
      <c r="K1462">
        <v>-84.040267999999998</v>
      </c>
      <c r="L1462" t="s">
        <v>1225</v>
      </c>
      <c r="M1462" t="s">
        <v>36</v>
      </c>
      <c r="N1462" t="s">
        <v>37</v>
      </c>
      <c r="O1462" t="s">
        <v>38</v>
      </c>
      <c r="P1462">
        <v>10</v>
      </c>
      <c r="Q1462" t="s">
        <v>136</v>
      </c>
      <c r="S1462" t="str">
        <f>_xlfn.XLOOKUP(UNIVERSO[[#This Row],[Ruta]],'[1]CUOTA RUTA'!A:A,'[1]CUOTA RUTA'!D:D)</f>
        <v>Cargar</v>
      </c>
    </row>
    <row r="1463" spans="1:19" x14ac:dyDescent="0.25">
      <c r="A1463">
        <v>1500140847</v>
      </c>
      <c r="B1463" t="s">
        <v>3078</v>
      </c>
      <c r="C1463" t="s">
        <v>19</v>
      </c>
      <c r="D1463" t="s">
        <v>32</v>
      </c>
      <c r="E1463" t="s">
        <v>21</v>
      </c>
      <c r="F1463" t="s">
        <v>51</v>
      </c>
      <c r="G1463" t="s">
        <v>23</v>
      </c>
      <c r="H1463" t="s">
        <v>441</v>
      </c>
      <c r="I1463" t="s">
        <v>3079</v>
      </c>
      <c r="J1463">
        <v>9.8581880000000002</v>
      </c>
      <c r="K1463">
        <v>-84.059196</v>
      </c>
      <c r="L1463" t="s">
        <v>1225</v>
      </c>
      <c r="M1463" t="s">
        <v>71</v>
      </c>
      <c r="N1463" t="s">
        <v>72</v>
      </c>
      <c r="O1463" t="s">
        <v>73</v>
      </c>
      <c r="P1463">
        <v>22</v>
      </c>
      <c r="Q1463" t="s">
        <v>30</v>
      </c>
      <c r="S1463" t="str">
        <f>_xlfn.XLOOKUP(UNIVERSO[[#This Row],[Ruta]],'[1]CUOTA RUTA'!A:A,'[1]CUOTA RUTA'!D:D)</f>
        <v>Cargar</v>
      </c>
    </row>
    <row r="1464" spans="1:19" x14ac:dyDescent="0.25">
      <c r="A1464">
        <v>1500140865</v>
      </c>
      <c r="B1464" t="s">
        <v>3080</v>
      </c>
      <c r="C1464" t="s">
        <v>19</v>
      </c>
      <c r="D1464" t="s">
        <v>32</v>
      </c>
      <c r="E1464" t="s">
        <v>21</v>
      </c>
      <c r="F1464" t="s">
        <v>22</v>
      </c>
      <c r="G1464" t="s">
        <v>23</v>
      </c>
      <c r="H1464" t="s">
        <v>65</v>
      </c>
      <c r="I1464" t="s">
        <v>3081</v>
      </c>
      <c r="J1464">
        <v>9.9072300000000002</v>
      </c>
      <c r="K1464">
        <v>-83.986980000000003</v>
      </c>
      <c r="L1464" t="s">
        <v>1225</v>
      </c>
      <c r="M1464" t="s">
        <v>36</v>
      </c>
      <c r="N1464" t="s">
        <v>37</v>
      </c>
      <c r="O1464" t="s">
        <v>38</v>
      </c>
      <c r="P1464">
        <v>19</v>
      </c>
      <c r="Q1464" t="s">
        <v>67</v>
      </c>
      <c r="S1464" t="str">
        <f>_xlfn.XLOOKUP(UNIVERSO[[#This Row],[Ruta]],'[1]CUOTA RUTA'!A:A,'[1]CUOTA RUTA'!D:D)</f>
        <v>Cargar</v>
      </c>
    </row>
    <row r="1465" spans="1:19" x14ac:dyDescent="0.25">
      <c r="A1465">
        <v>1500140938</v>
      </c>
      <c r="B1465" t="s">
        <v>1682</v>
      </c>
      <c r="C1465" t="s">
        <v>19</v>
      </c>
      <c r="D1465" t="s">
        <v>32</v>
      </c>
      <c r="E1465" t="s">
        <v>21</v>
      </c>
      <c r="F1465" t="s">
        <v>22</v>
      </c>
      <c r="G1465" t="s">
        <v>64</v>
      </c>
      <c r="H1465" t="s">
        <v>76</v>
      </c>
      <c r="I1465" t="s">
        <v>3082</v>
      </c>
      <c r="J1465">
        <v>9.9614317000000003</v>
      </c>
      <c r="K1465">
        <v>-84.006758300000001</v>
      </c>
      <c r="L1465" t="s">
        <v>1225</v>
      </c>
      <c r="M1465" t="s">
        <v>36</v>
      </c>
      <c r="N1465" t="s">
        <v>37</v>
      </c>
      <c r="O1465" t="s">
        <v>38</v>
      </c>
      <c r="P1465">
        <v>20</v>
      </c>
      <c r="Q1465" t="s">
        <v>74</v>
      </c>
      <c r="S1465" t="str">
        <f>_xlfn.XLOOKUP(UNIVERSO[[#This Row],[Ruta]],'[1]CUOTA RUTA'!A:A,'[1]CUOTA RUTA'!D:D)</f>
        <v>Cargar</v>
      </c>
    </row>
    <row r="1466" spans="1:19" x14ac:dyDescent="0.25">
      <c r="A1466">
        <v>1500141065</v>
      </c>
      <c r="B1466" t="s">
        <v>2578</v>
      </c>
      <c r="C1466" t="s">
        <v>19</v>
      </c>
      <c r="D1466" t="s">
        <v>208</v>
      </c>
      <c r="E1466" t="s">
        <v>21</v>
      </c>
      <c r="F1466" t="s">
        <v>22</v>
      </c>
      <c r="G1466" t="s">
        <v>64</v>
      </c>
      <c r="H1466" t="s">
        <v>631</v>
      </c>
      <c r="I1466" t="s">
        <v>3083</v>
      </c>
      <c r="J1466">
        <v>10.50573</v>
      </c>
      <c r="K1466">
        <v>-83.892200000000003</v>
      </c>
      <c r="L1466" t="s">
        <v>1225</v>
      </c>
      <c r="M1466" t="s">
        <v>189</v>
      </c>
      <c r="N1466" t="s">
        <v>211</v>
      </c>
      <c r="O1466" t="s">
        <v>212</v>
      </c>
      <c r="P1466">
        <v>11</v>
      </c>
      <c r="Q1466" t="s">
        <v>108</v>
      </c>
      <c r="S1466" t="str">
        <f>_xlfn.XLOOKUP(UNIVERSO[[#This Row],[Ruta]],'[1]CUOTA RUTA'!A:A,'[1]CUOTA RUTA'!D:D)</f>
        <v>Cargar</v>
      </c>
    </row>
    <row r="1467" spans="1:19" x14ac:dyDescent="0.25">
      <c r="A1467">
        <v>1500141159</v>
      </c>
      <c r="B1467" t="s">
        <v>3084</v>
      </c>
      <c r="C1467" t="s">
        <v>19</v>
      </c>
      <c r="D1467" t="s">
        <v>208</v>
      </c>
      <c r="E1467" t="s">
        <v>21</v>
      </c>
      <c r="F1467" t="s">
        <v>22</v>
      </c>
      <c r="G1467" t="s">
        <v>33</v>
      </c>
      <c r="H1467" t="s">
        <v>719</v>
      </c>
      <c r="I1467" t="s">
        <v>3085</v>
      </c>
      <c r="J1467">
        <v>10.10093415</v>
      </c>
      <c r="K1467">
        <v>-83.506875899999997</v>
      </c>
      <c r="L1467" t="s">
        <v>1225</v>
      </c>
      <c r="M1467" t="s">
        <v>189</v>
      </c>
      <c r="N1467" t="s">
        <v>211</v>
      </c>
      <c r="O1467" t="s">
        <v>212</v>
      </c>
      <c r="P1467">
        <v>8</v>
      </c>
      <c r="Q1467" t="s">
        <v>97</v>
      </c>
      <c r="S1467" t="str">
        <f>_xlfn.XLOOKUP(UNIVERSO[[#This Row],[Ruta]],'[1]CUOTA RUTA'!A:A,'[1]CUOTA RUTA'!D:D)</f>
        <v>Cargar</v>
      </c>
    </row>
    <row r="1468" spans="1:19" x14ac:dyDescent="0.25">
      <c r="A1468">
        <v>1500141278</v>
      </c>
      <c r="B1468" t="s">
        <v>3086</v>
      </c>
      <c r="C1468" t="s">
        <v>19</v>
      </c>
      <c r="D1468" t="s">
        <v>208</v>
      </c>
      <c r="E1468" t="s">
        <v>21</v>
      </c>
      <c r="F1468" t="s">
        <v>22</v>
      </c>
      <c r="G1468" t="s">
        <v>33</v>
      </c>
      <c r="H1468" t="s">
        <v>221</v>
      </c>
      <c r="I1468" t="s">
        <v>3087</v>
      </c>
      <c r="J1468">
        <v>10.340768000000001</v>
      </c>
      <c r="K1468">
        <v>-83.737830000000002</v>
      </c>
      <c r="L1468" t="s">
        <v>1225</v>
      </c>
      <c r="M1468" t="s">
        <v>189</v>
      </c>
      <c r="N1468" t="s">
        <v>211</v>
      </c>
      <c r="O1468" t="s">
        <v>212</v>
      </c>
      <c r="P1468">
        <v>1</v>
      </c>
      <c r="Q1468" t="s">
        <v>155</v>
      </c>
      <c r="S1468" t="str">
        <f>_xlfn.XLOOKUP(UNIVERSO[[#This Row],[Ruta]],'[1]CUOTA RUTA'!A:A,'[1]CUOTA RUTA'!D:D)</f>
        <v>Cargar</v>
      </c>
    </row>
    <row r="1469" spans="1:19" x14ac:dyDescent="0.25">
      <c r="A1469">
        <v>1500141356</v>
      </c>
      <c r="B1469" t="s">
        <v>3088</v>
      </c>
      <c r="C1469" t="s">
        <v>19</v>
      </c>
      <c r="D1469" t="s">
        <v>208</v>
      </c>
      <c r="E1469" t="s">
        <v>21</v>
      </c>
      <c r="F1469" t="s">
        <v>22</v>
      </c>
      <c r="G1469" t="s">
        <v>33</v>
      </c>
      <c r="H1469" t="s">
        <v>631</v>
      </c>
      <c r="I1469" t="s">
        <v>3089</v>
      </c>
      <c r="J1469">
        <v>10.194699999999999</v>
      </c>
      <c r="K1469">
        <v>-83.449299999999994</v>
      </c>
      <c r="L1469" t="s">
        <v>1225</v>
      </c>
      <c r="M1469" t="s">
        <v>189</v>
      </c>
      <c r="N1469" t="s">
        <v>211</v>
      </c>
      <c r="O1469" t="s">
        <v>212</v>
      </c>
      <c r="P1469">
        <v>9</v>
      </c>
      <c r="Q1469" t="s">
        <v>80</v>
      </c>
      <c r="S1469" t="str">
        <f>_xlfn.XLOOKUP(UNIVERSO[[#This Row],[Ruta]],'[1]CUOTA RUTA'!A:A,'[1]CUOTA RUTA'!D:D)</f>
        <v>Cargar</v>
      </c>
    </row>
    <row r="1470" spans="1:19" x14ac:dyDescent="0.25">
      <c r="A1470">
        <v>1500141412</v>
      </c>
      <c r="B1470" t="s">
        <v>3090</v>
      </c>
      <c r="C1470" t="s">
        <v>19</v>
      </c>
      <c r="D1470" t="s">
        <v>208</v>
      </c>
      <c r="E1470" t="s">
        <v>21</v>
      </c>
      <c r="F1470" t="s">
        <v>22</v>
      </c>
      <c r="G1470" t="s">
        <v>64</v>
      </c>
      <c r="H1470" t="s">
        <v>209</v>
      </c>
      <c r="I1470" t="s">
        <v>3091</v>
      </c>
      <c r="J1470">
        <v>10.164199999999999</v>
      </c>
      <c r="K1470">
        <v>-83.603219999999993</v>
      </c>
      <c r="L1470" t="s">
        <v>1225</v>
      </c>
      <c r="M1470" t="s">
        <v>189</v>
      </c>
      <c r="N1470" t="s">
        <v>211</v>
      </c>
      <c r="O1470" t="s">
        <v>212</v>
      </c>
      <c r="P1470">
        <v>7</v>
      </c>
      <c r="Q1470" t="s">
        <v>39</v>
      </c>
      <c r="S1470" t="str">
        <f>_xlfn.XLOOKUP(UNIVERSO[[#This Row],[Ruta]],'[1]CUOTA RUTA'!A:A,'[1]CUOTA RUTA'!D:D)</f>
        <v>Cargar</v>
      </c>
    </row>
    <row r="1471" spans="1:19" x14ac:dyDescent="0.25">
      <c r="A1471">
        <v>1500141424</v>
      </c>
      <c r="B1471" t="s">
        <v>3092</v>
      </c>
      <c r="C1471" t="s">
        <v>19</v>
      </c>
      <c r="D1471" t="s">
        <v>208</v>
      </c>
      <c r="E1471" t="s">
        <v>21</v>
      </c>
      <c r="F1471" t="s">
        <v>51</v>
      </c>
      <c r="G1471" t="s">
        <v>23</v>
      </c>
      <c r="H1471" t="s">
        <v>224</v>
      </c>
      <c r="I1471" t="s">
        <v>3093</v>
      </c>
      <c r="J1471">
        <v>10.453939999999999</v>
      </c>
      <c r="K1471">
        <v>-84.009230000000002</v>
      </c>
      <c r="L1471" t="s">
        <v>1225</v>
      </c>
      <c r="M1471" t="s">
        <v>189</v>
      </c>
      <c r="N1471" t="s">
        <v>211</v>
      </c>
      <c r="O1471" t="s">
        <v>212</v>
      </c>
      <c r="P1471">
        <v>10</v>
      </c>
      <c r="Q1471" t="s">
        <v>136</v>
      </c>
      <c r="S1471" t="str">
        <f>_xlfn.XLOOKUP(UNIVERSO[[#This Row],[Ruta]],'[1]CUOTA RUTA'!A:A,'[1]CUOTA RUTA'!D:D)</f>
        <v>Cargar</v>
      </c>
    </row>
    <row r="1472" spans="1:19" x14ac:dyDescent="0.25">
      <c r="A1472">
        <v>1500141457</v>
      </c>
      <c r="B1472" t="s">
        <v>3094</v>
      </c>
      <c r="C1472" t="s">
        <v>19</v>
      </c>
      <c r="D1472" t="s">
        <v>208</v>
      </c>
      <c r="E1472" t="s">
        <v>21</v>
      </c>
      <c r="F1472" t="s">
        <v>22</v>
      </c>
      <c r="G1472" t="s">
        <v>33</v>
      </c>
      <c r="H1472" t="s">
        <v>221</v>
      </c>
      <c r="I1472" t="s">
        <v>3095</v>
      </c>
      <c r="J1472">
        <v>10.474360000000001</v>
      </c>
      <c r="K1472">
        <v>-84.109099999999998</v>
      </c>
      <c r="L1472" t="s">
        <v>1225</v>
      </c>
      <c r="M1472" t="s">
        <v>189</v>
      </c>
      <c r="N1472" t="s">
        <v>211</v>
      </c>
      <c r="O1472" t="s">
        <v>212</v>
      </c>
      <c r="P1472">
        <v>11</v>
      </c>
      <c r="Q1472" t="s">
        <v>108</v>
      </c>
      <c r="S1472" t="str">
        <f>_xlfn.XLOOKUP(UNIVERSO[[#This Row],[Ruta]],'[1]CUOTA RUTA'!A:A,'[1]CUOTA RUTA'!D:D)</f>
        <v>Cargar</v>
      </c>
    </row>
    <row r="1473" spans="1:19" x14ac:dyDescent="0.25">
      <c r="A1473">
        <v>1500141458</v>
      </c>
      <c r="B1473" t="s">
        <v>3096</v>
      </c>
      <c r="C1473" t="s">
        <v>19</v>
      </c>
      <c r="D1473" t="s">
        <v>208</v>
      </c>
      <c r="E1473" t="s">
        <v>21</v>
      </c>
      <c r="F1473" t="s">
        <v>22</v>
      </c>
      <c r="G1473" t="s">
        <v>23</v>
      </c>
      <c r="H1473" t="s">
        <v>719</v>
      </c>
      <c r="I1473" t="s">
        <v>3097</v>
      </c>
      <c r="J1473">
        <v>10.40146</v>
      </c>
      <c r="K1473">
        <v>-84.133399999999995</v>
      </c>
      <c r="L1473" t="s">
        <v>1225</v>
      </c>
      <c r="M1473" t="s">
        <v>189</v>
      </c>
      <c r="N1473" t="s">
        <v>211</v>
      </c>
      <c r="O1473" t="s">
        <v>212</v>
      </c>
      <c r="P1473">
        <v>11</v>
      </c>
      <c r="Q1473" t="s">
        <v>108</v>
      </c>
      <c r="S1473" t="str">
        <f>_xlfn.XLOOKUP(UNIVERSO[[#This Row],[Ruta]],'[1]CUOTA RUTA'!A:A,'[1]CUOTA RUTA'!D:D)</f>
        <v>Cargar</v>
      </c>
    </row>
    <row r="1474" spans="1:19" x14ac:dyDescent="0.25">
      <c r="A1474">
        <v>1500141590</v>
      </c>
      <c r="B1474" t="s">
        <v>3098</v>
      </c>
      <c r="C1474" t="s">
        <v>19</v>
      </c>
      <c r="D1474" t="s">
        <v>208</v>
      </c>
      <c r="E1474" t="s">
        <v>21</v>
      </c>
      <c r="F1474" t="s">
        <v>22</v>
      </c>
      <c r="G1474" t="s">
        <v>33</v>
      </c>
      <c r="H1474" t="s">
        <v>1794</v>
      </c>
      <c r="I1474" t="s">
        <v>3099</v>
      </c>
      <c r="J1474">
        <v>10.211585400000001</v>
      </c>
      <c r="K1474">
        <v>-83.787267999999997</v>
      </c>
      <c r="L1474" t="s">
        <v>1225</v>
      </c>
      <c r="M1474" t="s">
        <v>189</v>
      </c>
      <c r="N1474" t="s">
        <v>211</v>
      </c>
      <c r="O1474" t="s">
        <v>212</v>
      </c>
      <c r="P1474">
        <v>4</v>
      </c>
      <c r="Q1474" t="s">
        <v>120</v>
      </c>
      <c r="S1474" t="str">
        <f>_xlfn.XLOOKUP(UNIVERSO[[#This Row],[Ruta]],'[1]CUOTA RUTA'!A:A,'[1]CUOTA RUTA'!D:D)</f>
        <v>Cargar</v>
      </c>
    </row>
    <row r="1475" spans="1:19" x14ac:dyDescent="0.25">
      <c r="A1475">
        <v>1500141678</v>
      </c>
      <c r="B1475" t="s">
        <v>3100</v>
      </c>
      <c r="C1475" t="s">
        <v>19</v>
      </c>
      <c r="D1475" t="s">
        <v>208</v>
      </c>
      <c r="E1475" t="s">
        <v>21</v>
      </c>
      <c r="F1475" t="s">
        <v>22</v>
      </c>
      <c r="G1475" t="s">
        <v>64</v>
      </c>
      <c r="H1475" t="s">
        <v>616</v>
      </c>
      <c r="I1475" t="s">
        <v>3101</v>
      </c>
      <c r="J1475">
        <v>10.358786</v>
      </c>
      <c r="K1475">
        <v>-83.734889999999993</v>
      </c>
      <c r="L1475" t="s">
        <v>1225</v>
      </c>
      <c r="M1475" t="s">
        <v>189</v>
      </c>
      <c r="N1475" t="s">
        <v>211</v>
      </c>
      <c r="O1475" t="s">
        <v>212</v>
      </c>
      <c r="P1475">
        <v>1</v>
      </c>
      <c r="Q1475" t="s">
        <v>155</v>
      </c>
      <c r="S1475" t="str">
        <f>_xlfn.XLOOKUP(UNIVERSO[[#This Row],[Ruta]],'[1]CUOTA RUTA'!A:A,'[1]CUOTA RUTA'!D:D)</f>
        <v>Cargar</v>
      </c>
    </row>
    <row r="1476" spans="1:19" x14ac:dyDescent="0.25">
      <c r="A1476">
        <v>1500141722</v>
      </c>
      <c r="B1476" t="s">
        <v>3102</v>
      </c>
      <c r="C1476" t="s">
        <v>19</v>
      </c>
      <c r="D1476" t="s">
        <v>208</v>
      </c>
      <c r="E1476" t="s">
        <v>21</v>
      </c>
      <c r="F1476" t="s">
        <v>22</v>
      </c>
      <c r="G1476" t="s">
        <v>64</v>
      </c>
      <c r="H1476" t="s">
        <v>631</v>
      </c>
      <c r="I1476" t="s">
        <v>3103</v>
      </c>
      <c r="J1476">
        <v>10.0999505</v>
      </c>
      <c r="K1476">
        <v>-83.488447019999995</v>
      </c>
      <c r="L1476" t="s">
        <v>1225</v>
      </c>
      <c r="M1476" t="s">
        <v>189</v>
      </c>
      <c r="N1476" t="s">
        <v>211</v>
      </c>
      <c r="O1476" t="s">
        <v>212</v>
      </c>
      <c r="P1476">
        <v>8</v>
      </c>
      <c r="Q1476" t="s">
        <v>97</v>
      </c>
      <c r="S1476" t="str">
        <f>_xlfn.XLOOKUP(UNIVERSO[[#This Row],[Ruta]],'[1]CUOTA RUTA'!A:A,'[1]CUOTA RUTA'!D:D)</f>
        <v>Cargar</v>
      </c>
    </row>
    <row r="1477" spans="1:19" x14ac:dyDescent="0.25">
      <c r="A1477">
        <v>1500141806</v>
      </c>
      <c r="B1477" t="s">
        <v>3104</v>
      </c>
      <c r="C1477" t="s">
        <v>19</v>
      </c>
      <c r="D1477" t="s">
        <v>208</v>
      </c>
      <c r="E1477" t="s">
        <v>21</v>
      </c>
      <c r="F1477" t="s">
        <v>22</v>
      </c>
      <c r="G1477" t="s">
        <v>64</v>
      </c>
      <c r="H1477" t="s">
        <v>502</v>
      </c>
      <c r="I1477" t="s">
        <v>3105</v>
      </c>
      <c r="J1477">
        <v>10.264900000000001</v>
      </c>
      <c r="K1477">
        <v>-83.570099999999996</v>
      </c>
      <c r="L1477" t="s">
        <v>1225</v>
      </c>
      <c r="M1477" t="s">
        <v>189</v>
      </c>
      <c r="N1477" t="s">
        <v>211</v>
      </c>
      <c r="O1477" t="s">
        <v>212</v>
      </c>
      <c r="P1477">
        <v>9</v>
      </c>
      <c r="Q1477" t="s">
        <v>80</v>
      </c>
      <c r="S1477" t="str">
        <f>_xlfn.XLOOKUP(UNIVERSO[[#This Row],[Ruta]],'[1]CUOTA RUTA'!A:A,'[1]CUOTA RUTA'!D:D)</f>
        <v>Cargar</v>
      </c>
    </row>
    <row r="1478" spans="1:19" x14ac:dyDescent="0.25">
      <c r="A1478">
        <v>1500141813</v>
      </c>
      <c r="B1478" t="s">
        <v>3106</v>
      </c>
      <c r="C1478" t="s">
        <v>19</v>
      </c>
      <c r="D1478" t="s">
        <v>208</v>
      </c>
      <c r="E1478" t="s">
        <v>21</v>
      </c>
      <c r="F1478" t="s">
        <v>22</v>
      </c>
      <c r="G1478" t="s">
        <v>33</v>
      </c>
      <c r="H1478" t="s">
        <v>719</v>
      </c>
      <c r="I1478" t="s">
        <v>3107</v>
      </c>
      <c r="J1478">
        <v>10.097390000000001</v>
      </c>
      <c r="K1478">
        <v>-83.503979999999999</v>
      </c>
      <c r="L1478" t="s">
        <v>1225</v>
      </c>
      <c r="M1478" t="s">
        <v>189</v>
      </c>
      <c r="N1478" t="s">
        <v>211</v>
      </c>
      <c r="O1478" t="s">
        <v>212</v>
      </c>
      <c r="P1478">
        <v>8</v>
      </c>
      <c r="Q1478" t="s">
        <v>97</v>
      </c>
      <c r="S1478" t="str">
        <f>_xlfn.XLOOKUP(UNIVERSO[[#This Row],[Ruta]],'[1]CUOTA RUTA'!A:A,'[1]CUOTA RUTA'!D:D)</f>
        <v>Cargar</v>
      </c>
    </row>
    <row r="1479" spans="1:19" x14ac:dyDescent="0.25">
      <c r="A1479">
        <v>1500141884</v>
      </c>
      <c r="B1479" t="s">
        <v>3108</v>
      </c>
      <c r="C1479" t="s">
        <v>19</v>
      </c>
      <c r="D1479" t="s">
        <v>208</v>
      </c>
      <c r="E1479" t="s">
        <v>21</v>
      </c>
      <c r="F1479" t="s">
        <v>22</v>
      </c>
      <c r="G1479" t="s">
        <v>23</v>
      </c>
      <c r="H1479" t="s">
        <v>209</v>
      </c>
      <c r="I1479" t="s">
        <v>3109</v>
      </c>
      <c r="J1479">
        <v>10.224847</v>
      </c>
      <c r="K1479">
        <v>-83.786359000000004</v>
      </c>
      <c r="L1479" t="s">
        <v>1225</v>
      </c>
      <c r="M1479" t="s">
        <v>189</v>
      </c>
      <c r="N1479" t="s">
        <v>211</v>
      </c>
      <c r="O1479" t="s">
        <v>212</v>
      </c>
      <c r="P1479">
        <v>5</v>
      </c>
      <c r="Q1479" t="s">
        <v>117</v>
      </c>
      <c r="S1479" t="str">
        <f>_xlfn.XLOOKUP(UNIVERSO[[#This Row],[Ruta]],'[1]CUOTA RUTA'!A:A,'[1]CUOTA RUTA'!D:D)</f>
        <v>Cargar</v>
      </c>
    </row>
    <row r="1480" spans="1:19" x14ac:dyDescent="0.25">
      <c r="A1480">
        <v>1500141887</v>
      </c>
      <c r="B1480" t="s">
        <v>3110</v>
      </c>
      <c r="C1480" t="s">
        <v>19</v>
      </c>
      <c r="D1480" t="s">
        <v>208</v>
      </c>
      <c r="E1480" t="s">
        <v>21</v>
      </c>
      <c r="F1480" t="s">
        <v>22</v>
      </c>
      <c r="G1480" t="s">
        <v>33</v>
      </c>
      <c r="H1480" t="s">
        <v>221</v>
      </c>
      <c r="I1480" t="s">
        <v>3111</v>
      </c>
      <c r="J1480">
        <v>10.446339999999999</v>
      </c>
      <c r="K1480">
        <v>-84.033779999999993</v>
      </c>
      <c r="L1480" t="s">
        <v>1225</v>
      </c>
      <c r="M1480" t="s">
        <v>189</v>
      </c>
      <c r="N1480" t="s">
        <v>211</v>
      </c>
      <c r="O1480" t="s">
        <v>212</v>
      </c>
      <c r="P1480">
        <v>10</v>
      </c>
      <c r="Q1480" t="s">
        <v>136</v>
      </c>
      <c r="S1480" t="str">
        <f>_xlfn.XLOOKUP(UNIVERSO[[#This Row],[Ruta]],'[1]CUOTA RUTA'!A:A,'[1]CUOTA RUTA'!D:D)</f>
        <v>Cargar</v>
      </c>
    </row>
    <row r="1481" spans="1:19" x14ac:dyDescent="0.25">
      <c r="A1481">
        <v>1500141967</v>
      </c>
      <c r="B1481" t="s">
        <v>3112</v>
      </c>
      <c r="C1481" t="s">
        <v>19</v>
      </c>
      <c r="D1481" t="s">
        <v>208</v>
      </c>
      <c r="E1481" t="s">
        <v>21</v>
      </c>
      <c r="F1481" t="s">
        <v>22</v>
      </c>
      <c r="G1481" t="s">
        <v>64</v>
      </c>
      <c r="H1481" t="s">
        <v>209</v>
      </c>
      <c r="I1481" t="s">
        <v>3113</v>
      </c>
      <c r="J1481">
        <v>10.210637</v>
      </c>
      <c r="K1481">
        <v>-83.843898999999993</v>
      </c>
      <c r="L1481" t="s">
        <v>1225</v>
      </c>
      <c r="M1481" t="s">
        <v>189</v>
      </c>
      <c r="N1481" t="s">
        <v>211</v>
      </c>
      <c r="O1481" t="s">
        <v>212</v>
      </c>
      <c r="P1481">
        <v>4</v>
      </c>
      <c r="Q1481" t="s">
        <v>120</v>
      </c>
      <c r="S1481" t="str">
        <f>_xlfn.XLOOKUP(UNIVERSO[[#This Row],[Ruta]],'[1]CUOTA RUTA'!A:A,'[1]CUOTA RUTA'!D:D)</f>
        <v>Cargar</v>
      </c>
    </row>
    <row r="1482" spans="1:19" x14ac:dyDescent="0.25">
      <c r="A1482">
        <v>1500141988</v>
      </c>
      <c r="B1482" t="s">
        <v>3114</v>
      </c>
      <c r="C1482" t="s">
        <v>19</v>
      </c>
      <c r="D1482" t="s">
        <v>208</v>
      </c>
      <c r="E1482" t="s">
        <v>21</v>
      </c>
      <c r="F1482" t="s">
        <v>22</v>
      </c>
      <c r="G1482" t="s">
        <v>64</v>
      </c>
      <c r="H1482" t="s">
        <v>221</v>
      </c>
      <c r="I1482" t="s">
        <v>3115</v>
      </c>
      <c r="J1482">
        <v>10.328189999999999</v>
      </c>
      <c r="K1482">
        <v>-83.744450000000001</v>
      </c>
      <c r="L1482" t="s">
        <v>1225</v>
      </c>
      <c r="M1482" t="s">
        <v>189</v>
      </c>
      <c r="N1482" t="s">
        <v>211</v>
      </c>
      <c r="O1482" t="s">
        <v>212</v>
      </c>
      <c r="P1482">
        <v>1</v>
      </c>
      <c r="Q1482" t="s">
        <v>155</v>
      </c>
      <c r="S1482" t="str">
        <f>_xlfn.XLOOKUP(UNIVERSO[[#This Row],[Ruta]],'[1]CUOTA RUTA'!A:A,'[1]CUOTA RUTA'!D:D)</f>
        <v>Cargar</v>
      </c>
    </row>
    <row r="1483" spans="1:19" x14ac:dyDescent="0.25">
      <c r="A1483">
        <v>1500141995</v>
      </c>
      <c r="B1483" t="s">
        <v>3116</v>
      </c>
      <c r="C1483" t="s">
        <v>19</v>
      </c>
      <c r="D1483" t="s">
        <v>208</v>
      </c>
      <c r="E1483" t="s">
        <v>21</v>
      </c>
      <c r="F1483" t="s">
        <v>22</v>
      </c>
      <c r="G1483" t="s">
        <v>64</v>
      </c>
      <c r="H1483" t="s">
        <v>417</v>
      </c>
      <c r="I1483" t="s">
        <v>3117</v>
      </c>
      <c r="J1483">
        <v>10.18659667</v>
      </c>
      <c r="K1483">
        <v>-83.753979240000007</v>
      </c>
      <c r="L1483" t="s">
        <v>1225</v>
      </c>
      <c r="M1483" t="s">
        <v>189</v>
      </c>
      <c r="N1483" t="s">
        <v>211</v>
      </c>
      <c r="O1483" t="s">
        <v>212</v>
      </c>
      <c r="P1483">
        <v>6</v>
      </c>
      <c r="Q1483" t="s">
        <v>49</v>
      </c>
      <c r="S1483" t="str">
        <f>_xlfn.XLOOKUP(UNIVERSO[[#This Row],[Ruta]],'[1]CUOTA RUTA'!A:A,'[1]CUOTA RUTA'!D:D)</f>
        <v>Cargar</v>
      </c>
    </row>
    <row r="1484" spans="1:19" x14ac:dyDescent="0.25">
      <c r="A1484">
        <v>1500142153</v>
      </c>
      <c r="B1484" t="s">
        <v>3118</v>
      </c>
      <c r="C1484" t="s">
        <v>19</v>
      </c>
      <c r="D1484" t="s">
        <v>349</v>
      </c>
      <c r="E1484" t="s">
        <v>21</v>
      </c>
      <c r="F1484" t="s">
        <v>22</v>
      </c>
      <c r="G1484" t="s">
        <v>23</v>
      </c>
      <c r="H1484" t="s">
        <v>711</v>
      </c>
      <c r="I1484" t="s">
        <v>3119</v>
      </c>
      <c r="J1484">
        <v>10.034750000000001</v>
      </c>
      <c r="K1484">
        <v>-85.738066000000003</v>
      </c>
      <c r="L1484" t="s">
        <v>1225</v>
      </c>
      <c r="M1484" t="s">
        <v>352</v>
      </c>
      <c r="N1484" t="s">
        <v>353</v>
      </c>
      <c r="O1484" t="s">
        <v>354</v>
      </c>
      <c r="P1484">
        <v>6</v>
      </c>
      <c r="Q1484" t="s">
        <v>49</v>
      </c>
      <c r="S1484" t="str">
        <f>_xlfn.XLOOKUP(UNIVERSO[[#This Row],[Ruta]],'[1]CUOTA RUTA'!A:A,'[1]CUOTA RUTA'!D:D)</f>
        <v>Cargar</v>
      </c>
    </row>
    <row r="1485" spans="1:19" x14ac:dyDescent="0.25">
      <c r="A1485">
        <v>1500142168</v>
      </c>
      <c r="B1485" t="s">
        <v>3120</v>
      </c>
      <c r="C1485" t="s">
        <v>19</v>
      </c>
      <c r="D1485" t="s">
        <v>349</v>
      </c>
      <c r="E1485" t="s">
        <v>21</v>
      </c>
      <c r="F1485" t="s">
        <v>22</v>
      </c>
      <c r="G1485" t="s">
        <v>64</v>
      </c>
      <c r="H1485" t="s">
        <v>356</v>
      </c>
      <c r="I1485" t="s">
        <v>3121</v>
      </c>
      <c r="J1485">
        <v>10.206256</v>
      </c>
      <c r="K1485">
        <v>-85.270696999999998</v>
      </c>
      <c r="L1485" t="s">
        <v>1225</v>
      </c>
      <c r="M1485" t="s">
        <v>352</v>
      </c>
      <c r="N1485" t="s">
        <v>353</v>
      </c>
      <c r="O1485" t="s">
        <v>354</v>
      </c>
      <c r="P1485">
        <v>16</v>
      </c>
      <c r="Q1485" t="s">
        <v>60</v>
      </c>
      <c r="S1485" t="str">
        <f>_xlfn.XLOOKUP(UNIVERSO[[#This Row],[Ruta]],'[1]CUOTA RUTA'!A:A,'[1]CUOTA RUTA'!D:D)</f>
        <v>Cargar</v>
      </c>
    </row>
    <row r="1486" spans="1:19" x14ac:dyDescent="0.25">
      <c r="A1486">
        <v>1500142197</v>
      </c>
      <c r="B1486" t="s">
        <v>3122</v>
      </c>
      <c r="C1486" t="s">
        <v>19</v>
      </c>
      <c r="D1486" t="s">
        <v>349</v>
      </c>
      <c r="E1486" t="s">
        <v>21</v>
      </c>
      <c r="F1486" t="s">
        <v>22</v>
      </c>
      <c r="G1486" t="s">
        <v>64</v>
      </c>
      <c r="H1486" t="s">
        <v>359</v>
      </c>
      <c r="I1486" t="s">
        <v>3123</v>
      </c>
      <c r="J1486">
        <v>10.273901</v>
      </c>
      <c r="K1486">
        <v>-85.674575000000004</v>
      </c>
      <c r="L1486" t="s">
        <v>1225</v>
      </c>
      <c r="M1486" t="s">
        <v>352</v>
      </c>
      <c r="N1486" t="s">
        <v>353</v>
      </c>
      <c r="O1486" t="s">
        <v>354</v>
      </c>
      <c r="P1486">
        <v>4</v>
      </c>
      <c r="Q1486" t="s">
        <v>120</v>
      </c>
      <c r="S1486" t="str">
        <f>_xlfn.XLOOKUP(UNIVERSO[[#This Row],[Ruta]],'[1]CUOTA RUTA'!A:A,'[1]CUOTA RUTA'!D:D)</f>
        <v>Cargar</v>
      </c>
    </row>
    <row r="1487" spans="1:19" x14ac:dyDescent="0.25">
      <c r="A1487">
        <v>1500142394</v>
      </c>
      <c r="B1487" t="s">
        <v>3124</v>
      </c>
      <c r="C1487" t="s">
        <v>19</v>
      </c>
      <c r="D1487" t="s">
        <v>349</v>
      </c>
      <c r="E1487" t="s">
        <v>21</v>
      </c>
      <c r="F1487" t="s">
        <v>51</v>
      </c>
      <c r="G1487" t="s">
        <v>23</v>
      </c>
      <c r="H1487" t="s">
        <v>908</v>
      </c>
      <c r="I1487" t="s">
        <v>3125</v>
      </c>
      <c r="J1487">
        <v>10.101960999999999</v>
      </c>
      <c r="K1487">
        <v>-85.370886999999996</v>
      </c>
      <c r="L1487" t="s">
        <v>1225</v>
      </c>
      <c r="M1487" t="s">
        <v>352</v>
      </c>
      <c r="N1487" t="s">
        <v>353</v>
      </c>
      <c r="O1487" t="s">
        <v>354</v>
      </c>
      <c r="P1487">
        <v>12</v>
      </c>
      <c r="Q1487" t="s">
        <v>42</v>
      </c>
      <c r="S1487" t="str">
        <f>_xlfn.XLOOKUP(UNIVERSO[[#This Row],[Ruta]],'[1]CUOTA RUTA'!A:A,'[1]CUOTA RUTA'!D:D)</f>
        <v>Cargar</v>
      </c>
    </row>
    <row r="1488" spans="1:19" x14ac:dyDescent="0.25">
      <c r="A1488">
        <v>1500143264</v>
      </c>
      <c r="B1488" t="s">
        <v>3126</v>
      </c>
      <c r="C1488" t="s">
        <v>19</v>
      </c>
      <c r="D1488" t="s">
        <v>337</v>
      </c>
      <c r="E1488" t="s">
        <v>21</v>
      </c>
      <c r="F1488" t="s">
        <v>22</v>
      </c>
      <c r="G1488" t="s">
        <v>33</v>
      </c>
      <c r="H1488" t="s">
        <v>451</v>
      </c>
      <c r="I1488" t="s">
        <v>3127</v>
      </c>
      <c r="J1488">
        <v>10.640111449999999</v>
      </c>
      <c r="K1488">
        <v>-85.448645249999998</v>
      </c>
      <c r="L1488" t="s">
        <v>1225</v>
      </c>
      <c r="M1488" t="s">
        <v>327</v>
      </c>
      <c r="N1488" t="s">
        <v>340</v>
      </c>
      <c r="O1488" t="s">
        <v>341</v>
      </c>
      <c r="P1488">
        <v>13</v>
      </c>
      <c r="Q1488" t="s">
        <v>161</v>
      </c>
      <c r="S1488" t="str">
        <f>_xlfn.XLOOKUP(UNIVERSO[[#This Row],[Ruta]],'[1]CUOTA RUTA'!A:A,'[1]CUOTA RUTA'!D:D)</f>
        <v>Cargar</v>
      </c>
    </row>
    <row r="1489" spans="1:19" x14ac:dyDescent="0.25">
      <c r="A1489">
        <v>1500143357</v>
      </c>
      <c r="B1489" t="s">
        <v>3128</v>
      </c>
      <c r="C1489" t="s">
        <v>19</v>
      </c>
      <c r="D1489" t="s">
        <v>337</v>
      </c>
      <c r="E1489" t="s">
        <v>21</v>
      </c>
      <c r="F1489" t="s">
        <v>22</v>
      </c>
      <c r="G1489" t="s">
        <v>33</v>
      </c>
      <c r="H1489" t="s">
        <v>343</v>
      </c>
      <c r="I1489" t="s">
        <v>3129</v>
      </c>
      <c r="J1489">
        <v>10.368426039999999</v>
      </c>
      <c r="K1489">
        <v>-85.192549479999997</v>
      </c>
      <c r="L1489" t="s">
        <v>1225</v>
      </c>
      <c r="M1489" t="s">
        <v>327</v>
      </c>
      <c r="N1489" t="s">
        <v>340</v>
      </c>
      <c r="O1489" t="s">
        <v>341</v>
      </c>
      <c r="P1489">
        <v>21</v>
      </c>
      <c r="Q1489" t="s">
        <v>239</v>
      </c>
      <c r="S1489" t="str">
        <f>_xlfn.XLOOKUP(UNIVERSO[[#This Row],[Ruta]],'[1]CUOTA RUTA'!A:A,'[1]CUOTA RUTA'!D:D)</f>
        <v>Cargar</v>
      </c>
    </row>
    <row r="1490" spans="1:19" x14ac:dyDescent="0.25">
      <c r="A1490">
        <v>1500143466</v>
      </c>
      <c r="B1490" t="s">
        <v>3130</v>
      </c>
      <c r="C1490" t="s">
        <v>19</v>
      </c>
      <c r="D1490" t="s">
        <v>337</v>
      </c>
      <c r="E1490" t="s">
        <v>21</v>
      </c>
      <c r="F1490" t="s">
        <v>51</v>
      </c>
      <c r="G1490" t="s">
        <v>23</v>
      </c>
      <c r="H1490" t="s">
        <v>401</v>
      </c>
      <c r="I1490" t="s">
        <v>3131</v>
      </c>
      <c r="J1490">
        <v>10.62886</v>
      </c>
      <c r="K1490">
        <v>-85.433359999999993</v>
      </c>
      <c r="L1490" t="s">
        <v>1225</v>
      </c>
      <c r="M1490" t="s">
        <v>327</v>
      </c>
      <c r="N1490" t="s">
        <v>340</v>
      </c>
      <c r="O1490" t="s">
        <v>341</v>
      </c>
      <c r="P1490">
        <v>13</v>
      </c>
      <c r="Q1490" t="s">
        <v>161</v>
      </c>
      <c r="S1490" t="str">
        <f>_xlfn.XLOOKUP(UNIVERSO[[#This Row],[Ruta]],'[1]CUOTA RUTA'!A:A,'[1]CUOTA RUTA'!D:D)</f>
        <v>Cargar</v>
      </c>
    </row>
    <row r="1491" spans="1:19" x14ac:dyDescent="0.25">
      <c r="A1491">
        <v>1500143492</v>
      </c>
      <c r="B1491" t="s">
        <v>3132</v>
      </c>
      <c r="C1491" t="s">
        <v>19</v>
      </c>
      <c r="D1491" t="s">
        <v>337</v>
      </c>
      <c r="E1491" t="s">
        <v>21</v>
      </c>
      <c r="F1491" t="s">
        <v>22</v>
      </c>
      <c r="G1491" t="s">
        <v>33</v>
      </c>
      <c r="H1491" t="s">
        <v>343</v>
      </c>
      <c r="I1491" t="s">
        <v>3133</v>
      </c>
      <c r="J1491">
        <v>10.373134</v>
      </c>
      <c r="K1491">
        <v>-85.194451000000001</v>
      </c>
      <c r="L1491" t="s">
        <v>1225</v>
      </c>
      <c r="M1491" t="s">
        <v>327</v>
      </c>
      <c r="N1491" t="s">
        <v>340</v>
      </c>
      <c r="O1491" t="s">
        <v>341</v>
      </c>
      <c r="P1491">
        <v>21</v>
      </c>
      <c r="Q1491" t="s">
        <v>239</v>
      </c>
      <c r="S1491" t="str">
        <f>_xlfn.XLOOKUP(UNIVERSO[[#This Row],[Ruta]],'[1]CUOTA RUTA'!A:A,'[1]CUOTA RUTA'!D:D)</f>
        <v>Cargar</v>
      </c>
    </row>
    <row r="1492" spans="1:19" x14ac:dyDescent="0.25">
      <c r="A1492">
        <v>1500143915</v>
      </c>
      <c r="B1492" t="s">
        <v>3134</v>
      </c>
      <c r="C1492" t="s">
        <v>19</v>
      </c>
      <c r="D1492" t="s">
        <v>337</v>
      </c>
      <c r="E1492" t="s">
        <v>21</v>
      </c>
      <c r="F1492" t="s">
        <v>22</v>
      </c>
      <c r="G1492" t="s">
        <v>33</v>
      </c>
      <c r="H1492" t="s">
        <v>338</v>
      </c>
      <c r="I1492" t="s">
        <v>3135</v>
      </c>
      <c r="J1492">
        <v>10.36813471</v>
      </c>
      <c r="K1492">
        <v>-85.773526939999996</v>
      </c>
      <c r="L1492" t="s">
        <v>1225</v>
      </c>
      <c r="M1492" t="s">
        <v>327</v>
      </c>
      <c r="N1492" t="s">
        <v>340</v>
      </c>
      <c r="O1492" t="s">
        <v>341</v>
      </c>
      <c r="P1492">
        <v>17</v>
      </c>
      <c r="Q1492" t="s">
        <v>287</v>
      </c>
      <c r="S1492" t="str">
        <f>_xlfn.XLOOKUP(UNIVERSO[[#This Row],[Ruta]],'[1]CUOTA RUTA'!A:A,'[1]CUOTA RUTA'!D:D)</f>
        <v>Cargar</v>
      </c>
    </row>
    <row r="1493" spans="1:19" x14ac:dyDescent="0.25">
      <c r="A1493">
        <v>1500143927</v>
      </c>
      <c r="B1493" t="s">
        <v>3136</v>
      </c>
      <c r="C1493" t="s">
        <v>19</v>
      </c>
      <c r="D1493" t="s">
        <v>337</v>
      </c>
      <c r="E1493" t="s">
        <v>21</v>
      </c>
      <c r="F1493" t="s">
        <v>22</v>
      </c>
      <c r="G1493" t="s">
        <v>64</v>
      </c>
      <c r="H1493" t="s">
        <v>343</v>
      </c>
      <c r="I1493" t="s">
        <v>3137</v>
      </c>
      <c r="J1493">
        <v>10.653138999999999</v>
      </c>
      <c r="K1493">
        <v>-85.469575000000006</v>
      </c>
      <c r="L1493" t="s">
        <v>1225</v>
      </c>
      <c r="M1493" t="s">
        <v>327</v>
      </c>
      <c r="N1493" t="s">
        <v>340</v>
      </c>
      <c r="O1493" t="s">
        <v>341</v>
      </c>
      <c r="P1493">
        <v>15</v>
      </c>
      <c r="Q1493" t="s">
        <v>231</v>
      </c>
      <c r="S1493" t="str">
        <f>_xlfn.XLOOKUP(UNIVERSO[[#This Row],[Ruta]],'[1]CUOTA RUTA'!A:A,'[1]CUOTA RUTA'!D:D)</f>
        <v>Cargar</v>
      </c>
    </row>
    <row r="1494" spans="1:19" x14ac:dyDescent="0.25">
      <c r="A1494">
        <v>1500144016</v>
      </c>
      <c r="B1494" t="s">
        <v>3138</v>
      </c>
      <c r="C1494" t="s">
        <v>19</v>
      </c>
      <c r="D1494" t="s">
        <v>20</v>
      </c>
      <c r="E1494" t="s">
        <v>21</v>
      </c>
      <c r="F1494" t="s">
        <v>22</v>
      </c>
      <c r="G1494" t="s">
        <v>33</v>
      </c>
      <c r="H1494" t="s">
        <v>280</v>
      </c>
      <c r="I1494" t="s">
        <v>3139</v>
      </c>
      <c r="J1494">
        <v>10.021896999999999</v>
      </c>
      <c r="K1494">
        <v>-84.193377999999996</v>
      </c>
      <c r="L1494" t="s">
        <v>1225</v>
      </c>
      <c r="M1494" t="s">
        <v>54</v>
      </c>
      <c r="N1494" t="s">
        <v>55</v>
      </c>
      <c r="O1494" t="s">
        <v>56</v>
      </c>
      <c r="P1494">
        <v>16</v>
      </c>
      <c r="Q1494" t="s">
        <v>60</v>
      </c>
      <c r="S1494" t="str">
        <f>_xlfn.XLOOKUP(UNIVERSO[[#This Row],[Ruta]],'[1]CUOTA RUTA'!A:A,'[1]CUOTA RUTA'!D:D)</f>
        <v>Cargar</v>
      </c>
    </row>
    <row r="1495" spans="1:19" x14ac:dyDescent="0.25">
      <c r="A1495">
        <v>1500144118</v>
      </c>
      <c r="B1495" t="s">
        <v>3140</v>
      </c>
      <c r="C1495" t="s">
        <v>19</v>
      </c>
      <c r="D1495" t="s">
        <v>20</v>
      </c>
      <c r="E1495" t="s">
        <v>21</v>
      </c>
      <c r="F1495" t="s">
        <v>22</v>
      </c>
      <c r="G1495" t="s">
        <v>64</v>
      </c>
      <c r="H1495" t="s">
        <v>285</v>
      </c>
      <c r="I1495" t="s">
        <v>3141</v>
      </c>
      <c r="J1495">
        <v>10.00708844</v>
      </c>
      <c r="K1495">
        <v>-84.208310789999999</v>
      </c>
      <c r="L1495" t="s">
        <v>1225</v>
      </c>
      <c r="M1495" t="s">
        <v>54</v>
      </c>
      <c r="N1495" t="s">
        <v>55</v>
      </c>
      <c r="O1495" t="s">
        <v>56</v>
      </c>
      <c r="P1495">
        <v>3</v>
      </c>
      <c r="Q1495" t="s">
        <v>101</v>
      </c>
      <c r="S1495" t="str">
        <f>_xlfn.XLOOKUP(UNIVERSO[[#This Row],[Ruta]],'[1]CUOTA RUTA'!A:A,'[1]CUOTA RUTA'!D:D)</f>
        <v>Cargar</v>
      </c>
    </row>
    <row r="1496" spans="1:19" x14ac:dyDescent="0.25">
      <c r="A1496">
        <v>1500144197</v>
      </c>
      <c r="B1496" t="s">
        <v>3142</v>
      </c>
      <c r="C1496" t="s">
        <v>19</v>
      </c>
      <c r="D1496" t="s">
        <v>20</v>
      </c>
      <c r="E1496" t="s">
        <v>21</v>
      </c>
      <c r="F1496" t="s">
        <v>22</v>
      </c>
      <c r="G1496" t="s">
        <v>64</v>
      </c>
      <c r="H1496" t="s">
        <v>198</v>
      </c>
      <c r="I1496" t="s">
        <v>3143</v>
      </c>
      <c r="J1496">
        <v>9.8961500000000004</v>
      </c>
      <c r="K1496">
        <v>-84.173770000000005</v>
      </c>
      <c r="L1496" t="s">
        <v>1225</v>
      </c>
      <c r="M1496" t="s">
        <v>54</v>
      </c>
      <c r="N1496" t="s">
        <v>55</v>
      </c>
      <c r="O1496" t="s">
        <v>56</v>
      </c>
      <c r="P1496">
        <v>11</v>
      </c>
      <c r="Q1496" t="s">
        <v>108</v>
      </c>
      <c r="S1496" t="str">
        <f>_xlfn.XLOOKUP(UNIVERSO[[#This Row],[Ruta]],'[1]CUOTA RUTA'!A:A,'[1]CUOTA RUTA'!D:D)</f>
        <v>Cargar</v>
      </c>
    </row>
    <row r="1497" spans="1:19" x14ac:dyDescent="0.25">
      <c r="A1497">
        <v>1500144201</v>
      </c>
      <c r="B1497" t="s">
        <v>3144</v>
      </c>
      <c r="C1497" t="s">
        <v>19</v>
      </c>
      <c r="D1497" t="s">
        <v>20</v>
      </c>
      <c r="E1497" t="s">
        <v>21</v>
      </c>
      <c r="F1497" t="s">
        <v>51</v>
      </c>
      <c r="G1497" t="s">
        <v>23</v>
      </c>
      <c r="H1497" t="s">
        <v>308</v>
      </c>
      <c r="I1497" t="s">
        <v>3145</v>
      </c>
      <c r="J1497">
        <v>9.8365500000000008</v>
      </c>
      <c r="K1497">
        <v>-84.316450000000003</v>
      </c>
      <c r="L1497" t="s">
        <v>1225</v>
      </c>
      <c r="M1497" t="s">
        <v>54</v>
      </c>
      <c r="N1497" t="s">
        <v>55</v>
      </c>
      <c r="O1497" t="s">
        <v>56</v>
      </c>
      <c r="P1497">
        <v>22</v>
      </c>
      <c r="Q1497" t="s">
        <v>30</v>
      </c>
      <c r="S1497" t="str">
        <f>_xlfn.XLOOKUP(UNIVERSO[[#This Row],[Ruta]],'[1]CUOTA RUTA'!A:A,'[1]CUOTA RUTA'!D:D)</f>
        <v>Cargar</v>
      </c>
    </row>
    <row r="1498" spans="1:19" x14ac:dyDescent="0.25">
      <c r="A1498">
        <v>1500144221</v>
      </c>
      <c r="B1498" t="s">
        <v>3146</v>
      </c>
      <c r="C1498" t="s">
        <v>19</v>
      </c>
      <c r="D1498" t="s">
        <v>20</v>
      </c>
      <c r="E1498" t="s">
        <v>21</v>
      </c>
      <c r="F1498" t="s">
        <v>22</v>
      </c>
      <c r="G1498" t="s">
        <v>33</v>
      </c>
      <c r="H1498" t="s">
        <v>250</v>
      </c>
      <c r="I1498" t="s">
        <v>3147</v>
      </c>
      <c r="J1498">
        <v>10.02022</v>
      </c>
      <c r="K1498">
        <v>-84.239599999999996</v>
      </c>
      <c r="L1498" t="s">
        <v>1225</v>
      </c>
      <c r="M1498" t="s">
        <v>46</v>
      </c>
      <c r="N1498" t="s">
        <v>47</v>
      </c>
      <c r="O1498" t="s">
        <v>48</v>
      </c>
      <c r="P1498">
        <v>3</v>
      </c>
      <c r="Q1498" t="s">
        <v>101</v>
      </c>
      <c r="S1498" t="str">
        <f>_xlfn.XLOOKUP(UNIVERSO[[#This Row],[Ruta]],'[1]CUOTA RUTA'!A:A,'[1]CUOTA RUTA'!D:D)</f>
        <v>Cargar</v>
      </c>
    </row>
    <row r="1499" spans="1:19" x14ac:dyDescent="0.25">
      <c r="A1499">
        <v>1500144387</v>
      </c>
      <c r="B1499" t="s">
        <v>3148</v>
      </c>
      <c r="C1499" t="s">
        <v>19</v>
      </c>
      <c r="D1499" t="s">
        <v>20</v>
      </c>
      <c r="E1499" t="s">
        <v>21</v>
      </c>
      <c r="F1499" t="s">
        <v>22</v>
      </c>
      <c r="G1499" t="s">
        <v>33</v>
      </c>
      <c r="H1499" t="s">
        <v>862</v>
      </c>
      <c r="I1499" t="s">
        <v>3149</v>
      </c>
      <c r="J1499">
        <v>9.9609500000000004</v>
      </c>
      <c r="K1499">
        <v>-84.194649999999996</v>
      </c>
      <c r="L1499" t="s">
        <v>1225</v>
      </c>
      <c r="M1499" t="s">
        <v>27</v>
      </c>
      <c r="N1499" t="s">
        <v>28</v>
      </c>
      <c r="O1499" t="s">
        <v>29</v>
      </c>
      <c r="P1499">
        <v>23</v>
      </c>
      <c r="Q1499" t="s">
        <v>125</v>
      </c>
      <c r="S1499" t="str">
        <f>_xlfn.XLOOKUP(UNIVERSO[[#This Row],[Ruta]],'[1]CUOTA RUTA'!A:A,'[1]CUOTA RUTA'!D:D)</f>
        <v>Cargar</v>
      </c>
    </row>
    <row r="1500" spans="1:19" x14ac:dyDescent="0.25">
      <c r="A1500">
        <v>1500144446</v>
      </c>
      <c r="B1500" t="s">
        <v>3150</v>
      </c>
      <c r="C1500" t="s">
        <v>19</v>
      </c>
      <c r="D1500" t="s">
        <v>32</v>
      </c>
      <c r="E1500" t="s">
        <v>21</v>
      </c>
      <c r="F1500" t="s">
        <v>22</v>
      </c>
      <c r="G1500" t="s">
        <v>33</v>
      </c>
      <c r="H1500" t="s">
        <v>89</v>
      </c>
      <c r="I1500" t="s">
        <v>3151</v>
      </c>
      <c r="J1500">
        <v>9.8970900000000004</v>
      </c>
      <c r="K1500">
        <v>-84.092299999999994</v>
      </c>
      <c r="L1500" t="s">
        <v>1225</v>
      </c>
      <c r="M1500" t="s">
        <v>71</v>
      </c>
      <c r="N1500" t="s">
        <v>72</v>
      </c>
      <c r="O1500" t="s">
        <v>73</v>
      </c>
      <c r="P1500">
        <v>23</v>
      </c>
      <c r="Q1500" t="s">
        <v>125</v>
      </c>
      <c r="S1500" t="str">
        <f>_xlfn.XLOOKUP(UNIVERSO[[#This Row],[Ruta]],'[1]CUOTA RUTA'!A:A,'[1]CUOTA RUTA'!D:D)</f>
        <v>Cargar</v>
      </c>
    </row>
    <row r="1501" spans="1:19" x14ac:dyDescent="0.25">
      <c r="A1501">
        <v>1500144456</v>
      </c>
      <c r="B1501" t="s">
        <v>3152</v>
      </c>
      <c r="C1501" t="s">
        <v>19</v>
      </c>
      <c r="D1501" t="s">
        <v>20</v>
      </c>
      <c r="E1501" t="s">
        <v>21</v>
      </c>
      <c r="F1501" t="s">
        <v>22</v>
      </c>
      <c r="G1501" t="s">
        <v>33</v>
      </c>
      <c r="H1501" t="s">
        <v>369</v>
      </c>
      <c r="I1501" t="s">
        <v>3153</v>
      </c>
      <c r="J1501">
        <v>10.01126713</v>
      </c>
      <c r="K1501">
        <v>-84.138471559999999</v>
      </c>
      <c r="L1501" t="s">
        <v>1225</v>
      </c>
      <c r="M1501" t="s">
        <v>27</v>
      </c>
      <c r="N1501" t="s">
        <v>28</v>
      </c>
      <c r="O1501" t="s">
        <v>29</v>
      </c>
      <c r="P1501">
        <v>20</v>
      </c>
      <c r="Q1501" t="s">
        <v>74</v>
      </c>
      <c r="S1501" t="str">
        <f>_xlfn.XLOOKUP(UNIVERSO[[#This Row],[Ruta]],'[1]CUOTA RUTA'!A:A,'[1]CUOTA RUTA'!D:D)</f>
        <v>Cargar</v>
      </c>
    </row>
    <row r="1502" spans="1:19" x14ac:dyDescent="0.25">
      <c r="A1502">
        <v>1500144484</v>
      </c>
      <c r="B1502" t="s">
        <v>3154</v>
      </c>
      <c r="C1502" t="s">
        <v>19</v>
      </c>
      <c r="D1502" t="s">
        <v>20</v>
      </c>
      <c r="E1502" t="s">
        <v>21</v>
      </c>
      <c r="F1502" t="s">
        <v>22</v>
      </c>
      <c r="G1502" t="s">
        <v>23</v>
      </c>
      <c r="H1502" t="s">
        <v>52</v>
      </c>
      <c r="I1502" t="s">
        <v>3155</v>
      </c>
      <c r="J1502">
        <v>9.9196501000000001</v>
      </c>
      <c r="K1502">
        <v>-84.141451399999994</v>
      </c>
      <c r="L1502" t="s">
        <v>1225</v>
      </c>
      <c r="M1502" t="s">
        <v>54</v>
      </c>
      <c r="N1502" t="s">
        <v>55</v>
      </c>
      <c r="O1502" t="s">
        <v>56</v>
      </c>
      <c r="P1502">
        <v>12</v>
      </c>
      <c r="Q1502" t="s">
        <v>42</v>
      </c>
      <c r="S1502" t="str">
        <f>_xlfn.XLOOKUP(UNIVERSO[[#This Row],[Ruta]],'[1]CUOTA RUTA'!A:A,'[1]CUOTA RUTA'!D:D)</f>
        <v>Cargar</v>
      </c>
    </row>
    <row r="1503" spans="1:19" x14ac:dyDescent="0.25">
      <c r="A1503">
        <v>1500144575</v>
      </c>
      <c r="B1503" t="s">
        <v>3156</v>
      </c>
      <c r="C1503" t="s">
        <v>19</v>
      </c>
      <c r="D1503" t="s">
        <v>20</v>
      </c>
      <c r="E1503" t="s">
        <v>21</v>
      </c>
      <c r="F1503" t="s">
        <v>22</v>
      </c>
      <c r="G1503" t="s">
        <v>64</v>
      </c>
      <c r="H1503" t="s">
        <v>913</v>
      </c>
      <c r="I1503" t="s">
        <v>3157</v>
      </c>
      <c r="J1503">
        <v>9.9622799999999998</v>
      </c>
      <c r="K1503">
        <v>-84.151619999999994</v>
      </c>
      <c r="L1503" t="s">
        <v>1225</v>
      </c>
      <c r="M1503" t="s">
        <v>27</v>
      </c>
      <c r="N1503" t="s">
        <v>28</v>
      </c>
      <c r="O1503" t="s">
        <v>29</v>
      </c>
      <c r="P1503">
        <v>1</v>
      </c>
      <c r="Q1503" t="s">
        <v>155</v>
      </c>
      <c r="S1503" t="str">
        <f>_xlfn.XLOOKUP(UNIVERSO[[#This Row],[Ruta]],'[1]CUOTA RUTA'!A:A,'[1]CUOTA RUTA'!D:D)</f>
        <v>Cargar</v>
      </c>
    </row>
    <row r="1504" spans="1:19" x14ac:dyDescent="0.25">
      <c r="A1504">
        <v>1500144607</v>
      </c>
      <c r="B1504" t="s">
        <v>3158</v>
      </c>
      <c r="C1504" t="s">
        <v>19</v>
      </c>
      <c r="D1504" t="s">
        <v>20</v>
      </c>
      <c r="E1504" t="s">
        <v>21</v>
      </c>
      <c r="F1504" t="s">
        <v>22</v>
      </c>
      <c r="G1504" t="s">
        <v>33</v>
      </c>
      <c r="H1504" t="s">
        <v>913</v>
      </c>
      <c r="I1504" t="s">
        <v>3159</v>
      </c>
      <c r="J1504">
        <v>9.9636300000000002</v>
      </c>
      <c r="K1504">
        <v>-84.151330000000002</v>
      </c>
      <c r="L1504" t="s">
        <v>1225</v>
      </c>
      <c r="M1504" t="s">
        <v>27</v>
      </c>
      <c r="N1504" t="s">
        <v>28</v>
      </c>
      <c r="O1504" t="s">
        <v>29</v>
      </c>
      <c r="P1504">
        <v>1</v>
      </c>
      <c r="Q1504" t="s">
        <v>155</v>
      </c>
      <c r="S1504" t="str">
        <f>_xlfn.XLOOKUP(UNIVERSO[[#This Row],[Ruta]],'[1]CUOTA RUTA'!A:A,'[1]CUOTA RUTA'!D:D)</f>
        <v>Cargar</v>
      </c>
    </row>
    <row r="1505" spans="1:19" x14ac:dyDescent="0.25">
      <c r="A1505">
        <v>1500144694</v>
      </c>
      <c r="B1505" t="s">
        <v>2955</v>
      </c>
      <c r="C1505" t="s">
        <v>19</v>
      </c>
      <c r="D1505" t="s">
        <v>20</v>
      </c>
      <c r="E1505" t="s">
        <v>21</v>
      </c>
      <c r="F1505" t="s">
        <v>22</v>
      </c>
      <c r="G1505" t="s">
        <v>23</v>
      </c>
      <c r="H1505" t="s">
        <v>862</v>
      </c>
      <c r="I1505" t="s">
        <v>3160</v>
      </c>
      <c r="J1505">
        <v>9.9641400000000004</v>
      </c>
      <c r="K1505">
        <v>-84.187989999999999</v>
      </c>
      <c r="L1505" t="s">
        <v>1225</v>
      </c>
      <c r="M1505" t="s">
        <v>27</v>
      </c>
      <c r="N1505" t="s">
        <v>28</v>
      </c>
      <c r="O1505" t="s">
        <v>29</v>
      </c>
      <c r="P1505">
        <v>23</v>
      </c>
      <c r="Q1505" t="s">
        <v>125</v>
      </c>
      <c r="S1505" t="str">
        <f>_xlfn.XLOOKUP(UNIVERSO[[#This Row],[Ruta]],'[1]CUOTA RUTA'!A:A,'[1]CUOTA RUTA'!D:D)</f>
        <v>Cargar</v>
      </c>
    </row>
    <row r="1506" spans="1:19" x14ac:dyDescent="0.25">
      <c r="A1506">
        <v>1500144795</v>
      </c>
      <c r="B1506" t="s">
        <v>3161</v>
      </c>
      <c r="C1506" t="s">
        <v>19</v>
      </c>
      <c r="D1506" t="s">
        <v>20</v>
      </c>
      <c r="E1506" t="s">
        <v>21</v>
      </c>
      <c r="F1506" t="s">
        <v>22</v>
      </c>
      <c r="G1506" t="s">
        <v>64</v>
      </c>
      <c r="H1506" t="s">
        <v>308</v>
      </c>
      <c r="I1506" t="s">
        <v>3162</v>
      </c>
      <c r="J1506">
        <v>9.8244735999999993</v>
      </c>
      <c r="K1506">
        <v>-84.356204500000004</v>
      </c>
      <c r="L1506" t="s">
        <v>1225</v>
      </c>
      <c r="M1506" t="s">
        <v>54</v>
      </c>
      <c r="N1506" t="s">
        <v>55</v>
      </c>
      <c r="O1506" t="s">
        <v>56</v>
      </c>
      <c r="P1506">
        <v>22</v>
      </c>
      <c r="Q1506" t="s">
        <v>30</v>
      </c>
      <c r="S1506" t="str">
        <f>_xlfn.XLOOKUP(UNIVERSO[[#This Row],[Ruta]],'[1]CUOTA RUTA'!A:A,'[1]CUOTA RUTA'!D:D)</f>
        <v>Cargar</v>
      </c>
    </row>
    <row r="1507" spans="1:19" x14ac:dyDescent="0.25">
      <c r="A1507">
        <v>1500145069</v>
      </c>
      <c r="B1507" t="s">
        <v>3163</v>
      </c>
      <c r="C1507" t="s">
        <v>19</v>
      </c>
      <c r="D1507" t="s">
        <v>20</v>
      </c>
      <c r="E1507" t="s">
        <v>21</v>
      </c>
      <c r="F1507" t="s">
        <v>22</v>
      </c>
      <c r="G1507" t="s">
        <v>33</v>
      </c>
      <c r="H1507" t="s">
        <v>901</v>
      </c>
      <c r="I1507" t="s">
        <v>3164</v>
      </c>
      <c r="J1507">
        <v>10.027268299999999</v>
      </c>
      <c r="K1507">
        <v>-84.3367267</v>
      </c>
      <c r="L1507" t="s">
        <v>1225</v>
      </c>
      <c r="M1507" t="s">
        <v>46</v>
      </c>
      <c r="N1507" t="s">
        <v>47</v>
      </c>
      <c r="O1507" t="s">
        <v>48</v>
      </c>
      <c r="P1507">
        <v>5</v>
      </c>
      <c r="Q1507" t="s">
        <v>117</v>
      </c>
      <c r="S1507" t="str">
        <f>_xlfn.XLOOKUP(UNIVERSO[[#This Row],[Ruta]],'[1]CUOTA RUTA'!A:A,'[1]CUOTA RUTA'!D:D)</f>
        <v>Cargar</v>
      </c>
    </row>
    <row r="1508" spans="1:19" x14ac:dyDescent="0.25">
      <c r="A1508">
        <v>1500145284</v>
      </c>
      <c r="B1508" t="s">
        <v>3165</v>
      </c>
      <c r="C1508" t="s">
        <v>19</v>
      </c>
      <c r="D1508" t="s">
        <v>32</v>
      </c>
      <c r="E1508" t="s">
        <v>21</v>
      </c>
      <c r="F1508" t="s">
        <v>22</v>
      </c>
      <c r="G1508" t="s">
        <v>33</v>
      </c>
      <c r="H1508" t="s">
        <v>159</v>
      </c>
      <c r="I1508" t="s">
        <v>3166</v>
      </c>
      <c r="J1508">
        <v>9.9056660000000001</v>
      </c>
      <c r="K1508">
        <v>-84.110564999999994</v>
      </c>
      <c r="L1508" t="s">
        <v>1225</v>
      </c>
      <c r="M1508" t="s">
        <v>71</v>
      </c>
      <c r="N1508" t="s">
        <v>72</v>
      </c>
      <c r="O1508" t="s">
        <v>73</v>
      </c>
      <c r="P1508">
        <v>12</v>
      </c>
      <c r="Q1508" t="s">
        <v>42</v>
      </c>
      <c r="S1508" t="str">
        <f>_xlfn.XLOOKUP(UNIVERSO[[#This Row],[Ruta]],'[1]CUOTA RUTA'!A:A,'[1]CUOTA RUTA'!D:D)</f>
        <v>Cargar</v>
      </c>
    </row>
    <row r="1509" spans="1:19" x14ac:dyDescent="0.25">
      <c r="A1509">
        <v>1500145321</v>
      </c>
      <c r="B1509" t="s">
        <v>3167</v>
      </c>
      <c r="C1509" t="s">
        <v>19</v>
      </c>
      <c r="D1509" t="s">
        <v>20</v>
      </c>
      <c r="E1509" t="s">
        <v>21</v>
      </c>
      <c r="F1509" t="s">
        <v>22</v>
      </c>
      <c r="G1509" t="s">
        <v>64</v>
      </c>
      <c r="H1509" t="s">
        <v>311</v>
      </c>
      <c r="I1509" t="s">
        <v>3168</v>
      </c>
      <c r="J1509">
        <v>9.9745833000000008</v>
      </c>
      <c r="K1509">
        <v>-84.222522699999999</v>
      </c>
      <c r="L1509" t="s">
        <v>1225</v>
      </c>
      <c r="M1509" t="s">
        <v>54</v>
      </c>
      <c r="N1509" t="s">
        <v>55</v>
      </c>
      <c r="O1509" t="s">
        <v>56</v>
      </c>
      <c r="P1509">
        <v>8</v>
      </c>
      <c r="Q1509" t="s">
        <v>97</v>
      </c>
      <c r="S1509" t="str">
        <f>_xlfn.XLOOKUP(UNIVERSO[[#This Row],[Ruta]],'[1]CUOTA RUTA'!A:A,'[1]CUOTA RUTA'!D:D)</f>
        <v>Cargar</v>
      </c>
    </row>
    <row r="1510" spans="1:19" x14ac:dyDescent="0.25">
      <c r="A1510">
        <v>1500145332</v>
      </c>
      <c r="B1510" t="s">
        <v>3169</v>
      </c>
      <c r="C1510" t="s">
        <v>19</v>
      </c>
      <c r="D1510" t="s">
        <v>20</v>
      </c>
      <c r="E1510" t="s">
        <v>21</v>
      </c>
      <c r="F1510" t="s">
        <v>22</v>
      </c>
      <c r="G1510" t="s">
        <v>33</v>
      </c>
      <c r="H1510" t="s">
        <v>250</v>
      </c>
      <c r="I1510" t="s">
        <v>3170</v>
      </c>
      <c r="J1510">
        <v>10.015323</v>
      </c>
      <c r="K1510">
        <v>-84.249611000000002</v>
      </c>
      <c r="L1510" t="s">
        <v>1225</v>
      </c>
      <c r="M1510" t="s">
        <v>46</v>
      </c>
      <c r="N1510" t="s">
        <v>47</v>
      </c>
      <c r="O1510" t="s">
        <v>48</v>
      </c>
      <c r="P1510">
        <v>3</v>
      </c>
      <c r="Q1510" t="s">
        <v>101</v>
      </c>
      <c r="S1510" t="str">
        <f>_xlfn.XLOOKUP(UNIVERSO[[#This Row],[Ruta]],'[1]CUOTA RUTA'!A:A,'[1]CUOTA RUTA'!D:D)</f>
        <v>Cargar</v>
      </c>
    </row>
    <row r="1511" spans="1:19" x14ac:dyDescent="0.25">
      <c r="A1511">
        <v>1500145459</v>
      </c>
      <c r="B1511" t="s">
        <v>3171</v>
      </c>
      <c r="C1511" t="s">
        <v>19</v>
      </c>
      <c r="D1511" t="s">
        <v>32</v>
      </c>
      <c r="E1511" t="s">
        <v>21</v>
      </c>
      <c r="F1511" t="s">
        <v>22</v>
      </c>
      <c r="G1511" t="s">
        <v>64</v>
      </c>
      <c r="H1511" t="s">
        <v>159</v>
      </c>
      <c r="I1511" t="s">
        <v>3172</v>
      </c>
      <c r="J1511">
        <v>9.9091889999999996</v>
      </c>
      <c r="K1511">
        <v>-84.106209000000007</v>
      </c>
      <c r="L1511" t="s">
        <v>1225</v>
      </c>
      <c r="M1511" t="s">
        <v>71</v>
      </c>
      <c r="N1511" t="s">
        <v>72</v>
      </c>
      <c r="O1511" t="s">
        <v>73</v>
      </c>
      <c r="P1511">
        <v>12</v>
      </c>
      <c r="Q1511" t="s">
        <v>42</v>
      </c>
      <c r="S1511" t="str">
        <f>_xlfn.XLOOKUP(UNIVERSO[[#This Row],[Ruta]],'[1]CUOTA RUTA'!A:A,'[1]CUOTA RUTA'!D:D)</f>
        <v>Cargar</v>
      </c>
    </row>
    <row r="1512" spans="1:19" x14ac:dyDescent="0.25">
      <c r="A1512">
        <v>1500145637</v>
      </c>
      <c r="B1512" t="s">
        <v>3173</v>
      </c>
      <c r="C1512" t="s">
        <v>19</v>
      </c>
      <c r="D1512" t="s">
        <v>20</v>
      </c>
      <c r="E1512" t="s">
        <v>21</v>
      </c>
      <c r="F1512" t="s">
        <v>22</v>
      </c>
      <c r="G1512" t="s">
        <v>64</v>
      </c>
      <c r="H1512" t="s">
        <v>1143</v>
      </c>
      <c r="I1512" t="s">
        <v>3174</v>
      </c>
      <c r="J1512">
        <v>10.049828</v>
      </c>
      <c r="K1512">
        <v>-84.204156999999995</v>
      </c>
      <c r="L1512" t="s">
        <v>1225</v>
      </c>
      <c r="M1512" t="s">
        <v>54</v>
      </c>
      <c r="N1512" t="s">
        <v>55</v>
      </c>
      <c r="O1512" t="s">
        <v>56</v>
      </c>
      <c r="P1512">
        <v>17</v>
      </c>
      <c r="Q1512" t="s">
        <v>287</v>
      </c>
      <c r="S1512" t="str">
        <f>_xlfn.XLOOKUP(UNIVERSO[[#This Row],[Ruta]],'[1]CUOTA RUTA'!A:A,'[1]CUOTA RUTA'!D:D)</f>
        <v>Cargar</v>
      </c>
    </row>
    <row r="1513" spans="1:19" x14ac:dyDescent="0.25">
      <c r="A1513">
        <v>1500146109</v>
      </c>
      <c r="B1513" t="s">
        <v>3175</v>
      </c>
      <c r="C1513" t="s">
        <v>19</v>
      </c>
      <c r="D1513" t="s">
        <v>32</v>
      </c>
      <c r="E1513" t="s">
        <v>21</v>
      </c>
      <c r="F1513" t="s">
        <v>22</v>
      </c>
      <c r="G1513" t="s">
        <v>33</v>
      </c>
      <c r="H1513" t="s">
        <v>179</v>
      </c>
      <c r="I1513" t="s">
        <v>3176</v>
      </c>
      <c r="J1513">
        <v>9.8738309999999991</v>
      </c>
      <c r="K1513">
        <v>-84.033023999999997</v>
      </c>
      <c r="L1513" t="s">
        <v>1225</v>
      </c>
      <c r="M1513" t="s">
        <v>36</v>
      </c>
      <c r="N1513" t="s">
        <v>37</v>
      </c>
      <c r="O1513" t="s">
        <v>38</v>
      </c>
      <c r="P1513">
        <v>17</v>
      </c>
      <c r="Q1513" t="s">
        <v>287</v>
      </c>
      <c r="S1513" t="str">
        <f>_xlfn.XLOOKUP(UNIVERSO[[#This Row],[Ruta]],'[1]CUOTA RUTA'!A:A,'[1]CUOTA RUTA'!D:D)</f>
        <v>Cargar</v>
      </c>
    </row>
    <row r="1514" spans="1:19" x14ac:dyDescent="0.25">
      <c r="A1514">
        <v>1500146168</v>
      </c>
      <c r="B1514" t="s">
        <v>3177</v>
      </c>
      <c r="C1514" t="s">
        <v>19</v>
      </c>
      <c r="D1514" t="s">
        <v>32</v>
      </c>
      <c r="E1514" t="s">
        <v>21</v>
      </c>
      <c r="F1514" t="s">
        <v>22</v>
      </c>
      <c r="G1514" t="s">
        <v>33</v>
      </c>
      <c r="H1514" t="s">
        <v>69</v>
      </c>
      <c r="I1514" t="s">
        <v>3178</v>
      </c>
      <c r="J1514">
        <v>9.8532516666669991</v>
      </c>
      <c r="K1514">
        <v>-84.057738333329993</v>
      </c>
      <c r="L1514" t="s">
        <v>1225</v>
      </c>
      <c r="M1514" t="s">
        <v>71</v>
      </c>
      <c r="N1514" t="s">
        <v>72</v>
      </c>
      <c r="O1514" t="s">
        <v>73</v>
      </c>
      <c r="P1514">
        <v>22</v>
      </c>
      <c r="Q1514" t="s">
        <v>30</v>
      </c>
      <c r="S1514" t="str">
        <f>_xlfn.XLOOKUP(UNIVERSO[[#This Row],[Ruta]],'[1]CUOTA RUTA'!A:A,'[1]CUOTA RUTA'!D:D)</f>
        <v>Cargar</v>
      </c>
    </row>
    <row r="1515" spans="1:19" x14ac:dyDescent="0.25">
      <c r="A1515">
        <v>1500146240</v>
      </c>
      <c r="B1515" t="s">
        <v>3179</v>
      </c>
      <c r="C1515" t="s">
        <v>19</v>
      </c>
      <c r="D1515" t="s">
        <v>32</v>
      </c>
      <c r="E1515" t="s">
        <v>21</v>
      </c>
      <c r="F1515" t="s">
        <v>22</v>
      </c>
      <c r="G1515" t="s">
        <v>33</v>
      </c>
      <c r="H1515" t="s">
        <v>69</v>
      </c>
      <c r="I1515" t="s">
        <v>3180</v>
      </c>
      <c r="J1515">
        <v>9.8613979999999994</v>
      </c>
      <c r="K1515">
        <v>-84.047318000000004</v>
      </c>
      <c r="L1515" t="s">
        <v>1225</v>
      </c>
      <c r="M1515" t="s">
        <v>71</v>
      </c>
      <c r="N1515" t="s">
        <v>72</v>
      </c>
      <c r="O1515" t="s">
        <v>73</v>
      </c>
      <c r="P1515">
        <v>21</v>
      </c>
      <c r="Q1515" t="s">
        <v>239</v>
      </c>
      <c r="S1515" t="str">
        <f>_xlfn.XLOOKUP(UNIVERSO[[#This Row],[Ruta]],'[1]CUOTA RUTA'!A:A,'[1]CUOTA RUTA'!D:D)</f>
        <v>Cargar</v>
      </c>
    </row>
    <row r="1516" spans="1:19" x14ac:dyDescent="0.25">
      <c r="A1516">
        <v>1500146260</v>
      </c>
      <c r="B1516" t="s">
        <v>3181</v>
      </c>
      <c r="C1516" t="s">
        <v>19</v>
      </c>
      <c r="D1516" t="s">
        <v>32</v>
      </c>
      <c r="E1516" t="s">
        <v>21</v>
      </c>
      <c r="F1516" t="s">
        <v>51</v>
      </c>
      <c r="G1516" t="s">
        <v>23</v>
      </c>
      <c r="H1516" t="s">
        <v>34</v>
      </c>
      <c r="I1516" t="s">
        <v>3182</v>
      </c>
      <c r="J1516">
        <v>9.9046966666670002</v>
      </c>
      <c r="K1516">
        <v>-84.056598333330001</v>
      </c>
      <c r="L1516" t="s">
        <v>1225</v>
      </c>
      <c r="M1516" t="s">
        <v>36</v>
      </c>
      <c r="N1516" t="s">
        <v>37</v>
      </c>
      <c r="O1516" t="s">
        <v>38</v>
      </c>
      <c r="P1516">
        <v>12</v>
      </c>
      <c r="Q1516" t="s">
        <v>42</v>
      </c>
      <c r="S1516" t="str">
        <f>_xlfn.XLOOKUP(UNIVERSO[[#This Row],[Ruta]],'[1]CUOTA RUTA'!A:A,'[1]CUOTA RUTA'!D:D)</f>
        <v>Cargar</v>
      </c>
    </row>
    <row r="1517" spans="1:19" x14ac:dyDescent="0.25">
      <c r="A1517">
        <v>1500146352</v>
      </c>
      <c r="B1517" t="s">
        <v>3183</v>
      </c>
      <c r="C1517" t="s">
        <v>19</v>
      </c>
      <c r="D1517" t="s">
        <v>32</v>
      </c>
      <c r="E1517" t="s">
        <v>21</v>
      </c>
      <c r="F1517" t="s">
        <v>22</v>
      </c>
      <c r="G1517" t="s">
        <v>33</v>
      </c>
      <c r="H1517" t="s">
        <v>138</v>
      </c>
      <c r="I1517" t="s">
        <v>3184</v>
      </c>
      <c r="J1517">
        <v>9.9627649999999992</v>
      </c>
      <c r="K1517">
        <v>-84.003116000000006</v>
      </c>
      <c r="L1517" t="s">
        <v>1225</v>
      </c>
      <c r="M1517" t="s">
        <v>36</v>
      </c>
      <c r="N1517" t="s">
        <v>37</v>
      </c>
      <c r="O1517" t="s">
        <v>38</v>
      </c>
      <c r="P1517">
        <v>21</v>
      </c>
      <c r="Q1517" t="s">
        <v>239</v>
      </c>
      <c r="S1517" t="str">
        <f>_xlfn.XLOOKUP(UNIVERSO[[#This Row],[Ruta]],'[1]CUOTA RUTA'!A:A,'[1]CUOTA RUTA'!D:D)</f>
        <v>Cargar</v>
      </c>
    </row>
    <row r="1518" spans="1:19" x14ac:dyDescent="0.25">
      <c r="A1518">
        <v>1500146550</v>
      </c>
      <c r="B1518" t="s">
        <v>3185</v>
      </c>
      <c r="C1518" t="s">
        <v>19</v>
      </c>
      <c r="D1518" t="s">
        <v>32</v>
      </c>
      <c r="E1518" t="s">
        <v>21</v>
      </c>
      <c r="F1518" t="s">
        <v>51</v>
      </c>
      <c r="G1518" t="s">
        <v>23</v>
      </c>
      <c r="H1518" t="s">
        <v>86</v>
      </c>
      <c r="I1518" t="s">
        <v>3186</v>
      </c>
      <c r="J1518">
        <v>9.9084749999999993</v>
      </c>
      <c r="K1518">
        <v>-84.096160999999995</v>
      </c>
      <c r="L1518" t="s">
        <v>1225</v>
      </c>
      <c r="M1518" t="s">
        <v>71</v>
      </c>
      <c r="N1518" t="s">
        <v>72</v>
      </c>
      <c r="O1518" t="s">
        <v>73</v>
      </c>
      <c r="P1518">
        <v>9</v>
      </c>
      <c r="Q1518" t="s">
        <v>80</v>
      </c>
      <c r="S1518" t="str">
        <f>_xlfn.XLOOKUP(UNIVERSO[[#This Row],[Ruta]],'[1]CUOTA RUTA'!A:A,'[1]CUOTA RUTA'!D:D)</f>
        <v>Cargar</v>
      </c>
    </row>
    <row r="1519" spans="1:19" x14ac:dyDescent="0.25">
      <c r="A1519">
        <v>1500147126</v>
      </c>
      <c r="B1519" t="s">
        <v>3187</v>
      </c>
      <c r="C1519" t="s">
        <v>19</v>
      </c>
      <c r="D1519" t="s">
        <v>32</v>
      </c>
      <c r="E1519" t="s">
        <v>21</v>
      </c>
      <c r="F1519" t="s">
        <v>51</v>
      </c>
      <c r="G1519" t="s">
        <v>23</v>
      </c>
      <c r="H1519" t="s">
        <v>86</v>
      </c>
      <c r="I1519" t="s">
        <v>3188</v>
      </c>
      <c r="J1519">
        <v>9.9012600000000006</v>
      </c>
      <c r="K1519">
        <v>-84.070899999999995</v>
      </c>
      <c r="L1519" t="s">
        <v>1225</v>
      </c>
      <c r="M1519" t="s">
        <v>71</v>
      </c>
      <c r="N1519" t="s">
        <v>72</v>
      </c>
      <c r="O1519" t="s">
        <v>73</v>
      </c>
      <c r="P1519">
        <v>7</v>
      </c>
      <c r="Q1519" t="s">
        <v>39</v>
      </c>
      <c r="S1519" t="str">
        <f>_xlfn.XLOOKUP(UNIVERSO[[#This Row],[Ruta]],'[1]CUOTA RUTA'!A:A,'[1]CUOTA RUTA'!D:D)</f>
        <v>Cargar</v>
      </c>
    </row>
    <row r="1520" spans="1:19" x14ac:dyDescent="0.25">
      <c r="A1520">
        <v>1500147214</v>
      </c>
      <c r="B1520" t="s">
        <v>3189</v>
      </c>
      <c r="C1520" t="s">
        <v>19</v>
      </c>
      <c r="D1520" t="s">
        <v>32</v>
      </c>
      <c r="E1520" t="s">
        <v>21</v>
      </c>
      <c r="F1520" t="s">
        <v>22</v>
      </c>
      <c r="G1520" t="s">
        <v>33</v>
      </c>
      <c r="H1520" t="s">
        <v>1191</v>
      </c>
      <c r="I1520" t="s">
        <v>3190</v>
      </c>
      <c r="J1520">
        <v>9.8957529999999991</v>
      </c>
      <c r="K1520">
        <v>-84.001712999999995</v>
      </c>
      <c r="L1520" t="s">
        <v>1225</v>
      </c>
      <c r="M1520" t="s">
        <v>36</v>
      </c>
      <c r="N1520" t="s">
        <v>37</v>
      </c>
      <c r="O1520" t="s">
        <v>38</v>
      </c>
      <c r="P1520">
        <v>17</v>
      </c>
      <c r="Q1520" t="s">
        <v>287</v>
      </c>
      <c r="S1520" t="str">
        <f>_xlfn.XLOOKUP(UNIVERSO[[#This Row],[Ruta]],'[1]CUOTA RUTA'!A:A,'[1]CUOTA RUTA'!D:D)</f>
        <v>Cargar</v>
      </c>
    </row>
    <row r="1521" spans="1:19" x14ac:dyDescent="0.25">
      <c r="A1521">
        <v>1500147288</v>
      </c>
      <c r="B1521" t="s">
        <v>3191</v>
      </c>
      <c r="C1521" t="s">
        <v>19</v>
      </c>
      <c r="D1521" t="s">
        <v>32</v>
      </c>
      <c r="E1521" t="s">
        <v>21</v>
      </c>
      <c r="F1521" t="s">
        <v>22</v>
      </c>
      <c r="G1521" t="s">
        <v>64</v>
      </c>
      <c r="H1521" t="s">
        <v>179</v>
      </c>
      <c r="I1521" t="s">
        <v>3192</v>
      </c>
      <c r="J1521">
        <v>9.8880630000000007</v>
      </c>
      <c r="K1521">
        <v>-84.029203999999993</v>
      </c>
      <c r="L1521" t="s">
        <v>1225</v>
      </c>
      <c r="M1521" t="s">
        <v>36</v>
      </c>
      <c r="N1521" t="s">
        <v>37</v>
      </c>
      <c r="O1521" t="s">
        <v>38</v>
      </c>
      <c r="P1521">
        <v>16</v>
      </c>
      <c r="Q1521" t="s">
        <v>60</v>
      </c>
      <c r="S1521" t="str">
        <f>_xlfn.XLOOKUP(UNIVERSO[[#This Row],[Ruta]],'[1]CUOTA RUTA'!A:A,'[1]CUOTA RUTA'!D:D)</f>
        <v>Cargar</v>
      </c>
    </row>
    <row r="1522" spans="1:19" x14ac:dyDescent="0.25">
      <c r="A1522">
        <v>1500147440</v>
      </c>
      <c r="B1522" t="s">
        <v>3193</v>
      </c>
      <c r="C1522" t="s">
        <v>19</v>
      </c>
      <c r="D1522" t="s">
        <v>32</v>
      </c>
      <c r="E1522" t="s">
        <v>21</v>
      </c>
      <c r="F1522" t="s">
        <v>22</v>
      </c>
      <c r="G1522" t="s">
        <v>23</v>
      </c>
      <c r="H1522" t="s">
        <v>92</v>
      </c>
      <c r="I1522" t="s">
        <v>3194</v>
      </c>
      <c r="J1522">
        <v>9.9638399999999994</v>
      </c>
      <c r="K1522">
        <v>-84.015699999999995</v>
      </c>
      <c r="L1522" t="s">
        <v>1225</v>
      </c>
      <c r="M1522" t="s">
        <v>94</v>
      </c>
      <c r="N1522" t="s">
        <v>95</v>
      </c>
      <c r="O1522" t="s">
        <v>96</v>
      </c>
      <c r="P1522">
        <v>4</v>
      </c>
      <c r="Q1522" t="s">
        <v>120</v>
      </c>
      <c r="S1522" t="str">
        <f>_xlfn.XLOOKUP(UNIVERSO[[#This Row],[Ruta]],'[1]CUOTA RUTA'!A:A,'[1]CUOTA RUTA'!D:D)</f>
        <v>Cargar</v>
      </c>
    </row>
    <row r="1523" spans="1:19" x14ac:dyDescent="0.25">
      <c r="A1523">
        <v>1500147593</v>
      </c>
      <c r="B1523" t="s">
        <v>3195</v>
      </c>
      <c r="C1523" t="s">
        <v>19</v>
      </c>
      <c r="D1523" t="s">
        <v>266</v>
      </c>
      <c r="E1523" t="s">
        <v>21</v>
      </c>
      <c r="F1523" t="s">
        <v>22</v>
      </c>
      <c r="G1523" t="s">
        <v>33</v>
      </c>
      <c r="H1523" t="s">
        <v>706</v>
      </c>
      <c r="I1523" t="s">
        <v>3196</v>
      </c>
      <c r="J1523">
        <v>9.8544178000000002</v>
      </c>
      <c r="K1523">
        <v>-83.947602799999999</v>
      </c>
      <c r="L1523" t="s">
        <v>1225</v>
      </c>
      <c r="M1523" t="s">
        <v>36</v>
      </c>
      <c r="N1523" t="s">
        <v>316</v>
      </c>
      <c r="O1523" t="s">
        <v>317</v>
      </c>
      <c r="P1523">
        <v>18</v>
      </c>
      <c r="Q1523" t="s">
        <v>84</v>
      </c>
      <c r="S1523" t="str">
        <f>_xlfn.XLOOKUP(UNIVERSO[[#This Row],[Ruta]],'[1]CUOTA RUTA'!A:A,'[1]CUOTA RUTA'!D:D)</f>
        <v>Cargar</v>
      </c>
    </row>
    <row r="1524" spans="1:19" x14ac:dyDescent="0.25">
      <c r="A1524">
        <v>1500147597</v>
      </c>
      <c r="B1524" t="s">
        <v>3197</v>
      </c>
      <c r="C1524" t="s">
        <v>19</v>
      </c>
      <c r="D1524" t="s">
        <v>32</v>
      </c>
      <c r="E1524" t="s">
        <v>21</v>
      </c>
      <c r="F1524" t="s">
        <v>22</v>
      </c>
      <c r="G1524" t="s">
        <v>33</v>
      </c>
      <c r="H1524" t="s">
        <v>69</v>
      </c>
      <c r="I1524" t="s">
        <v>3198</v>
      </c>
      <c r="J1524">
        <v>9.8690916666669999</v>
      </c>
      <c r="K1524">
        <v>-84.048096666660001</v>
      </c>
      <c r="L1524" t="s">
        <v>1225</v>
      </c>
      <c r="M1524" t="s">
        <v>71</v>
      </c>
      <c r="N1524" t="s">
        <v>72</v>
      </c>
      <c r="O1524" t="s">
        <v>73</v>
      </c>
      <c r="P1524">
        <v>21</v>
      </c>
      <c r="Q1524" t="s">
        <v>239</v>
      </c>
      <c r="S1524" t="str">
        <f>_xlfn.XLOOKUP(UNIVERSO[[#This Row],[Ruta]],'[1]CUOTA RUTA'!A:A,'[1]CUOTA RUTA'!D:D)</f>
        <v>Cargar</v>
      </c>
    </row>
    <row r="1525" spans="1:19" x14ac:dyDescent="0.25">
      <c r="A1525">
        <v>1500147721</v>
      </c>
      <c r="B1525" t="s">
        <v>2711</v>
      </c>
      <c r="C1525" t="s">
        <v>19</v>
      </c>
      <c r="D1525" t="s">
        <v>32</v>
      </c>
      <c r="E1525" t="s">
        <v>21</v>
      </c>
      <c r="F1525" t="s">
        <v>22</v>
      </c>
      <c r="G1525" t="s">
        <v>64</v>
      </c>
      <c r="H1525" t="s">
        <v>425</v>
      </c>
      <c r="I1525" t="s">
        <v>3199</v>
      </c>
      <c r="J1525">
        <v>9.8696699999999993</v>
      </c>
      <c r="K1525">
        <v>-84.087599999999995</v>
      </c>
      <c r="L1525" t="s">
        <v>1225</v>
      </c>
      <c r="M1525" t="s">
        <v>71</v>
      </c>
      <c r="N1525" t="s">
        <v>72</v>
      </c>
      <c r="O1525" t="s">
        <v>73</v>
      </c>
      <c r="P1525">
        <v>15</v>
      </c>
      <c r="Q1525" t="s">
        <v>231</v>
      </c>
      <c r="S1525" t="str">
        <f>_xlfn.XLOOKUP(UNIVERSO[[#This Row],[Ruta]],'[1]CUOTA RUTA'!A:A,'[1]CUOTA RUTA'!D:D)</f>
        <v>Cargar</v>
      </c>
    </row>
    <row r="1526" spans="1:19" x14ac:dyDescent="0.25">
      <c r="A1526">
        <v>1500147790</v>
      </c>
      <c r="B1526" t="s">
        <v>3200</v>
      </c>
      <c r="C1526" t="s">
        <v>19</v>
      </c>
      <c r="D1526" t="s">
        <v>266</v>
      </c>
      <c r="E1526" t="s">
        <v>21</v>
      </c>
      <c r="F1526" t="s">
        <v>22</v>
      </c>
      <c r="G1526" t="s">
        <v>33</v>
      </c>
      <c r="H1526" t="s">
        <v>703</v>
      </c>
      <c r="I1526" t="s">
        <v>3201</v>
      </c>
      <c r="J1526">
        <v>9.8453309999999998</v>
      </c>
      <c r="K1526">
        <v>-83.948437999999996</v>
      </c>
      <c r="L1526" t="s">
        <v>1225</v>
      </c>
      <c r="M1526" t="s">
        <v>36</v>
      </c>
      <c r="N1526" t="s">
        <v>316</v>
      </c>
      <c r="O1526" t="s">
        <v>317</v>
      </c>
      <c r="P1526">
        <v>19</v>
      </c>
      <c r="Q1526" t="s">
        <v>67</v>
      </c>
      <c r="S1526" t="str">
        <f>_xlfn.XLOOKUP(UNIVERSO[[#This Row],[Ruta]],'[1]CUOTA RUTA'!A:A,'[1]CUOTA RUTA'!D:D)</f>
        <v>Cargar</v>
      </c>
    </row>
    <row r="1527" spans="1:19" x14ac:dyDescent="0.25">
      <c r="A1527">
        <v>1500147835</v>
      </c>
      <c r="B1527" t="s">
        <v>3202</v>
      </c>
      <c r="C1527" t="s">
        <v>19</v>
      </c>
      <c r="D1527" t="s">
        <v>266</v>
      </c>
      <c r="E1527" t="s">
        <v>21</v>
      </c>
      <c r="F1527" t="s">
        <v>22</v>
      </c>
      <c r="G1527" t="s">
        <v>33</v>
      </c>
      <c r="H1527" t="s">
        <v>404</v>
      </c>
      <c r="I1527" t="s">
        <v>3203</v>
      </c>
      <c r="J1527">
        <v>9.8548539999999996</v>
      </c>
      <c r="K1527">
        <v>-83.898805999999993</v>
      </c>
      <c r="L1527" t="s">
        <v>1225</v>
      </c>
      <c r="M1527" t="s">
        <v>36</v>
      </c>
      <c r="N1527" t="s">
        <v>316</v>
      </c>
      <c r="O1527" t="s">
        <v>317</v>
      </c>
      <c r="P1527">
        <v>17</v>
      </c>
      <c r="Q1527" t="s">
        <v>287</v>
      </c>
      <c r="S1527" t="str">
        <f>_xlfn.XLOOKUP(UNIVERSO[[#This Row],[Ruta]],'[1]CUOTA RUTA'!A:A,'[1]CUOTA RUTA'!D:D)</f>
        <v>Cargar</v>
      </c>
    </row>
    <row r="1528" spans="1:19" x14ac:dyDescent="0.25">
      <c r="A1528">
        <v>1500147848</v>
      </c>
      <c r="B1528" t="s">
        <v>3204</v>
      </c>
      <c r="C1528" t="s">
        <v>19</v>
      </c>
      <c r="D1528" t="s">
        <v>32</v>
      </c>
      <c r="E1528" t="s">
        <v>21</v>
      </c>
      <c r="F1528" t="s">
        <v>22</v>
      </c>
      <c r="G1528" t="s">
        <v>23</v>
      </c>
      <c r="H1528" t="s">
        <v>69</v>
      </c>
      <c r="I1528" t="s">
        <v>3205</v>
      </c>
      <c r="J1528">
        <v>9.873348</v>
      </c>
      <c r="K1528">
        <v>-84.067519000000004</v>
      </c>
      <c r="L1528" t="s">
        <v>1225</v>
      </c>
      <c r="M1528" t="s">
        <v>71</v>
      </c>
      <c r="N1528" t="s">
        <v>72</v>
      </c>
      <c r="O1528" t="s">
        <v>73</v>
      </c>
      <c r="P1528">
        <v>19</v>
      </c>
      <c r="Q1528" t="s">
        <v>67</v>
      </c>
      <c r="S1528" t="str">
        <f>_xlfn.XLOOKUP(UNIVERSO[[#This Row],[Ruta]],'[1]CUOTA RUTA'!A:A,'[1]CUOTA RUTA'!D:D)</f>
        <v>Cargar</v>
      </c>
    </row>
    <row r="1529" spans="1:19" x14ac:dyDescent="0.25">
      <c r="A1529">
        <v>1500148187</v>
      </c>
      <c r="B1529" t="s">
        <v>3206</v>
      </c>
      <c r="C1529" t="s">
        <v>19</v>
      </c>
      <c r="D1529" t="s">
        <v>266</v>
      </c>
      <c r="E1529" t="s">
        <v>21</v>
      </c>
      <c r="F1529" t="s">
        <v>22</v>
      </c>
      <c r="G1529" t="s">
        <v>64</v>
      </c>
      <c r="H1529" t="s">
        <v>404</v>
      </c>
      <c r="I1529" t="s">
        <v>3207</v>
      </c>
      <c r="J1529">
        <v>9.8415680000000005</v>
      </c>
      <c r="K1529">
        <v>-83.869373999999993</v>
      </c>
      <c r="L1529" t="s">
        <v>1225</v>
      </c>
      <c r="M1529" t="s">
        <v>36</v>
      </c>
      <c r="N1529" t="s">
        <v>316</v>
      </c>
      <c r="O1529" t="s">
        <v>317</v>
      </c>
      <c r="P1529">
        <v>22</v>
      </c>
      <c r="Q1529" t="s">
        <v>30</v>
      </c>
      <c r="S1529" t="str">
        <f>_xlfn.XLOOKUP(UNIVERSO[[#This Row],[Ruta]],'[1]CUOTA RUTA'!A:A,'[1]CUOTA RUTA'!D:D)</f>
        <v>Cargar</v>
      </c>
    </row>
    <row r="1530" spans="1:19" x14ac:dyDescent="0.25">
      <c r="A1530">
        <v>1500148543</v>
      </c>
      <c r="B1530" t="s">
        <v>3208</v>
      </c>
      <c r="C1530" t="s">
        <v>19</v>
      </c>
      <c r="D1530" t="s">
        <v>266</v>
      </c>
      <c r="E1530" t="s">
        <v>21</v>
      </c>
      <c r="F1530" t="s">
        <v>22</v>
      </c>
      <c r="G1530" t="s">
        <v>64</v>
      </c>
      <c r="H1530" t="s">
        <v>372</v>
      </c>
      <c r="I1530" t="s">
        <v>3209</v>
      </c>
      <c r="J1530">
        <v>9.8977082500000009</v>
      </c>
      <c r="K1530">
        <v>-83.677093290000002</v>
      </c>
      <c r="L1530" t="s">
        <v>1225</v>
      </c>
      <c r="M1530" t="s">
        <v>189</v>
      </c>
      <c r="N1530" t="s">
        <v>269</v>
      </c>
      <c r="O1530" t="s">
        <v>270</v>
      </c>
      <c r="P1530">
        <v>20</v>
      </c>
      <c r="Q1530" t="s">
        <v>74</v>
      </c>
      <c r="S1530" t="str">
        <f>_xlfn.XLOOKUP(UNIVERSO[[#This Row],[Ruta]],'[1]CUOTA RUTA'!A:A,'[1]CUOTA RUTA'!D:D)</f>
        <v>Cargar</v>
      </c>
    </row>
    <row r="1531" spans="1:19" x14ac:dyDescent="0.25">
      <c r="A1531">
        <v>1500148669</v>
      </c>
      <c r="B1531" t="s">
        <v>3210</v>
      </c>
      <c r="C1531" t="s">
        <v>19</v>
      </c>
      <c r="D1531" t="s">
        <v>266</v>
      </c>
      <c r="E1531" t="s">
        <v>21</v>
      </c>
      <c r="F1531" t="s">
        <v>22</v>
      </c>
      <c r="G1531" t="s">
        <v>64</v>
      </c>
      <c r="H1531" t="s">
        <v>272</v>
      </c>
      <c r="I1531" t="s">
        <v>3211</v>
      </c>
      <c r="J1531">
        <v>9.8357319000000007</v>
      </c>
      <c r="K1531">
        <v>-83.7142865</v>
      </c>
      <c r="L1531" t="s">
        <v>1225</v>
      </c>
      <c r="M1531" t="s">
        <v>54</v>
      </c>
      <c r="N1531" t="s">
        <v>274</v>
      </c>
      <c r="O1531" t="s">
        <v>275</v>
      </c>
      <c r="P1531">
        <v>24</v>
      </c>
      <c r="Q1531" t="s">
        <v>947</v>
      </c>
      <c r="S1531" t="str">
        <f>_xlfn.XLOOKUP(UNIVERSO[[#This Row],[Ruta]],'[1]CUOTA RUTA'!A:A,'[1]CUOTA RUTA'!D:D)</f>
        <v>Cargar</v>
      </c>
    </row>
    <row r="1532" spans="1:19" x14ac:dyDescent="0.25">
      <c r="A1532">
        <v>1500148741</v>
      </c>
      <c r="B1532" t="s">
        <v>1928</v>
      </c>
      <c r="C1532" t="s">
        <v>19</v>
      </c>
      <c r="D1532" t="s">
        <v>266</v>
      </c>
      <c r="E1532" t="s">
        <v>21</v>
      </c>
      <c r="F1532" t="s">
        <v>22</v>
      </c>
      <c r="G1532" t="s">
        <v>23</v>
      </c>
      <c r="H1532" t="s">
        <v>267</v>
      </c>
      <c r="I1532" t="s">
        <v>3212</v>
      </c>
      <c r="J1532">
        <v>9.9129124999999991</v>
      </c>
      <c r="K1532">
        <v>-83.674453700000001</v>
      </c>
      <c r="L1532" t="s">
        <v>1225</v>
      </c>
      <c r="M1532" t="s">
        <v>189</v>
      </c>
      <c r="N1532" t="s">
        <v>269</v>
      </c>
      <c r="O1532" t="s">
        <v>270</v>
      </c>
      <c r="P1532">
        <v>22</v>
      </c>
      <c r="Q1532" t="s">
        <v>30</v>
      </c>
      <c r="S1532" t="str">
        <f>_xlfn.XLOOKUP(UNIVERSO[[#This Row],[Ruta]],'[1]CUOTA RUTA'!A:A,'[1]CUOTA RUTA'!D:D)</f>
        <v>Cargar</v>
      </c>
    </row>
    <row r="1533" spans="1:19" x14ac:dyDescent="0.25">
      <c r="A1533">
        <v>1500148764</v>
      </c>
      <c r="B1533" t="s">
        <v>3213</v>
      </c>
      <c r="C1533" t="s">
        <v>19</v>
      </c>
      <c r="D1533" t="s">
        <v>266</v>
      </c>
      <c r="E1533" t="s">
        <v>21</v>
      </c>
      <c r="F1533" t="s">
        <v>22</v>
      </c>
      <c r="G1533" t="s">
        <v>23</v>
      </c>
      <c r="H1533" t="s">
        <v>1011</v>
      </c>
      <c r="I1533" t="s">
        <v>3214</v>
      </c>
      <c r="J1533">
        <v>9.8249227000000001</v>
      </c>
      <c r="K1533">
        <v>-83.802903099999995</v>
      </c>
      <c r="L1533" t="s">
        <v>1225</v>
      </c>
      <c r="M1533" t="s">
        <v>54</v>
      </c>
      <c r="N1533" t="s">
        <v>274</v>
      </c>
      <c r="O1533" t="s">
        <v>275</v>
      </c>
      <c r="P1533">
        <v>21</v>
      </c>
      <c r="Q1533" t="s">
        <v>239</v>
      </c>
      <c r="S1533" t="str">
        <f>_xlfn.XLOOKUP(UNIVERSO[[#This Row],[Ruta]],'[1]CUOTA RUTA'!A:A,'[1]CUOTA RUTA'!D:D)</f>
        <v>Cargar</v>
      </c>
    </row>
    <row r="1534" spans="1:19" x14ac:dyDescent="0.25">
      <c r="A1534">
        <v>1500148787</v>
      </c>
      <c r="B1534" t="s">
        <v>3189</v>
      </c>
      <c r="C1534" t="s">
        <v>19</v>
      </c>
      <c r="D1534" t="s">
        <v>266</v>
      </c>
      <c r="E1534" t="s">
        <v>21</v>
      </c>
      <c r="F1534" t="s">
        <v>22</v>
      </c>
      <c r="G1534" t="s">
        <v>64</v>
      </c>
      <c r="H1534" t="s">
        <v>267</v>
      </c>
      <c r="I1534" t="s">
        <v>3215</v>
      </c>
      <c r="J1534">
        <v>9.8508694000000006</v>
      </c>
      <c r="K1534">
        <v>-83.613234300000002</v>
      </c>
      <c r="L1534" t="s">
        <v>1225</v>
      </c>
      <c r="M1534" t="s">
        <v>189</v>
      </c>
      <c r="N1534" t="s">
        <v>269</v>
      </c>
      <c r="O1534" t="s">
        <v>270</v>
      </c>
      <c r="P1534">
        <v>20</v>
      </c>
      <c r="Q1534" t="s">
        <v>74</v>
      </c>
      <c r="S1534" t="str">
        <f>_xlfn.XLOOKUP(UNIVERSO[[#This Row],[Ruta]],'[1]CUOTA RUTA'!A:A,'[1]CUOTA RUTA'!D:D)</f>
        <v>Cargar</v>
      </c>
    </row>
    <row r="1535" spans="1:19" x14ac:dyDescent="0.25">
      <c r="A1535">
        <v>1500148802</v>
      </c>
      <c r="B1535" t="s">
        <v>3216</v>
      </c>
      <c r="C1535" t="s">
        <v>19</v>
      </c>
      <c r="D1535" t="s">
        <v>266</v>
      </c>
      <c r="E1535" t="s">
        <v>21</v>
      </c>
      <c r="F1535" t="s">
        <v>22</v>
      </c>
      <c r="G1535" t="s">
        <v>33</v>
      </c>
      <c r="H1535" t="s">
        <v>267</v>
      </c>
      <c r="I1535" t="s">
        <v>3217</v>
      </c>
      <c r="J1535">
        <v>9.9107476999999999</v>
      </c>
      <c r="K1535">
        <v>-83.674665599999997</v>
      </c>
      <c r="L1535" t="s">
        <v>1225</v>
      </c>
      <c r="M1535" t="s">
        <v>189</v>
      </c>
      <c r="N1535" t="s">
        <v>269</v>
      </c>
      <c r="O1535" t="s">
        <v>270</v>
      </c>
      <c r="P1535">
        <v>21</v>
      </c>
      <c r="Q1535" t="s">
        <v>239</v>
      </c>
      <c r="S1535" t="str">
        <f>_xlfn.XLOOKUP(UNIVERSO[[#This Row],[Ruta]],'[1]CUOTA RUTA'!A:A,'[1]CUOTA RUTA'!D:D)</f>
        <v>Cargar</v>
      </c>
    </row>
    <row r="1536" spans="1:19" x14ac:dyDescent="0.25">
      <c r="A1536">
        <v>1500149713</v>
      </c>
      <c r="B1536" t="s">
        <v>3218</v>
      </c>
      <c r="C1536" t="s">
        <v>19</v>
      </c>
      <c r="D1536" t="s">
        <v>349</v>
      </c>
      <c r="E1536" t="s">
        <v>21</v>
      </c>
      <c r="F1536" t="s">
        <v>22</v>
      </c>
      <c r="G1536" t="s">
        <v>33</v>
      </c>
      <c r="H1536" t="s">
        <v>359</v>
      </c>
      <c r="I1536" t="s">
        <v>3219</v>
      </c>
      <c r="J1536">
        <v>10.138099</v>
      </c>
      <c r="K1536">
        <v>-85.457503000000003</v>
      </c>
      <c r="L1536" t="s">
        <v>1225</v>
      </c>
      <c r="M1536" t="s">
        <v>352</v>
      </c>
      <c r="N1536" t="s">
        <v>353</v>
      </c>
      <c r="O1536" t="s">
        <v>354</v>
      </c>
      <c r="P1536">
        <v>13</v>
      </c>
      <c r="Q1536" t="s">
        <v>161</v>
      </c>
      <c r="S1536" t="str">
        <f>_xlfn.XLOOKUP(UNIVERSO[[#This Row],[Ruta]],'[1]CUOTA RUTA'!A:A,'[1]CUOTA RUTA'!D:D)</f>
        <v>Cargar</v>
      </c>
    </row>
    <row r="1537" spans="1:19" x14ac:dyDescent="0.25">
      <c r="A1537">
        <v>1500149784</v>
      </c>
      <c r="B1537" t="s">
        <v>3220</v>
      </c>
      <c r="C1537" t="s">
        <v>19</v>
      </c>
      <c r="D1537" t="s">
        <v>349</v>
      </c>
      <c r="E1537" t="s">
        <v>21</v>
      </c>
      <c r="F1537" t="s">
        <v>22</v>
      </c>
      <c r="G1537" t="s">
        <v>33</v>
      </c>
      <c r="H1537" t="s">
        <v>350</v>
      </c>
      <c r="I1537" t="s">
        <v>3221</v>
      </c>
      <c r="J1537">
        <v>10.221985</v>
      </c>
      <c r="K1537">
        <v>-85.595739469999998</v>
      </c>
      <c r="L1537" t="s">
        <v>1225</v>
      </c>
      <c r="M1537" t="s">
        <v>352</v>
      </c>
      <c r="N1537" t="s">
        <v>353</v>
      </c>
      <c r="O1537" t="s">
        <v>354</v>
      </c>
      <c r="P1537">
        <v>2</v>
      </c>
      <c r="Q1537" t="s">
        <v>150</v>
      </c>
      <c r="S1537" t="str">
        <f>_xlfn.XLOOKUP(UNIVERSO[[#This Row],[Ruta]],'[1]CUOTA RUTA'!A:A,'[1]CUOTA RUTA'!D:D)</f>
        <v>Cargar</v>
      </c>
    </row>
    <row r="1538" spans="1:19" x14ac:dyDescent="0.25">
      <c r="A1538">
        <v>1500149951</v>
      </c>
      <c r="B1538" t="s">
        <v>3222</v>
      </c>
      <c r="C1538" t="s">
        <v>19</v>
      </c>
      <c r="D1538" t="s">
        <v>201</v>
      </c>
      <c r="E1538" t="s">
        <v>21</v>
      </c>
      <c r="F1538" t="s">
        <v>51</v>
      </c>
      <c r="G1538" t="s">
        <v>23</v>
      </c>
      <c r="H1538" t="s">
        <v>491</v>
      </c>
      <c r="I1538" t="s">
        <v>3223</v>
      </c>
      <c r="J1538">
        <v>9.6581937999999994</v>
      </c>
      <c r="K1538">
        <v>-84.642297600000006</v>
      </c>
      <c r="L1538" t="s">
        <v>1225</v>
      </c>
      <c r="M1538" t="s">
        <v>204</v>
      </c>
      <c r="N1538" t="s">
        <v>205</v>
      </c>
      <c r="O1538" t="s">
        <v>206</v>
      </c>
      <c r="P1538">
        <v>5</v>
      </c>
      <c r="Q1538" t="s">
        <v>117</v>
      </c>
      <c r="S1538" t="str">
        <f>_xlfn.XLOOKUP(UNIVERSO[[#This Row],[Ruta]],'[1]CUOTA RUTA'!A:A,'[1]CUOTA RUTA'!D:D)</f>
        <v>Cargar</v>
      </c>
    </row>
    <row r="1539" spans="1:19" x14ac:dyDescent="0.25">
      <c r="A1539">
        <v>1500149967</v>
      </c>
      <c r="B1539" t="s">
        <v>3224</v>
      </c>
      <c r="C1539" t="s">
        <v>19</v>
      </c>
      <c r="D1539" t="s">
        <v>349</v>
      </c>
      <c r="E1539" t="s">
        <v>21</v>
      </c>
      <c r="F1539" t="s">
        <v>22</v>
      </c>
      <c r="G1539" t="s">
        <v>23</v>
      </c>
      <c r="H1539" t="s">
        <v>711</v>
      </c>
      <c r="I1539" t="s">
        <v>3225</v>
      </c>
      <c r="J1539">
        <v>10.175183000000001</v>
      </c>
      <c r="K1539">
        <v>-85.807657000000006</v>
      </c>
      <c r="L1539" t="s">
        <v>1225</v>
      </c>
      <c r="M1539" t="s">
        <v>352</v>
      </c>
      <c r="N1539" t="s">
        <v>353</v>
      </c>
      <c r="O1539" t="s">
        <v>354</v>
      </c>
      <c r="P1539">
        <v>6</v>
      </c>
      <c r="Q1539" t="s">
        <v>49</v>
      </c>
      <c r="S1539" t="str">
        <f>_xlfn.XLOOKUP(UNIVERSO[[#This Row],[Ruta]],'[1]CUOTA RUTA'!A:A,'[1]CUOTA RUTA'!D:D)</f>
        <v>Cargar</v>
      </c>
    </row>
    <row r="1540" spans="1:19" x14ac:dyDescent="0.25">
      <c r="A1540">
        <v>1500149990</v>
      </c>
      <c r="B1540" t="s">
        <v>3226</v>
      </c>
      <c r="C1540" t="s">
        <v>19</v>
      </c>
      <c r="D1540" t="s">
        <v>201</v>
      </c>
      <c r="E1540" t="s">
        <v>21</v>
      </c>
      <c r="F1540" t="s">
        <v>22</v>
      </c>
      <c r="G1540" t="s">
        <v>64</v>
      </c>
      <c r="H1540" t="s">
        <v>533</v>
      </c>
      <c r="I1540" t="s">
        <v>3227</v>
      </c>
      <c r="J1540">
        <v>9.9232949999999995</v>
      </c>
      <c r="K1540">
        <v>-84.520942000000005</v>
      </c>
      <c r="L1540" t="s">
        <v>1225</v>
      </c>
      <c r="M1540" t="s">
        <v>204</v>
      </c>
      <c r="N1540" t="s">
        <v>205</v>
      </c>
      <c r="O1540" t="s">
        <v>206</v>
      </c>
      <c r="P1540">
        <v>1</v>
      </c>
      <c r="Q1540" t="s">
        <v>155</v>
      </c>
      <c r="S1540" t="str">
        <f>_xlfn.XLOOKUP(UNIVERSO[[#This Row],[Ruta]],'[1]CUOTA RUTA'!A:A,'[1]CUOTA RUTA'!D:D)</f>
        <v>Cargar</v>
      </c>
    </row>
    <row r="1541" spans="1:19" x14ac:dyDescent="0.25">
      <c r="A1541">
        <v>1500150151</v>
      </c>
      <c r="B1541" t="s">
        <v>3228</v>
      </c>
      <c r="C1541" t="s">
        <v>19</v>
      </c>
      <c r="D1541" t="s">
        <v>186</v>
      </c>
      <c r="E1541" t="s">
        <v>21</v>
      </c>
      <c r="F1541" t="s">
        <v>22</v>
      </c>
      <c r="G1541" t="s">
        <v>33</v>
      </c>
      <c r="H1541" t="s">
        <v>187</v>
      </c>
      <c r="I1541" t="s">
        <v>3229</v>
      </c>
      <c r="J1541">
        <v>9.9953199999999995</v>
      </c>
      <c r="K1541">
        <v>-83.049530000000004</v>
      </c>
      <c r="L1541" t="s">
        <v>1225</v>
      </c>
      <c r="M1541" t="s">
        <v>189</v>
      </c>
      <c r="N1541" t="s">
        <v>190</v>
      </c>
      <c r="O1541" t="s">
        <v>191</v>
      </c>
      <c r="P1541">
        <v>13</v>
      </c>
      <c r="Q1541" t="s">
        <v>161</v>
      </c>
      <c r="S1541" t="str">
        <f>_xlfn.XLOOKUP(UNIVERSO[[#This Row],[Ruta]],'[1]CUOTA RUTA'!A:A,'[1]CUOTA RUTA'!D:D)</f>
        <v>Cargar</v>
      </c>
    </row>
    <row r="1542" spans="1:19" x14ac:dyDescent="0.25">
      <c r="A1542">
        <v>1500150262</v>
      </c>
      <c r="B1542" t="s">
        <v>3230</v>
      </c>
      <c r="C1542" t="s">
        <v>19</v>
      </c>
      <c r="D1542" t="s">
        <v>186</v>
      </c>
      <c r="E1542" t="s">
        <v>21</v>
      </c>
      <c r="F1542" t="s">
        <v>22</v>
      </c>
      <c r="G1542" t="s">
        <v>23</v>
      </c>
      <c r="H1542" t="s">
        <v>420</v>
      </c>
      <c r="I1542" t="s">
        <v>3231</v>
      </c>
      <c r="J1542">
        <v>9.8724519999999991</v>
      </c>
      <c r="K1542">
        <v>-83.003535999999997</v>
      </c>
      <c r="L1542" t="s">
        <v>1225</v>
      </c>
      <c r="M1542" t="s">
        <v>189</v>
      </c>
      <c r="N1542" t="s">
        <v>190</v>
      </c>
      <c r="O1542" t="s">
        <v>191</v>
      </c>
      <c r="P1542">
        <v>17</v>
      </c>
      <c r="Q1542" t="s">
        <v>287</v>
      </c>
      <c r="S1542" t="str">
        <f>_xlfn.XLOOKUP(UNIVERSO[[#This Row],[Ruta]],'[1]CUOTA RUTA'!A:A,'[1]CUOTA RUTA'!D:D)</f>
        <v>Cargar</v>
      </c>
    </row>
    <row r="1543" spans="1:19" x14ac:dyDescent="0.25">
      <c r="A1543">
        <v>1500150419</v>
      </c>
      <c r="B1543" t="s">
        <v>3232</v>
      </c>
      <c r="C1543" t="s">
        <v>19</v>
      </c>
      <c r="D1543" t="s">
        <v>186</v>
      </c>
      <c r="E1543" t="s">
        <v>21</v>
      </c>
      <c r="F1543" t="s">
        <v>22</v>
      </c>
      <c r="G1543" t="s">
        <v>33</v>
      </c>
      <c r="H1543" t="s">
        <v>420</v>
      </c>
      <c r="I1543" t="s">
        <v>3233</v>
      </c>
      <c r="J1543">
        <v>9.7341730000000002</v>
      </c>
      <c r="K1543">
        <v>-82.973372999999995</v>
      </c>
      <c r="L1543" t="s">
        <v>1225</v>
      </c>
      <c r="M1543" t="s">
        <v>189</v>
      </c>
      <c r="N1543" t="s">
        <v>190</v>
      </c>
      <c r="O1543" t="s">
        <v>191</v>
      </c>
      <c r="P1543">
        <v>17</v>
      </c>
      <c r="Q1543" t="s">
        <v>287</v>
      </c>
      <c r="S1543" t="str">
        <f>_xlfn.XLOOKUP(UNIVERSO[[#This Row],[Ruta]],'[1]CUOTA RUTA'!A:A,'[1]CUOTA RUTA'!D:D)</f>
        <v>Cargar</v>
      </c>
    </row>
    <row r="1544" spans="1:19" x14ac:dyDescent="0.25">
      <c r="A1544">
        <v>1500150452</v>
      </c>
      <c r="B1544" t="s">
        <v>3234</v>
      </c>
      <c r="C1544" t="s">
        <v>19</v>
      </c>
      <c r="D1544" t="s">
        <v>186</v>
      </c>
      <c r="E1544" t="s">
        <v>21</v>
      </c>
      <c r="F1544" t="s">
        <v>22</v>
      </c>
      <c r="G1544" t="s">
        <v>64</v>
      </c>
      <c r="H1544" t="s">
        <v>187</v>
      </c>
      <c r="I1544" t="s">
        <v>3235</v>
      </c>
      <c r="J1544">
        <v>9.9852699999999999</v>
      </c>
      <c r="K1544">
        <v>-83.056470000000004</v>
      </c>
      <c r="L1544" t="s">
        <v>1225</v>
      </c>
      <c r="M1544" t="s">
        <v>189</v>
      </c>
      <c r="N1544" t="s">
        <v>190</v>
      </c>
      <c r="O1544" t="s">
        <v>191</v>
      </c>
      <c r="P1544">
        <v>14</v>
      </c>
      <c r="Q1544" t="s">
        <v>181</v>
      </c>
      <c r="S1544" t="str">
        <f>_xlfn.XLOOKUP(UNIVERSO[[#This Row],[Ruta]],'[1]CUOTA RUTA'!A:A,'[1]CUOTA RUTA'!D:D)</f>
        <v>Cargar</v>
      </c>
    </row>
    <row r="1545" spans="1:19" x14ac:dyDescent="0.25">
      <c r="A1545">
        <v>1500150667</v>
      </c>
      <c r="B1545" t="s">
        <v>3236</v>
      </c>
      <c r="C1545" t="s">
        <v>19</v>
      </c>
      <c r="D1545" t="s">
        <v>186</v>
      </c>
      <c r="E1545" t="s">
        <v>21</v>
      </c>
      <c r="F1545" t="s">
        <v>22</v>
      </c>
      <c r="G1545" t="s">
        <v>64</v>
      </c>
      <c r="H1545" t="s">
        <v>237</v>
      </c>
      <c r="I1545" t="s">
        <v>3237</v>
      </c>
      <c r="J1545">
        <v>10.101516</v>
      </c>
      <c r="K1545">
        <v>-83.318991999999994</v>
      </c>
      <c r="L1545" t="s">
        <v>1225</v>
      </c>
      <c r="M1545" t="s">
        <v>189</v>
      </c>
      <c r="N1545" t="s">
        <v>190</v>
      </c>
      <c r="O1545" t="s">
        <v>191</v>
      </c>
      <c r="P1545">
        <v>22</v>
      </c>
      <c r="Q1545" t="s">
        <v>30</v>
      </c>
      <c r="S1545" t="str">
        <f>_xlfn.XLOOKUP(UNIVERSO[[#This Row],[Ruta]],'[1]CUOTA RUTA'!A:A,'[1]CUOTA RUTA'!D:D)</f>
        <v>Cargar</v>
      </c>
    </row>
    <row r="1546" spans="1:19" x14ac:dyDescent="0.25">
      <c r="A1546">
        <v>1500150857</v>
      </c>
      <c r="B1546" t="s">
        <v>3238</v>
      </c>
      <c r="C1546" t="s">
        <v>19</v>
      </c>
      <c r="D1546" t="s">
        <v>186</v>
      </c>
      <c r="E1546" t="s">
        <v>21</v>
      </c>
      <c r="F1546" t="s">
        <v>22</v>
      </c>
      <c r="G1546" t="s">
        <v>23</v>
      </c>
      <c r="H1546" t="s">
        <v>420</v>
      </c>
      <c r="I1546" t="s">
        <v>3239</v>
      </c>
      <c r="J1546">
        <v>9.9218630000000001</v>
      </c>
      <c r="K1546">
        <v>-83.056837999999999</v>
      </c>
      <c r="L1546" t="s">
        <v>1225</v>
      </c>
      <c r="M1546" t="s">
        <v>189</v>
      </c>
      <c r="N1546" t="s">
        <v>190</v>
      </c>
      <c r="O1546" t="s">
        <v>191</v>
      </c>
      <c r="P1546">
        <v>16</v>
      </c>
      <c r="Q1546" t="s">
        <v>60</v>
      </c>
      <c r="S1546" t="str">
        <f>_xlfn.XLOOKUP(UNIVERSO[[#This Row],[Ruta]],'[1]CUOTA RUTA'!A:A,'[1]CUOTA RUTA'!D:D)</f>
        <v>Cargar</v>
      </c>
    </row>
    <row r="1547" spans="1:19" x14ac:dyDescent="0.25">
      <c r="A1547">
        <v>1500150951</v>
      </c>
      <c r="B1547" t="s">
        <v>3240</v>
      </c>
      <c r="C1547" t="s">
        <v>19</v>
      </c>
      <c r="D1547" t="s">
        <v>186</v>
      </c>
      <c r="E1547" t="s">
        <v>62</v>
      </c>
      <c r="F1547" t="s">
        <v>63</v>
      </c>
      <c r="G1547" t="s">
        <v>33</v>
      </c>
      <c r="H1547" t="s">
        <v>868</v>
      </c>
      <c r="I1547" t="s">
        <v>3241</v>
      </c>
      <c r="J1547">
        <v>9.9998520000000006</v>
      </c>
      <c r="K1547">
        <v>-83.027445999999998</v>
      </c>
      <c r="L1547" t="s">
        <v>1225</v>
      </c>
      <c r="M1547" t="s">
        <v>189</v>
      </c>
      <c r="N1547" t="s">
        <v>190</v>
      </c>
      <c r="O1547" t="s">
        <v>191</v>
      </c>
      <c r="P1547">
        <v>16</v>
      </c>
      <c r="Q1547" t="s">
        <v>60</v>
      </c>
      <c r="S1547" t="str">
        <f>_xlfn.XLOOKUP(UNIVERSO[[#This Row],[Ruta]],'[1]CUOTA RUTA'!A:A,'[1]CUOTA RUTA'!D:D)</f>
        <v>Cargar</v>
      </c>
    </row>
    <row r="1548" spans="1:19" x14ac:dyDescent="0.25">
      <c r="A1548">
        <v>1500150970</v>
      </c>
      <c r="B1548" t="s">
        <v>3242</v>
      </c>
      <c r="C1548" t="s">
        <v>19</v>
      </c>
      <c r="D1548" t="s">
        <v>186</v>
      </c>
      <c r="E1548" t="s">
        <v>21</v>
      </c>
      <c r="F1548" t="s">
        <v>22</v>
      </c>
      <c r="G1548" t="s">
        <v>33</v>
      </c>
      <c r="H1548" t="s">
        <v>420</v>
      </c>
      <c r="I1548" t="s">
        <v>3243</v>
      </c>
      <c r="J1548">
        <v>9.8728499999999997</v>
      </c>
      <c r="K1548">
        <v>-83.004170000000002</v>
      </c>
      <c r="L1548" t="s">
        <v>1225</v>
      </c>
      <c r="M1548" t="s">
        <v>189</v>
      </c>
      <c r="N1548" t="s">
        <v>190</v>
      </c>
      <c r="O1548" t="s">
        <v>191</v>
      </c>
      <c r="P1548">
        <v>16</v>
      </c>
      <c r="Q1548" t="s">
        <v>60</v>
      </c>
      <c r="S1548" t="str">
        <f>_xlfn.XLOOKUP(UNIVERSO[[#This Row],[Ruta]],'[1]CUOTA RUTA'!A:A,'[1]CUOTA RUTA'!D:D)</f>
        <v>Cargar</v>
      </c>
    </row>
    <row r="1549" spans="1:19" x14ac:dyDescent="0.25">
      <c r="A1549">
        <v>1500150975</v>
      </c>
      <c r="B1549" t="s">
        <v>3244</v>
      </c>
      <c r="C1549" t="s">
        <v>19</v>
      </c>
      <c r="D1549" t="s">
        <v>186</v>
      </c>
      <c r="E1549" t="s">
        <v>21</v>
      </c>
      <c r="F1549" t="s">
        <v>22</v>
      </c>
      <c r="G1549" t="s">
        <v>33</v>
      </c>
      <c r="H1549" t="s">
        <v>237</v>
      </c>
      <c r="I1549" t="s">
        <v>3245</v>
      </c>
      <c r="J1549">
        <v>10.067245</v>
      </c>
      <c r="K1549">
        <v>-83.366067000000001</v>
      </c>
      <c r="L1549" t="s">
        <v>1225</v>
      </c>
      <c r="M1549" t="s">
        <v>189</v>
      </c>
      <c r="N1549" t="s">
        <v>190</v>
      </c>
      <c r="O1549" t="s">
        <v>191</v>
      </c>
      <c r="P1549">
        <v>22</v>
      </c>
      <c r="Q1549" t="s">
        <v>30</v>
      </c>
      <c r="S1549" t="str">
        <f>_xlfn.XLOOKUP(UNIVERSO[[#This Row],[Ruta]],'[1]CUOTA RUTA'!A:A,'[1]CUOTA RUTA'!D:D)</f>
        <v>Cargar</v>
      </c>
    </row>
    <row r="1550" spans="1:19" x14ac:dyDescent="0.25">
      <c r="A1550">
        <v>1500151124</v>
      </c>
      <c r="B1550" t="s">
        <v>3246</v>
      </c>
      <c r="C1550" t="s">
        <v>19</v>
      </c>
      <c r="D1550" t="s">
        <v>186</v>
      </c>
      <c r="E1550" t="s">
        <v>21</v>
      </c>
      <c r="F1550" t="s">
        <v>22</v>
      </c>
      <c r="G1550" t="s">
        <v>64</v>
      </c>
      <c r="H1550" t="s">
        <v>241</v>
      </c>
      <c r="I1550" t="s">
        <v>3247</v>
      </c>
      <c r="J1550">
        <v>9.9879119999999997</v>
      </c>
      <c r="K1550">
        <v>-83.132194999999996</v>
      </c>
      <c r="L1550" t="s">
        <v>1225</v>
      </c>
      <c r="M1550" t="s">
        <v>189</v>
      </c>
      <c r="N1550" t="s">
        <v>190</v>
      </c>
      <c r="O1550" t="s">
        <v>191</v>
      </c>
      <c r="P1550">
        <v>23</v>
      </c>
      <c r="Q1550" t="s">
        <v>125</v>
      </c>
      <c r="S1550" t="str">
        <f>_xlfn.XLOOKUP(UNIVERSO[[#This Row],[Ruta]],'[1]CUOTA RUTA'!A:A,'[1]CUOTA RUTA'!D:D)</f>
        <v>Cargar</v>
      </c>
    </row>
    <row r="1551" spans="1:19" x14ac:dyDescent="0.25">
      <c r="A1551">
        <v>1500151480</v>
      </c>
      <c r="B1551" t="s">
        <v>3248</v>
      </c>
      <c r="C1551" t="s">
        <v>19</v>
      </c>
      <c r="D1551" t="s">
        <v>186</v>
      </c>
      <c r="E1551" t="s">
        <v>21</v>
      </c>
      <c r="F1551" t="s">
        <v>22</v>
      </c>
      <c r="G1551" t="s">
        <v>33</v>
      </c>
      <c r="H1551" t="s">
        <v>237</v>
      </c>
      <c r="I1551" t="s">
        <v>3249</v>
      </c>
      <c r="J1551">
        <v>10.031615</v>
      </c>
      <c r="K1551">
        <v>-83.303672000000006</v>
      </c>
      <c r="L1551" t="s">
        <v>1225</v>
      </c>
      <c r="M1551" t="s">
        <v>189</v>
      </c>
      <c r="N1551" t="s">
        <v>190</v>
      </c>
      <c r="O1551" t="s">
        <v>191</v>
      </c>
      <c r="P1551">
        <v>22</v>
      </c>
      <c r="Q1551" t="s">
        <v>30</v>
      </c>
      <c r="S1551" t="str">
        <f>_xlfn.XLOOKUP(UNIVERSO[[#This Row],[Ruta]],'[1]CUOTA RUTA'!A:A,'[1]CUOTA RUTA'!D:D)</f>
        <v>Cargar</v>
      </c>
    </row>
    <row r="1552" spans="1:19" x14ac:dyDescent="0.25">
      <c r="A1552">
        <v>1500151516</v>
      </c>
      <c r="B1552" t="s">
        <v>3250</v>
      </c>
      <c r="C1552" t="s">
        <v>19</v>
      </c>
      <c r="D1552" t="s">
        <v>186</v>
      </c>
      <c r="E1552" t="s">
        <v>21</v>
      </c>
      <c r="F1552" t="s">
        <v>22</v>
      </c>
      <c r="G1552" t="s">
        <v>64</v>
      </c>
      <c r="H1552" t="s">
        <v>420</v>
      </c>
      <c r="I1552" t="s">
        <v>3251</v>
      </c>
      <c r="J1552">
        <v>9.6791979999999995</v>
      </c>
      <c r="K1552">
        <v>-82.989372000000003</v>
      </c>
      <c r="L1552" t="s">
        <v>1225</v>
      </c>
      <c r="M1552" t="s">
        <v>189</v>
      </c>
      <c r="N1552" t="s">
        <v>190</v>
      </c>
      <c r="O1552" t="s">
        <v>191</v>
      </c>
      <c r="P1552">
        <v>18</v>
      </c>
      <c r="Q1552" t="s">
        <v>84</v>
      </c>
      <c r="S1552" t="str">
        <f>_xlfn.XLOOKUP(UNIVERSO[[#This Row],[Ruta]],'[1]CUOTA RUTA'!A:A,'[1]CUOTA RUTA'!D:D)</f>
        <v>Cargar</v>
      </c>
    </row>
    <row r="1553" spans="1:19" x14ac:dyDescent="0.25">
      <c r="A1553">
        <v>1500152036</v>
      </c>
      <c r="B1553" t="s">
        <v>3252</v>
      </c>
      <c r="C1553" t="s">
        <v>19</v>
      </c>
      <c r="D1553" t="s">
        <v>20</v>
      </c>
      <c r="E1553" t="s">
        <v>21</v>
      </c>
      <c r="F1553" t="s">
        <v>22</v>
      </c>
      <c r="G1553" t="s">
        <v>64</v>
      </c>
      <c r="H1553" t="s">
        <v>1021</v>
      </c>
      <c r="I1553" t="s">
        <v>3253</v>
      </c>
      <c r="J1553">
        <v>10.10966</v>
      </c>
      <c r="K1553">
        <v>-84.237666700000005</v>
      </c>
      <c r="L1553" t="s">
        <v>1225</v>
      </c>
      <c r="M1553" t="s">
        <v>46</v>
      </c>
      <c r="N1553" t="s">
        <v>47</v>
      </c>
      <c r="O1553" t="s">
        <v>48</v>
      </c>
      <c r="P1553">
        <v>2</v>
      </c>
      <c r="Q1553" t="s">
        <v>150</v>
      </c>
      <c r="S1553" t="str">
        <f>_xlfn.XLOOKUP(UNIVERSO[[#This Row],[Ruta]],'[1]CUOTA RUTA'!A:A,'[1]CUOTA RUTA'!D:D)</f>
        <v>Cargar</v>
      </c>
    </row>
    <row r="1554" spans="1:19" x14ac:dyDescent="0.25">
      <c r="A1554">
        <v>1500152107</v>
      </c>
      <c r="B1554" t="s">
        <v>3254</v>
      </c>
      <c r="C1554" t="s">
        <v>19</v>
      </c>
      <c r="D1554" t="s">
        <v>20</v>
      </c>
      <c r="E1554" t="s">
        <v>21</v>
      </c>
      <c r="F1554" t="s">
        <v>22</v>
      </c>
      <c r="G1554" t="s">
        <v>33</v>
      </c>
      <c r="H1554" t="s">
        <v>263</v>
      </c>
      <c r="I1554" t="s">
        <v>3255</v>
      </c>
      <c r="J1554">
        <v>10.113242339999999</v>
      </c>
      <c r="K1554">
        <v>-84.28793915</v>
      </c>
      <c r="L1554" t="s">
        <v>1225</v>
      </c>
      <c r="M1554" t="s">
        <v>46</v>
      </c>
      <c r="N1554" t="s">
        <v>47</v>
      </c>
      <c r="O1554" t="s">
        <v>48</v>
      </c>
      <c r="P1554">
        <v>2</v>
      </c>
      <c r="Q1554" t="s">
        <v>150</v>
      </c>
      <c r="S1554" t="str">
        <f>_xlfn.XLOOKUP(UNIVERSO[[#This Row],[Ruta]],'[1]CUOTA RUTA'!A:A,'[1]CUOTA RUTA'!D:D)</f>
        <v>Cargar</v>
      </c>
    </row>
    <row r="1555" spans="1:19" x14ac:dyDescent="0.25">
      <c r="A1555">
        <v>1500152126</v>
      </c>
      <c r="B1555" t="s">
        <v>3256</v>
      </c>
      <c r="C1555" t="s">
        <v>19</v>
      </c>
      <c r="D1555" t="s">
        <v>20</v>
      </c>
      <c r="E1555" t="s">
        <v>21</v>
      </c>
      <c r="F1555" t="s">
        <v>22</v>
      </c>
      <c r="G1555" t="s">
        <v>64</v>
      </c>
      <c r="H1555" t="s">
        <v>458</v>
      </c>
      <c r="I1555" t="s">
        <v>3257</v>
      </c>
      <c r="J1555">
        <v>9.9335050000000003</v>
      </c>
      <c r="K1555">
        <v>-84.345416700000001</v>
      </c>
      <c r="L1555" t="s">
        <v>1225</v>
      </c>
      <c r="M1555" t="s">
        <v>54</v>
      </c>
      <c r="N1555" t="s">
        <v>55</v>
      </c>
      <c r="O1555" t="s">
        <v>56</v>
      </c>
      <c r="P1555">
        <v>21</v>
      </c>
      <c r="Q1555" t="s">
        <v>239</v>
      </c>
      <c r="S1555" t="str">
        <f>_xlfn.XLOOKUP(UNIVERSO[[#This Row],[Ruta]],'[1]CUOTA RUTA'!A:A,'[1]CUOTA RUTA'!D:D)</f>
        <v>Cargar</v>
      </c>
    </row>
    <row r="1556" spans="1:19" x14ac:dyDescent="0.25">
      <c r="A1556">
        <v>1500152133</v>
      </c>
      <c r="B1556" t="s">
        <v>2145</v>
      </c>
      <c r="C1556" t="s">
        <v>19</v>
      </c>
      <c r="D1556" t="s">
        <v>20</v>
      </c>
      <c r="E1556" t="s">
        <v>21</v>
      </c>
      <c r="F1556" t="s">
        <v>22</v>
      </c>
      <c r="G1556" t="s">
        <v>33</v>
      </c>
      <c r="H1556" t="s">
        <v>743</v>
      </c>
      <c r="I1556" t="s">
        <v>3258</v>
      </c>
      <c r="J1556">
        <v>10.01792</v>
      </c>
      <c r="K1556">
        <v>-84.372649999999993</v>
      </c>
      <c r="L1556" t="s">
        <v>1225</v>
      </c>
      <c r="M1556" t="s">
        <v>46</v>
      </c>
      <c r="N1556" t="s">
        <v>47</v>
      </c>
      <c r="O1556" t="s">
        <v>48</v>
      </c>
      <c r="P1556">
        <v>10</v>
      </c>
      <c r="Q1556" t="s">
        <v>136</v>
      </c>
      <c r="S1556" t="str">
        <f>_xlfn.XLOOKUP(UNIVERSO[[#This Row],[Ruta]],'[1]CUOTA RUTA'!A:A,'[1]CUOTA RUTA'!D:D)</f>
        <v>Cargar</v>
      </c>
    </row>
    <row r="1557" spans="1:19" x14ac:dyDescent="0.25">
      <c r="A1557">
        <v>1500152212</v>
      </c>
      <c r="B1557" t="s">
        <v>3259</v>
      </c>
      <c r="C1557" t="s">
        <v>19</v>
      </c>
      <c r="D1557" t="s">
        <v>20</v>
      </c>
      <c r="E1557" t="s">
        <v>21</v>
      </c>
      <c r="F1557" t="s">
        <v>22</v>
      </c>
      <c r="G1557" t="s">
        <v>33</v>
      </c>
      <c r="H1557" t="s">
        <v>862</v>
      </c>
      <c r="I1557" t="s">
        <v>3260</v>
      </c>
      <c r="J1557">
        <v>9.9644469999999998</v>
      </c>
      <c r="K1557">
        <v>-84.186987000000002</v>
      </c>
      <c r="L1557" t="s">
        <v>1225</v>
      </c>
      <c r="M1557" t="s">
        <v>27</v>
      </c>
      <c r="N1557" t="s">
        <v>28</v>
      </c>
      <c r="O1557" t="s">
        <v>29</v>
      </c>
      <c r="P1557">
        <v>23</v>
      </c>
      <c r="Q1557" t="s">
        <v>125</v>
      </c>
      <c r="S1557" t="str">
        <f>_xlfn.XLOOKUP(UNIVERSO[[#This Row],[Ruta]],'[1]CUOTA RUTA'!A:A,'[1]CUOTA RUTA'!D:D)</f>
        <v>Cargar</v>
      </c>
    </row>
    <row r="1558" spans="1:19" x14ac:dyDescent="0.25">
      <c r="A1558">
        <v>1500152300</v>
      </c>
      <c r="B1558" t="s">
        <v>3261</v>
      </c>
      <c r="C1558" t="s">
        <v>19</v>
      </c>
      <c r="D1558" t="s">
        <v>32</v>
      </c>
      <c r="E1558" t="s">
        <v>21</v>
      </c>
      <c r="F1558" t="s">
        <v>22</v>
      </c>
      <c r="G1558" t="s">
        <v>23</v>
      </c>
      <c r="H1558" t="s">
        <v>86</v>
      </c>
      <c r="I1558" t="s">
        <v>3262</v>
      </c>
      <c r="J1558">
        <v>9.8908149999999999</v>
      </c>
      <c r="K1558">
        <v>-84.106425000000002</v>
      </c>
      <c r="L1558" t="s">
        <v>1225</v>
      </c>
      <c r="M1558" t="s">
        <v>71</v>
      </c>
      <c r="N1558" t="s">
        <v>72</v>
      </c>
      <c r="O1558" t="s">
        <v>73</v>
      </c>
      <c r="P1558">
        <v>14</v>
      </c>
      <c r="Q1558" t="s">
        <v>181</v>
      </c>
      <c r="S1558" t="str">
        <f>_xlfn.XLOOKUP(UNIVERSO[[#This Row],[Ruta]],'[1]CUOTA RUTA'!A:A,'[1]CUOTA RUTA'!D:D)</f>
        <v>Cargar</v>
      </c>
    </row>
    <row r="1559" spans="1:19" x14ac:dyDescent="0.25">
      <c r="A1559">
        <v>1500152484</v>
      </c>
      <c r="B1559" t="s">
        <v>3263</v>
      </c>
      <c r="C1559" t="s">
        <v>19</v>
      </c>
      <c r="D1559" t="s">
        <v>20</v>
      </c>
      <c r="E1559" t="s">
        <v>21</v>
      </c>
      <c r="F1559" t="s">
        <v>51</v>
      </c>
      <c r="G1559" t="s">
        <v>23</v>
      </c>
      <c r="H1559" t="s">
        <v>554</v>
      </c>
      <c r="I1559" t="s">
        <v>3264</v>
      </c>
      <c r="J1559">
        <v>10.036795</v>
      </c>
      <c r="K1559">
        <v>-84.089886000000007</v>
      </c>
      <c r="L1559" t="s">
        <v>1225</v>
      </c>
      <c r="M1559" t="s">
        <v>27</v>
      </c>
      <c r="N1559" t="s">
        <v>28</v>
      </c>
      <c r="O1559" t="s">
        <v>29</v>
      </c>
      <c r="P1559">
        <v>21</v>
      </c>
      <c r="Q1559" t="s">
        <v>239</v>
      </c>
      <c r="S1559" t="str">
        <f>_xlfn.XLOOKUP(UNIVERSO[[#This Row],[Ruta]],'[1]CUOTA RUTA'!A:A,'[1]CUOTA RUTA'!D:D)</f>
        <v>Cargar</v>
      </c>
    </row>
    <row r="1560" spans="1:19" x14ac:dyDescent="0.25">
      <c r="A1560">
        <v>1500152651</v>
      </c>
      <c r="B1560" t="s">
        <v>3265</v>
      </c>
      <c r="C1560" t="s">
        <v>19</v>
      </c>
      <c r="D1560" t="s">
        <v>20</v>
      </c>
      <c r="E1560" t="s">
        <v>21</v>
      </c>
      <c r="F1560" t="s">
        <v>22</v>
      </c>
      <c r="G1560" t="s">
        <v>64</v>
      </c>
      <c r="H1560" t="s">
        <v>44</v>
      </c>
      <c r="I1560" t="s">
        <v>3266</v>
      </c>
      <c r="J1560">
        <v>10.101075</v>
      </c>
      <c r="K1560">
        <v>-84.431702000000001</v>
      </c>
      <c r="L1560" t="s">
        <v>1225</v>
      </c>
      <c r="M1560" t="s">
        <v>46</v>
      </c>
      <c r="N1560" t="s">
        <v>47</v>
      </c>
      <c r="O1560" t="s">
        <v>48</v>
      </c>
      <c r="P1560">
        <v>6</v>
      </c>
      <c r="Q1560" t="s">
        <v>49</v>
      </c>
      <c r="S1560" t="str">
        <f>_xlfn.XLOOKUP(UNIVERSO[[#This Row],[Ruta]],'[1]CUOTA RUTA'!A:A,'[1]CUOTA RUTA'!D:D)</f>
        <v>Cargar</v>
      </c>
    </row>
    <row r="1561" spans="1:19" x14ac:dyDescent="0.25">
      <c r="A1561">
        <v>1500152805</v>
      </c>
      <c r="B1561" t="s">
        <v>3267</v>
      </c>
      <c r="C1561" t="s">
        <v>19</v>
      </c>
      <c r="D1561" t="s">
        <v>20</v>
      </c>
      <c r="E1561" t="s">
        <v>21</v>
      </c>
      <c r="F1561" t="s">
        <v>51</v>
      </c>
      <c r="G1561" t="s">
        <v>23</v>
      </c>
      <c r="H1561" t="s">
        <v>308</v>
      </c>
      <c r="I1561" t="s">
        <v>3268</v>
      </c>
      <c r="J1561">
        <v>9.9066919999999996</v>
      </c>
      <c r="K1561">
        <v>-84.441012999999998</v>
      </c>
      <c r="L1561" t="s">
        <v>1225</v>
      </c>
      <c r="M1561" t="s">
        <v>54</v>
      </c>
      <c r="N1561" t="s">
        <v>55</v>
      </c>
      <c r="O1561" t="s">
        <v>56</v>
      </c>
      <c r="P1561">
        <v>21</v>
      </c>
      <c r="Q1561" t="s">
        <v>239</v>
      </c>
      <c r="S1561" t="str">
        <f>_xlfn.XLOOKUP(UNIVERSO[[#This Row],[Ruta]],'[1]CUOTA RUTA'!A:A,'[1]CUOTA RUTA'!D:D)</f>
        <v>Cargar</v>
      </c>
    </row>
    <row r="1562" spans="1:19" x14ac:dyDescent="0.25">
      <c r="A1562">
        <v>1500152886</v>
      </c>
      <c r="B1562" t="s">
        <v>3269</v>
      </c>
      <c r="C1562" t="s">
        <v>19</v>
      </c>
      <c r="D1562" t="s">
        <v>20</v>
      </c>
      <c r="E1562" t="s">
        <v>21</v>
      </c>
      <c r="F1562" t="s">
        <v>22</v>
      </c>
      <c r="G1562" t="s">
        <v>33</v>
      </c>
      <c r="H1562" t="s">
        <v>874</v>
      </c>
      <c r="I1562" t="s">
        <v>3270</v>
      </c>
      <c r="J1562">
        <v>9.9922699999999995</v>
      </c>
      <c r="K1562">
        <v>-84.127269999999996</v>
      </c>
      <c r="L1562" t="s">
        <v>1225</v>
      </c>
      <c r="M1562" t="s">
        <v>27</v>
      </c>
      <c r="N1562" t="s">
        <v>28</v>
      </c>
      <c r="O1562" t="s">
        <v>29</v>
      </c>
      <c r="P1562">
        <v>5</v>
      </c>
      <c r="Q1562" t="s">
        <v>117</v>
      </c>
      <c r="S1562" t="str">
        <f>_xlfn.XLOOKUP(UNIVERSO[[#This Row],[Ruta]],'[1]CUOTA RUTA'!A:A,'[1]CUOTA RUTA'!D:D)</f>
        <v>Cargar</v>
      </c>
    </row>
    <row r="1563" spans="1:19" x14ac:dyDescent="0.25">
      <c r="A1563">
        <v>1500152909</v>
      </c>
      <c r="B1563" t="s">
        <v>3271</v>
      </c>
      <c r="C1563" t="s">
        <v>19</v>
      </c>
      <c r="D1563" t="s">
        <v>32</v>
      </c>
      <c r="E1563" t="s">
        <v>21</v>
      </c>
      <c r="F1563" t="s">
        <v>51</v>
      </c>
      <c r="G1563" t="s">
        <v>23</v>
      </c>
      <c r="H1563" t="s">
        <v>441</v>
      </c>
      <c r="I1563" t="s">
        <v>3272</v>
      </c>
      <c r="J1563">
        <v>9.8930369999999996</v>
      </c>
      <c r="K1563">
        <v>-84.094345000000004</v>
      </c>
      <c r="L1563" t="s">
        <v>1225</v>
      </c>
      <c r="M1563" t="s">
        <v>71</v>
      </c>
      <c r="N1563" t="s">
        <v>72</v>
      </c>
      <c r="O1563" t="s">
        <v>73</v>
      </c>
      <c r="P1563">
        <v>8</v>
      </c>
      <c r="Q1563" t="s">
        <v>97</v>
      </c>
      <c r="S1563" t="str">
        <f>_xlfn.XLOOKUP(UNIVERSO[[#This Row],[Ruta]],'[1]CUOTA RUTA'!A:A,'[1]CUOTA RUTA'!D:D)</f>
        <v>Cargar</v>
      </c>
    </row>
    <row r="1564" spans="1:19" x14ac:dyDescent="0.25">
      <c r="A1564">
        <v>1500153079</v>
      </c>
      <c r="B1564" t="s">
        <v>3273</v>
      </c>
      <c r="C1564" t="s">
        <v>19</v>
      </c>
      <c r="D1564" t="s">
        <v>324</v>
      </c>
      <c r="E1564" t="s">
        <v>21</v>
      </c>
      <c r="F1564" t="s">
        <v>22</v>
      </c>
      <c r="G1564" t="s">
        <v>64</v>
      </c>
      <c r="H1564" t="s">
        <v>393</v>
      </c>
      <c r="I1564" t="s">
        <v>3274</v>
      </c>
      <c r="J1564">
        <v>10.419600000000001</v>
      </c>
      <c r="K1564">
        <v>-84.382819999999995</v>
      </c>
      <c r="L1564" t="s">
        <v>1225</v>
      </c>
      <c r="M1564" t="s">
        <v>327</v>
      </c>
      <c r="N1564" t="s">
        <v>328</v>
      </c>
      <c r="O1564" t="s">
        <v>329</v>
      </c>
      <c r="P1564">
        <v>18</v>
      </c>
      <c r="Q1564" t="s">
        <v>84</v>
      </c>
      <c r="S1564" t="str">
        <f>_xlfn.XLOOKUP(UNIVERSO[[#This Row],[Ruta]],'[1]CUOTA RUTA'!A:A,'[1]CUOTA RUTA'!D:D)</f>
        <v>Cargar</v>
      </c>
    </row>
    <row r="1565" spans="1:19" x14ac:dyDescent="0.25">
      <c r="A1565">
        <v>1500153173</v>
      </c>
      <c r="B1565" t="s">
        <v>3275</v>
      </c>
      <c r="C1565" t="s">
        <v>19</v>
      </c>
      <c r="D1565" t="s">
        <v>32</v>
      </c>
      <c r="E1565" t="s">
        <v>21</v>
      </c>
      <c r="F1565" t="s">
        <v>51</v>
      </c>
      <c r="G1565" t="s">
        <v>23</v>
      </c>
      <c r="H1565" t="s">
        <v>1383</v>
      </c>
      <c r="I1565" t="s">
        <v>3276</v>
      </c>
      <c r="J1565">
        <v>9.9197725000000005</v>
      </c>
      <c r="K1565">
        <v>-84.098618000000002</v>
      </c>
      <c r="L1565" t="s">
        <v>1225</v>
      </c>
      <c r="M1565" t="s">
        <v>71</v>
      </c>
      <c r="N1565" t="s">
        <v>72</v>
      </c>
      <c r="O1565" t="s">
        <v>73</v>
      </c>
      <c r="P1565">
        <v>3</v>
      </c>
      <c r="Q1565" t="s">
        <v>101</v>
      </c>
      <c r="S1565" t="str">
        <f>_xlfn.XLOOKUP(UNIVERSO[[#This Row],[Ruta]],'[1]CUOTA RUTA'!A:A,'[1]CUOTA RUTA'!D:D)</f>
        <v>Cargar</v>
      </c>
    </row>
    <row r="1566" spans="1:19" x14ac:dyDescent="0.25">
      <c r="A1566">
        <v>1500153219</v>
      </c>
      <c r="B1566" t="s">
        <v>3277</v>
      </c>
      <c r="C1566" t="s">
        <v>19</v>
      </c>
      <c r="D1566" t="s">
        <v>20</v>
      </c>
      <c r="E1566" t="s">
        <v>21</v>
      </c>
      <c r="F1566" t="s">
        <v>22</v>
      </c>
      <c r="G1566" t="s">
        <v>64</v>
      </c>
      <c r="H1566" t="s">
        <v>44</v>
      </c>
      <c r="I1566" t="s">
        <v>3278</v>
      </c>
      <c r="J1566">
        <v>10.074347299999999</v>
      </c>
      <c r="K1566">
        <v>-84.454477299999994</v>
      </c>
      <c r="L1566" t="s">
        <v>1225</v>
      </c>
      <c r="M1566" t="s">
        <v>46</v>
      </c>
      <c r="N1566" t="s">
        <v>47</v>
      </c>
      <c r="O1566" t="s">
        <v>48</v>
      </c>
      <c r="P1566">
        <v>7</v>
      </c>
      <c r="Q1566" t="s">
        <v>39</v>
      </c>
      <c r="S1566" t="str">
        <f>_xlfn.XLOOKUP(UNIVERSO[[#This Row],[Ruta]],'[1]CUOTA RUTA'!A:A,'[1]CUOTA RUTA'!D:D)</f>
        <v>Cargar</v>
      </c>
    </row>
    <row r="1567" spans="1:19" x14ac:dyDescent="0.25">
      <c r="A1567">
        <v>1500153303</v>
      </c>
      <c r="B1567" t="s">
        <v>3279</v>
      </c>
      <c r="C1567" t="s">
        <v>19</v>
      </c>
      <c r="D1567" t="s">
        <v>20</v>
      </c>
      <c r="E1567" t="s">
        <v>21</v>
      </c>
      <c r="F1567" t="s">
        <v>51</v>
      </c>
      <c r="G1567" t="s">
        <v>23</v>
      </c>
      <c r="H1567" t="s">
        <v>58</v>
      </c>
      <c r="I1567" t="s">
        <v>3280</v>
      </c>
      <c r="J1567">
        <v>10.006819999999999</v>
      </c>
      <c r="K1567">
        <v>-84.205129999999997</v>
      </c>
      <c r="L1567" t="s">
        <v>1225</v>
      </c>
      <c r="M1567" t="s">
        <v>54</v>
      </c>
      <c r="N1567" t="s">
        <v>55</v>
      </c>
      <c r="O1567" t="s">
        <v>56</v>
      </c>
      <c r="P1567">
        <v>3</v>
      </c>
      <c r="Q1567" t="s">
        <v>101</v>
      </c>
      <c r="S1567" t="str">
        <f>_xlfn.XLOOKUP(UNIVERSO[[#This Row],[Ruta]],'[1]CUOTA RUTA'!A:A,'[1]CUOTA RUTA'!D:D)</f>
        <v>Cargar</v>
      </c>
    </row>
    <row r="1568" spans="1:19" x14ac:dyDescent="0.25">
      <c r="A1568">
        <v>1500153344</v>
      </c>
      <c r="B1568" t="s">
        <v>3281</v>
      </c>
      <c r="C1568" t="s">
        <v>19</v>
      </c>
      <c r="D1568" t="s">
        <v>20</v>
      </c>
      <c r="E1568" t="s">
        <v>21</v>
      </c>
      <c r="F1568" t="s">
        <v>22</v>
      </c>
      <c r="G1568" t="s">
        <v>23</v>
      </c>
      <c r="H1568" t="s">
        <v>58</v>
      </c>
      <c r="I1568" t="s">
        <v>3282</v>
      </c>
      <c r="J1568">
        <v>10.003299999999999</v>
      </c>
      <c r="K1568">
        <v>-84.219800000000006</v>
      </c>
      <c r="L1568" t="s">
        <v>1225</v>
      </c>
      <c r="M1568" t="s">
        <v>54</v>
      </c>
      <c r="N1568" t="s">
        <v>55</v>
      </c>
      <c r="O1568" t="s">
        <v>56</v>
      </c>
      <c r="P1568">
        <v>3</v>
      </c>
      <c r="Q1568" t="s">
        <v>101</v>
      </c>
      <c r="S1568" t="str">
        <f>_xlfn.XLOOKUP(UNIVERSO[[#This Row],[Ruta]],'[1]CUOTA RUTA'!A:A,'[1]CUOTA RUTA'!D:D)</f>
        <v>Cargar</v>
      </c>
    </row>
    <row r="1569" spans="1:19" x14ac:dyDescent="0.25">
      <c r="A1569">
        <v>1500153355</v>
      </c>
      <c r="B1569" t="s">
        <v>3283</v>
      </c>
      <c r="C1569" t="s">
        <v>19</v>
      </c>
      <c r="D1569" t="s">
        <v>324</v>
      </c>
      <c r="E1569" t="s">
        <v>21</v>
      </c>
      <c r="F1569" t="s">
        <v>22</v>
      </c>
      <c r="G1569" t="s">
        <v>33</v>
      </c>
      <c r="H1569" t="s">
        <v>393</v>
      </c>
      <c r="I1569" t="s">
        <v>3284</v>
      </c>
      <c r="J1569">
        <v>10.378721000000001</v>
      </c>
      <c r="K1569">
        <v>-84.358951000000005</v>
      </c>
      <c r="L1569" t="s">
        <v>1225</v>
      </c>
      <c r="M1569" t="s">
        <v>327</v>
      </c>
      <c r="N1569" t="s">
        <v>328</v>
      </c>
      <c r="O1569" t="s">
        <v>329</v>
      </c>
      <c r="P1569">
        <v>15</v>
      </c>
      <c r="Q1569" t="s">
        <v>231</v>
      </c>
      <c r="S1569" t="str">
        <f>_xlfn.XLOOKUP(UNIVERSO[[#This Row],[Ruta]],'[1]CUOTA RUTA'!A:A,'[1]CUOTA RUTA'!D:D)</f>
        <v>Cargar</v>
      </c>
    </row>
    <row r="1570" spans="1:19" x14ac:dyDescent="0.25">
      <c r="A1570">
        <v>1500153376</v>
      </c>
      <c r="B1570" t="s">
        <v>1865</v>
      </c>
      <c r="C1570" t="s">
        <v>19</v>
      </c>
      <c r="D1570" t="s">
        <v>20</v>
      </c>
      <c r="E1570" t="s">
        <v>21</v>
      </c>
      <c r="F1570" t="s">
        <v>22</v>
      </c>
      <c r="G1570" t="s">
        <v>64</v>
      </c>
      <c r="H1570" t="s">
        <v>198</v>
      </c>
      <c r="I1570" t="s">
        <v>3285</v>
      </c>
      <c r="J1570">
        <v>9.9197614000000005</v>
      </c>
      <c r="K1570">
        <v>-84.178831500000001</v>
      </c>
      <c r="L1570" t="s">
        <v>1225</v>
      </c>
      <c r="M1570" t="s">
        <v>54</v>
      </c>
      <c r="N1570" t="s">
        <v>55</v>
      </c>
      <c r="O1570" t="s">
        <v>56</v>
      </c>
      <c r="P1570">
        <v>11</v>
      </c>
      <c r="Q1570" t="s">
        <v>108</v>
      </c>
      <c r="S1570" t="str">
        <f>_xlfn.XLOOKUP(UNIVERSO[[#This Row],[Ruta]],'[1]CUOTA RUTA'!A:A,'[1]CUOTA RUTA'!D:D)</f>
        <v>Cargar</v>
      </c>
    </row>
    <row r="1571" spans="1:19" x14ac:dyDescent="0.25">
      <c r="A1571">
        <v>1500153436</v>
      </c>
      <c r="B1571" t="s">
        <v>1169</v>
      </c>
      <c r="C1571" t="s">
        <v>19</v>
      </c>
      <c r="D1571" t="s">
        <v>20</v>
      </c>
      <c r="E1571" t="s">
        <v>21</v>
      </c>
      <c r="F1571" t="s">
        <v>22</v>
      </c>
      <c r="G1571" t="s">
        <v>33</v>
      </c>
      <c r="H1571" t="s">
        <v>674</v>
      </c>
      <c r="I1571" t="s">
        <v>3286</v>
      </c>
      <c r="J1571">
        <v>10.104189399999999</v>
      </c>
      <c r="K1571">
        <v>-84.470583000000005</v>
      </c>
      <c r="L1571" t="s">
        <v>1225</v>
      </c>
      <c r="M1571" t="s">
        <v>46</v>
      </c>
      <c r="N1571" t="s">
        <v>47</v>
      </c>
      <c r="O1571" t="s">
        <v>48</v>
      </c>
      <c r="P1571">
        <v>6</v>
      </c>
      <c r="Q1571" t="s">
        <v>49</v>
      </c>
      <c r="S1571" t="str">
        <f>_xlfn.XLOOKUP(UNIVERSO[[#This Row],[Ruta]],'[1]CUOTA RUTA'!A:A,'[1]CUOTA RUTA'!D:D)</f>
        <v>Cargar</v>
      </c>
    </row>
    <row r="1572" spans="1:19" x14ac:dyDescent="0.25">
      <c r="A1572">
        <v>1500153457</v>
      </c>
      <c r="B1572" t="s">
        <v>3287</v>
      </c>
      <c r="C1572" t="s">
        <v>19</v>
      </c>
      <c r="D1572" t="s">
        <v>20</v>
      </c>
      <c r="E1572" t="s">
        <v>21</v>
      </c>
      <c r="F1572" t="s">
        <v>22</v>
      </c>
      <c r="G1572" t="s">
        <v>33</v>
      </c>
      <c r="H1572" t="s">
        <v>303</v>
      </c>
      <c r="I1572" t="s">
        <v>3288</v>
      </c>
      <c r="J1572">
        <v>10.00332</v>
      </c>
      <c r="K1572">
        <v>-84.240729999999999</v>
      </c>
      <c r="L1572" t="s">
        <v>1225</v>
      </c>
      <c r="M1572" t="s">
        <v>54</v>
      </c>
      <c r="N1572" t="s">
        <v>55</v>
      </c>
      <c r="O1572" t="s">
        <v>56</v>
      </c>
      <c r="P1572">
        <v>7</v>
      </c>
      <c r="Q1572" t="s">
        <v>39</v>
      </c>
      <c r="S1572" t="str">
        <f>_xlfn.XLOOKUP(UNIVERSO[[#This Row],[Ruta]],'[1]CUOTA RUTA'!A:A,'[1]CUOTA RUTA'!D:D)</f>
        <v>Cargar</v>
      </c>
    </row>
    <row r="1573" spans="1:19" x14ac:dyDescent="0.25">
      <c r="A1573">
        <v>1500153693</v>
      </c>
      <c r="B1573" t="s">
        <v>3289</v>
      </c>
      <c r="C1573" t="s">
        <v>19</v>
      </c>
      <c r="D1573" t="s">
        <v>20</v>
      </c>
      <c r="E1573" t="s">
        <v>21</v>
      </c>
      <c r="F1573" t="s">
        <v>22</v>
      </c>
      <c r="G1573" t="s">
        <v>33</v>
      </c>
      <c r="H1573" t="s">
        <v>722</v>
      </c>
      <c r="I1573" t="s">
        <v>3290</v>
      </c>
      <c r="J1573">
        <v>9.9513800000000003</v>
      </c>
      <c r="K1573">
        <v>-84.164349999999999</v>
      </c>
      <c r="L1573" t="s">
        <v>1225</v>
      </c>
      <c r="M1573" t="s">
        <v>27</v>
      </c>
      <c r="N1573" t="s">
        <v>28</v>
      </c>
      <c r="O1573" t="s">
        <v>29</v>
      </c>
      <c r="P1573">
        <v>23</v>
      </c>
      <c r="Q1573" t="s">
        <v>125</v>
      </c>
      <c r="S1573" t="str">
        <f>_xlfn.XLOOKUP(UNIVERSO[[#This Row],[Ruta]],'[1]CUOTA RUTA'!A:A,'[1]CUOTA RUTA'!D:D)</f>
        <v>Cargar</v>
      </c>
    </row>
    <row r="1574" spans="1:19" x14ac:dyDescent="0.25">
      <c r="A1574">
        <v>1500154008</v>
      </c>
      <c r="B1574" t="s">
        <v>3291</v>
      </c>
      <c r="C1574" t="s">
        <v>19</v>
      </c>
      <c r="D1574" t="s">
        <v>20</v>
      </c>
      <c r="E1574" t="s">
        <v>21</v>
      </c>
      <c r="F1574" t="s">
        <v>22</v>
      </c>
      <c r="G1574" t="s">
        <v>33</v>
      </c>
      <c r="H1574" t="s">
        <v>743</v>
      </c>
      <c r="I1574" t="s">
        <v>3292</v>
      </c>
      <c r="J1574">
        <v>10.00348</v>
      </c>
      <c r="K1574">
        <v>-84.416520000000006</v>
      </c>
      <c r="L1574" t="s">
        <v>1225</v>
      </c>
      <c r="M1574" t="s">
        <v>46</v>
      </c>
      <c r="N1574" t="s">
        <v>47</v>
      </c>
      <c r="O1574" t="s">
        <v>48</v>
      </c>
      <c r="P1574">
        <v>8</v>
      </c>
      <c r="Q1574" t="s">
        <v>97</v>
      </c>
      <c r="S1574" t="str">
        <f>_xlfn.XLOOKUP(UNIVERSO[[#This Row],[Ruta]],'[1]CUOTA RUTA'!A:A,'[1]CUOTA RUTA'!D:D)</f>
        <v>Cargar</v>
      </c>
    </row>
    <row r="1575" spans="1:19" x14ac:dyDescent="0.25">
      <c r="A1575">
        <v>1500154199</v>
      </c>
      <c r="B1575" t="s">
        <v>3293</v>
      </c>
      <c r="C1575" t="s">
        <v>19</v>
      </c>
      <c r="D1575" t="s">
        <v>20</v>
      </c>
      <c r="E1575" t="s">
        <v>21</v>
      </c>
      <c r="F1575" t="s">
        <v>22</v>
      </c>
      <c r="G1575" t="s">
        <v>33</v>
      </c>
      <c r="H1575" t="s">
        <v>638</v>
      </c>
      <c r="I1575" t="s">
        <v>3294</v>
      </c>
      <c r="J1575">
        <v>10.00403</v>
      </c>
      <c r="K1575">
        <v>-84.223479999999995</v>
      </c>
      <c r="L1575" t="s">
        <v>1225</v>
      </c>
      <c r="M1575" t="s">
        <v>54</v>
      </c>
      <c r="N1575" t="s">
        <v>55</v>
      </c>
      <c r="O1575" t="s">
        <v>56</v>
      </c>
      <c r="P1575">
        <v>3</v>
      </c>
      <c r="Q1575" t="s">
        <v>101</v>
      </c>
      <c r="S1575" t="str">
        <f>_xlfn.XLOOKUP(UNIVERSO[[#This Row],[Ruta]],'[1]CUOTA RUTA'!A:A,'[1]CUOTA RUTA'!D:D)</f>
        <v>Cargar</v>
      </c>
    </row>
    <row r="1576" spans="1:19" x14ac:dyDescent="0.25">
      <c r="A1576">
        <v>1500154226</v>
      </c>
      <c r="B1576" t="s">
        <v>3295</v>
      </c>
      <c r="C1576" t="s">
        <v>19</v>
      </c>
      <c r="D1576" t="s">
        <v>20</v>
      </c>
      <c r="E1576" t="s">
        <v>21</v>
      </c>
      <c r="F1576" t="s">
        <v>22</v>
      </c>
      <c r="G1576" t="s">
        <v>64</v>
      </c>
      <c r="H1576" t="s">
        <v>250</v>
      </c>
      <c r="I1576" t="s">
        <v>3296</v>
      </c>
      <c r="J1576">
        <v>10.0473208</v>
      </c>
      <c r="K1576">
        <v>-84.249334200000007</v>
      </c>
      <c r="L1576" t="s">
        <v>1225</v>
      </c>
      <c r="M1576" t="s">
        <v>46</v>
      </c>
      <c r="N1576" t="s">
        <v>47</v>
      </c>
      <c r="O1576" t="s">
        <v>48</v>
      </c>
      <c r="P1576">
        <v>2</v>
      </c>
      <c r="Q1576" t="s">
        <v>150</v>
      </c>
      <c r="S1576" t="str">
        <f>_xlfn.XLOOKUP(UNIVERSO[[#This Row],[Ruta]],'[1]CUOTA RUTA'!A:A,'[1]CUOTA RUTA'!D:D)</f>
        <v>Cargar</v>
      </c>
    </row>
    <row r="1577" spans="1:19" x14ac:dyDescent="0.25">
      <c r="A1577">
        <v>1500154257</v>
      </c>
      <c r="B1577" t="s">
        <v>3297</v>
      </c>
      <c r="C1577" t="s">
        <v>19</v>
      </c>
      <c r="D1577" t="s">
        <v>20</v>
      </c>
      <c r="E1577" t="s">
        <v>21</v>
      </c>
      <c r="F1577" t="s">
        <v>22</v>
      </c>
      <c r="G1577" t="s">
        <v>64</v>
      </c>
      <c r="H1577" t="s">
        <v>458</v>
      </c>
      <c r="I1577" t="s">
        <v>3298</v>
      </c>
      <c r="J1577">
        <v>9.9774460000000005</v>
      </c>
      <c r="K1577">
        <v>-84.263225500000004</v>
      </c>
      <c r="L1577" t="s">
        <v>1225</v>
      </c>
      <c r="M1577" t="s">
        <v>54</v>
      </c>
      <c r="N1577" t="s">
        <v>55</v>
      </c>
      <c r="O1577" t="s">
        <v>56</v>
      </c>
      <c r="P1577">
        <v>6</v>
      </c>
      <c r="Q1577" t="s">
        <v>49</v>
      </c>
      <c r="S1577" t="str">
        <f>_xlfn.XLOOKUP(UNIVERSO[[#This Row],[Ruta]],'[1]CUOTA RUTA'!A:A,'[1]CUOTA RUTA'!D:D)</f>
        <v>Cargar</v>
      </c>
    </row>
    <row r="1578" spans="1:19" x14ac:dyDescent="0.25">
      <c r="A1578">
        <v>1500154307</v>
      </c>
      <c r="B1578" t="s">
        <v>3299</v>
      </c>
      <c r="C1578" t="s">
        <v>19</v>
      </c>
      <c r="D1578" t="s">
        <v>20</v>
      </c>
      <c r="E1578" t="s">
        <v>21</v>
      </c>
      <c r="F1578" t="s">
        <v>22</v>
      </c>
      <c r="G1578" t="s">
        <v>33</v>
      </c>
      <c r="H1578" t="s">
        <v>52</v>
      </c>
      <c r="I1578" t="s">
        <v>3300</v>
      </c>
      <c r="J1578">
        <v>9.9135533999999996</v>
      </c>
      <c r="K1578">
        <v>-84.148438100000007</v>
      </c>
      <c r="L1578" t="s">
        <v>1225</v>
      </c>
      <c r="M1578" t="s">
        <v>54</v>
      </c>
      <c r="N1578" t="s">
        <v>55</v>
      </c>
      <c r="O1578" t="s">
        <v>56</v>
      </c>
      <c r="P1578">
        <v>12</v>
      </c>
      <c r="Q1578" t="s">
        <v>42</v>
      </c>
      <c r="S1578" t="str">
        <f>_xlfn.XLOOKUP(UNIVERSO[[#This Row],[Ruta]],'[1]CUOTA RUTA'!A:A,'[1]CUOTA RUTA'!D:D)</f>
        <v>Cargar</v>
      </c>
    </row>
    <row r="1579" spans="1:19" x14ac:dyDescent="0.25">
      <c r="A1579">
        <v>1500154419</v>
      </c>
      <c r="B1579" t="s">
        <v>3301</v>
      </c>
      <c r="C1579" t="s">
        <v>19</v>
      </c>
      <c r="D1579" t="s">
        <v>20</v>
      </c>
      <c r="E1579" t="s">
        <v>21</v>
      </c>
      <c r="F1579" t="s">
        <v>22</v>
      </c>
      <c r="G1579" t="s">
        <v>33</v>
      </c>
      <c r="H1579" t="s">
        <v>1128</v>
      </c>
      <c r="I1579" t="s">
        <v>3302</v>
      </c>
      <c r="J1579">
        <v>10.08351</v>
      </c>
      <c r="K1579">
        <v>-84.275225199999994</v>
      </c>
      <c r="L1579" t="s">
        <v>1225</v>
      </c>
      <c r="M1579" t="s">
        <v>46</v>
      </c>
      <c r="N1579" t="s">
        <v>47</v>
      </c>
      <c r="O1579" t="s">
        <v>48</v>
      </c>
      <c r="P1579">
        <v>4</v>
      </c>
      <c r="Q1579" t="s">
        <v>120</v>
      </c>
      <c r="S1579" t="str">
        <f>_xlfn.XLOOKUP(UNIVERSO[[#This Row],[Ruta]],'[1]CUOTA RUTA'!A:A,'[1]CUOTA RUTA'!D:D)</f>
        <v>Cargar</v>
      </c>
    </row>
    <row r="1580" spans="1:19" x14ac:dyDescent="0.25">
      <c r="A1580">
        <v>1500154565</v>
      </c>
      <c r="B1580" t="s">
        <v>3303</v>
      </c>
      <c r="C1580" t="s">
        <v>19</v>
      </c>
      <c r="D1580" t="s">
        <v>20</v>
      </c>
      <c r="E1580" t="s">
        <v>21</v>
      </c>
      <c r="F1580" t="s">
        <v>22</v>
      </c>
      <c r="G1580" t="s">
        <v>64</v>
      </c>
      <c r="H1580" t="s">
        <v>674</v>
      </c>
      <c r="I1580" t="s">
        <v>3304</v>
      </c>
      <c r="J1580">
        <v>10.1873</v>
      </c>
      <c r="K1580">
        <v>-84.388729999999995</v>
      </c>
      <c r="L1580" t="s">
        <v>1225</v>
      </c>
      <c r="M1580" t="s">
        <v>46</v>
      </c>
      <c r="N1580" t="s">
        <v>47</v>
      </c>
      <c r="O1580" t="s">
        <v>48</v>
      </c>
      <c r="P1580">
        <v>1</v>
      </c>
      <c r="Q1580" t="s">
        <v>155</v>
      </c>
      <c r="S1580" t="str">
        <f>_xlfn.XLOOKUP(UNIVERSO[[#This Row],[Ruta]],'[1]CUOTA RUTA'!A:A,'[1]CUOTA RUTA'!D:D)</f>
        <v>Cargar</v>
      </c>
    </row>
    <row r="1581" spans="1:19" x14ac:dyDescent="0.25">
      <c r="A1581">
        <v>1500154671</v>
      </c>
      <c r="B1581" t="s">
        <v>3305</v>
      </c>
      <c r="C1581" t="s">
        <v>19</v>
      </c>
      <c r="D1581" t="s">
        <v>20</v>
      </c>
      <c r="E1581" t="s">
        <v>21</v>
      </c>
      <c r="F1581" t="s">
        <v>22</v>
      </c>
      <c r="G1581" t="s">
        <v>23</v>
      </c>
      <c r="H1581" t="s">
        <v>862</v>
      </c>
      <c r="I1581" t="s">
        <v>3306</v>
      </c>
      <c r="J1581">
        <v>9.9580000000000002</v>
      </c>
      <c r="K1581">
        <v>-84.204170000000005</v>
      </c>
      <c r="L1581" t="s">
        <v>1225</v>
      </c>
      <c r="M1581" t="s">
        <v>27</v>
      </c>
      <c r="N1581" t="s">
        <v>28</v>
      </c>
      <c r="O1581" t="s">
        <v>29</v>
      </c>
      <c r="P1581">
        <v>23</v>
      </c>
      <c r="Q1581" t="s">
        <v>125</v>
      </c>
      <c r="S1581" t="str">
        <f>_xlfn.XLOOKUP(UNIVERSO[[#This Row],[Ruta]],'[1]CUOTA RUTA'!A:A,'[1]CUOTA RUTA'!D:D)</f>
        <v>Cargar</v>
      </c>
    </row>
    <row r="1582" spans="1:19" x14ac:dyDescent="0.25">
      <c r="A1582">
        <v>1500154689</v>
      </c>
      <c r="B1582" t="s">
        <v>3307</v>
      </c>
      <c r="C1582" t="s">
        <v>19</v>
      </c>
      <c r="D1582" t="s">
        <v>324</v>
      </c>
      <c r="E1582" t="s">
        <v>21</v>
      </c>
      <c r="F1582" t="s">
        <v>22</v>
      </c>
      <c r="G1582" t="s">
        <v>33</v>
      </c>
      <c r="H1582" t="s">
        <v>557</v>
      </c>
      <c r="I1582" t="s">
        <v>3308</v>
      </c>
      <c r="J1582">
        <v>10.472899999999999</v>
      </c>
      <c r="K1582">
        <v>-84.635019999999997</v>
      </c>
      <c r="L1582" t="s">
        <v>1225</v>
      </c>
      <c r="M1582" t="s">
        <v>327</v>
      </c>
      <c r="N1582" t="s">
        <v>328</v>
      </c>
      <c r="O1582" t="s">
        <v>329</v>
      </c>
      <c r="P1582">
        <v>21</v>
      </c>
      <c r="Q1582" t="s">
        <v>239</v>
      </c>
      <c r="S1582" t="str">
        <f>_xlfn.XLOOKUP(UNIVERSO[[#This Row],[Ruta]],'[1]CUOTA RUTA'!A:A,'[1]CUOTA RUTA'!D:D)</f>
        <v>Cargar</v>
      </c>
    </row>
    <row r="1583" spans="1:19" x14ac:dyDescent="0.25">
      <c r="A1583">
        <v>1500154718</v>
      </c>
      <c r="B1583" t="s">
        <v>3309</v>
      </c>
      <c r="C1583" t="s">
        <v>19</v>
      </c>
      <c r="D1583" t="s">
        <v>20</v>
      </c>
      <c r="E1583" t="s">
        <v>21</v>
      </c>
      <c r="F1583" t="s">
        <v>22</v>
      </c>
      <c r="G1583" t="s">
        <v>33</v>
      </c>
      <c r="H1583" t="s">
        <v>913</v>
      </c>
      <c r="I1583" t="s">
        <v>3310</v>
      </c>
      <c r="J1583">
        <v>9.9617326599999991</v>
      </c>
      <c r="K1583">
        <v>-84.147994990000001</v>
      </c>
      <c r="L1583" t="s">
        <v>1225</v>
      </c>
      <c r="M1583" t="s">
        <v>27</v>
      </c>
      <c r="N1583" t="s">
        <v>28</v>
      </c>
      <c r="O1583" t="s">
        <v>29</v>
      </c>
      <c r="P1583">
        <v>2</v>
      </c>
      <c r="Q1583" t="s">
        <v>150</v>
      </c>
      <c r="S1583" t="str">
        <f>_xlfn.XLOOKUP(UNIVERSO[[#This Row],[Ruta]],'[1]CUOTA RUTA'!A:A,'[1]CUOTA RUTA'!D:D)</f>
        <v>Cargar</v>
      </c>
    </row>
    <row r="1584" spans="1:19" x14ac:dyDescent="0.25">
      <c r="A1584">
        <v>1500154832</v>
      </c>
      <c r="B1584" t="s">
        <v>3311</v>
      </c>
      <c r="C1584" t="s">
        <v>19</v>
      </c>
      <c r="D1584" t="s">
        <v>20</v>
      </c>
      <c r="E1584" t="s">
        <v>21</v>
      </c>
      <c r="F1584" t="s">
        <v>22</v>
      </c>
      <c r="G1584" t="s">
        <v>33</v>
      </c>
      <c r="H1584" t="s">
        <v>369</v>
      </c>
      <c r="I1584" t="s">
        <v>3312</v>
      </c>
      <c r="J1584">
        <v>10.01233</v>
      </c>
      <c r="K1584">
        <v>-84.139634999999998</v>
      </c>
      <c r="L1584" t="s">
        <v>1225</v>
      </c>
      <c r="M1584" t="s">
        <v>27</v>
      </c>
      <c r="N1584" t="s">
        <v>28</v>
      </c>
      <c r="O1584" t="s">
        <v>29</v>
      </c>
      <c r="P1584">
        <v>20</v>
      </c>
      <c r="Q1584" t="s">
        <v>74</v>
      </c>
      <c r="S1584" t="str">
        <f>_xlfn.XLOOKUP(UNIVERSO[[#This Row],[Ruta]],'[1]CUOTA RUTA'!A:A,'[1]CUOTA RUTA'!D:D)</f>
        <v>Cargar</v>
      </c>
    </row>
    <row r="1585" spans="1:19" x14ac:dyDescent="0.25">
      <c r="A1585">
        <v>1500154909</v>
      </c>
      <c r="B1585" t="s">
        <v>3313</v>
      </c>
      <c r="C1585" t="s">
        <v>19</v>
      </c>
      <c r="D1585" t="s">
        <v>20</v>
      </c>
      <c r="E1585" t="s">
        <v>21</v>
      </c>
      <c r="F1585" t="s">
        <v>22</v>
      </c>
      <c r="G1585" t="s">
        <v>23</v>
      </c>
      <c r="H1585" t="s">
        <v>554</v>
      </c>
      <c r="I1585" t="s">
        <v>3314</v>
      </c>
      <c r="J1585">
        <v>10.005784</v>
      </c>
      <c r="K1585">
        <v>-84.138814999999994</v>
      </c>
      <c r="L1585" t="s">
        <v>1225</v>
      </c>
      <c r="M1585" t="s">
        <v>27</v>
      </c>
      <c r="N1585" t="s">
        <v>28</v>
      </c>
      <c r="O1585" t="s">
        <v>29</v>
      </c>
      <c r="P1585">
        <v>19</v>
      </c>
      <c r="Q1585" t="s">
        <v>67</v>
      </c>
      <c r="S1585" t="str">
        <f>_xlfn.XLOOKUP(UNIVERSO[[#This Row],[Ruta]],'[1]CUOTA RUTA'!A:A,'[1]CUOTA RUTA'!D:D)</f>
        <v>Cargar</v>
      </c>
    </row>
    <row r="1586" spans="1:19" x14ac:dyDescent="0.25">
      <c r="A1586">
        <v>1500154955</v>
      </c>
      <c r="B1586" t="s">
        <v>3315</v>
      </c>
      <c r="C1586" t="s">
        <v>19</v>
      </c>
      <c r="D1586" t="s">
        <v>32</v>
      </c>
      <c r="E1586" t="s">
        <v>21</v>
      </c>
      <c r="F1586" t="s">
        <v>22</v>
      </c>
      <c r="G1586" t="s">
        <v>23</v>
      </c>
      <c r="H1586" t="s">
        <v>103</v>
      </c>
      <c r="I1586" t="s">
        <v>3316</v>
      </c>
      <c r="J1586">
        <v>9.9151550000000004</v>
      </c>
      <c r="K1586">
        <v>-84.102886666659998</v>
      </c>
      <c r="L1586" t="s">
        <v>1225</v>
      </c>
      <c r="M1586" t="s">
        <v>71</v>
      </c>
      <c r="N1586" t="s">
        <v>72</v>
      </c>
      <c r="O1586" t="s">
        <v>73</v>
      </c>
      <c r="P1586">
        <v>10</v>
      </c>
      <c r="Q1586" t="s">
        <v>136</v>
      </c>
      <c r="S1586" t="str">
        <f>_xlfn.XLOOKUP(UNIVERSO[[#This Row],[Ruta]],'[1]CUOTA RUTA'!A:A,'[1]CUOTA RUTA'!D:D)</f>
        <v>Cargar</v>
      </c>
    </row>
    <row r="1587" spans="1:19" x14ac:dyDescent="0.25">
      <c r="A1587">
        <v>1500154970</v>
      </c>
      <c r="B1587" t="s">
        <v>844</v>
      </c>
      <c r="C1587" t="s">
        <v>19</v>
      </c>
      <c r="D1587" t="s">
        <v>20</v>
      </c>
      <c r="E1587" t="s">
        <v>21</v>
      </c>
      <c r="F1587" t="s">
        <v>51</v>
      </c>
      <c r="G1587" t="s">
        <v>23</v>
      </c>
      <c r="H1587" t="s">
        <v>24</v>
      </c>
      <c r="I1587" t="s">
        <v>3317</v>
      </c>
      <c r="J1587">
        <v>9.9741399699999995</v>
      </c>
      <c r="K1587">
        <v>-84.140312050000006</v>
      </c>
      <c r="L1587" t="s">
        <v>1225</v>
      </c>
      <c r="M1587" t="s">
        <v>27</v>
      </c>
      <c r="N1587" t="s">
        <v>28</v>
      </c>
      <c r="O1587" t="s">
        <v>29</v>
      </c>
      <c r="P1587">
        <v>11</v>
      </c>
      <c r="Q1587" t="s">
        <v>108</v>
      </c>
      <c r="S1587" t="str">
        <f>_xlfn.XLOOKUP(UNIVERSO[[#This Row],[Ruta]],'[1]CUOTA RUTA'!A:A,'[1]CUOTA RUTA'!D:D)</f>
        <v>Cargar</v>
      </c>
    </row>
    <row r="1588" spans="1:19" x14ac:dyDescent="0.25">
      <c r="A1588">
        <v>1500155006</v>
      </c>
      <c r="B1588" t="s">
        <v>3318</v>
      </c>
      <c r="C1588" t="s">
        <v>19</v>
      </c>
      <c r="D1588" t="s">
        <v>32</v>
      </c>
      <c r="E1588" t="s">
        <v>62</v>
      </c>
      <c r="F1588" t="s">
        <v>63</v>
      </c>
      <c r="G1588" t="s">
        <v>64</v>
      </c>
      <c r="H1588" t="s">
        <v>99</v>
      </c>
      <c r="I1588" t="s">
        <v>3319</v>
      </c>
      <c r="J1588">
        <v>9.9286799999999999</v>
      </c>
      <c r="K1588">
        <v>-84.084800000000001</v>
      </c>
      <c r="L1588" t="s">
        <v>1225</v>
      </c>
      <c r="M1588" t="s">
        <v>71</v>
      </c>
      <c r="N1588" t="s">
        <v>72</v>
      </c>
      <c r="O1588" t="s">
        <v>73</v>
      </c>
      <c r="P1588">
        <v>5</v>
      </c>
      <c r="Q1588" t="s">
        <v>117</v>
      </c>
      <c r="S1588" t="str">
        <f>_xlfn.XLOOKUP(UNIVERSO[[#This Row],[Ruta]],'[1]CUOTA RUTA'!A:A,'[1]CUOTA RUTA'!D:D)</f>
        <v>Cargar</v>
      </c>
    </row>
    <row r="1589" spans="1:19" x14ac:dyDescent="0.25">
      <c r="A1589">
        <v>1500155011</v>
      </c>
      <c r="B1589" t="s">
        <v>3320</v>
      </c>
      <c r="C1589" t="s">
        <v>19</v>
      </c>
      <c r="D1589" t="s">
        <v>32</v>
      </c>
      <c r="E1589" t="s">
        <v>21</v>
      </c>
      <c r="F1589" t="s">
        <v>22</v>
      </c>
      <c r="G1589" t="s">
        <v>23</v>
      </c>
      <c r="H1589" t="s">
        <v>86</v>
      </c>
      <c r="I1589" t="s">
        <v>3321</v>
      </c>
      <c r="J1589">
        <v>9.8942540000000001</v>
      </c>
      <c r="K1589">
        <v>-84.072857999999997</v>
      </c>
      <c r="L1589" t="s">
        <v>1225</v>
      </c>
      <c r="M1589" t="s">
        <v>71</v>
      </c>
      <c r="N1589" t="s">
        <v>72</v>
      </c>
      <c r="O1589" t="s">
        <v>73</v>
      </c>
      <c r="P1589">
        <v>7</v>
      </c>
      <c r="Q1589" t="s">
        <v>39</v>
      </c>
      <c r="S1589" t="str">
        <f>_xlfn.XLOOKUP(UNIVERSO[[#This Row],[Ruta]],'[1]CUOTA RUTA'!A:A,'[1]CUOTA RUTA'!D:D)</f>
        <v>Cargar</v>
      </c>
    </row>
    <row r="1590" spans="1:19" x14ac:dyDescent="0.25">
      <c r="A1590">
        <v>1500155199</v>
      </c>
      <c r="B1590" t="s">
        <v>460</v>
      </c>
      <c r="C1590" t="s">
        <v>19</v>
      </c>
      <c r="D1590" t="s">
        <v>32</v>
      </c>
      <c r="E1590" t="s">
        <v>21</v>
      </c>
      <c r="F1590" t="s">
        <v>22</v>
      </c>
      <c r="G1590" t="s">
        <v>33</v>
      </c>
      <c r="H1590" t="s">
        <v>698</v>
      </c>
      <c r="I1590" t="s">
        <v>3322</v>
      </c>
      <c r="J1590">
        <v>9.9445399999999999</v>
      </c>
      <c r="K1590">
        <v>-84.054535000000001</v>
      </c>
      <c r="L1590" t="s">
        <v>1225</v>
      </c>
      <c r="M1590" t="s">
        <v>94</v>
      </c>
      <c r="N1590" t="s">
        <v>95</v>
      </c>
      <c r="O1590" t="s">
        <v>96</v>
      </c>
      <c r="P1590">
        <v>9</v>
      </c>
      <c r="Q1590" t="s">
        <v>80</v>
      </c>
      <c r="S1590" t="str">
        <f>_xlfn.XLOOKUP(UNIVERSO[[#This Row],[Ruta]],'[1]CUOTA RUTA'!A:A,'[1]CUOTA RUTA'!D:D)</f>
        <v>Cargar</v>
      </c>
    </row>
    <row r="1591" spans="1:19" x14ac:dyDescent="0.25">
      <c r="A1591">
        <v>1500155274</v>
      </c>
      <c r="B1591" t="s">
        <v>3323</v>
      </c>
      <c r="C1591" t="s">
        <v>19</v>
      </c>
      <c r="D1591" t="s">
        <v>32</v>
      </c>
      <c r="E1591" t="s">
        <v>21</v>
      </c>
      <c r="F1591" t="s">
        <v>22</v>
      </c>
      <c r="G1591" t="s">
        <v>64</v>
      </c>
      <c r="H1591" t="s">
        <v>625</v>
      </c>
      <c r="I1591" t="s">
        <v>3324</v>
      </c>
      <c r="J1591">
        <v>10.027383333333001</v>
      </c>
      <c r="K1591">
        <v>-84.024019999999993</v>
      </c>
      <c r="L1591" t="s">
        <v>1225</v>
      </c>
      <c r="M1591" t="s">
        <v>94</v>
      </c>
      <c r="N1591" t="s">
        <v>95</v>
      </c>
      <c r="O1591" t="s">
        <v>96</v>
      </c>
      <c r="P1591">
        <v>5</v>
      </c>
      <c r="Q1591" t="s">
        <v>117</v>
      </c>
      <c r="S1591" t="str">
        <f>_xlfn.XLOOKUP(UNIVERSO[[#This Row],[Ruta]],'[1]CUOTA RUTA'!A:A,'[1]CUOTA RUTA'!D:D)</f>
        <v>Cargar</v>
      </c>
    </row>
    <row r="1592" spans="1:19" x14ac:dyDescent="0.25">
      <c r="A1592">
        <v>1500155364</v>
      </c>
      <c r="B1592" t="s">
        <v>3325</v>
      </c>
      <c r="C1592" t="s">
        <v>19</v>
      </c>
      <c r="D1592" t="s">
        <v>32</v>
      </c>
      <c r="E1592" t="s">
        <v>21</v>
      </c>
      <c r="F1592" t="s">
        <v>22</v>
      </c>
      <c r="G1592" t="s">
        <v>33</v>
      </c>
      <c r="H1592" t="s">
        <v>625</v>
      </c>
      <c r="I1592" t="s">
        <v>3326</v>
      </c>
      <c r="J1592">
        <v>9.9764990000000004</v>
      </c>
      <c r="K1592">
        <v>-84.043064999999999</v>
      </c>
      <c r="L1592" t="s">
        <v>1225</v>
      </c>
      <c r="M1592" t="s">
        <v>94</v>
      </c>
      <c r="N1592" t="s">
        <v>95</v>
      </c>
      <c r="O1592" t="s">
        <v>96</v>
      </c>
      <c r="P1592">
        <v>7</v>
      </c>
      <c r="Q1592" t="s">
        <v>39</v>
      </c>
      <c r="S1592" t="str">
        <f>_xlfn.XLOOKUP(UNIVERSO[[#This Row],[Ruta]],'[1]CUOTA RUTA'!A:A,'[1]CUOTA RUTA'!D:D)</f>
        <v>Cargar</v>
      </c>
    </row>
    <row r="1593" spans="1:19" x14ac:dyDescent="0.25">
      <c r="A1593">
        <v>1500155549</v>
      </c>
      <c r="B1593" t="s">
        <v>137</v>
      </c>
      <c r="C1593" t="s">
        <v>19</v>
      </c>
      <c r="D1593" t="s">
        <v>32</v>
      </c>
      <c r="E1593" t="s">
        <v>21</v>
      </c>
      <c r="F1593" t="s">
        <v>22</v>
      </c>
      <c r="G1593" t="s">
        <v>23</v>
      </c>
      <c r="H1593" t="s">
        <v>148</v>
      </c>
      <c r="I1593" t="s">
        <v>3327</v>
      </c>
      <c r="J1593">
        <v>9.985106</v>
      </c>
      <c r="K1593">
        <v>-83.998253000000005</v>
      </c>
      <c r="L1593" t="s">
        <v>1225</v>
      </c>
      <c r="M1593" t="s">
        <v>94</v>
      </c>
      <c r="N1593" t="s">
        <v>95</v>
      </c>
      <c r="O1593" t="s">
        <v>96</v>
      </c>
      <c r="P1593">
        <v>4</v>
      </c>
      <c r="Q1593" t="s">
        <v>120</v>
      </c>
      <c r="S1593" t="str">
        <f>_xlfn.XLOOKUP(UNIVERSO[[#This Row],[Ruta]],'[1]CUOTA RUTA'!A:A,'[1]CUOTA RUTA'!D:D)</f>
        <v>Cargar</v>
      </c>
    </row>
    <row r="1594" spans="1:19" x14ac:dyDescent="0.25">
      <c r="A1594">
        <v>1500155792</v>
      </c>
      <c r="B1594" t="s">
        <v>3328</v>
      </c>
      <c r="C1594" t="s">
        <v>19</v>
      </c>
      <c r="D1594" t="s">
        <v>32</v>
      </c>
      <c r="E1594" t="s">
        <v>21</v>
      </c>
      <c r="F1594" t="s">
        <v>22</v>
      </c>
      <c r="G1594" t="s">
        <v>23</v>
      </c>
      <c r="H1594" t="s">
        <v>174</v>
      </c>
      <c r="I1594" t="s">
        <v>3329</v>
      </c>
      <c r="J1594">
        <v>9.9405479999999997</v>
      </c>
      <c r="K1594">
        <v>-84.082955999999996</v>
      </c>
      <c r="L1594" t="s">
        <v>1225</v>
      </c>
      <c r="M1594" t="s">
        <v>71</v>
      </c>
      <c r="N1594" t="s">
        <v>72</v>
      </c>
      <c r="O1594" t="s">
        <v>73</v>
      </c>
      <c r="P1594">
        <v>2</v>
      </c>
      <c r="Q1594" t="s">
        <v>150</v>
      </c>
      <c r="S1594" t="str">
        <f>_xlfn.XLOOKUP(UNIVERSO[[#This Row],[Ruta]],'[1]CUOTA RUTA'!A:A,'[1]CUOTA RUTA'!D:D)</f>
        <v>Cargar</v>
      </c>
    </row>
    <row r="1595" spans="1:19" x14ac:dyDescent="0.25">
      <c r="A1595">
        <v>1500155850</v>
      </c>
      <c r="B1595" t="s">
        <v>3330</v>
      </c>
      <c r="C1595" t="s">
        <v>19</v>
      </c>
      <c r="D1595" t="s">
        <v>32</v>
      </c>
      <c r="E1595" t="s">
        <v>21</v>
      </c>
      <c r="F1595" t="s">
        <v>22</v>
      </c>
      <c r="G1595" t="s">
        <v>33</v>
      </c>
      <c r="H1595" t="s">
        <v>69</v>
      </c>
      <c r="I1595" t="s">
        <v>3331</v>
      </c>
      <c r="J1595">
        <v>9.8682666666669991</v>
      </c>
      <c r="K1595">
        <v>-84.040071666659998</v>
      </c>
      <c r="L1595" t="s">
        <v>1225</v>
      </c>
      <c r="M1595" t="s">
        <v>71</v>
      </c>
      <c r="N1595" t="s">
        <v>72</v>
      </c>
      <c r="O1595" t="s">
        <v>73</v>
      </c>
      <c r="P1595">
        <v>21</v>
      </c>
      <c r="Q1595" t="s">
        <v>239</v>
      </c>
      <c r="S1595" t="str">
        <f>_xlfn.XLOOKUP(UNIVERSO[[#This Row],[Ruta]],'[1]CUOTA RUTA'!A:A,'[1]CUOTA RUTA'!D:D)</f>
        <v>Cargar</v>
      </c>
    </row>
    <row r="1596" spans="1:19" x14ac:dyDescent="0.25">
      <c r="A1596">
        <v>1500156134</v>
      </c>
      <c r="B1596" t="s">
        <v>3332</v>
      </c>
      <c r="C1596" t="s">
        <v>19</v>
      </c>
      <c r="D1596" t="s">
        <v>266</v>
      </c>
      <c r="E1596" t="s">
        <v>21</v>
      </c>
      <c r="F1596" t="s">
        <v>22</v>
      </c>
      <c r="G1596" t="s">
        <v>33</v>
      </c>
      <c r="H1596" t="s">
        <v>706</v>
      </c>
      <c r="I1596" t="s">
        <v>3333</v>
      </c>
      <c r="J1596">
        <v>9.8618729999999992</v>
      </c>
      <c r="K1596">
        <v>-83.932839000000001</v>
      </c>
      <c r="L1596" t="s">
        <v>1225</v>
      </c>
      <c r="M1596" t="s">
        <v>36</v>
      </c>
      <c r="N1596" t="s">
        <v>316</v>
      </c>
      <c r="O1596" t="s">
        <v>317</v>
      </c>
      <c r="P1596">
        <v>16</v>
      </c>
      <c r="Q1596" t="s">
        <v>60</v>
      </c>
      <c r="S1596" t="str">
        <f>_xlfn.XLOOKUP(UNIVERSO[[#This Row],[Ruta]],'[1]CUOTA RUTA'!A:A,'[1]CUOTA RUTA'!D:D)</f>
        <v>Cargar</v>
      </c>
    </row>
    <row r="1597" spans="1:19" x14ac:dyDescent="0.25">
      <c r="A1597">
        <v>1500156160</v>
      </c>
      <c r="B1597" t="s">
        <v>3334</v>
      </c>
      <c r="C1597" t="s">
        <v>19</v>
      </c>
      <c r="D1597" t="s">
        <v>266</v>
      </c>
      <c r="E1597" t="s">
        <v>21</v>
      </c>
      <c r="F1597" t="s">
        <v>22</v>
      </c>
      <c r="G1597" t="s">
        <v>64</v>
      </c>
      <c r="H1597" t="s">
        <v>1011</v>
      </c>
      <c r="I1597" t="s">
        <v>3335</v>
      </c>
      <c r="J1597">
        <v>9.8969453000000005</v>
      </c>
      <c r="K1597">
        <v>-83.876308699999996</v>
      </c>
      <c r="L1597" t="s">
        <v>1225</v>
      </c>
      <c r="M1597" t="s">
        <v>54</v>
      </c>
      <c r="N1597" t="s">
        <v>274</v>
      </c>
      <c r="O1597" t="s">
        <v>275</v>
      </c>
      <c r="P1597">
        <v>20</v>
      </c>
      <c r="Q1597" t="s">
        <v>74</v>
      </c>
      <c r="S1597" t="str">
        <f>_xlfn.XLOOKUP(UNIVERSO[[#This Row],[Ruta]],'[1]CUOTA RUTA'!A:A,'[1]CUOTA RUTA'!D:D)</f>
        <v>Cargar</v>
      </c>
    </row>
    <row r="1598" spans="1:19" x14ac:dyDescent="0.25">
      <c r="A1598">
        <v>1500156170</v>
      </c>
      <c r="B1598" t="s">
        <v>3336</v>
      </c>
      <c r="C1598" t="s">
        <v>19</v>
      </c>
      <c r="D1598" t="s">
        <v>32</v>
      </c>
      <c r="E1598" t="s">
        <v>21</v>
      </c>
      <c r="F1598" t="s">
        <v>22</v>
      </c>
      <c r="G1598" t="s">
        <v>33</v>
      </c>
      <c r="H1598" t="s">
        <v>425</v>
      </c>
      <c r="I1598" t="s">
        <v>3337</v>
      </c>
      <c r="J1598">
        <v>9.8720700000000008</v>
      </c>
      <c r="K1598">
        <v>-84.085434000000006</v>
      </c>
      <c r="L1598" t="s">
        <v>1225</v>
      </c>
      <c r="M1598" t="s">
        <v>71</v>
      </c>
      <c r="N1598" t="s">
        <v>72</v>
      </c>
      <c r="O1598" t="s">
        <v>73</v>
      </c>
      <c r="P1598">
        <v>17</v>
      </c>
      <c r="Q1598" t="s">
        <v>287</v>
      </c>
      <c r="S1598" t="str">
        <f>_xlfn.XLOOKUP(UNIVERSO[[#This Row],[Ruta]],'[1]CUOTA RUTA'!A:A,'[1]CUOTA RUTA'!D:D)</f>
        <v>Cargar</v>
      </c>
    </row>
    <row r="1599" spans="1:19" x14ac:dyDescent="0.25">
      <c r="A1599">
        <v>1500156213</v>
      </c>
      <c r="B1599" t="s">
        <v>3338</v>
      </c>
      <c r="C1599" t="s">
        <v>19</v>
      </c>
      <c r="D1599" t="s">
        <v>32</v>
      </c>
      <c r="E1599" t="s">
        <v>21</v>
      </c>
      <c r="F1599" t="s">
        <v>22</v>
      </c>
      <c r="G1599" t="s">
        <v>23</v>
      </c>
      <c r="H1599" t="s">
        <v>441</v>
      </c>
      <c r="I1599" t="s">
        <v>3339</v>
      </c>
      <c r="J1599">
        <v>9.9837375000000002</v>
      </c>
      <c r="K1599">
        <v>-84.084255400000004</v>
      </c>
      <c r="L1599" t="s">
        <v>1225</v>
      </c>
      <c r="M1599" t="s">
        <v>71</v>
      </c>
      <c r="N1599" t="s">
        <v>72</v>
      </c>
      <c r="O1599" t="s">
        <v>73</v>
      </c>
      <c r="P1599">
        <v>23</v>
      </c>
      <c r="Q1599" t="s">
        <v>125</v>
      </c>
      <c r="S1599" t="str">
        <f>_xlfn.XLOOKUP(UNIVERSO[[#This Row],[Ruta]],'[1]CUOTA RUTA'!A:A,'[1]CUOTA RUTA'!D:D)</f>
        <v>Cargar</v>
      </c>
    </row>
    <row r="1600" spans="1:19" x14ac:dyDescent="0.25">
      <c r="A1600">
        <v>1500156324</v>
      </c>
      <c r="B1600" t="s">
        <v>3340</v>
      </c>
      <c r="C1600" t="s">
        <v>19</v>
      </c>
      <c r="D1600" t="s">
        <v>266</v>
      </c>
      <c r="E1600" t="s">
        <v>21</v>
      </c>
      <c r="F1600" t="s">
        <v>22</v>
      </c>
      <c r="G1600" t="s">
        <v>33</v>
      </c>
      <c r="H1600" t="s">
        <v>706</v>
      </c>
      <c r="I1600" t="s">
        <v>3341</v>
      </c>
      <c r="J1600">
        <v>9.8597099999999998</v>
      </c>
      <c r="K1600">
        <v>-83.940037000000004</v>
      </c>
      <c r="L1600" t="s">
        <v>1225</v>
      </c>
      <c r="M1600" t="s">
        <v>36</v>
      </c>
      <c r="N1600" t="s">
        <v>316</v>
      </c>
      <c r="O1600" t="s">
        <v>317</v>
      </c>
      <c r="P1600">
        <v>18</v>
      </c>
      <c r="Q1600" t="s">
        <v>84</v>
      </c>
      <c r="S1600" t="str">
        <f>_xlfn.XLOOKUP(UNIVERSO[[#This Row],[Ruta]],'[1]CUOTA RUTA'!A:A,'[1]CUOTA RUTA'!D:D)</f>
        <v>Cargar</v>
      </c>
    </row>
    <row r="1601" spans="1:19" x14ac:dyDescent="0.25">
      <c r="A1601">
        <v>1500156537</v>
      </c>
      <c r="B1601" t="s">
        <v>3342</v>
      </c>
      <c r="C1601" t="s">
        <v>19</v>
      </c>
      <c r="D1601" t="s">
        <v>32</v>
      </c>
      <c r="E1601" t="s">
        <v>21</v>
      </c>
      <c r="F1601" t="s">
        <v>22</v>
      </c>
      <c r="G1601" t="s">
        <v>33</v>
      </c>
      <c r="H1601" t="s">
        <v>69</v>
      </c>
      <c r="I1601" t="s">
        <v>3343</v>
      </c>
      <c r="J1601">
        <v>9.867633333333</v>
      </c>
      <c r="K1601">
        <v>-84.06322666666</v>
      </c>
      <c r="L1601" t="s">
        <v>1225</v>
      </c>
      <c r="M1601" t="s">
        <v>71</v>
      </c>
      <c r="N1601" t="s">
        <v>72</v>
      </c>
      <c r="O1601" t="s">
        <v>73</v>
      </c>
      <c r="P1601">
        <v>20</v>
      </c>
      <c r="Q1601" t="s">
        <v>74</v>
      </c>
      <c r="S1601" t="str">
        <f>_xlfn.XLOOKUP(UNIVERSO[[#This Row],[Ruta]],'[1]CUOTA RUTA'!A:A,'[1]CUOTA RUTA'!D:D)</f>
        <v>Cargar</v>
      </c>
    </row>
    <row r="1602" spans="1:19" x14ac:dyDescent="0.25">
      <c r="A1602">
        <v>1500156749</v>
      </c>
      <c r="B1602" t="s">
        <v>3344</v>
      </c>
      <c r="C1602" t="s">
        <v>19</v>
      </c>
      <c r="D1602" t="s">
        <v>32</v>
      </c>
      <c r="E1602" t="s">
        <v>21</v>
      </c>
      <c r="F1602" t="s">
        <v>22</v>
      </c>
      <c r="G1602" t="s">
        <v>64</v>
      </c>
      <c r="H1602" t="s">
        <v>92</v>
      </c>
      <c r="I1602" t="s">
        <v>3345</v>
      </c>
      <c r="J1602">
        <v>9.9697870000000002</v>
      </c>
      <c r="K1602">
        <v>-84.019608000000005</v>
      </c>
      <c r="L1602" t="s">
        <v>1225</v>
      </c>
      <c r="M1602" t="s">
        <v>94</v>
      </c>
      <c r="N1602" t="s">
        <v>95</v>
      </c>
      <c r="O1602" t="s">
        <v>96</v>
      </c>
      <c r="P1602">
        <v>3</v>
      </c>
      <c r="Q1602" t="s">
        <v>101</v>
      </c>
      <c r="S1602" t="str">
        <f>_xlfn.XLOOKUP(UNIVERSO[[#This Row],[Ruta]],'[1]CUOTA RUTA'!A:A,'[1]CUOTA RUTA'!D:D)</f>
        <v>Cargar</v>
      </c>
    </row>
    <row r="1603" spans="1:19" x14ac:dyDescent="0.25">
      <c r="A1603">
        <v>1500157104</v>
      </c>
      <c r="B1603" t="s">
        <v>3346</v>
      </c>
      <c r="C1603" t="s">
        <v>19</v>
      </c>
      <c r="D1603" t="s">
        <v>337</v>
      </c>
      <c r="E1603" t="s">
        <v>21</v>
      </c>
      <c r="F1603" t="s">
        <v>22</v>
      </c>
      <c r="G1603" t="s">
        <v>33</v>
      </c>
      <c r="H1603" t="s">
        <v>346</v>
      </c>
      <c r="I1603" t="s">
        <v>3347</v>
      </c>
      <c r="J1603">
        <v>10.60486248</v>
      </c>
      <c r="K1603">
        <v>-85.441521080000001</v>
      </c>
      <c r="L1603" t="s">
        <v>1225</v>
      </c>
      <c r="M1603" t="s">
        <v>327</v>
      </c>
      <c r="N1603" t="s">
        <v>340</v>
      </c>
      <c r="O1603" t="s">
        <v>341</v>
      </c>
      <c r="P1603">
        <v>14</v>
      </c>
      <c r="Q1603" t="s">
        <v>181</v>
      </c>
      <c r="S1603" t="str">
        <f>_xlfn.XLOOKUP(UNIVERSO[[#This Row],[Ruta]],'[1]CUOTA RUTA'!A:A,'[1]CUOTA RUTA'!D:D)</f>
        <v>Cargar</v>
      </c>
    </row>
    <row r="1604" spans="1:19" x14ac:dyDescent="0.25">
      <c r="A1604">
        <v>1500157160</v>
      </c>
      <c r="B1604" t="s">
        <v>3348</v>
      </c>
      <c r="C1604" t="s">
        <v>19</v>
      </c>
      <c r="D1604" t="s">
        <v>337</v>
      </c>
      <c r="E1604" t="s">
        <v>21</v>
      </c>
      <c r="F1604" t="s">
        <v>22</v>
      </c>
      <c r="G1604" t="s">
        <v>33</v>
      </c>
      <c r="H1604" t="s">
        <v>338</v>
      </c>
      <c r="I1604" t="s">
        <v>3349</v>
      </c>
      <c r="J1604">
        <v>10.42698257</v>
      </c>
      <c r="K1604">
        <v>-85.099468099999996</v>
      </c>
      <c r="L1604" t="s">
        <v>1225</v>
      </c>
      <c r="M1604" t="s">
        <v>327</v>
      </c>
      <c r="N1604" t="s">
        <v>340</v>
      </c>
      <c r="O1604" t="s">
        <v>341</v>
      </c>
      <c r="P1604">
        <v>22</v>
      </c>
      <c r="Q1604" t="s">
        <v>30</v>
      </c>
      <c r="S1604" t="str">
        <f>_xlfn.XLOOKUP(UNIVERSO[[#This Row],[Ruta]],'[1]CUOTA RUTA'!A:A,'[1]CUOTA RUTA'!D:D)</f>
        <v>Cargar</v>
      </c>
    </row>
    <row r="1605" spans="1:19" x14ac:dyDescent="0.25">
      <c r="A1605">
        <v>1500157481</v>
      </c>
      <c r="B1605" t="s">
        <v>3350</v>
      </c>
      <c r="C1605" t="s">
        <v>19</v>
      </c>
      <c r="D1605" t="s">
        <v>337</v>
      </c>
      <c r="E1605" t="s">
        <v>21</v>
      </c>
      <c r="F1605" t="s">
        <v>22</v>
      </c>
      <c r="G1605" t="s">
        <v>64</v>
      </c>
      <c r="H1605" t="s">
        <v>343</v>
      </c>
      <c r="I1605" t="s">
        <v>3351</v>
      </c>
      <c r="J1605">
        <v>10.38805471</v>
      </c>
      <c r="K1605">
        <v>-85.668607859999995</v>
      </c>
      <c r="L1605" t="s">
        <v>1225</v>
      </c>
      <c r="M1605" t="s">
        <v>327</v>
      </c>
      <c r="N1605" t="s">
        <v>340</v>
      </c>
      <c r="O1605" t="s">
        <v>341</v>
      </c>
      <c r="P1605">
        <v>17</v>
      </c>
      <c r="Q1605" t="s">
        <v>287</v>
      </c>
      <c r="S1605" t="str">
        <f>_xlfn.XLOOKUP(UNIVERSO[[#This Row],[Ruta]],'[1]CUOTA RUTA'!A:A,'[1]CUOTA RUTA'!D:D)</f>
        <v>Cargar</v>
      </c>
    </row>
    <row r="1606" spans="1:19" x14ac:dyDescent="0.25">
      <c r="A1606">
        <v>1500157705</v>
      </c>
      <c r="B1606" t="s">
        <v>3352</v>
      </c>
      <c r="C1606" t="s">
        <v>19</v>
      </c>
      <c r="D1606" t="s">
        <v>337</v>
      </c>
      <c r="E1606" t="s">
        <v>21</v>
      </c>
      <c r="F1606" t="s">
        <v>22</v>
      </c>
      <c r="G1606" t="s">
        <v>33</v>
      </c>
      <c r="H1606" t="s">
        <v>451</v>
      </c>
      <c r="I1606" t="s">
        <v>3353</v>
      </c>
      <c r="J1606">
        <v>10.650188</v>
      </c>
      <c r="K1606">
        <v>-85.436484399999998</v>
      </c>
      <c r="L1606" t="s">
        <v>1225</v>
      </c>
      <c r="M1606" t="s">
        <v>327</v>
      </c>
      <c r="N1606" t="s">
        <v>340</v>
      </c>
      <c r="O1606" t="s">
        <v>341</v>
      </c>
      <c r="P1606">
        <v>12</v>
      </c>
      <c r="Q1606" t="s">
        <v>42</v>
      </c>
      <c r="S1606" t="str">
        <f>_xlfn.XLOOKUP(UNIVERSO[[#This Row],[Ruta]],'[1]CUOTA RUTA'!A:A,'[1]CUOTA RUTA'!D:D)</f>
        <v>Cargar</v>
      </c>
    </row>
    <row r="1607" spans="1:19" x14ac:dyDescent="0.25">
      <c r="A1607">
        <v>1500157748</v>
      </c>
      <c r="B1607" t="s">
        <v>3354</v>
      </c>
      <c r="C1607" t="s">
        <v>19</v>
      </c>
      <c r="D1607" t="s">
        <v>337</v>
      </c>
      <c r="E1607" t="s">
        <v>21</v>
      </c>
      <c r="F1607" t="s">
        <v>22</v>
      </c>
      <c r="G1607" t="s">
        <v>33</v>
      </c>
      <c r="H1607" t="s">
        <v>1732</v>
      </c>
      <c r="I1607" t="s">
        <v>3355</v>
      </c>
      <c r="J1607">
        <v>10.4730978</v>
      </c>
      <c r="K1607">
        <v>-84.967284100000001</v>
      </c>
      <c r="L1607" t="s">
        <v>1225</v>
      </c>
      <c r="M1607" t="s">
        <v>327</v>
      </c>
      <c r="N1607" t="s">
        <v>340</v>
      </c>
      <c r="O1607" t="s">
        <v>341</v>
      </c>
      <c r="P1607">
        <v>22</v>
      </c>
      <c r="Q1607" t="s">
        <v>30</v>
      </c>
      <c r="S1607" t="str">
        <f>_xlfn.XLOOKUP(UNIVERSO[[#This Row],[Ruta]],'[1]CUOTA RUTA'!A:A,'[1]CUOTA RUTA'!D:D)</f>
        <v>Cargar</v>
      </c>
    </row>
    <row r="1608" spans="1:19" x14ac:dyDescent="0.25">
      <c r="A1608">
        <v>1500158154</v>
      </c>
      <c r="B1608" t="s">
        <v>3356</v>
      </c>
      <c r="C1608" t="s">
        <v>19</v>
      </c>
      <c r="D1608" t="s">
        <v>349</v>
      </c>
      <c r="E1608" t="s">
        <v>21</v>
      </c>
      <c r="F1608" t="s">
        <v>51</v>
      </c>
      <c r="G1608" t="s">
        <v>23</v>
      </c>
      <c r="H1608" t="s">
        <v>359</v>
      </c>
      <c r="I1608" t="s">
        <v>3357</v>
      </c>
      <c r="J1608">
        <v>10.247451999999999</v>
      </c>
      <c r="K1608">
        <v>-85.811043999999995</v>
      </c>
      <c r="L1608" t="s">
        <v>1225</v>
      </c>
      <c r="M1608" t="s">
        <v>352</v>
      </c>
      <c r="N1608" t="s">
        <v>353</v>
      </c>
      <c r="O1608" t="s">
        <v>354</v>
      </c>
      <c r="P1608">
        <v>6</v>
      </c>
      <c r="Q1608" t="s">
        <v>49</v>
      </c>
      <c r="S1608" t="str">
        <f>_xlfn.XLOOKUP(UNIVERSO[[#This Row],[Ruta]],'[1]CUOTA RUTA'!A:A,'[1]CUOTA RUTA'!D:D)</f>
        <v>Cargar</v>
      </c>
    </row>
    <row r="1609" spans="1:19" x14ac:dyDescent="0.25">
      <c r="A1609">
        <v>1500158236</v>
      </c>
      <c r="B1609" t="s">
        <v>3358</v>
      </c>
      <c r="C1609" t="s">
        <v>19</v>
      </c>
      <c r="D1609" t="s">
        <v>349</v>
      </c>
      <c r="E1609" t="s">
        <v>21</v>
      </c>
      <c r="F1609" t="s">
        <v>22</v>
      </c>
      <c r="G1609" t="s">
        <v>33</v>
      </c>
      <c r="H1609" t="s">
        <v>359</v>
      </c>
      <c r="I1609" t="s">
        <v>3359</v>
      </c>
      <c r="J1609">
        <v>10.287706</v>
      </c>
      <c r="K1609">
        <v>-85.773269999999997</v>
      </c>
      <c r="L1609" t="s">
        <v>1225</v>
      </c>
      <c r="M1609" t="s">
        <v>352</v>
      </c>
      <c r="N1609" t="s">
        <v>353</v>
      </c>
      <c r="O1609" t="s">
        <v>354</v>
      </c>
      <c r="P1609">
        <v>4</v>
      </c>
      <c r="Q1609" t="s">
        <v>120</v>
      </c>
      <c r="S1609" t="str">
        <f>_xlfn.XLOOKUP(UNIVERSO[[#This Row],[Ruta]],'[1]CUOTA RUTA'!A:A,'[1]CUOTA RUTA'!D:D)</f>
        <v>Cargar</v>
      </c>
    </row>
    <row r="1610" spans="1:19" x14ac:dyDescent="0.25">
      <c r="A1610">
        <v>1500158392</v>
      </c>
      <c r="B1610" t="s">
        <v>3360</v>
      </c>
      <c r="C1610" t="s">
        <v>19</v>
      </c>
      <c r="D1610" t="s">
        <v>337</v>
      </c>
      <c r="E1610" t="s">
        <v>21</v>
      </c>
      <c r="F1610" t="s">
        <v>51</v>
      </c>
      <c r="G1610" t="s">
        <v>23</v>
      </c>
      <c r="H1610" t="s">
        <v>576</v>
      </c>
      <c r="I1610" t="s">
        <v>3361</v>
      </c>
      <c r="J1610">
        <v>10.624423</v>
      </c>
      <c r="K1610">
        <v>-85.454787999999994</v>
      </c>
      <c r="L1610" t="s">
        <v>1225</v>
      </c>
      <c r="M1610" t="s">
        <v>327</v>
      </c>
      <c r="N1610" t="s">
        <v>340</v>
      </c>
      <c r="O1610" t="s">
        <v>341</v>
      </c>
      <c r="P1610">
        <v>14</v>
      </c>
      <c r="Q1610" t="s">
        <v>181</v>
      </c>
      <c r="S1610" t="str">
        <f>_xlfn.XLOOKUP(UNIVERSO[[#This Row],[Ruta]],'[1]CUOTA RUTA'!A:A,'[1]CUOTA RUTA'!D:D)</f>
        <v>Cargar</v>
      </c>
    </row>
    <row r="1611" spans="1:19" x14ac:dyDescent="0.25">
      <c r="A1611">
        <v>1500158788</v>
      </c>
      <c r="B1611" t="s">
        <v>3362</v>
      </c>
      <c r="C1611" t="s">
        <v>19</v>
      </c>
      <c r="D1611" t="s">
        <v>337</v>
      </c>
      <c r="E1611" t="s">
        <v>21</v>
      </c>
      <c r="F1611" t="s">
        <v>22</v>
      </c>
      <c r="G1611" t="s">
        <v>23</v>
      </c>
      <c r="H1611" t="s">
        <v>451</v>
      </c>
      <c r="I1611" t="s">
        <v>3363</v>
      </c>
      <c r="J1611">
        <v>10.647131999999999</v>
      </c>
      <c r="K1611">
        <v>-85.430176000000003</v>
      </c>
      <c r="L1611" t="s">
        <v>1225</v>
      </c>
      <c r="M1611" t="s">
        <v>327</v>
      </c>
      <c r="N1611" t="s">
        <v>340</v>
      </c>
      <c r="O1611" t="s">
        <v>341</v>
      </c>
      <c r="P1611">
        <v>12</v>
      </c>
      <c r="Q1611" t="s">
        <v>42</v>
      </c>
      <c r="S1611" t="str">
        <f>_xlfn.XLOOKUP(UNIVERSO[[#This Row],[Ruta]],'[1]CUOTA RUTA'!A:A,'[1]CUOTA RUTA'!D:D)</f>
        <v>Cargar</v>
      </c>
    </row>
    <row r="1612" spans="1:19" x14ac:dyDescent="0.25">
      <c r="A1612">
        <v>1500159139</v>
      </c>
      <c r="B1612" t="s">
        <v>3364</v>
      </c>
      <c r="C1612" t="s">
        <v>19</v>
      </c>
      <c r="D1612" t="s">
        <v>349</v>
      </c>
      <c r="E1612" t="s">
        <v>21</v>
      </c>
      <c r="F1612" t="s">
        <v>51</v>
      </c>
      <c r="G1612" t="s">
        <v>23</v>
      </c>
      <c r="H1612" t="s">
        <v>908</v>
      </c>
      <c r="I1612" t="s">
        <v>3365</v>
      </c>
      <c r="J1612">
        <v>9.9103010000000005</v>
      </c>
      <c r="K1612">
        <v>-85.644204999999999</v>
      </c>
      <c r="L1612" t="s">
        <v>1225</v>
      </c>
      <c r="M1612" t="s">
        <v>352</v>
      </c>
      <c r="N1612" t="s">
        <v>353</v>
      </c>
      <c r="O1612" t="s">
        <v>354</v>
      </c>
      <c r="P1612">
        <v>7</v>
      </c>
      <c r="Q1612" t="s">
        <v>39</v>
      </c>
      <c r="S1612" t="str">
        <f>_xlfn.XLOOKUP(UNIVERSO[[#This Row],[Ruta]],'[1]CUOTA RUTA'!A:A,'[1]CUOTA RUTA'!D:D)</f>
        <v>Cargar</v>
      </c>
    </row>
    <row r="1613" spans="1:19" x14ac:dyDescent="0.25">
      <c r="A1613">
        <v>1500159299</v>
      </c>
      <c r="B1613" t="s">
        <v>3366</v>
      </c>
      <c r="C1613" t="s">
        <v>19</v>
      </c>
      <c r="D1613" t="s">
        <v>349</v>
      </c>
      <c r="E1613" t="s">
        <v>21</v>
      </c>
      <c r="F1613" t="s">
        <v>22</v>
      </c>
      <c r="G1613" t="s">
        <v>23</v>
      </c>
      <c r="H1613" t="s">
        <v>908</v>
      </c>
      <c r="I1613" t="s">
        <v>3367</v>
      </c>
      <c r="J1613">
        <v>9.9691240000000008</v>
      </c>
      <c r="K1613">
        <v>-85.645527000000001</v>
      </c>
      <c r="L1613" t="s">
        <v>1225</v>
      </c>
      <c r="M1613" t="s">
        <v>352</v>
      </c>
      <c r="N1613" t="s">
        <v>353</v>
      </c>
      <c r="O1613" t="s">
        <v>354</v>
      </c>
      <c r="P1613">
        <v>7</v>
      </c>
      <c r="Q1613" t="s">
        <v>39</v>
      </c>
      <c r="S1613" t="str">
        <f>_xlfn.XLOOKUP(UNIVERSO[[#This Row],[Ruta]],'[1]CUOTA RUTA'!A:A,'[1]CUOTA RUTA'!D:D)</f>
        <v>Cargar</v>
      </c>
    </row>
    <row r="1614" spans="1:19" x14ac:dyDescent="0.25">
      <c r="A1614">
        <v>1500159483</v>
      </c>
      <c r="B1614" t="s">
        <v>1928</v>
      </c>
      <c r="C1614" t="s">
        <v>19</v>
      </c>
      <c r="D1614" t="s">
        <v>201</v>
      </c>
      <c r="E1614" t="s">
        <v>21</v>
      </c>
      <c r="F1614" t="s">
        <v>22</v>
      </c>
      <c r="G1614" t="s">
        <v>33</v>
      </c>
      <c r="H1614" t="s">
        <v>334</v>
      </c>
      <c r="I1614" t="s">
        <v>3368</v>
      </c>
      <c r="J1614">
        <v>9.9859323</v>
      </c>
      <c r="K1614">
        <v>-84.712757800000006</v>
      </c>
      <c r="L1614" t="s">
        <v>1225</v>
      </c>
      <c r="M1614" t="s">
        <v>204</v>
      </c>
      <c r="N1614" t="s">
        <v>205</v>
      </c>
      <c r="O1614" t="s">
        <v>206</v>
      </c>
      <c r="P1614">
        <v>8</v>
      </c>
      <c r="Q1614" t="s">
        <v>97</v>
      </c>
      <c r="S1614" t="str">
        <f>_xlfn.XLOOKUP(UNIVERSO[[#This Row],[Ruta]],'[1]CUOTA RUTA'!A:A,'[1]CUOTA RUTA'!D:D)</f>
        <v>Cargar</v>
      </c>
    </row>
    <row r="1615" spans="1:19" x14ac:dyDescent="0.25">
      <c r="A1615">
        <v>1500159495</v>
      </c>
      <c r="B1615" t="s">
        <v>3369</v>
      </c>
      <c r="C1615" t="s">
        <v>19</v>
      </c>
      <c r="D1615" t="s">
        <v>201</v>
      </c>
      <c r="E1615" t="s">
        <v>21</v>
      </c>
      <c r="F1615" t="s">
        <v>22</v>
      </c>
      <c r="G1615" t="s">
        <v>64</v>
      </c>
      <c r="H1615" t="s">
        <v>593</v>
      </c>
      <c r="I1615" t="s">
        <v>3370</v>
      </c>
      <c r="J1615">
        <v>9.9815859000000007</v>
      </c>
      <c r="K1615">
        <v>-84.762216600000002</v>
      </c>
      <c r="L1615" t="s">
        <v>1225</v>
      </c>
      <c r="M1615" t="s">
        <v>204</v>
      </c>
      <c r="N1615" t="s">
        <v>205</v>
      </c>
      <c r="O1615" t="s">
        <v>206</v>
      </c>
      <c r="P1615">
        <v>10</v>
      </c>
      <c r="Q1615" t="s">
        <v>136</v>
      </c>
      <c r="S1615" t="str">
        <f>_xlfn.XLOOKUP(UNIVERSO[[#This Row],[Ruta]],'[1]CUOTA RUTA'!A:A,'[1]CUOTA RUTA'!D:D)</f>
        <v>Cargar</v>
      </c>
    </row>
    <row r="1616" spans="1:19" x14ac:dyDescent="0.25">
      <c r="A1616">
        <v>1500159571</v>
      </c>
      <c r="B1616" t="s">
        <v>3371</v>
      </c>
      <c r="C1616" t="s">
        <v>19</v>
      </c>
      <c r="D1616" t="s">
        <v>201</v>
      </c>
      <c r="E1616" t="s">
        <v>21</v>
      </c>
      <c r="F1616" t="s">
        <v>22</v>
      </c>
      <c r="G1616" t="s">
        <v>23</v>
      </c>
      <c r="H1616" t="s">
        <v>491</v>
      </c>
      <c r="I1616" t="s">
        <v>3372</v>
      </c>
      <c r="J1616">
        <v>9.7601443999999997</v>
      </c>
      <c r="K1616">
        <v>-84.626687799999999</v>
      </c>
      <c r="L1616" t="s">
        <v>1225</v>
      </c>
      <c r="M1616" t="s">
        <v>204</v>
      </c>
      <c r="N1616" t="s">
        <v>205</v>
      </c>
      <c r="O1616" t="s">
        <v>206</v>
      </c>
      <c r="P1616">
        <v>4</v>
      </c>
      <c r="Q1616" t="s">
        <v>120</v>
      </c>
      <c r="S1616" t="str">
        <f>_xlfn.XLOOKUP(UNIVERSO[[#This Row],[Ruta]],'[1]CUOTA RUTA'!A:A,'[1]CUOTA RUTA'!D:D)</f>
        <v>Cargar</v>
      </c>
    </row>
    <row r="1617" spans="1:19" x14ac:dyDescent="0.25">
      <c r="A1617">
        <v>1500159622</v>
      </c>
      <c r="B1617" t="s">
        <v>3373</v>
      </c>
      <c r="C1617" t="s">
        <v>19</v>
      </c>
      <c r="D1617" t="s">
        <v>201</v>
      </c>
      <c r="E1617" t="s">
        <v>21</v>
      </c>
      <c r="F1617" t="s">
        <v>22</v>
      </c>
      <c r="G1617" t="s">
        <v>33</v>
      </c>
      <c r="H1617" t="s">
        <v>334</v>
      </c>
      <c r="I1617" t="s">
        <v>3374</v>
      </c>
      <c r="J1617">
        <v>9.9911989000000005</v>
      </c>
      <c r="K1617">
        <v>-84.668510499999996</v>
      </c>
      <c r="L1617" t="s">
        <v>1225</v>
      </c>
      <c r="M1617" t="s">
        <v>204</v>
      </c>
      <c r="N1617" t="s">
        <v>205</v>
      </c>
      <c r="O1617" t="s">
        <v>206</v>
      </c>
      <c r="P1617">
        <v>13</v>
      </c>
      <c r="Q1617" t="s">
        <v>161</v>
      </c>
      <c r="S1617" t="str">
        <f>_xlfn.XLOOKUP(UNIVERSO[[#This Row],[Ruta]],'[1]CUOTA RUTA'!A:A,'[1]CUOTA RUTA'!D:D)</f>
        <v>Cargar</v>
      </c>
    </row>
    <row r="1618" spans="1:19" x14ac:dyDescent="0.25">
      <c r="A1618">
        <v>1500159729</v>
      </c>
      <c r="B1618" t="s">
        <v>3375</v>
      </c>
      <c r="C1618" t="s">
        <v>19</v>
      </c>
      <c r="D1618" t="s">
        <v>201</v>
      </c>
      <c r="E1618" t="s">
        <v>21</v>
      </c>
      <c r="F1618" t="s">
        <v>22</v>
      </c>
      <c r="G1618" t="s">
        <v>33</v>
      </c>
      <c r="H1618" t="s">
        <v>499</v>
      </c>
      <c r="I1618" t="s">
        <v>3376</v>
      </c>
      <c r="J1618">
        <v>9.9228199999999998</v>
      </c>
      <c r="K1618">
        <v>-84.708680000000001</v>
      </c>
      <c r="L1618" t="s">
        <v>1225</v>
      </c>
      <c r="M1618" t="s">
        <v>204</v>
      </c>
      <c r="N1618" t="s">
        <v>205</v>
      </c>
      <c r="O1618" t="s">
        <v>206</v>
      </c>
      <c r="P1618">
        <v>7</v>
      </c>
      <c r="Q1618" t="s">
        <v>39</v>
      </c>
      <c r="S1618" t="str">
        <f>_xlfn.XLOOKUP(UNIVERSO[[#This Row],[Ruta]],'[1]CUOTA RUTA'!A:A,'[1]CUOTA RUTA'!D:D)</f>
        <v>Cargar</v>
      </c>
    </row>
    <row r="1619" spans="1:19" x14ac:dyDescent="0.25">
      <c r="A1619">
        <v>1500159777</v>
      </c>
      <c r="B1619" t="s">
        <v>3377</v>
      </c>
      <c r="C1619" t="s">
        <v>19</v>
      </c>
      <c r="D1619" t="s">
        <v>349</v>
      </c>
      <c r="E1619" t="s">
        <v>21</v>
      </c>
      <c r="F1619" t="s">
        <v>22</v>
      </c>
      <c r="G1619" t="s">
        <v>64</v>
      </c>
      <c r="H1619" t="s">
        <v>359</v>
      </c>
      <c r="I1619" t="s">
        <v>3378</v>
      </c>
      <c r="J1619">
        <v>10.078569999999999</v>
      </c>
      <c r="K1619">
        <v>-85.488952999999995</v>
      </c>
      <c r="L1619" t="s">
        <v>1225</v>
      </c>
      <c r="M1619" t="s">
        <v>352</v>
      </c>
      <c r="N1619" t="s">
        <v>353</v>
      </c>
      <c r="O1619" t="s">
        <v>354</v>
      </c>
      <c r="P1619">
        <v>14</v>
      </c>
      <c r="Q1619" t="s">
        <v>181</v>
      </c>
      <c r="S1619" t="str">
        <f>_xlfn.XLOOKUP(UNIVERSO[[#This Row],[Ruta]],'[1]CUOTA RUTA'!A:A,'[1]CUOTA RUTA'!D:D)</f>
        <v>Cargar</v>
      </c>
    </row>
    <row r="1620" spans="1:19" x14ac:dyDescent="0.25">
      <c r="A1620">
        <v>1500159796</v>
      </c>
      <c r="B1620" t="s">
        <v>3379</v>
      </c>
      <c r="C1620" t="s">
        <v>19</v>
      </c>
      <c r="D1620" t="s">
        <v>349</v>
      </c>
      <c r="E1620" t="s">
        <v>21</v>
      </c>
      <c r="F1620" t="s">
        <v>22</v>
      </c>
      <c r="G1620" t="s">
        <v>33</v>
      </c>
      <c r="H1620" t="s">
        <v>359</v>
      </c>
      <c r="I1620" t="s">
        <v>3380</v>
      </c>
      <c r="J1620">
        <v>9.9919200000000004</v>
      </c>
      <c r="K1620">
        <v>-85.149078000000003</v>
      </c>
      <c r="L1620" t="s">
        <v>1225</v>
      </c>
      <c r="M1620" t="s">
        <v>352</v>
      </c>
      <c r="N1620" t="s">
        <v>353</v>
      </c>
      <c r="O1620" t="s">
        <v>354</v>
      </c>
      <c r="P1620">
        <v>11</v>
      </c>
      <c r="Q1620" t="s">
        <v>108</v>
      </c>
      <c r="S1620" t="str">
        <f>_xlfn.XLOOKUP(UNIVERSO[[#This Row],[Ruta]],'[1]CUOTA RUTA'!A:A,'[1]CUOTA RUTA'!D:D)</f>
        <v>Cargar</v>
      </c>
    </row>
    <row r="1621" spans="1:19" x14ac:dyDescent="0.25">
      <c r="A1621">
        <v>1500159945</v>
      </c>
      <c r="B1621" t="s">
        <v>3381</v>
      </c>
      <c r="C1621" t="s">
        <v>19</v>
      </c>
      <c r="D1621" t="s">
        <v>201</v>
      </c>
      <c r="E1621" t="s">
        <v>21</v>
      </c>
      <c r="F1621" t="s">
        <v>22</v>
      </c>
      <c r="G1621" t="s">
        <v>33</v>
      </c>
      <c r="H1621" t="s">
        <v>499</v>
      </c>
      <c r="I1621" t="s">
        <v>3382</v>
      </c>
      <c r="J1621">
        <v>9.9080817000000003</v>
      </c>
      <c r="K1621">
        <v>-84.528874500000001</v>
      </c>
      <c r="L1621" t="s">
        <v>1225</v>
      </c>
      <c r="M1621" t="s">
        <v>204</v>
      </c>
      <c r="N1621" t="s">
        <v>205</v>
      </c>
      <c r="O1621" t="s">
        <v>206</v>
      </c>
      <c r="P1621">
        <v>2</v>
      </c>
      <c r="Q1621" t="s">
        <v>150</v>
      </c>
      <c r="S1621" t="str">
        <f>_xlfn.XLOOKUP(UNIVERSO[[#This Row],[Ruta]],'[1]CUOTA RUTA'!A:A,'[1]CUOTA RUTA'!D:D)</f>
        <v>Cargar</v>
      </c>
    </row>
    <row r="1622" spans="1:19" x14ac:dyDescent="0.25">
      <c r="A1622">
        <v>1500160153</v>
      </c>
      <c r="B1622" t="s">
        <v>3383</v>
      </c>
      <c r="C1622" t="s">
        <v>19</v>
      </c>
      <c r="D1622" t="s">
        <v>349</v>
      </c>
      <c r="E1622" t="s">
        <v>21</v>
      </c>
      <c r="F1622" t="s">
        <v>22</v>
      </c>
      <c r="G1622" t="s">
        <v>64</v>
      </c>
      <c r="H1622" t="s">
        <v>356</v>
      </c>
      <c r="I1622" t="s">
        <v>3384</v>
      </c>
      <c r="J1622">
        <v>10.153057</v>
      </c>
      <c r="K1622">
        <v>-85.460953000000003</v>
      </c>
      <c r="L1622" t="s">
        <v>1225</v>
      </c>
      <c r="M1622" t="s">
        <v>352</v>
      </c>
      <c r="N1622" t="s">
        <v>353</v>
      </c>
      <c r="O1622" t="s">
        <v>354</v>
      </c>
      <c r="P1622">
        <v>14</v>
      </c>
      <c r="Q1622" t="s">
        <v>181</v>
      </c>
      <c r="S1622" t="str">
        <f>_xlfn.XLOOKUP(UNIVERSO[[#This Row],[Ruta]],'[1]CUOTA RUTA'!A:A,'[1]CUOTA RUTA'!D:D)</f>
        <v>Cargar</v>
      </c>
    </row>
    <row r="1623" spans="1:19" x14ac:dyDescent="0.25">
      <c r="A1623">
        <v>1500160433</v>
      </c>
      <c r="B1623" t="s">
        <v>3385</v>
      </c>
      <c r="C1623" t="s">
        <v>19</v>
      </c>
      <c r="D1623" t="s">
        <v>349</v>
      </c>
      <c r="E1623" t="s">
        <v>21</v>
      </c>
      <c r="F1623" t="s">
        <v>22</v>
      </c>
      <c r="G1623" t="s">
        <v>33</v>
      </c>
      <c r="H1623" t="s">
        <v>908</v>
      </c>
      <c r="I1623" t="s">
        <v>3386</v>
      </c>
      <c r="J1623">
        <v>10.05681</v>
      </c>
      <c r="K1623">
        <v>-85.417642000000001</v>
      </c>
      <c r="L1623" t="s">
        <v>1225</v>
      </c>
      <c r="M1623" t="s">
        <v>352</v>
      </c>
      <c r="N1623" t="s">
        <v>353</v>
      </c>
      <c r="O1623" t="s">
        <v>354</v>
      </c>
      <c r="P1623">
        <v>16</v>
      </c>
      <c r="Q1623" t="s">
        <v>60</v>
      </c>
      <c r="S1623" t="str">
        <f>_xlfn.XLOOKUP(UNIVERSO[[#This Row],[Ruta]],'[1]CUOTA RUTA'!A:A,'[1]CUOTA RUTA'!D:D)</f>
        <v>Cargar</v>
      </c>
    </row>
    <row r="1624" spans="1:19" x14ac:dyDescent="0.25">
      <c r="A1624">
        <v>1500160469</v>
      </c>
      <c r="B1624" t="s">
        <v>3387</v>
      </c>
      <c r="C1624" t="s">
        <v>19</v>
      </c>
      <c r="D1624" t="s">
        <v>349</v>
      </c>
      <c r="E1624" t="s">
        <v>21</v>
      </c>
      <c r="F1624" t="s">
        <v>22</v>
      </c>
      <c r="G1624" t="s">
        <v>64</v>
      </c>
      <c r="H1624" t="s">
        <v>711</v>
      </c>
      <c r="I1624" t="s">
        <v>3388</v>
      </c>
      <c r="J1624">
        <v>10.119433000000001</v>
      </c>
      <c r="K1624">
        <v>-85.792966000000007</v>
      </c>
      <c r="L1624" t="s">
        <v>1225</v>
      </c>
      <c r="M1624" t="s">
        <v>352</v>
      </c>
      <c r="N1624" t="s">
        <v>353</v>
      </c>
      <c r="O1624" t="s">
        <v>354</v>
      </c>
      <c r="P1624">
        <v>6</v>
      </c>
      <c r="Q1624" t="s">
        <v>49</v>
      </c>
      <c r="S1624" t="str">
        <f>_xlfn.XLOOKUP(UNIVERSO[[#This Row],[Ruta]],'[1]CUOTA RUTA'!A:A,'[1]CUOTA RUTA'!D:D)</f>
        <v>Cargar</v>
      </c>
    </row>
    <row r="1625" spans="1:19" x14ac:dyDescent="0.25">
      <c r="A1625">
        <v>1500160508</v>
      </c>
      <c r="B1625" t="s">
        <v>3389</v>
      </c>
      <c r="C1625" t="s">
        <v>19</v>
      </c>
      <c r="D1625" t="s">
        <v>349</v>
      </c>
      <c r="E1625" t="s">
        <v>21</v>
      </c>
      <c r="F1625" t="s">
        <v>22</v>
      </c>
      <c r="G1625" t="s">
        <v>64</v>
      </c>
      <c r="H1625" t="s">
        <v>350</v>
      </c>
      <c r="I1625" t="s">
        <v>3390</v>
      </c>
      <c r="J1625">
        <v>10.255318750000001</v>
      </c>
      <c r="K1625">
        <v>-85.564821850000001</v>
      </c>
      <c r="L1625" t="s">
        <v>1225</v>
      </c>
      <c r="M1625" t="s">
        <v>352</v>
      </c>
      <c r="N1625" t="s">
        <v>353</v>
      </c>
      <c r="O1625" t="s">
        <v>354</v>
      </c>
      <c r="P1625">
        <v>2</v>
      </c>
      <c r="Q1625" t="s">
        <v>150</v>
      </c>
      <c r="S1625" t="str">
        <f>_xlfn.XLOOKUP(UNIVERSO[[#This Row],[Ruta]],'[1]CUOTA RUTA'!A:A,'[1]CUOTA RUTA'!D:D)</f>
        <v>Cargar</v>
      </c>
    </row>
    <row r="1626" spans="1:19" x14ac:dyDescent="0.25">
      <c r="A1626">
        <v>1500160654</v>
      </c>
      <c r="B1626" t="s">
        <v>3391</v>
      </c>
      <c r="C1626" t="s">
        <v>19</v>
      </c>
      <c r="D1626" t="s">
        <v>201</v>
      </c>
      <c r="E1626" t="s">
        <v>21</v>
      </c>
      <c r="F1626" t="s">
        <v>22</v>
      </c>
      <c r="G1626" t="s">
        <v>33</v>
      </c>
      <c r="H1626" t="s">
        <v>528</v>
      </c>
      <c r="I1626" t="s">
        <v>3392</v>
      </c>
      <c r="J1626">
        <v>10.090744000000001</v>
      </c>
      <c r="K1626">
        <v>-84.796170000000004</v>
      </c>
      <c r="L1626" t="s">
        <v>1225</v>
      </c>
      <c r="M1626" t="s">
        <v>327</v>
      </c>
      <c r="N1626" t="s">
        <v>530</v>
      </c>
      <c r="O1626" t="s">
        <v>531</v>
      </c>
      <c r="P1626">
        <v>2</v>
      </c>
      <c r="Q1626" t="s">
        <v>150</v>
      </c>
      <c r="S1626" t="str">
        <f>_xlfn.XLOOKUP(UNIVERSO[[#This Row],[Ruta]],'[1]CUOTA RUTA'!A:A,'[1]CUOTA RUTA'!D:D)</f>
        <v>Cargar</v>
      </c>
    </row>
    <row r="1627" spans="1:19" x14ac:dyDescent="0.25">
      <c r="A1627">
        <v>1500160715</v>
      </c>
      <c r="B1627" t="s">
        <v>3393</v>
      </c>
      <c r="C1627" t="s">
        <v>19</v>
      </c>
      <c r="D1627" t="s">
        <v>201</v>
      </c>
      <c r="E1627" t="s">
        <v>21</v>
      </c>
      <c r="F1627" t="s">
        <v>22</v>
      </c>
      <c r="G1627" t="s">
        <v>33</v>
      </c>
      <c r="H1627" t="s">
        <v>528</v>
      </c>
      <c r="I1627" t="s">
        <v>3394</v>
      </c>
      <c r="J1627">
        <v>10.26473</v>
      </c>
      <c r="K1627">
        <v>-85.024720000000002</v>
      </c>
      <c r="L1627" t="s">
        <v>1225</v>
      </c>
      <c r="M1627" t="s">
        <v>327</v>
      </c>
      <c r="N1627" t="s">
        <v>530</v>
      </c>
      <c r="O1627" t="s">
        <v>531</v>
      </c>
      <c r="P1627">
        <v>1</v>
      </c>
      <c r="Q1627" t="s">
        <v>155</v>
      </c>
      <c r="S1627" t="str">
        <f>_xlfn.XLOOKUP(UNIVERSO[[#This Row],[Ruta]],'[1]CUOTA RUTA'!A:A,'[1]CUOTA RUTA'!D:D)</f>
        <v>Cargar</v>
      </c>
    </row>
    <row r="1628" spans="1:19" x14ac:dyDescent="0.25">
      <c r="A1628">
        <v>1500160933</v>
      </c>
      <c r="B1628" t="s">
        <v>3187</v>
      </c>
      <c r="C1628" t="s">
        <v>19</v>
      </c>
      <c r="D1628" t="s">
        <v>349</v>
      </c>
      <c r="E1628" t="s">
        <v>21</v>
      </c>
      <c r="F1628" t="s">
        <v>22</v>
      </c>
      <c r="G1628" t="s">
        <v>23</v>
      </c>
      <c r="H1628" t="s">
        <v>356</v>
      </c>
      <c r="I1628" t="s">
        <v>3395</v>
      </c>
      <c r="J1628">
        <v>10.157992999999999</v>
      </c>
      <c r="K1628">
        <v>-85.456046999999998</v>
      </c>
      <c r="L1628" t="s">
        <v>1225</v>
      </c>
      <c r="M1628" t="s">
        <v>352</v>
      </c>
      <c r="N1628" t="s">
        <v>353</v>
      </c>
      <c r="O1628" t="s">
        <v>354</v>
      </c>
      <c r="P1628">
        <v>13</v>
      </c>
      <c r="Q1628" t="s">
        <v>161</v>
      </c>
      <c r="S1628" t="str">
        <f>_xlfn.XLOOKUP(UNIVERSO[[#This Row],[Ruta]],'[1]CUOTA RUTA'!A:A,'[1]CUOTA RUTA'!D:D)</f>
        <v>Cargar</v>
      </c>
    </row>
    <row r="1629" spans="1:19" x14ac:dyDescent="0.25">
      <c r="A1629">
        <v>1500161049</v>
      </c>
      <c r="B1629" t="s">
        <v>3396</v>
      </c>
      <c r="C1629" t="s">
        <v>19</v>
      </c>
      <c r="D1629" t="s">
        <v>208</v>
      </c>
      <c r="E1629" t="s">
        <v>21</v>
      </c>
      <c r="F1629" t="s">
        <v>22</v>
      </c>
      <c r="G1629" t="s">
        <v>23</v>
      </c>
      <c r="H1629" t="s">
        <v>224</v>
      </c>
      <c r="I1629" t="s">
        <v>3397</v>
      </c>
      <c r="J1629">
        <v>10.20608</v>
      </c>
      <c r="K1629">
        <v>-83.810739999999996</v>
      </c>
      <c r="L1629" t="s">
        <v>1225</v>
      </c>
      <c r="M1629" t="s">
        <v>189</v>
      </c>
      <c r="N1629" t="s">
        <v>211</v>
      </c>
      <c r="O1629" t="s">
        <v>212</v>
      </c>
      <c r="P1629">
        <v>5</v>
      </c>
      <c r="Q1629" t="s">
        <v>117</v>
      </c>
      <c r="S1629" t="str">
        <f>_xlfn.XLOOKUP(UNIVERSO[[#This Row],[Ruta]],'[1]CUOTA RUTA'!A:A,'[1]CUOTA RUTA'!D:D)</f>
        <v>Cargar</v>
      </c>
    </row>
    <row r="1630" spans="1:19" x14ac:dyDescent="0.25">
      <c r="A1630">
        <v>1500161111</v>
      </c>
      <c r="B1630" t="s">
        <v>3398</v>
      </c>
      <c r="C1630" t="s">
        <v>19</v>
      </c>
      <c r="D1630" t="s">
        <v>208</v>
      </c>
      <c r="E1630" t="s">
        <v>21</v>
      </c>
      <c r="F1630" t="s">
        <v>22</v>
      </c>
      <c r="G1630" t="s">
        <v>33</v>
      </c>
      <c r="H1630" t="s">
        <v>417</v>
      </c>
      <c r="I1630" t="s">
        <v>3399</v>
      </c>
      <c r="J1630">
        <v>10.20227</v>
      </c>
      <c r="K1630">
        <v>-83.769499999999994</v>
      </c>
      <c r="L1630" t="s">
        <v>1225</v>
      </c>
      <c r="M1630" t="s">
        <v>189</v>
      </c>
      <c r="N1630" t="s">
        <v>211</v>
      </c>
      <c r="O1630" t="s">
        <v>212</v>
      </c>
      <c r="P1630">
        <v>5</v>
      </c>
      <c r="Q1630" t="s">
        <v>117</v>
      </c>
      <c r="S1630" t="str">
        <f>_xlfn.XLOOKUP(UNIVERSO[[#This Row],[Ruta]],'[1]CUOTA RUTA'!A:A,'[1]CUOTA RUTA'!D:D)</f>
        <v>Cargar</v>
      </c>
    </row>
    <row r="1631" spans="1:19" x14ac:dyDescent="0.25">
      <c r="A1631">
        <v>1500161142</v>
      </c>
      <c r="B1631" t="s">
        <v>3400</v>
      </c>
      <c r="C1631" t="s">
        <v>19</v>
      </c>
      <c r="D1631" t="s">
        <v>208</v>
      </c>
      <c r="E1631" t="s">
        <v>21</v>
      </c>
      <c r="F1631" t="s">
        <v>22</v>
      </c>
      <c r="G1631" t="s">
        <v>64</v>
      </c>
      <c r="H1631" t="s">
        <v>631</v>
      </c>
      <c r="I1631" t="s">
        <v>3401</v>
      </c>
      <c r="J1631">
        <v>10.203864940000001</v>
      </c>
      <c r="K1631">
        <v>-83.438618160000004</v>
      </c>
      <c r="L1631" t="s">
        <v>1225</v>
      </c>
      <c r="M1631" t="s">
        <v>189</v>
      </c>
      <c r="N1631" t="s">
        <v>211</v>
      </c>
      <c r="O1631" t="s">
        <v>212</v>
      </c>
      <c r="P1631">
        <v>9</v>
      </c>
      <c r="Q1631" t="s">
        <v>80</v>
      </c>
      <c r="S1631" t="str">
        <f>_xlfn.XLOOKUP(UNIVERSO[[#This Row],[Ruta]],'[1]CUOTA RUTA'!A:A,'[1]CUOTA RUTA'!D:D)</f>
        <v>Cargar</v>
      </c>
    </row>
    <row r="1632" spans="1:19" x14ac:dyDescent="0.25">
      <c r="A1632">
        <v>1500161273</v>
      </c>
      <c r="B1632" t="s">
        <v>3402</v>
      </c>
      <c r="C1632" t="s">
        <v>19</v>
      </c>
      <c r="D1632" t="s">
        <v>208</v>
      </c>
      <c r="E1632" t="s">
        <v>21</v>
      </c>
      <c r="F1632" t="s">
        <v>22</v>
      </c>
      <c r="G1632" t="s">
        <v>64</v>
      </c>
      <c r="H1632" t="s">
        <v>209</v>
      </c>
      <c r="I1632" t="s">
        <v>3403</v>
      </c>
      <c r="J1632">
        <v>10.30200683</v>
      </c>
      <c r="K1632">
        <v>-83.876177049999995</v>
      </c>
      <c r="L1632" t="s">
        <v>1225</v>
      </c>
      <c r="M1632" t="s">
        <v>189</v>
      </c>
      <c r="N1632" t="s">
        <v>211</v>
      </c>
      <c r="O1632" t="s">
        <v>212</v>
      </c>
      <c r="P1632">
        <v>11</v>
      </c>
      <c r="Q1632" t="s">
        <v>108</v>
      </c>
      <c r="S1632" t="str">
        <f>_xlfn.XLOOKUP(UNIVERSO[[#This Row],[Ruta]],'[1]CUOTA RUTA'!A:A,'[1]CUOTA RUTA'!D:D)</f>
        <v>Cargar</v>
      </c>
    </row>
    <row r="1633" spans="1:19" x14ac:dyDescent="0.25">
      <c r="A1633">
        <v>1500161408</v>
      </c>
      <c r="B1633" t="s">
        <v>3404</v>
      </c>
      <c r="C1633" t="s">
        <v>19</v>
      </c>
      <c r="D1633" t="s">
        <v>208</v>
      </c>
      <c r="E1633" t="s">
        <v>21</v>
      </c>
      <c r="F1633" t="s">
        <v>22</v>
      </c>
      <c r="G1633" t="s">
        <v>64</v>
      </c>
      <c r="H1633" t="s">
        <v>209</v>
      </c>
      <c r="I1633" t="s">
        <v>3405</v>
      </c>
      <c r="J1633">
        <v>10.2339</v>
      </c>
      <c r="K1633">
        <v>-83.896900000000002</v>
      </c>
      <c r="L1633" t="s">
        <v>1225</v>
      </c>
      <c r="M1633" t="s">
        <v>189</v>
      </c>
      <c r="N1633" t="s">
        <v>211</v>
      </c>
      <c r="O1633" t="s">
        <v>212</v>
      </c>
      <c r="P1633">
        <v>4</v>
      </c>
      <c r="Q1633" t="s">
        <v>120</v>
      </c>
      <c r="S1633" t="str">
        <f>_xlfn.XLOOKUP(UNIVERSO[[#This Row],[Ruta]],'[1]CUOTA RUTA'!A:A,'[1]CUOTA RUTA'!D:D)</f>
        <v>Cargar</v>
      </c>
    </row>
    <row r="1634" spans="1:19" x14ac:dyDescent="0.25">
      <c r="A1634">
        <v>1500161435</v>
      </c>
      <c r="B1634" t="s">
        <v>3406</v>
      </c>
      <c r="C1634" t="s">
        <v>19</v>
      </c>
      <c r="D1634" t="s">
        <v>208</v>
      </c>
      <c r="E1634" t="s">
        <v>21</v>
      </c>
      <c r="F1634" t="s">
        <v>22</v>
      </c>
      <c r="G1634" t="s">
        <v>33</v>
      </c>
      <c r="H1634" t="s">
        <v>631</v>
      </c>
      <c r="I1634" t="s">
        <v>3407</v>
      </c>
      <c r="J1634">
        <v>10.241108970000001</v>
      </c>
      <c r="K1634">
        <v>-83.72877751</v>
      </c>
      <c r="L1634" t="s">
        <v>1225</v>
      </c>
      <c r="M1634" t="s">
        <v>189</v>
      </c>
      <c r="N1634" t="s">
        <v>211</v>
      </c>
      <c r="O1634" t="s">
        <v>212</v>
      </c>
      <c r="P1634">
        <v>7</v>
      </c>
      <c r="Q1634" t="s">
        <v>39</v>
      </c>
      <c r="S1634" t="str">
        <f>_xlfn.XLOOKUP(UNIVERSO[[#This Row],[Ruta]],'[1]CUOTA RUTA'!A:A,'[1]CUOTA RUTA'!D:D)</f>
        <v>Cargar</v>
      </c>
    </row>
    <row r="1635" spans="1:19" x14ac:dyDescent="0.25">
      <c r="A1635">
        <v>1500161672</v>
      </c>
      <c r="B1635" t="s">
        <v>3408</v>
      </c>
      <c r="C1635" t="s">
        <v>19</v>
      </c>
      <c r="D1635" t="s">
        <v>208</v>
      </c>
      <c r="E1635" t="s">
        <v>21</v>
      </c>
      <c r="F1635" t="s">
        <v>22</v>
      </c>
      <c r="G1635" t="s">
        <v>33</v>
      </c>
      <c r="H1635" t="s">
        <v>616</v>
      </c>
      <c r="I1635" t="s">
        <v>3409</v>
      </c>
      <c r="J1635">
        <v>10.435366</v>
      </c>
      <c r="K1635">
        <v>-83.997101000000001</v>
      </c>
      <c r="L1635" t="s">
        <v>1225</v>
      </c>
      <c r="M1635" t="s">
        <v>189</v>
      </c>
      <c r="N1635" t="s">
        <v>211</v>
      </c>
      <c r="O1635" t="s">
        <v>212</v>
      </c>
      <c r="P1635">
        <v>10</v>
      </c>
      <c r="Q1635" t="s">
        <v>136</v>
      </c>
      <c r="S1635" t="str">
        <f>_xlfn.XLOOKUP(UNIVERSO[[#This Row],[Ruta]],'[1]CUOTA RUTA'!A:A,'[1]CUOTA RUTA'!D:D)</f>
        <v>Cargar</v>
      </c>
    </row>
    <row r="1636" spans="1:19" x14ac:dyDescent="0.25">
      <c r="A1636">
        <v>1500161691</v>
      </c>
      <c r="B1636" t="s">
        <v>3410</v>
      </c>
      <c r="C1636" t="s">
        <v>19</v>
      </c>
      <c r="D1636" t="s">
        <v>208</v>
      </c>
      <c r="E1636" t="s">
        <v>21</v>
      </c>
      <c r="F1636" t="s">
        <v>22</v>
      </c>
      <c r="G1636" t="s">
        <v>64</v>
      </c>
      <c r="H1636" t="s">
        <v>631</v>
      </c>
      <c r="I1636" t="s">
        <v>3411</v>
      </c>
      <c r="J1636">
        <v>10.28253613</v>
      </c>
      <c r="K1636">
        <v>-83.724160839999996</v>
      </c>
      <c r="L1636" t="s">
        <v>1225</v>
      </c>
      <c r="M1636" t="s">
        <v>189</v>
      </c>
      <c r="N1636" t="s">
        <v>211</v>
      </c>
      <c r="O1636" t="s">
        <v>212</v>
      </c>
      <c r="P1636">
        <v>7</v>
      </c>
      <c r="Q1636" t="s">
        <v>39</v>
      </c>
      <c r="S1636" t="str">
        <f>_xlfn.XLOOKUP(UNIVERSO[[#This Row],[Ruta]],'[1]CUOTA RUTA'!A:A,'[1]CUOTA RUTA'!D:D)</f>
        <v>Cargar</v>
      </c>
    </row>
    <row r="1637" spans="1:19" x14ac:dyDescent="0.25">
      <c r="A1637">
        <v>1500161732</v>
      </c>
      <c r="B1637" t="s">
        <v>3412</v>
      </c>
      <c r="C1637" t="s">
        <v>19</v>
      </c>
      <c r="D1637" t="s">
        <v>208</v>
      </c>
      <c r="E1637" t="s">
        <v>21</v>
      </c>
      <c r="F1637" t="s">
        <v>22</v>
      </c>
      <c r="G1637" t="s">
        <v>64</v>
      </c>
      <c r="H1637" t="s">
        <v>417</v>
      </c>
      <c r="I1637" t="s">
        <v>3413</v>
      </c>
      <c r="J1637">
        <v>10.334630000000001</v>
      </c>
      <c r="K1637">
        <v>-83.858199999999997</v>
      </c>
      <c r="L1637" t="s">
        <v>1225</v>
      </c>
      <c r="M1637" t="s">
        <v>189</v>
      </c>
      <c r="N1637" t="s">
        <v>211</v>
      </c>
      <c r="O1637" t="s">
        <v>212</v>
      </c>
      <c r="P1637">
        <v>3</v>
      </c>
      <c r="Q1637" t="s">
        <v>101</v>
      </c>
      <c r="S1637" t="str">
        <f>_xlfn.XLOOKUP(UNIVERSO[[#This Row],[Ruta]],'[1]CUOTA RUTA'!A:A,'[1]CUOTA RUTA'!D:D)</f>
        <v>Cargar</v>
      </c>
    </row>
    <row r="1638" spans="1:19" x14ac:dyDescent="0.25">
      <c r="A1638">
        <v>1500161939</v>
      </c>
      <c r="B1638" t="s">
        <v>3414</v>
      </c>
      <c r="C1638" t="s">
        <v>19</v>
      </c>
      <c r="D1638" t="s">
        <v>208</v>
      </c>
      <c r="E1638" t="s">
        <v>21</v>
      </c>
      <c r="F1638" t="s">
        <v>22</v>
      </c>
      <c r="G1638" t="s">
        <v>33</v>
      </c>
      <c r="H1638" t="s">
        <v>209</v>
      </c>
      <c r="I1638" t="s">
        <v>3415</v>
      </c>
      <c r="J1638">
        <v>10.2156</v>
      </c>
      <c r="K1638">
        <v>-83.871600000000001</v>
      </c>
      <c r="L1638" t="s">
        <v>1225</v>
      </c>
      <c r="M1638" t="s">
        <v>189</v>
      </c>
      <c r="N1638" t="s">
        <v>211</v>
      </c>
      <c r="O1638" t="s">
        <v>212</v>
      </c>
      <c r="P1638">
        <v>4</v>
      </c>
      <c r="Q1638" t="s">
        <v>120</v>
      </c>
      <c r="S1638" t="str">
        <f>_xlfn.XLOOKUP(UNIVERSO[[#This Row],[Ruta]],'[1]CUOTA RUTA'!A:A,'[1]CUOTA RUTA'!D:D)</f>
        <v>Cargar</v>
      </c>
    </row>
    <row r="1639" spans="1:19" x14ac:dyDescent="0.25">
      <c r="A1639">
        <v>1500162155</v>
      </c>
      <c r="B1639" t="s">
        <v>75</v>
      </c>
      <c r="C1639" t="s">
        <v>19</v>
      </c>
      <c r="D1639" t="s">
        <v>208</v>
      </c>
      <c r="E1639" t="s">
        <v>21</v>
      </c>
      <c r="F1639" t="s">
        <v>22</v>
      </c>
      <c r="G1639" t="s">
        <v>23</v>
      </c>
      <c r="H1639" t="s">
        <v>417</v>
      </c>
      <c r="I1639" t="s">
        <v>3416</v>
      </c>
      <c r="J1639">
        <v>10.21471573</v>
      </c>
      <c r="K1639">
        <v>-83.790874700000003</v>
      </c>
      <c r="L1639" t="s">
        <v>1225</v>
      </c>
      <c r="M1639" t="s">
        <v>189</v>
      </c>
      <c r="N1639" t="s">
        <v>211</v>
      </c>
      <c r="O1639" t="s">
        <v>212</v>
      </c>
      <c r="P1639">
        <v>4</v>
      </c>
      <c r="Q1639" t="s">
        <v>120</v>
      </c>
      <c r="S1639" t="str">
        <f>_xlfn.XLOOKUP(UNIVERSO[[#This Row],[Ruta]],'[1]CUOTA RUTA'!A:A,'[1]CUOTA RUTA'!D:D)</f>
        <v>Cargar</v>
      </c>
    </row>
    <row r="1640" spans="1:19" x14ac:dyDescent="0.25">
      <c r="A1640">
        <v>1500162247</v>
      </c>
      <c r="B1640" t="s">
        <v>3417</v>
      </c>
      <c r="C1640" t="s">
        <v>19</v>
      </c>
      <c r="D1640" t="s">
        <v>208</v>
      </c>
      <c r="E1640" t="s">
        <v>21</v>
      </c>
      <c r="F1640" t="s">
        <v>22</v>
      </c>
      <c r="G1640" t="s">
        <v>64</v>
      </c>
      <c r="H1640" t="s">
        <v>209</v>
      </c>
      <c r="I1640" t="s">
        <v>3418</v>
      </c>
      <c r="J1640">
        <v>10.278718358739001</v>
      </c>
      <c r="K1640">
        <v>-83.891289764289994</v>
      </c>
      <c r="L1640" t="s">
        <v>1225</v>
      </c>
      <c r="M1640" t="s">
        <v>189</v>
      </c>
      <c r="N1640" t="s">
        <v>211</v>
      </c>
      <c r="O1640" t="s">
        <v>212</v>
      </c>
      <c r="P1640">
        <v>11</v>
      </c>
      <c r="Q1640" t="s">
        <v>108</v>
      </c>
      <c r="S1640" t="str">
        <f>_xlfn.XLOOKUP(UNIVERSO[[#This Row],[Ruta]],'[1]CUOTA RUTA'!A:A,'[1]CUOTA RUTA'!D:D)</f>
        <v>Cargar</v>
      </c>
    </row>
    <row r="1641" spans="1:19" x14ac:dyDescent="0.25">
      <c r="A1641">
        <v>1500162375</v>
      </c>
      <c r="B1641" t="s">
        <v>3419</v>
      </c>
      <c r="C1641" t="s">
        <v>19</v>
      </c>
      <c r="D1641" t="s">
        <v>208</v>
      </c>
      <c r="E1641" t="s">
        <v>21</v>
      </c>
      <c r="F1641" t="s">
        <v>22</v>
      </c>
      <c r="G1641" t="s">
        <v>64</v>
      </c>
      <c r="H1641" t="s">
        <v>631</v>
      </c>
      <c r="I1641" t="s">
        <v>3420</v>
      </c>
      <c r="J1641">
        <v>10.318092999999999</v>
      </c>
      <c r="K1641">
        <v>-83.656896000000003</v>
      </c>
      <c r="L1641" t="s">
        <v>1225</v>
      </c>
      <c r="M1641" t="s">
        <v>189</v>
      </c>
      <c r="N1641" t="s">
        <v>211</v>
      </c>
      <c r="O1641" t="s">
        <v>212</v>
      </c>
      <c r="P1641">
        <v>6</v>
      </c>
      <c r="Q1641" t="s">
        <v>49</v>
      </c>
      <c r="S1641" t="str">
        <f>_xlfn.XLOOKUP(UNIVERSO[[#This Row],[Ruta]],'[1]CUOTA RUTA'!A:A,'[1]CUOTA RUTA'!D:D)</f>
        <v>Cargar</v>
      </c>
    </row>
    <row r="1642" spans="1:19" x14ac:dyDescent="0.25">
      <c r="A1642">
        <v>1500162423</v>
      </c>
      <c r="B1642" t="s">
        <v>3421</v>
      </c>
      <c r="C1642" t="s">
        <v>19</v>
      </c>
      <c r="D1642" t="s">
        <v>208</v>
      </c>
      <c r="E1642" t="s">
        <v>21</v>
      </c>
      <c r="F1642" t="s">
        <v>22</v>
      </c>
      <c r="G1642" t="s">
        <v>64</v>
      </c>
      <c r="H1642" t="s">
        <v>417</v>
      </c>
      <c r="I1642" t="s">
        <v>3422</v>
      </c>
      <c r="J1642">
        <v>10.317959999999999</v>
      </c>
      <c r="K1642">
        <v>-83.914199999999994</v>
      </c>
      <c r="L1642" t="s">
        <v>1225</v>
      </c>
      <c r="M1642" t="s">
        <v>189</v>
      </c>
      <c r="N1642" t="s">
        <v>211</v>
      </c>
      <c r="O1642" t="s">
        <v>212</v>
      </c>
      <c r="P1642">
        <v>3</v>
      </c>
      <c r="Q1642" t="s">
        <v>101</v>
      </c>
      <c r="S1642" t="str">
        <f>_xlfn.XLOOKUP(UNIVERSO[[#This Row],[Ruta]],'[1]CUOTA RUTA'!A:A,'[1]CUOTA RUTA'!D:D)</f>
        <v>Cargar</v>
      </c>
    </row>
    <row r="1643" spans="1:19" x14ac:dyDescent="0.25">
      <c r="A1643">
        <v>1500162589</v>
      </c>
      <c r="B1643" t="s">
        <v>3423</v>
      </c>
      <c r="C1643" t="s">
        <v>19</v>
      </c>
      <c r="D1643" t="s">
        <v>208</v>
      </c>
      <c r="E1643" t="s">
        <v>21</v>
      </c>
      <c r="F1643" t="s">
        <v>22</v>
      </c>
      <c r="G1643" t="s">
        <v>23</v>
      </c>
      <c r="H1643" t="s">
        <v>218</v>
      </c>
      <c r="I1643" t="s">
        <v>3424</v>
      </c>
      <c r="J1643">
        <v>10.213010000000001</v>
      </c>
      <c r="K1643">
        <v>-83.798100000000005</v>
      </c>
      <c r="L1643" t="s">
        <v>1225</v>
      </c>
      <c r="M1643" t="s">
        <v>189</v>
      </c>
      <c r="N1643" t="s">
        <v>211</v>
      </c>
      <c r="O1643" t="s">
        <v>212</v>
      </c>
      <c r="P1643">
        <v>4</v>
      </c>
      <c r="Q1643" t="s">
        <v>120</v>
      </c>
      <c r="S1643" t="str">
        <f>_xlfn.XLOOKUP(UNIVERSO[[#This Row],[Ruta]],'[1]CUOTA RUTA'!A:A,'[1]CUOTA RUTA'!D:D)</f>
        <v>Cargar</v>
      </c>
    </row>
    <row r="1644" spans="1:19" x14ac:dyDescent="0.25">
      <c r="A1644">
        <v>1500162606</v>
      </c>
      <c r="B1644" t="s">
        <v>3425</v>
      </c>
      <c r="C1644" t="s">
        <v>19</v>
      </c>
      <c r="D1644" t="s">
        <v>208</v>
      </c>
      <c r="E1644" t="s">
        <v>21</v>
      </c>
      <c r="F1644" t="s">
        <v>22</v>
      </c>
      <c r="G1644" t="s">
        <v>33</v>
      </c>
      <c r="H1644" t="s">
        <v>218</v>
      </c>
      <c r="I1644" t="s">
        <v>3426</v>
      </c>
      <c r="J1644">
        <v>10.213321000000001</v>
      </c>
      <c r="K1644">
        <v>-83.796951000000007</v>
      </c>
      <c r="L1644" t="s">
        <v>1225</v>
      </c>
      <c r="M1644" t="s">
        <v>189</v>
      </c>
      <c r="N1644" t="s">
        <v>211</v>
      </c>
      <c r="O1644" t="s">
        <v>212</v>
      </c>
      <c r="P1644">
        <v>4</v>
      </c>
      <c r="Q1644" t="s">
        <v>120</v>
      </c>
      <c r="S1644" t="str">
        <f>_xlfn.XLOOKUP(UNIVERSO[[#This Row],[Ruta]],'[1]CUOTA RUTA'!A:A,'[1]CUOTA RUTA'!D:D)</f>
        <v>Cargar</v>
      </c>
    </row>
    <row r="1645" spans="1:19" x14ac:dyDescent="0.25">
      <c r="A1645">
        <v>1500162746</v>
      </c>
      <c r="B1645" t="s">
        <v>3427</v>
      </c>
      <c r="C1645" t="s">
        <v>19</v>
      </c>
      <c r="D1645" t="s">
        <v>208</v>
      </c>
      <c r="E1645" t="s">
        <v>21</v>
      </c>
      <c r="F1645" t="s">
        <v>22</v>
      </c>
      <c r="G1645" t="s">
        <v>64</v>
      </c>
      <c r="H1645" t="s">
        <v>218</v>
      </c>
      <c r="I1645" t="s">
        <v>3428</v>
      </c>
      <c r="J1645">
        <v>10.209602309999999</v>
      </c>
      <c r="K1645">
        <v>-83.695026119999994</v>
      </c>
      <c r="L1645" t="s">
        <v>1225</v>
      </c>
      <c r="M1645" t="s">
        <v>189</v>
      </c>
      <c r="N1645" t="s">
        <v>211</v>
      </c>
      <c r="O1645" t="s">
        <v>212</v>
      </c>
      <c r="P1645">
        <v>6</v>
      </c>
      <c r="Q1645" t="s">
        <v>49</v>
      </c>
      <c r="S1645" t="str">
        <f>_xlfn.XLOOKUP(UNIVERSO[[#This Row],[Ruta]],'[1]CUOTA RUTA'!A:A,'[1]CUOTA RUTA'!D:D)</f>
        <v>Cargar</v>
      </c>
    </row>
    <row r="1646" spans="1:19" x14ac:dyDescent="0.25">
      <c r="A1646">
        <v>1500162763</v>
      </c>
      <c r="B1646" t="s">
        <v>3429</v>
      </c>
      <c r="C1646" t="s">
        <v>19</v>
      </c>
      <c r="D1646" t="s">
        <v>208</v>
      </c>
      <c r="E1646" t="s">
        <v>21</v>
      </c>
      <c r="F1646" t="s">
        <v>22</v>
      </c>
      <c r="G1646" t="s">
        <v>33</v>
      </c>
      <c r="H1646" t="s">
        <v>221</v>
      </c>
      <c r="I1646" t="s">
        <v>3430</v>
      </c>
      <c r="J1646">
        <v>10.27008</v>
      </c>
      <c r="K1646">
        <v>-83.751900000000006</v>
      </c>
      <c r="L1646" t="s">
        <v>1225</v>
      </c>
      <c r="M1646" t="s">
        <v>189</v>
      </c>
      <c r="N1646" t="s">
        <v>211</v>
      </c>
      <c r="O1646" t="s">
        <v>212</v>
      </c>
      <c r="P1646">
        <v>2</v>
      </c>
      <c r="Q1646" t="s">
        <v>150</v>
      </c>
      <c r="S1646" t="str">
        <f>_xlfn.XLOOKUP(UNIVERSO[[#This Row],[Ruta]],'[1]CUOTA RUTA'!A:A,'[1]CUOTA RUTA'!D:D)</f>
        <v>Cargar</v>
      </c>
    </row>
    <row r="1647" spans="1:19" x14ac:dyDescent="0.25">
      <c r="A1647">
        <v>1500162821</v>
      </c>
      <c r="B1647" t="s">
        <v>3431</v>
      </c>
      <c r="C1647" t="s">
        <v>19</v>
      </c>
      <c r="D1647" t="s">
        <v>208</v>
      </c>
      <c r="E1647" t="s">
        <v>21</v>
      </c>
      <c r="F1647" t="s">
        <v>22</v>
      </c>
      <c r="G1647" t="s">
        <v>23</v>
      </c>
      <c r="H1647" t="s">
        <v>616</v>
      </c>
      <c r="I1647" t="s">
        <v>3432</v>
      </c>
      <c r="J1647">
        <v>10.36504</v>
      </c>
      <c r="K1647">
        <v>-83.750600000000006</v>
      </c>
      <c r="L1647" t="s">
        <v>1225</v>
      </c>
      <c r="M1647" t="s">
        <v>189</v>
      </c>
      <c r="N1647" t="s">
        <v>211</v>
      </c>
      <c r="O1647" t="s">
        <v>212</v>
      </c>
      <c r="P1647">
        <v>1</v>
      </c>
      <c r="Q1647" t="s">
        <v>155</v>
      </c>
      <c r="S1647" t="str">
        <f>_xlfn.XLOOKUP(UNIVERSO[[#This Row],[Ruta]],'[1]CUOTA RUTA'!A:A,'[1]CUOTA RUTA'!D:D)</f>
        <v>Cargar</v>
      </c>
    </row>
    <row r="1648" spans="1:19" x14ac:dyDescent="0.25">
      <c r="A1648">
        <v>1500162883</v>
      </c>
      <c r="B1648" t="s">
        <v>854</v>
      </c>
      <c r="C1648" t="s">
        <v>19</v>
      </c>
      <c r="D1648" t="s">
        <v>208</v>
      </c>
      <c r="E1648" t="s">
        <v>21</v>
      </c>
      <c r="F1648" t="s">
        <v>22</v>
      </c>
      <c r="G1648" t="s">
        <v>33</v>
      </c>
      <c r="H1648" t="s">
        <v>616</v>
      </c>
      <c r="I1648" t="s">
        <v>3433</v>
      </c>
      <c r="J1648">
        <v>10.43493</v>
      </c>
      <c r="K1648">
        <v>-83.995699999999999</v>
      </c>
      <c r="L1648" t="s">
        <v>1225</v>
      </c>
      <c r="M1648" t="s">
        <v>189</v>
      </c>
      <c r="N1648" t="s">
        <v>211</v>
      </c>
      <c r="O1648" t="s">
        <v>212</v>
      </c>
      <c r="P1648">
        <v>10</v>
      </c>
      <c r="Q1648" t="s">
        <v>136</v>
      </c>
      <c r="S1648" t="str">
        <f>_xlfn.XLOOKUP(UNIVERSO[[#This Row],[Ruta]],'[1]CUOTA RUTA'!A:A,'[1]CUOTA RUTA'!D:D)</f>
        <v>Cargar</v>
      </c>
    </row>
    <row r="1649" spans="1:19" x14ac:dyDescent="0.25">
      <c r="A1649">
        <v>1500162930</v>
      </c>
      <c r="B1649" t="s">
        <v>3434</v>
      </c>
      <c r="C1649" t="s">
        <v>19</v>
      </c>
      <c r="D1649" t="s">
        <v>208</v>
      </c>
      <c r="E1649" t="s">
        <v>21</v>
      </c>
      <c r="F1649" t="s">
        <v>22</v>
      </c>
      <c r="G1649" t="s">
        <v>33</v>
      </c>
      <c r="H1649" t="s">
        <v>221</v>
      </c>
      <c r="I1649" t="s">
        <v>3435</v>
      </c>
      <c r="J1649">
        <v>10.449210000000001</v>
      </c>
      <c r="K1649">
        <v>-84.046400000000006</v>
      </c>
      <c r="L1649" t="s">
        <v>1225</v>
      </c>
      <c r="M1649" t="s">
        <v>189</v>
      </c>
      <c r="N1649" t="s">
        <v>211</v>
      </c>
      <c r="O1649" t="s">
        <v>212</v>
      </c>
      <c r="P1649">
        <v>11</v>
      </c>
      <c r="Q1649" t="s">
        <v>108</v>
      </c>
      <c r="S1649" t="str">
        <f>_xlfn.XLOOKUP(UNIVERSO[[#This Row],[Ruta]],'[1]CUOTA RUTA'!A:A,'[1]CUOTA RUTA'!D:D)</f>
        <v>Cargar</v>
      </c>
    </row>
    <row r="1650" spans="1:19" x14ac:dyDescent="0.25">
      <c r="A1650">
        <v>1500163340</v>
      </c>
      <c r="B1650" t="s">
        <v>3436</v>
      </c>
      <c r="C1650" t="s">
        <v>19</v>
      </c>
      <c r="D1650" t="s">
        <v>32</v>
      </c>
      <c r="E1650" t="s">
        <v>21</v>
      </c>
      <c r="F1650" t="s">
        <v>22</v>
      </c>
      <c r="G1650" t="s">
        <v>64</v>
      </c>
      <c r="H1650" t="s">
        <v>82</v>
      </c>
      <c r="I1650" t="s">
        <v>3437</v>
      </c>
      <c r="J1650">
        <v>9.8864389999999993</v>
      </c>
      <c r="K1650">
        <v>-84.071670999999995</v>
      </c>
      <c r="L1650" t="s">
        <v>1225</v>
      </c>
      <c r="M1650" t="s">
        <v>71</v>
      </c>
      <c r="N1650" t="s">
        <v>72</v>
      </c>
      <c r="O1650" t="s">
        <v>73</v>
      </c>
      <c r="P1650">
        <v>7</v>
      </c>
      <c r="Q1650" t="s">
        <v>39</v>
      </c>
      <c r="S1650" t="str">
        <f>_xlfn.XLOOKUP(UNIVERSO[[#This Row],[Ruta]],'[1]CUOTA RUTA'!A:A,'[1]CUOTA RUTA'!D:D)</f>
        <v>Cargar</v>
      </c>
    </row>
    <row r="1651" spans="1:19" x14ac:dyDescent="0.25">
      <c r="A1651">
        <v>1500163414</v>
      </c>
      <c r="B1651" t="s">
        <v>3438</v>
      </c>
      <c r="C1651" t="s">
        <v>19</v>
      </c>
      <c r="D1651" t="s">
        <v>208</v>
      </c>
      <c r="E1651" t="s">
        <v>21</v>
      </c>
      <c r="F1651" t="s">
        <v>22</v>
      </c>
      <c r="G1651" t="s">
        <v>33</v>
      </c>
      <c r="H1651" t="s">
        <v>631</v>
      </c>
      <c r="I1651" t="s">
        <v>3439</v>
      </c>
      <c r="J1651">
        <v>10.177888039999999</v>
      </c>
      <c r="K1651">
        <v>-83.377914279999999</v>
      </c>
      <c r="L1651" t="s">
        <v>1225</v>
      </c>
      <c r="M1651" t="s">
        <v>189</v>
      </c>
      <c r="N1651" t="s">
        <v>211</v>
      </c>
      <c r="O1651" t="s">
        <v>212</v>
      </c>
      <c r="P1651">
        <v>8</v>
      </c>
      <c r="Q1651" t="s">
        <v>97</v>
      </c>
      <c r="S1651" t="str">
        <f>_xlfn.XLOOKUP(UNIVERSO[[#This Row],[Ruta]],'[1]CUOTA RUTA'!A:A,'[1]CUOTA RUTA'!D:D)</f>
        <v>Cargar</v>
      </c>
    </row>
    <row r="1652" spans="1:19" x14ac:dyDescent="0.25">
      <c r="A1652">
        <v>1500163663</v>
      </c>
      <c r="B1652" t="s">
        <v>3440</v>
      </c>
      <c r="C1652" t="s">
        <v>19</v>
      </c>
      <c r="D1652" t="s">
        <v>32</v>
      </c>
      <c r="E1652" t="s">
        <v>21</v>
      </c>
      <c r="F1652" t="s">
        <v>22</v>
      </c>
      <c r="G1652" t="s">
        <v>64</v>
      </c>
      <c r="H1652" t="s">
        <v>1383</v>
      </c>
      <c r="I1652" t="s">
        <v>3441</v>
      </c>
      <c r="J1652">
        <v>9.9137109999999993</v>
      </c>
      <c r="K1652">
        <v>-84.089018999999993</v>
      </c>
      <c r="L1652" t="s">
        <v>1225</v>
      </c>
      <c r="M1652" t="s">
        <v>71</v>
      </c>
      <c r="N1652" t="s">
        <v>72</v>
      </c>
      <c r="O1652" t="s">
        <v>73</v>
      </c>
      <c r="P1652">
        <v>3</v>
      </c>
      <c r="Q1652" t="s">
        <v>101</v>
      </c>
      <c r="S1652" t="str">
        <f>_xlfn.XLOOKUP(UNIVERSO[[#This Row],[Ruta]],'[1]CUOTA RUTA'!A:A,'[1]CUOTA RUTA'!D:D)</f>
        <v>Cargar</v>
      </c>
    </row>
    <row r="1653" spans="1:19" x14ac:dyDescent="0.25">
      <c r="A1653">
        <v>1500163673</v>
      </c>
      <c r="B1653" t="s">
        <v>1463</v>
      </c>
      <c r="C1653" t="s">
        <v>19</v>
      </c>
      <c r="D1653" t="s">
        <v>208</v>
      </c>
      <c r="E1653" t="s">
        <v>21</v>
      </c>
      <c r="F1653" t="s">
        <v>22</v>
      </c>
      <c r="G1653" t="s">
        <v>33</v>
      </c>
      <c r="H1653" t="s">
        <v>502</v>
      </c>
      <c r="I1653" t="s">
        <v>3442</v>
      </c>
      <c r="J1653">
        <v>10.287584689999999</v>
      </c>
      <c r="K1653">
        <v>-83.607012350000005</v>
      </c>
      <c r="L1653" t="s">
        <v>1225</v>
      </c>
      <c r="M1653" t="s">
        <v>189</v>
      </c>
      <c r="N1653" t="s">
        <v>211</v>
      </c>
      <c r="O1653" t="s">
        <v>212</v>
      </c>
      <c r="P1653">
        <v>6</v>
      </c>
      <c r="Q1653" t="s">
        <v>49</v>
      </c>
      <c r="S1653" t="str">
        <f>_xlfn.XLOOKUP(UNIVERSO[[#This Row],[Ruta]],'[1]CUOTA RUTA'!A:A,'[1]CUOTA RUTA'!D:D)</f>
        <v>Cargar</v>
      </c>
    </row>
    <row r="1654" spans="1:19" x14ac:dyDescent="0.25">
      <c r="A1654">
        <v>1500163689</v>
      </c>
      <c r="B1654" t="s">
        <v>3443</v>
      </c>
      <c r="C1654" t="s">
        <v>19</v>
      </c>
      <c r="D1654" t="s">
        <v>32</v>
      </c>
      <c r="E1654" t="s">
        <v>21</v>
      </c>
      <c r="F1654" t="s">
        <v>22</v>
      </c>
      <c r="G1654" t="s">
        <v>33</v>
      </c>
      <c r="H1654" t="s">
        <v>179</v>
      </c>
      <c r="I1654" t="s">
        <v>3444</v>
      </c>
      <c r="J1654">
        <v>9.8892450000000007</v>
      </c>
      <c r="K1654">
        <v>-84.033268000000007</v>
      </c>
      <c r="L1654" t="s">
        <v>1225</v>
      </c>
      <c r="M1654" t="s">
        <v>36</v>
      </c>
      <c r="N1654" t="s">
        <v>37</v>
      </c>
      <c r="O1654" t="s">
        <v>38</v>
      </c>
      <c r="P1654">
        <v>16</v>
      </c>
      <c r="Q1654" t="s">
        <v>60</v>
      </c>
      <c r="S1654" t="str">
        <f>_xlfn.XLOOKUP(UNIVERSO[[#This Row],[Ruta]],'[1]CUOTA RUTA'!A:A,'[1]CUOTA RUTA'!D:D)</f>
        <v>Cargar</v>
      </c>
    </row>
    <row r="1655" spans="1:19" x14ac:dyDescent="0.25">
      <c r="A1655">
        <v>1500163696</v>
      </c>
      <c r="B1655" t="s">
        <v>3445</v>
      </c>
      <c r="C1655" t="s">
        <v>19</v>
      </c>
      <c r="D1655" t="s">
        <v>32</v>
      </c>
      <c r="E1655" t="s">
        <v>21</v>
      </c>
      <c r="F1655" t="s">
        <v>22</v>
      </c>
      <c r="G1655" t="s">
        <v>23</v>
      </c>
      <c r="H1655" t="s">
        <v>86</v>
      </c>
      <c r="I1655" t="s">
        <v>3446</v>
      </c>
      <c r="J1655">
        <v>9.9212083333330003</v>
      </c>
      <c r="K1655">
        <v>-84.08444333333</v>
      </c>
      <c r="L1655" t="s">
        <v>1225</v>
      </c>
      <c r="M1655" t="s">
        <v>71</v>
      </c>
      <c r="N1655" t="s">
        <v>72</v>
      </c>
      <c r="O1655" t="s">
        <v>73</v>
      </c>
      <c r="P1655">
        <v>4</v>
      </c>
      <c r="Q1655" t="s">
        <v>120</v>
      </c>
      <c r="S1655" t="str">
        <f>_xlfn.XLOOKUP(UNIVERSO[[#This Row],[Ruta]],'[1]CUOTA RUTA'!A:A,'[1]CUOTA RUTA'!D:D)</f>
        <v>Cargar</v>
      </c>
    </row>
    <row r="1656" spans="1:19" x14ac:dyDescent="0.25">
      <c r="A1656">
        <v>1500163766</v>
      </c>
      <c r="B1656" t="s">
        <v>3447</v>
      </c>
      <c r="C1656" t="s">
        <v>19</v>
      </c>
      <c r="D1656" t="s">
        <v>208</v>
      </c>
      <c r="E1656" t="s">
        <v>21</v>
      </c>
      <c r="F1656" t="s">
        <v>22</v>
      </c>
      <c r="G1656" t="s">
        <v>33</v>
      </c>
      <c r="H1656" t="s">
        <v>502</v>
      </c>
      <c r="I1656" t="s">
        <v>3448</v>
      </c>
      <c r="J1656">
        <v>10.24103</v>
      </c>
      <c r="K1656">
        <v>-83.606700000000004</v>
      </c>
      <c r="L1656" t="s">
        <v>1225</v>
      </c>
      <c r="M1656" t="s">
        <v>189</v>
      </c>
      <c r="N1656" t="s">
        <v>211</v>
      </c>
      <c r="O1656" t="s">
        <v>212</v>
      </c>
      <c r="P1656">
        <v>9</v>
      </c>
      <c r="Q1656" t="s">
        <v>80</v>
      </c>
      <c r="S1656" t="str">
        <f>_xlfn.XLOOKUP(UNIVERSO[[#This Row],[Ruta]],'[1]CUOTA RUTA'!A:A,'[1]CUOTA RUTA'!D:D)</f>
        <v>Cargar</v>
      </c>
    </row>
    <row r="1657" spans="1:19" x14ac:dyDescent="0.25">
      <c r="A1657">
        <v>1500163923</v>
      </c>
      <c r="B1657" t="s">
        <v>3449</v>
      </c>
      <c r="C1657" t="s">
        <v>19</v>
      </c>
      <c r="D1657" t="s">
        <v>208</v>
      </c>
      <c r="E1657" t="s">
        <v>21</v>
      </c>
      <c r="F1657" t="s">
        <v>22</v>
      </c>
      <c r="G1657" t="s">
        <v>33</v>
      </c>
      <c r="H1657" t="s">
        <v>502</v>
      </c>
      <c r="I1657" t="s">
        <v>3450</v>
      </c>
      <c r="J1657">
        <v>10.396940000000001</v>
      </c>
      <c r="K1657">
        <v>-83.772499999999994</v>
      </c>
      <c r="L1657" t="s">
        <v>1225</v>
      </c>
      <c r="M1657" t="s">
        <v>189</v>
      </c>
      <c r="N1657" t="s">
        <v>211</v>
      </c>
      <c r="O1657" t="s">
        <v>212</v>
      </c>
      <c r="P1657">
        <v>2</v>
      </c>
      <c r="Q1657" t="s">
        <v>150</v>
      </c>
      <c r="S1657" t="str">
        <f>_xlfn.XLOOKUP(UNIVERSO[[#This Row],[Ruta]],'[1]CUOTA RUTA'!A:A,'[1]CUOTA RUTA'!D:D)</f>
        <v>Cargar</v>
      </c>
    </row>
    <row r="1658" spans="1:19" x14ac:dyDescent="0.25">
      <c r="A1658">
        <v>1500163948</v>
      </c>
      <c r="B1658" t="s">
        <v>121</v>
      </c>
      <c r="C1658" t="s">
        <v>19</v>
      </c>
      <c r="D1658" t="s">
        <v>32</v>
      </c>
      <c r="E1658" t="s">
        <v>21</v>
      </c>
      <c r="F1658" t="s">
        <v>22</v>
      </c>
      <c r="G1658" t="s">
        <v>64</v>
      </c>
      <c r="H1658" t="s">
        <v>89</v>
      </c>
      <c r="I1658" t="s">
        <v>3451</v>
      </c>
      <c r="J1658">
        <v>9.8956219999999995</v>
      </c>
      <c r="K1658">
        <v>-84.081010000000006</v>
      </c>
      <c r="L1658" t="s">
        <v>1225</v>
      </c>
      <c r="M1658" t="s">
        <v>71</v>
      </c>
      <c r="N1658" t="s">
        <v>72</v>
      </c>
      <c r="O1658" t="s">
        <v>73</v>
      </c>
      <c r="P1658">
        <v>6</v>
      </c>
      <c r="Q1658" t="s">
        <v>49</v>
      </c>
      <c r="S1658" t="str">
        <f>_xlfn.XLOOKUP(UNIVERSO[[#This Row],[Ruta]],'[1]CUOTA RUTA'!A:A,'[1]CUOTA RUTA'!D:D)</f>
        <v>Cargar</v>
      </c>
    </row>
    <row r="1659" spans="1:19" x14ac:dyDescent="0.25">
      <c r="A1659">
        <v>1500163984</v>
      </c>
      <c r="B1659" t="s">
        <v>455</v>
      </c>
      <c r="C1659" t="s">
        <v>19</v>
      </c>
      <c r="D1659" t="s">
        <v>266</v>
      </c>
      <c r="E1659" t="s">
        <v>21</v>
      </c>
      <c r="F1659" t="s">
        <v>22</v>
      </c>
      <c r="G1659" t="s">
        <v>64</v>
      </c>
      <c r="H1659" t="s">
        <v>366</v>
      </c>
      <c r="I1659" t="s">
        <v>3452</v>
      </c>
      <c r="J1659">
        <v>9.8303683333330003</v>
      </c>
      <c r="K1659">
        <v>-83.908801666659997</v>
      </c>
      <c r="L1659" t="s">
        <v>1225</v>
      </c>
      <c r="M1659" t="s">
        <v>36</v>
      </c>
      <c r="N1659" t="s">
        <v>316</v>
      </c>
      <c r="O1659" t="s">
        <v>317</v>
      </c>
      <c r="P1659">
        <v>17</v>
      </c>
      <c r="Q1659" t="s">
        <v>287</v>
      </c>
      <c r="S1659" t="str">
        <f>_xlfn.XLOOKUP(UNIVERSO[[#This Row],[Ruta]],'[1]CUOTA RUTA'!A:A,'[1]CUOTA RUTA'!D:D)</f>
        <v>Cargar</v>
      </c>
    </row>
    <row r="1660" spans="1:19" x14ac:dyDescent="0.25">
      <c r="A1660">
        <v>1500164036</v>
      </c>
      <c r="B1660" t="s">
        <v>3232</v>
      </c>
      <c r="C1660" t="s">
        <v>19</v>
      </c>
      <c r="D1660" t="s">
        <v>208</v>
      </c>
      <c r="E1660" t="s">
        <v>21</v>
      </c>
      <c r="F1660" t="s">
        <v>22</v>
      </c>
      <c r="G1660" t="s">
        <v>33</v>
      </c>
      <c r="H1660" t="s">
        <v>221</v>
      </c>
      <c r="I1660" t="s">
        <v>3453</v>
      </c>
      <c r="J1660">
        <v>10.443490000000001</v>
      </c>
      <c r="K1660">
        <v>-84.090789999999998</v>
      </c>
      <c r="L1660" t="s">
        <v>1225</v>
      </c>
      <c r="M1660" t="s">
        <v>189</v>
      </c>
      <c r="N1660" t="s">
        <v>211</v>
      </c>
      <c r="O1660" t="s">
        <v>212</v>
      </c>
      <c r="P1660">
        <v>11</v>
      </c>
      <c r="Q1660" t="s">
        <v>108</v>
      </c>
      <c r="S1660" t="str">
        <f>_xlfn.XLOOKUP(UNIVERSO[[#This Row],[Ruta]],'[1]CUOTA RUTA'!A:A,'[1]CUOTA RUTA'!D:D)</f>
        <v>Cargar</v>
      </c>
    </row>
    <row r="1661" spans="1:19" x14ac:dyDescent="0.25">
      <c r="A1661">
        <v>1500164148</v>
      </c>
      <c r="B1661" t="s">
        <v>1934</v>
      </c>
      <c r="C1661" t="s">
        <v>19</v>
      </c>
      <c r="D1661" t="s">
        <v>32</v>
      </c>
      <c r="E1661" t="s">
        <v>21</v>
      </c>
      <c r="F1661" t="s">
        <v>22</v>
      </c>
      <c r="G1661" t="s">
        <v>64</v>
      </c>
      <c r="H1661" t="s">
        <v>127</v>
      </c>
      <c r="I1661" t="s">
        <v>3454</v>
      </c>
      <c r="J1661">
        <v>9.8103283333330005</v>
      </c>
      <c r="K1661">
        <v>-84.119031666660007</v>
      </c>
      <c r="L1661" t="s">
        <v>1225</v>
      </c>
      <c r="M1661" t="s">
        <v>54</v>
      </c>
      <c r="N1661" t="s">
        <v>129</v>
      </c>
      <c r="O1661" t="s">
        <v>130</v>
      </c>
      <c r="P1661">
        <v>22</v>
      </c>
      <c r="Q1661" t="s">
        <v>30</v>
      </c>
      <c r="S1661" t="str">
        <f>_xlfn.XLOOKUP(UNIVERSO[[#This Row],[Ruta]],'[1]CUOTA RUTA'!A:A,'[1]CUOTA RUTA'!D:D)</f>
        <v>Cargar</v>
      </c>
    </row>
    <row r="1662" spans="1:19" x14ac:dyDescent="0.25">
      <c r="A1662">
        <v>1500164195</v>
      </c>
      <c r="B1662" t="s">
        <v>3455</v>
      </c>
      <c r="C1662" t="s">
        <v>19</v>
      </c>
      <c r="D1662" t="s">
        <v>32</v>
      </c>
      <c r="E1662" t="s">
        <v>21</v>
      </c>
      <c r="F1662" t="s">
        <v>22</v>
      </c>
      <c r="G1662" t="s">
        <v>33</v>
      </c>
      <c r="H1662" t="s">
        <v>82</v>
      </c>
      <c r="I1662" t="s">
        <v>3456</v>
      </c>
      <c r="J1662">
        <v>9.8854170000000003</v>
      </c>
      <c r="K1662">
        <v>-84.057469999999995</v>
      </c>
      <c r="L1662" t="s">
        <v>1225</v>
      </c>
      <c r="M1662" t="s">
        <v>71</v>
      </c>
      <c r="N1662" t="s">
        <v>72</v>
      </c>
      <c r="O1662" t="s">
        <v>73</v>
      </c>
      <c r="P1662">
        <v>19</v>
      </c>
      <c r="Q1662" t="s">
        <v>67</v>
      </c>
      <c r="S1662" t="str">
        <f>_xlfn.XLOOKUP(UNIVERSO[[#This Row],[Ruta]],'[1]CUOTA RUTA'!A:A,'[1]CUOTA RUTA'!D:D)</f>
        <v>Cargar</v>
      </c>
    </row>
    <row r="1663" spans="1:19" x14ac:dyDescent="0.25">
      <c r="A1663">
        <v>1500164206</v>
      </c>
      <c r="B1663" t="s">
        <v>3457</v>
      </c>
      <c r="C1663" t="s">
        <v>19</v>
      </c>
      <c r="D1663" t="s">
        <v>32</v>
      </c>
      <c r="E1663" t="s">
        <v>21</v>
      </c>
      <c r="F1663" t="s">
        <v>22</v>
      </c>
      <c r="G1663" t="s">
        <v>33</v>
      </c>
      <c r="H1663" t="s">
        <v>625</v>
      </c>
      <c r="I1663" t="s">
        <v>3458</v>
      </c>
      <c r="J1663">
        <v>10.0031</v>
      </c>
      <c r="K1663">
        <v>-84.083131666659995</v>
      </c>
      <c r="L1663" t="s">
        <v>1225</v>
      </c>
      <c r="M1663" t="s">
        <v>94</v>
      </c>
      <c r="N1663" t="s">
        <v>95</v>
      </c>
      <c r="O1663" t="s">
        <v>96</v>
      </c>
      <c r="P1663">
        <v>12</v>
      </c>
      <c r="Q1663" t="s">
        <v>42</v>
      </c>
      <c r="S1663" t="str">
        <f>_xlfn.XLOOKUP(UNIVERSO[[#This Row],[Ruta]],'[1]CUOTA RUTA'!A:A,'[1]CUOTA RUTA'!D:D)</f>
        <v>Cargar</v>
      </c>
    </row>
    <row r="1664" spans="1:19" x14ac:dyDescent="0.25">
      <c r="A1664">
        <v>1500164323</v>
      </c>
      <c r="B1664" t="s">
        <v>3459</v>
      </c>
      <c r="C1664" t="s">
        <v>19</v>
      </c>
      <c r="D1664" t="s">
        <v>208</v>
      </c>
      <c r="E1664" t="s">
        <v>21</v>
      </c>
      <c r="F1664" t="s">
        <v>22</v>
      </c>
      <c r="G1664" t="s">
        <v>33</v>
      </c>
      <c r="H1664" t="s">
        <v>631</v>
      </c>
      <c r="I1664" t="s">
        <v>3460</v>
      </c>
      <c r="J1664">
        <v>10.32258</v>
      </c>
      <c r="K1664">
        <v>-83.606380000000001</v>
      </c>
      <c r="L1664" t="s">
        <v>1225</v>
      </c>
      <c r="M1664" t="s">
        <v>189</v>
      </c>
      <c r="N1664" t="s">
        <v>211</v>
      </c>
      <c r="O1664" t="s">
        <v>212</v>
      </c>
      <c r="P1664">
        <v>6</v>
      </c>
      <c r="Q1664" t="s">
        <v>49</v>
      </c>
      <c r="S1664" t="str">
        <f>_xlfn.XLOOKUP(UNIVERSO[[#This Row],[Ruta]],'[1]CUOTA RUTA'!A:A,'[1]CUOTA RUTA'!D:D)</f>
        <v>Cargar</v>
      </c>
    </row>
    <row r="1665" spans="1:19" x14ac:dyDescent="0.25">
      <c r="A1665">
        <v>1500164350</v>
      </c>
      <c r="B1665" t="s">
        <v>3461</v>
      </c>
      <c r="C1665" t="s">
        <v>19</v>
      </c>
      <c r="D1665" t="s">
        <v>32</v>
      </c>
      <c r="E1665" t="s">
        <v>21</v>
      </c>
      <c r="F1665" t="s">
        <v>22</v>
      </c>
      <c r="G1665" t="s">
        <v>33</v>
      </c>
      <c r="H1665" t="s">
        <v>76</v>
      </c>
      <c r="I1665" t="s">
        <v>3462</v>
      </c>
      <c r="J1665">
        <v>9.9596979999999995</v>
      </c>
      <c r="K1665">
        <v>-84.006621999999993</v>
      </c>
      <c r="L1665" t="s">
        <v>1225</v>
      </c>
      <c r="M1665" t="s">
        <v>36</v>
      </c>
      <c r="N1665" t="s">
        <v>37</v>
      </c>
      <c r="O1665" t="s">
        <v>38</v>
      </c>
      <c r="P1665">
        <v>20</v>
      </c>
      <c r="Q1665" t="s">
        <v>74</v>
      </c>
      <c r="S1665" t="str">
        <f>_xlfn.XLOOKUP(UNIVERSO[[#This Row],[Ruta]],'[1]CUOTA RUTA'!A:A,'[1]CUOTA RUTA'!D:D)</f>
        <v>Cargar</v>
      </c>
    </row>
    <row r="1666" spans="1:19" x14ac:dyDescent="0.25">
      <c r="A1666">
        <v>1500164352</v>
      </c>
      <c r="B1666" t="s">
        <v>3463</v>
      </c>
      <c r="C1666" t="s">
        <v>19</v>
      </c>
      <c r="D1666" t="s">
        <v>32</v>
      </c>
      <c r="E1666" t="s">
        <v>21</v>
      </c>
      <c r="F1666" t="s">
        <v>22</v>
      </c>
      <c r="G1666" t="s">
        <v>23</v>
      </c>
      <c r="H1666" t="s">
        <v>1113</v>
      </c>
      <c r="I1666" t="s">
        <v>3464</v>
      </c>
      <c r="J1666">
        <v>9.92591</v>
      </c>
      <c r="K1666">
        <v>-84.071700000000007</v>
      </c>
      <c r="L1666" t="s">
        <v>1225</v>
      </c>
      <c r="M1666" t="s">
        <v>36</v>
      </c>
      <c r="N1666" t="s">
        <v>37</v>
      </c>
      <c r="O1666" t="s">
        <v>38</v>
      </c>
      <c r="P1666">
        <v>6</v>
      </c>
      <c r="Q1666" t="s">
        <v>49</v>
      </c>
      <c r="S1666" t="str">
        <f>_xlfn.XLOOKUP(UNIVERSO[[#This Row],[Ruta]],'[1]CUOTA RUTA'!A:A,'[1]CUOTA RUTA'!D:D)</f>
        <v>Cargar</v>
      </c>
    </row>
    <row r="1667" spans="1:19" x14ac:dyDescent="0.25">
      <c r="A1667">
        <v>1500164415</v>
      </c>
      <c r="B1667" t="s">
        <v>1467</v>
      </c>
      <c r="C1667" t="s">
        <v>19</v>
      </c>
      <c r="D1667" t="s">
        <v>266</v>
      </c>
      <c r="E1667" t="s">
        <v>21</v>
      </c>
      <c r="F1667" t="s">
        <v>22</v>
      </c>
      <c r="G1667" t="s">
        <v>64</v>
      </c>
      <c r="H1667" t="s">
        <v>706</v>
      </c>
      <c r="I1667" t="s">
        <v>3465</v>
      </c>
      <c r="J1667">
        <v>9.8606983333329996</v>
      </c>
      <c r="K1667">
        <v>-83.937008333329999</v>
      </c>
      <c r="L1667" t="s">
        <v>1225</v>
      </c>
      <c r="M1667" t="s">
        <v>36</v>
      </c>
      <c r="N1667" t="s">
        <v>316</v>
      </c>
      <c r="O1667" t="s">
        <v>317</v>
      </c>
      <c r="P1667">
        <v>18</v>
      </c>
      <c r="Q1667" t="s">
        <v>84</v>
      </c>
      <c r="S1667" t="str">
        <f>_xlfn.XLOOKUP(UNIVERSO[[#This Row],[Ruta]],'[1]CUOTA RUTA'!A:A,'[1]CUOTA RUTA'!D:D)</f>
        <v>Cargar</v>
      </c>
    </row>
    <row r="1668" spans="1:19" x14ac:dyDescent="0.25">
      <c r="A1668">
        <v>1500164443</v>
      </c>
      <c r="B1668" t="s">
        <v>1668</v>
      </c>
      <c r="C1668" t="s">
        <v>19</v>
      </c>
      <c r="D1668" t="s">
        <v>266</v>
      </c>
      <c r="E1668" t="s">
        <v>21</v>
      </c>
      <c r="F1668" t="s">
        <v>22</v>
      </c>
      <c r="G1668" t="s">
        <v>33</v>
      </c>
      <c r="H1668" t="s">
        <v>404</v>
      </c>
      <c r="I1668" t="s">
        <v>3466</v>
      </c>
      <c r="J1668">
        <v>9.8331459999999993</v>
      </c>
      <c r="K1668">
        <v>-83.864833000000004</v>
      </c>
      <c r="L1668" t="s">
        <v>1225</v>
      </c>
      <c r="M1668" t="s">
        <v>36</v>
      </c>
      <c r="N1668" t="s">
        <v>316</v>
      </c>
      <c r="O1668" t="s">
        <v>317</v>
      </c>
      <c r="P1668">
        <v>23</v>
      </c>
      <c r="Q1668" t="s">
        <v>125</v>
      </c>
      <c r="S1668" t="str">
        <f>_xlfn.XLOOKUP(UNIVERSO[[#This Row],[Ruta]],'[1]CUOTA RUTA'!A:A,'[1]CUOTA RUTA'!D:D)</f>
        <v>Cargar</v>
      </c>
    </row>
    <row r="1669" spans="1:19" x14ac:dyDescent="0.25">
      <c r="A1669">
        <v>1500164478</v>
      </c>
      <c r="B1669" t="s">
        <v>3467</v>
      </c>
      <c r="C1669" t="s">
        <v>19</v>
      </c>
      <c r="D1669" t="s">
        <v>32</v>
      </c>
      <c r="E1669" t="s">
        <v>21</v>
      </c>
      <c r="F1669" t="s">
        <v>22</v>
      </c>
      <c r="G1669" t="s">
        <v>23</v>
      </c>
      <c r="H1669" t="s">
        <v>112</v>
      </c>
      <c r="I1669" t="s">
        <v>3468</v>
      </c>
      <c r="J1669">
        <v>9.9553519999999995</v>
      </c>
      <c r="K1669">
        <v>-84.101888000000002</v>
      </c>
      <c r="L1669" t="s">
        <v>1225</v>
      </c>
      <c r="M1669" t="s">
        <v>94</v>
      </c>
      <c r="N1669" t="s">
        <v>95</v>
      </c>
      <c r="O1669" t="s">
        <v>96</v>
      </c>
      <c r="P1669">
        <v>12</v>
      </c>
      <c r="Q1669" t="s">
        <v>42</v>
      </c>
      <c r="S1669" t="str">
        <f>_xlfn.XLOOKUP(UNIVERSO[[#This Row],[Ruta]],'[1]CUOTA RUTA'!A:A,'[1]CUOTA RUTA'!D:D)</f>
        <v>Cargar</v>
      </c>
    </row>
    <row r="1670" spans="1:19" x14ac:dyDescent="0.25">
      <c r="A1670">
        <v>1500164484</v>
      </c>
      <c r="B1670" t="s">
        <v>3469</v>
      </c>
      <c r="C1670" t="s">
        <v>19</v>
      </c>
      <c r="D1670" t="s">
        <v>266</v>
      </c>
      <c r="E1670" t="s">
        <v>21</v>
      </c>
      <c r="F1670" t="s">
        <v>22</v>
      </c>
      <c r="G1670" t="s">
        <v>33</v>
      </c>
      <c r="H1670" t="s">
        <v>366</v>
      </c>
      <c r="I1670" t="s">
        <v>3470</v>
      </c>
      <c r="J1670">
        <v>9.8606200000000008</v>
      </c>
      <c r="K1670">
        <v>-83.919771666659997</v>
      </c>
      <c r="L1670" t="s">
        <v>1225</v>
      </c>
      <c r="M1670" t="s">
        <v>36</v>
      </c>
      <c r="N1670" t="s">
        <v>316</v>
      </c>
      <c r="O1670" t="s">
        <v>317</v>
      </c>
      <c r="P1670">
        <v>18</v>
      </c>
      <c r="Q1670" t="s">
        <v>84</v>
      </c>
      <c r="S1670" t="str">
        <f>_xlfn.XLOOKUP(UNIVERSO[[#This Row],[Ruta]],'[1]CUOTA RUTA'!A:A,'[1]CUOTA RUTA'!D:D)</f>
        <v>Cargar</v>
      </c>
    </row>
    <row r="1671" spans="1:19" x14ac:dyDescent="0.25">
      <c r="A1671">
        <v>1500164509</v>
      </c>
      <c r="B1671" t="s">
        <v>3471</v>
      </c>
      <c r="C1671" t="s">
        <v>19</v>
      </c>
      <c r="D1671" t="s">
        <v>208</v>
      </c>
      <c r="E1671" t="s">
        <v>21</v>
      </c>
      <c r="F1671" t="s">
        <v>22</v>
      </c>
      <c r="G1671" t="s">
        <v>33</v>
      </c>
      <c r="H1671" t="s">
        <v>221</v>
      </c>
      <c r="I1671" t="s">
        <v>3472</v>
      </c>
      <c r="J1671">
        <v>9.9352099999999997</v>
      </c>
      <c r="K1671">
        <v>-83.587950000000006</v>
      </c>
      <c r="L1671" t="s">
        <v>1225</v>
      </c>
      <c r="M1671" t="s">
        <v>189</v>
      </c>
      <c r="N1671" t="s">
        <v>211</v>
      </c>
      <c r="O1671" t="s">
        <v>212</v>
      </c>
      <c r="P1671">
        <v>9</v>
      </c>
      <c r="Q1671" t="s">
        <v>80</v>
      </c>
      <c r="S1671" t="str">
        <f>_xlfn.XLOOKUP(UNIVERSO[[#This Row],[Ruta]],'[1]CUOTA RUTA'!A:A,'[1]CUOTA RUTA'!D:D)</f>
        <v>Cargar</v>
      </c>
    </row>
    <row r="1672" spans="1:19" x14ac:dyDescent="0.25">
      <c r="A1672">
        <v>1500164574</v>
      </c>
      <c r="B1672" t="s">
        <v>3473</v>
      </c>
      <c r="C1672" t="s">
        <v>19</v>
      </c>
      <c r="D1672" t="s">
        <v>32</v>
      </c>
      <c r="E1672" t="s">
        <v>21</v>
      </c>
      <c r="F1672" t="s">
        <v>22</v>
      </c>
      <c r="G1672" t="s">
        <v>33</v>
      </c>
      <c r="H1672" t="s">
        <v>69</v>
      </c>
      <c r="I1672" t="s">
        <v>3474</v>
      </c>
      <c r="J1672">
        <v>9.8541383333329993</v>
      </c>
      <c r="K1672">
        <v>-84.065216666660007</v>
      </c>
      <c r="L1672" t="s">
        <v>1225</v>
      </c>
      <c r="M1672" t="s">
        <v>71</v>
      </c>
      <c r="N1672" t="s">
        <v>72</v>
      </c>
      <c r="O1672" t="s">
        <v>73</v>
      </c>
      <c r="P1672">
        <v>22</v>
      </c>
      <c r="Q1672" t="s">
        <v>30</v>
      </c>
      <c r="S1672" t="str">
        <f>_xlfn.XLOOKUP(UNIVERSO[[#This Row],[Ruta]],'[1]CUOTA RUTA'!A:A,'[1]CUOTA RUTA'!D:D)</f>
        <v>Cargar</v>
      </c>
    </row>
    <row r="1673" spans="1:19" x14ac:dyDescent="0.25">
      <c r="A1673">
        <v>1500164675</v>
      </c>
      <c r="B1673" t="s">
        <v>1928</v>
      </c>
      <c r="C1673" t="s">
        <v>19</v>
      </c>
      <c r="D1673" t="s">
        <v>32</v>
      </c>
      <c r="E1673" t="s">
        <v>21</v>
      </c>
      <c r="F1673" t="s">
        <v>22</v>
      </c>
      <c r="G1673" t="s">
        <v>33</v>
      </c>
      <c r="H1673" t="s">
        <v>1383</v>
      </c>
      <c r="I1673" t="s">
        <v>3475</v>
      </c>
      <c r="J1673">
        <v>9.9186099999999993</v>
      </c>
      <c r="K1673">
        <v>-84.089600000000004</v>
      </c>
      <c r="L1673" t="s">
        <v>1225</v>
      </c>
      <c r="M1673" t="s">
        <v>71</v>
      </c>
      <c r="N1673" t="s">
        <v>72</v>
      </c>
      <c r="O1673" t="s">
        <v>73</v>
      </c>
      <c r="P1673">
        <v>4</v>
      </c>
      <c r="Q1673" t="s">
        <v>120</v>
      </c>
      <c r="S1673" t="str">
        <f>_xlfn.XLOOKUP(UNIVERSO[[#This Row],[Ruta]],'[1]CUOTA RUTA'!A:A,'[1]CUOTA RUTA'!D:D)</f>
        <v>Cargar</v>
      </c>
    </row>
    <row r="1674" spans="1:19" x14ac:dyDescent="0.25">
      <c r="A1674">
        <v>1500164750</v>
      </c>
      <c r="B1674" t="s">
        <v>3476</v>
      </c>
      <c r="C1674" t="s">
        <v>19</v>
      </c>
      <c r="D1674" t="s">
        <v>266</v>
      </c>
      <c r="E1674" t="s">
        <v>21</v>
      </c>
      <c r="F1674" t="s">
        <v>22</v>
      </c>
      <c r="G1674" t="s">
        <v>23</v>
      </c>
      <c r="H1674" t="s">
        <v>404</v>
      </c>
      <c r="I1674" t="s">
        <v>3477</v>
      </c>
      <c r="J1674">
        <v>9.8633649999999999</v>
      </c>
      <c r="K1674">
        <v>-83.904619999999994</v>
      </c>
      <c r="L1674" t="s">
        <v>1225</v>
      </c>
      <c r="M1674" t="s">
        <v>36</v>
      </c>
      <c r="N1674" t="s">
        <v>316</v>
      </c>
      <c r="O1674" t="s">
        <v>317</v>
      </c>
      <c r="P1674">
        <v>16</v>
      </c>
      <c r="Q1674" t="s">
        <v>60</v>
      </c>
      <c r="S1674" t="str">
        <f>_xlfn.XLOOKUP(UNIVERSO[[#This Row],[Ruta]],'[1]CUOTA RUTA'!A:A,'[1]CUOTA RUTA'!D:D)</f>
        <v>Cargar</v>
      </c>
    </row>
    <row r="1675" spans="1:19" x14ac:dyDescent="0.25">
      <c r="A1675">
        <v>1500164797</v>
      </c>
      <c r="B1675" t="s">
        <v>3478</v>
      </c>
      <c r="C1675" t="s">
        <v>19</v>
      </c>
      <c r="D1675" t="s">
        <v>32</v>
      </c>
      <c r="E1675" t="s">
        <v>21</v>
      </c>
      <c r="F1675" t="s">
        <v>22</v>
      </c>
      <c r="G1675" t="s">
        <v>33</v>
      </c>
      <c r="H1675" t="s">
        <v>148</v>
      </c>
      <c r="I1675" t="s">
        <v>3479</v>
      </c>
      <c r="J1675">
        <v>10.004621666666999</v>
      </c>
      <c r="K1675">
        <v>-84.001081666659999</v>
      </c>
      <c r="L1675" t="s">
        <v>1225</v>
      </c>
      <c r="M1675" t="s">
        <v>94</v>
      </c>
      <c r="N1675" t="s">
        <v>95</v>
      </c>
      <c r="O1675" t="s">
        <v>96</v>
      </c>
      <c r="P1675">
        <v>5</v>
      </c>
      <c r="Q1675" t="s">
        <v>117</v>
      </c>
      <c r="S1675" t="str">
        <f>_xlfn.XLOOKUP(UNIVERSO[[#This Row],[Ruta]],'[1]CUOTA RUTA'!A:A,'[1]CUOTA RUTA'!D:D)</f>
        <v>Cargar</v>
      </c>
    </row>
    <row r="1676" spans="1:19" x14ac:dyDescent="0.25">
      <c r="A1676">
        <v>1500164878</v>
      </c>
      <c r="B1676" t="s">
        <v>460</v>
      </c>
      <c r="C1676" t="s">
        <v>19</v>
      </c>
      <c r="D1676" t="s">
        <v>266</v>
      </c>
      <c r="E1676" t="s">
        <v>21</v>
      </c>
      <c r="F1676" t="s">
        <v>22</v>
      </c>
      <c r="G1676" t="s">
        <v>23</v>
      </c>
      <c r="H1676" t="s">
        <v>272</v>
      </c>
      <c r="I1676" t="s">
        <v>3480</v>
      </c>
      <c r="J1676">
        <v>9.9217710100000005</v>
      </c>
      <c r="K1676">
        <v>-83.786707820000004</v>
      </c>
      <c r="L1676" t="s">
        <v>1225</v>
      </c>
      <c r="M1676" t="s">
        <v>54</v>
      </c>
      <c r="N1676" t="s">
        <v>274</v>
      </c>
      <c r="O1676" t="s">
        <v>275</v>
      </c>
      <c r="P1676">
        <v>21</v>
      </c>
      <c r="Q1676" t="s">
        <v>239</v>
      </c>
      <c r="S1676" t="str">
        <f>_xlfn.XLOOKUP(UNIVERSO[[#This Row],[Ruta]],'[1]CUOTA RUTA'!A:A,'[1]CUOTA RUTA'!D:D)</f>
        <v>Cargar</v>
      </c>
    </row>
    <row r="1677" spans="1:19" x14ac:dyDescent="0.25">
      <c r="A1677">
        <v>1500164958</v>
      </c>
      <c r="B1677" t="s">
        <v>3481</v>
      </c>
      <c r="C1677" t="s">
        <v>19</v>
      </c>
      <c r="D1677" t="s">
        <v>208</v>
      </c>
      <c r="E1677" t="s">
        <v>21</v>
      </c>
      <c r="F1677" t="s">
        <v>22</v>
      </c>
      <c r="G1677" t="s">
        <v>64</v>
      </c>
      <c r="H1677" t="s">
        <v>719</v>
      </c>
      <c r="I1677" t="s">
        <v>3482</v>
      </c>
      <c r="J1677">
        <v>10.38907</v>
      </c>
      <c r="K1677">
        <v>-84.143600000000006</v>
      </c>
      <c r="L1677" t="s">
        <v>1225</v>
      </c>
      <c r="M1677" t="s">
        <v>189</v>
      </c>
      <c r="N1677" t="s">
        <v>211</v>
      </c>
      <c r="O1677" t="s">
        <v>212</v>
      </c>
      <c r="P1677">
        <v>11</v>
      </c>
      <c r="Q1677" t="s">
        <v>108</v>
      </c>
      <c r="S1677" t="str">
        <f>_xlfn.XLOOKUP(UNIVERSO[[#This Row],[Ruta]],'[1]CUOTA RUTA'!A:A,'[1]CUOTA RUTA'!D:D)</f>
        <v>Cargar</v>
      </c>
    </row>
    <row r="1678" spans="1:19" x14ac:dyDescent="0.25">
      <c r="A1678">
        <v>1500164962</v>
      </c>
      <c r="B1678" t="s">
        <v>3483</v>
      </c>
      <c r="C1678" t="s">
        <v>19</v>
      </c>
      <c r="D1678" t="s">
        <v>32</v>
      </c>
      <c r="E1678" t="s">
        <v>21</v>
      </c>
      <c r="F1678" t="s">
        <v>22</v>
      </c>
      <c r="G1678" t="s">
        <v>33</v>
      </c>
      <c r="H1678" t="s">
        <v>174</v>
      </c>
      <c r="I1678" t="s">
        <v>3484</v>
      </c>
      <c r="J1678">
        <v>9.9442000000000004</v>
      </c>
      <c r="K1678">
        <v>-84.082499999999996</v>
      </c>
      <c r="L1678" t="s">
        <v>1225</v>
      </c>
      <c r="M1678" t="s">
        <v>71</v>
      </c>
      <c r="N1678" t="s">
        <v>72</v>
      </c>
      <c r="O1678" t="s">
        <v>73</v>
      </c>
      <c r="P1678">
        <v>2</v>
      </c>
      <c r="Q1678" t="s">
        <v>150</v>
      </c>
      <c r="S1678" t="str">
        <f>_xlfn.XLOOKUP(UNIVERSO[[#This Row],[Ruta]],'[1]CUOTA RUTA'!A:A,'[1]CUOTA RUTA'!D:D)</f>
        <v>Cargar</v>
      </c>
    </row>
    <row r="1679" spans="1:19" x14ac:dyDescent="0.25">
      <c r="A1679">
        <v>1500164976</v>
      </c>
      <c r="B1679" t="s">
        <v>3485</v>
      </c>
      <c r="C1679" t="s">
        <v>19</v>
      </c>
      <c r="D1679" t="s">
        <v>32</v>
      </c>
      <c r="E1679" t="s">
        <v>21</v>
      </c>
      <c r="F1679" t="s">
        <v>22</v>
      </c>
      <c r="G1679" t="s">
        <v>23</v>
      </c>
      <c r="H1679" t="s">
        <v>134</v>
      </c>
      <c r="I1679" t="s">
        <v>3486</v>
      </c>
      <c r="J1679">
        <v>9.9924300000000006</v>
      </c>
      <c r="K1679">
        <v>-84.026200000000003</v>
      </c>
      <c r="L1679" t="s">
        <v>1225</v>
      </c>
      <c r="M1679" t="s">
        <v>94</v>
      </c>
      <c r="N1679" t="s">
        <v>95</v>
      </c>
      <c r="O1679" t="s">
        <v>96</v>
      </c>
      <c r="P1679">
        <v>3</v>
      </c>
      <c r="Q1679" t="s">
        <v>101</v>
      </c>
      <c r="S1679" t="str">
        <f>_xlfn.XLOOKUP(UNIVERSO[[#This Row],[Ruta]],'[1]CUOTA RUTA'!A:A,'[1]CUOTA RUTA'!D:D)</f>
        <v>Cargar</v>
      </c>
    </row>
    <row r="1680" spans="1:19" x14ac:dyDescent="0.25">
      <c r="A1680">
        <v>1500165117</v>
      </c>
      <c r="B1680" t="s">
        <v>3487</v>
      </c>
      <c r="C1680" t="s">
        <v>19</v>
      </c>
      <c r="D1680" t="s">
        <v>20</v>
      </c>
      <c r="E1680" t="s">
        <v>21</v>
      </c>
      <c r="F1680" t="s">
        <v>22</v>
      </c>
      <c r="G1680" t="s">
        <v>33</v>
      </c>
      <c r="H1680" t="s">
        <v>303</v>
      </c>
      <c r="I1680" t="s">
        <v>3488</v>
      </c>
      <c r="J1680">
        <v>10.007619999999999</v>
      </c>
      <c r="K1680">
        <v>-84.231949999999998</v>
      </c>
      <c r="L1680" t="s">
        <v>1225</v>
      </c>
      <c r="M1680" t="s">
        <v>54</v>
      </c>
      <c r="N1680" t="s">
        <v>55</v>
      </c>
      <c r="O1680" t="s">
        <v>56</v>
      </c>
      <c r="P1680">
        <v>19</v>
      </c>
      <c r="Q1680" t="s">
        <v>67</v>
      </c>
      <c r="S1680" t="str">
        <f>_xlfn.XLOOKUP(UNIVERSO[[#This Row],[Ruta]],'[1]CUOTA RUTA'!A:A,'[1]CUOTA RUTA'!D:D)</f>
        <v>Cargar</v>
      </c>
    </row>
    <row r="1681" spans="1:19" x14ac:dyDescent="0.25">
      <c r="A1681">
        <v>1500165121</v>
      </c>
      <c r="B1681" t="s">
        <v>3489</v>
      </c>
      <c r="C1681" t="s">
        <v>19</v>
      </c>
      <c r="D1681" t="s">
        <v>20</v>
      </c>
      <c r="E1681" t="s">
        <v>21</v>
      </c>
      <c r="F1681" t="s">
        <v>22</v>
      </c>
      <c r="G1681" t="s">
        <v>33</v>
      </c>
      <c r="H1681" t="s">
        <v>52</v>
      </c>
      <c r="I1681" t="s">
        <v>3490</v>
      </c>
      <c r="J1681">
        <v>9.9022000000000006</v>
      </c>
      <c r="K1681">
        <v>-84.157200000000003</v>
      </c>
      <c r="L1681" t="s">
        <v>1225</v>
      </c>
      <c r="M1681" t="s">
        <v>54</v>
      </c>
      <c r="N1681" t="s">
        <v>55</v>
      </c>
      <c r="O1681" t="s">
        <v>56</v>
      </c>
      <c r="P1681">
        <v>11</v>
      </c>
      <c r="Q1681" t="s">
        <v>108</v>
      </c>
      <c r="S1681" t="str">
        <f>_xlfn.XLOOKUP(UNIVERSO[[#This Row],[Ruta]],'[1]CUOTA RUTA'!A:A,'[1]CUOTA RUTA'!D:D)</f>
        <v>Cargar</v>
      </c>
    </row>
    <row r="1682" spans="1:19" x14ac:dyDescent="0.25">
      <c r="A1682">
        <v>1500165194</v>
      </c>
      <c r="B1682" t="s">
        <v>3491</v>
      </c>
      <c r="C1682" t="s">
        <v>19</v>
      </c>
      <c r="D1682" t="s">
        <v>324</v>
      </c>
      <c r="E1682" t="s">
        <v>21</v>
      </c>
      <c r="F1682" t="s">
        <v>22</v>
      </c>
      <c r="G1682" t="s">
        <v>33</v>
      </c>
      <c r="H1682" t="s">
        <v>393</v>
      </c>
      <c r="I1682" t="s">
        <v>3492</v>
      </c>
      <c r="J1682">
        <v>10.3614251</v>
      </c>
      <c r="K1682">
        <v>-84.334127100000003</v>
      </c>
      <c r="L1682" t="s">
        <v>1225</v>
      </c>
      <c r="M1682" t="s">
        <v>327</v>
      </c>
      <c r="N1682" t="s">
        <v>328</v>
      </c>
      <c r="O1682" t="s">
        <v>329</v>
      </c>
      <c r="P1682">
        <v>16</v>
      </c>
      <c r="Q1682" t="s">
        <v>60</v>
      </c>
      <c r="S1682" t="str">
        <f>_xlfn.XLOOKUP(UNIVERSO[[#This Row],[Ruta]],'[1]CUOTA RUTA'!A:A,'[1]CUOTA RUTA'!D:D)</f>
        <v>Cargar</v>
      </c>
    </row>
    <row r="1683" spans="1:19" x14ac:dyDescent="0.25">
      <c r="A1683">
        <v>1500165198</v>
      </c>
      <c r="B1683" t="s">
        <v>3493</v>
      </c>
      <c r="C1683" t="s">
        <v>19</v>
      </c>
      <c r="D1683" t="s">
        <v>324</v>
      </c>
      <c r="E1683" t="s">
        <v>21</v>
      </c>
      <c r="F1683" t="s">
        <v>22</v>
      </c>
      <c r="G1683" t="s">
        <v>23</v>
      </c>
      <c r="H1683" t="s">
        <v>331</v>
      </c>
      <c r="I1683" t="s">
        <v>3494</v>
      </c>
      <c r="J1683">
        <v>10.406599999999999</v>
      </c>
      <c r="K1683">
        <v>-84.216419999999999</v>
      </c>
      <c r="L1683" t="s">
        <v>1225</v>
      </c>
      <c r="M1683" t="s">
        <v>327</v>
      </c>
      <c r="N1683" t="s">
        <v>328</v>
      </c>
      <c r="O1683" t="s">
        <v>329</v>
      </c>
      <c r="P1683">
        <v>17</v>
      </c>
      <c r="Q1683" t="s">
        <v>287</v>
      </c>
      <c r="S1683" t="str">
        <f>_xlfn.XLOOKUP(UNIVERSO[[#This Row],[Ruta]],'[1]CUOTA RUTA'!A:A,'[1]CUOTA RUTA'!D:D)</f>
        <v>Cargar</v>
      </c>
    </row>
    <row r="1684" spans="1:19" x14ac:dyDescent="0.25">
      <c r="A1684">
        <v>1500165616</v>
      </c>
      <c r="B1684" t="s">
        <v>3495</v>
      </c>
      <c r="C1684" t="s">
        <v>19</v>
      </c>
      <c r="D1684" t="s">
        <v>32</v>
      </c>
      <c r="E1684" t="s">
        <v>21</v>
      </c>
      <c r="F1684" t="s">
        <v>22</v>
      </c>
      <c r="G1684" t="s">
        <v>64</v>
      </c>
      <c r="H1684" t="s">
        <v>69</v>
      </c>
      <c r="I1684" t="s">
        <v>3496</v>
      </c>
      <c r="J1684">
        <v>9.8750699999999991</v>
      </c>
      <c r="K1684">
        <v>-84.056996666659998</v>
      </c>
      <c r="L1684" t="s">
        <v>1225</v>
      </c>
      <c r="M1684" t="s">
        <v>71</v>
      </c>
      <c r="N1684" t="s">
        <v>72</v>
      </c>
      <c r="O1684" t="s">
        <v>73</v>
      </c>
      <c r="P1684">
        <v>22</v>
      </c>
      <c r="Q1684" t="s">
        <v>30</v>
      </c>
      <c r="S1684" t="str">
        <f>_xlfn.XLOOKUP(UNIVERSO[[#This Row],[Ruta]],'[1]CUOTA RUTA'!A:A,'[1]CUOTA RUTA'!D:D)</f>
        <v>Cargar</v>
      </c>
    </row>
    <row r="1685" spans="1:19" x14ac:dyDescent="0.25">
      <c r="A1685">
        <v>1500165788</v>
      </c>
      <c r="B1685" t="s">
        <v>3497</v>
      </c>
      <c r="C1685" t="s">
        <v>19</v>
      </c>
      <c r="D1685" t="s">
        <v>32</v>
      </c>
      <c r="E1685" t="s">
        <v>21</v>
      </c>
      <c r="F1685" t="s">
        <v>51</v>
      </c>
      <c r="G1685" t="s">
        <v>23</v>
      </c>
      <c r="H1685" t="s">
        <v>441</v>
      </c>
      <c r="I1685" t="s">
        <v>3498</v>
      </c>
      <c r="J1685">
        <v>9.9001950000000001</v>
      </c>
      <c r="K1685">
        <v>-84.100818333329997</v>
      </c>
      <c r="L1685" t="s">
        <v>1225</v>
      </c>
      <c r="M1685" t="s">
        <v>71</v>
      </c>
      <c r="N1685" t="s">
        <v>72</v>
      </c>
      <c r="O1685" t="s">
        <v>73</v>
      </c>
      <c r="P1685">
        <v>13</v>
      </c>
      <c r="Q1685" t="s">
        <v>161</v>
      </c>
      <c r="S1685" t="str">
        <f>_xlfn.XLOOKUP(UNIVERSO[[#This Row],[Ruta]],'[1]CUOTA RUTA'!A:A,'[1]CUOTA RUTA'!D:D)</f>
        <v>Cargar</v>
      </c>
    </row>
    <row r="1686" spans="1:19" x14ac:dyDescent="0.25">
      <c r="A1686">
        <v>1500165985</v>
      </c>
      <c r="B1686" t="s">
        <v>3499</v>
      </c>
      <c r="C1686" t="s">
        <v>19</v>
      </c>
      <c r="D1686" t="s">
        <v>266</v>
      </c>
      <c r="E1686" t="s">
        <v>21</v>
      </c>
      <c r="F1686" t="s">
        <v>22</v>
      </c>
      <c r="G1686" t="s">
        <v>33</v>
      </c>
      <c r="H1686" t="s">
        <v>314</v>
      </c>
      <c r="I1686" t="s">
        <v>3500</v>
      </c>
      <c r="J1686">
        <v>9.8715016666669992</v>
      </c>
      <c r="K1686">
        <v>-83.908483333329997</v>
      </c>
      <c r="L1686" t="s">
        <v>1225</v>
      </c>
      <c r="M1686" t="s">
        <v>36</v>
      </c>
      <c r="N1686" t="s">
        <v>316</v>
      </c>
      <c r="O1686" t="s">
        <v>317</v>
      </c>
      <c r="P1686">
        <v>16</v>
      </c>
      <c r="Q1686" t="s">
        <v>60</v>
      </c>
      <c r="S1686" t="str">
        <f>_xlfn.XLOOKUP(UNIVERSO[[#This Row],[Ruta]],'[1]CUOTA RUTA'!A:A,'[1]CUOTA RUTA'!D:D)</f>
        <v>Cargar</v>
      </c>
    </row>
    <row r="1687" spans="1:19" x14ac:dyDescent="0.25">
      <c r="A1687">
        <v>1500166189</v>
      </c>
      <c r="B1687" t="s">
        <v>3501</v>
      </c>
      <c r="C1687" t="s">
        <v>19</v>
      </c>
      <c r="D1687" t="s">
        <v>20</v>
      </c>
      <c r="E1687" t="s">
        <v>21</v>
      </c>
      <c r="F1687" t="s">
        <v>22</v>
      </c>
      <c r="G1687" t="s">
        <v>33</v>
      </c>
      <c r="H1687" t="s">
        <v>518</v>
      </c>
      <c r="I1687" t="s">
        <v>3502</v>
      </c>
      <c r="J1687">
        <v>9.9987650000000006</v>
      </c>
      <c r="K1687">
        <v>-84.157596999999996</v>
      </c>
      <c r="L1687" t="s">
        <v>1225</v>
      </c>
      <c r="M1687" t="s">
        <v>27</v>
      </c>
      <c r="N1687" t="s">
        <v>28</v>
      </c>
      <c r="O1687" t="s">
        <v>29</v>
      </c>
      <c r="P1687">
        <v>3</v>
      </c>
      <c r="Q1687" t="s">
        <v>101</v>
      </c>
      <c r="S1687" t="str">
        <f>_xlfn.XLOOKUP(UNIVERSO[[#This Row],[Ruta]],'[1]CUOTA RUTA'!A:A,'[1]CUOTA RUTA'!D:D)</f>
        <v>Cargar</v>
      </c>
    </row>
    <row r="1688" spans="1:19" x14ac:dyDescent="0.25">
      <c r="A1688">
        <v>1500166282</v>
      </c>
      <c r="B1688" t="s">
        <v>3503</v>
      </c>
      <c r="C1688" t="s">
        <v>19</v>
      </c>
      <c r="D1688" t="s">
        <v>32</v>
      </c>
      <c r="E1688" t="s">
        <v>21</v>
      </c>
      <c r="F1688" t="s">
        <v>51</v>
      </c>
      <c r="G1688" t="s">
        <v>23</v>
      </c>
      <c r="H1688" t="s">
        <v>86</v>
      </c>
      <c r="I1688" t="s">
        <v>3504</v>
      </c>
      <c r="J1688">
        <v>9.9798182999999998</v>
      </c>
      <c r="K1688">
        <v>-84.078725000000006</v>
      </c>
      <c r="L1688" t="s">
        <v>1225</v>
      </c>
      <c r="M1688" t="s">
        <v>71</v>
      </c>
      <c r="N1688" t="s">
        <v>72</v>
      </c>
      <c r="O1688" t="s">
        <v>73</v>
      </c>
      <c r="P1688">
        <v>23</v>
      </c>
      <c r="Q1688" t="s">
        <v>125</v>
      </c>
      <c r="S1688" t="str">
        <f>_xlfn.XLOOKUP(UNIVERSO[[#This Row],[Ruta]],'[1]CUOTA RUTA'!A:A,'[1]CUOTA RUTA'!D:D)</f>
        <v>Cargar</v>
      </c>
    </row>
    <row r="1689" spans="1:19" x14ac:dyDescent="0.25">
      <c r="A1689">
        <v>1500166417</v>
      </c>
      <c r="B1689" t="s">
        <v>3505</v>
      </c>
      <c r="C1689" t="s">
        <v>19</v>
      </c>
      <c r="D1689" t="s">
        <v>20</v>
      </c>
      <c r="E1689" t="s">
        <v>21</v>
      </c>
      <c r="F1689" t="s">
        <v>22</v>
      </c>
      <c r="G1689" t="s">
        <v>23</v>
      </c>
      <c r="H1689" t="s">
        <v>458</v>
      </c>
      <c r="I1689" t="s">
        <v>3506</v>
      </c>
      <c r="J1689">
        <v>9.9851272000000009</v>
      </c>
      <c r="K1689">
        <v>-84.252006300000005</v>
      </c>
      <c r="L1689" t="s">
        <v>1225</v>
      </c>
      <c r="M1689" t="s">
        <v>54</v>
      </c>
      <c r="N1689" t="s">
        <v>55</v>
      </c>
      <c r="O1689" t="s">
        <v>56</v>
      </c>
      <c r="P1689">
        <v>5</v>
      </c>
      <c r="Q1689" t="s">
        <v>117</v>
      </c>
      <c r="S1689" t="str">
        <f>_xlfn.XLOOKUP(UNIVERSO[[#This Row],[Ruta]],'[1]CUOTA RUTA'!A:A,'[1]CUOTA RUTA'!D:D)</f>
        <v>Cargar</v>
      </c>
    </row>
    <row r="1690" spans="1:19" x14ac:dyDescent="0.25">
      <c r="A1690">
        <v>1500166467</v>
      </c>
      <c r="B1690" t="s">
        <v>3507</v>
      </c>
      <c r="C1690" t="s">
        <v>19</v>
      </c>
      <c r="D1690" t="s">
        <v>20</v>
      </c>
      <c r="E1690" t="s">
        <v>21</v>
      </c>
      <c r="F1690" t="s">
        <v>22</v>
      </c>
      <c r="G1690" t="s">
        <v>23</v>
      </c>
      <c r="H1690" t="s">
        <v>1128</v>
      </c>
      <c r="I1690" t="s">
        <v>3508</v>
      </c>
      <c r="J1690">
        <v>10.082932</v>
      </c>
      <c r="K1690">
        <v>-84.317457000000005</v>
      </c>
      <c r="L1690" t="s">
        <v>1225</v>
      </c>
      <c r="M1690" t="s">
        <v>46</v>
      </c>
      <c r="N1690" t="s">
        <v>47</v>
      </c>
      <c r="O1690" t="s">
        <v>48</v>
      </c>
      <c r="P1690">
        <v>4</v>
      </c>
      <c r="Q1690" t="s">
        <v>120</v>
      </c>
      <c r="S1690" t="str">
        <f>_xlfn.XLOOKUP(UNIVERSO[[#This Row],[Ruta]],'[1]CUOTA RUTA'!A:A,'[1]CUOTA RUTA'!D:D)</f>
        <v>Cargar</v>
      </c>
    </row>
    <row r="1691" spans="1:19" x14ac:dyDescent="0.25">
      <c r="A1691">
        <v>1500166618</v>
      </c>
      <c r="B1691" t="s">
        <v>3509</v>
      </c>
      <c r="C1691" t="s">
        <v>19</v>
      </c>
      <c r="D1691" t="s">
        <v>32</v>
      </c>
      <c r="E1691" t="s">
        <v>21</v>
      </c>
      <c r="F1691" t="s">
        <v>22</v>
      </c>
      <c r="G1691" t="s">
        <v>33</v>
      </c>
      <c r="H1691" t="s">
        <v>112</v>
      </c>
      <c r="I1691" t="s">
        <v>3510</v>
      </c>
      <c r="J1691">
        <v>9.9796499999999995</v>
      </c>
      <c r="K1691">
        <v>-84.091558300000003</v>
      </c>
      <c r="L1691" t="s">
        <v>1225</v>
      </c>
      <c r="M1691" t="s">
        <v>94</v>
      </c>
      <c r="N1691" t="s">
        <v>95</v>
      </c>
      <c r="O1691" t="s">
        <v>96</v>
      </c>
      <c r="P1691">
        <v>10</v>
      </c>
      <c r="Q1691" t="s">
        <v>136</v>
      </c>
      <c r="S1691" t="str">
        <f>_xlfn.XLOOKUP(UNIVERSO[[#This Row],[Ruta]],'[1]CUOTA RUTA'!A:A,'[1]CUOTA RUTA'!D:D)</f>
        <v>Cargar</v>
      </c>
    </row>
    <row r="1692" spans="1:19" x14ac:dyDescent="0.25">
      <c r="A1692">
        <v>1500166809</v>
      </c>
      <c r="B1692" t="s">
        <v>3511</v>
      </c>
      <c r="C1692" t="s">
        <v>19</v>
      </c>
      <c r="D1692" t="s">
        <v>20</v>
      </c>
      <c r="E1692" t="s">
        <v>21</v>
      </c>
      <c r="F1692" t="s">
        <v>22</v>
      </c>
      <c r="G1692" t="s">
        <v>23</v>
      </c>
      <c r="H1692" t="s">
        <v>901</v>
      </c>
      <c r="I1692" t="s">
        <v>3512</v>
      </c>
      <c r="J1692">
        <v>10.058590000000001</v>
      </c>
      <c r="K1692">
        <v>-84.419420000000002</v>
      </c>
      <c r="L1692" t="s">
        <v>1225</v>
      </c>
      <c r="M1692" t="s">
        <v>46</v>
      </c>
      <c r="N1692" t="s">
        <v>47</v>
      </c>
      <c r="O1692" t="s">
        <v>48</v>
      </c>
      <c r="P1692">
        <v>7</v>
      </c>
      <c r="Q1692" t="s">
        <v>39</v>
      </c>
      <c r="S1692" t="str">
        <f>_xlfn.XLOOKUP(UNIVERSO[[#This Row],[Ruta]],'[1]CUOTA RUTA'!A:A,'[1]CUOTA RUTA'!D:D)</f>
        <v>Cargar</v>
      </c>
    </row>
    <row r="1693" spans="1:19" x14ac:dyDescent="0.25">
      <c r="A1693">
        <v>1500166867</v>
      </c>
      <c r="B1693" t="s">
        <v>1565</v>
      </c>
      <c r="C1693" t="s">
        <v>19</v>
      </c>
      <c r="D1693" t="s">
        <v>20</v>
      </c>
      <c r="E1693" t="s">
        <v>21</v>
      </c>
      <c r="F1693" t="s">
        <v>22</v>
      </c>
      <c r="G1693" t="s">
        <v>23</v>
      </c>
      <c r="H1693" t="s">
        <v>458</v>
      </c>
      <c r="I1693" t="s">
        <v>3513</v>
      </c>
      <c r="J1693">
        <v>9.9566683999999999</v>
      </c>
      <c r="K1693">
        <v>-84.319391699999997</v>
      </c>
      <c r="L1693" t="s">
        <v>1225</v>
      </c>
      <c r="M1693" t="s">
        <v>54</v>
      </c>
      <c r="N1693" t="s">
        <v>55</v>
      </c>
      <c r="O1693" t="s">
        <v>56</v>
      </c>
      <c r="P1693">
        <v>20</v>
      </c>
      <c r="Q1693" t="s">
        <v>74</v>
      </c>
      <c r="S1693" t="str">
        <f>_xlfn.XLOOKUP(UNIVERSO[[#This Row],[Ruta]],'[1]CUOTA RUTA'!A:A,'[1]CUOTA RUTA'!D:D)</f>
        <v>Cargar</v>
      </c>
    </row>
    <row r="1694" spans="1:19" x14ac:dyDescent="0.25">
      <c r="A1694">
        <v>1500167222</v>
      </c>
      <c r="B1694" t="s">
        <v>3514</v>
      </c>
      <c r="C1694" t="s">
        <v>19</v>
      </c>
      <c r="D1694" t="s">
        <v>32</v>
      </c>
      <c r="E1694" t="s">
        <v>21</v>
      </c>
      <c r="F1694" t="s">
        <v>22</v>
      </c>
      <c r="G1694" t="s">
        <v>33</v>
      </c>
      <c r="H1694" t="s">
        <v>82</v>
      </c>
      <c r="I1694" t="s">
        <v>3515</v>
      </c>
      <c r="J1694">
        <v>9.8870100000000001</v>
      </c>
      <c r="K1694">
        <v>-84.057799000000003</v>
      </c>
      <c r="L1694" t="s">
        <v>1225</v>
      </c>
      <c r="M1694" t="s">
        <v>71</v>
      </c>
      <c r="N1694" t="s">
        <v>72</v>
      </c>
      <c r="O1694" t="s">
        <v>73</v>
      </c>
      <c r="P1694">
        <v>18</v>
      </c>
      <c r="Q1694" t="s">
        <v>84</v>
      </c>
      <c r="S1694" t="str">
        <f>_xlfn.XLOOKUP(UNIVERSO[[#This Row],[Ruta]],'[1]CUOTA RUTA'!A:A,'[1]CUOTA RUTA'!D:D)</f>
        <v>Cargar</v>
      </c>
    </row>
    <row r="1695" spans="1:19" x14ac:dyDescent="0.25">
      <c r="A1695">
        <v>1500167296</v>
      </c>
      <c r="B1695" t="s">
        <v>3516</v>
      </c>
      <c r="C1695" t="s">
        <v>19</v>
      </c>
      <c r="D1695" t="s">
        <v>32</v>
      </c>
      <c r="E1695" t="s">
        <v>21</v>
      </c>
      <c r="F1695" t="s">
        <v>22</v>
      </c>
      <c r="G1695" t="s">
        <v>23</v>
      </c>
      <c r="H1695" t="s">
        <v>174</v>
      </c>
      <c r="I1695" t="s">
        <v>3517</v>
      </c>
      <c r="J1695">
        <v>9.9396556</v>
      </c>
      <c r="K1695">
        <v>-84.085835599999996</v>
      </c>
      <c r="L1695" t="s">
        <v>1225</v>
      </c>
      <c r="M1695" t="s">
        <v>71</v>
      </c>
      <c r="N1695" t="s">
        <v>72</v>
      </c>
      <c r="O1695" t="s">
        <v>73</v>
      </c>
      <c r="P1695">
        <v>1</v>
      </c>
      <c r="Q1695" t="s">
        <v>155</v>
      </c>
      <c r="S1695" t="str">
        <f>_xlfn.XLOOKUP(UNIVERSO[[#This Row],[Ruta]],'[1]CUOTA RUTA'!A:A,'[1]CUOTA RUTA'!D:D)</f>
        <v>Cargar</v>
      </c>
    </row>
    <row r="1696" spans="1:19" x14ac:dyDescent="0.25">
      <c r="A1696">
        <v>1500167433</v>
      </c>
      <c r="B1696" t="s">
        <v>3518</v>
      </c>
      <c r="C1696" t="s">
        <v>19</v>
      </c>
      <c r="D1696" t="s">
        <v>32</v>
      </c>
      <c r="E1696" t="s">
        <v>21</v>
      </c>
      <c r="F1696" t="s">
        <v>22</v>
      </c>
      <c r="G1696" t="s">
        <v>23</v>
      </c>
      <c r="H1696" t="s">
        <v>425</v>
      </c>
      <c r="I1696" t="s">
        <v>3519</v>
      </c>
      <c r="J1696">
        <v>9.8807127399999999</v>
      </c>
      <c r="K1696">
        <v>-84.080065790000006</v>
      </c>
      <c r="L1696" t="s">
        <v>1225</v>
      </c>
      <c r="M1696" t="s">
        <v>71</v>
      </c>
      <c r="N1696" t="s">
        <v>72</v>
      </c>
      <c r="O1696" t="s">
        <v>73</v>
      </c>
      <c r="P1696">
        <v>17</v>
      </c>
      <c r="Q1696" t="s">
        <v>287</v>
      </c>
      <c r="S1696" t="str">
        <f>_xlfn.XLOOKUP(UNIVERSO[[#This Row],[Ruta]],'[1]CUOTA RUTA'!A:A,'[1]CUOTA RUTA'!D:D)</f>
        <v>Cargar</v>
      </c>
    </row>
    <row r="1697" spans="1:19" x14ac:dyDescent="0.25">
      <c r="A1697">
        <v>1500167448</v>
      </c>
      <c r="B1697" t="s">
        <v>3520</v>
      </c>
      <c r="C1697" t="s">
        <v>19</v>
      </c>
      <c r="D1697" t="s">
        <v>32</v>
      </c>
      <c r="E1697" t="s">
        <v>21</v>
      </c>
      <c r="F1697" t="s">
        <v>22</v>
      </c>
      <c r="G1697" t="s">
        <v>23</v>
      </c>
      <c r="H1697" t="s">
        <v>134</v>
      </c>
      <c r="I1697" t="s">
        <v>3521</v>
      </c>
      <c r="J1697">
        <v>9.9334249999999997</v>
      </c>
      <c r="K1697">
        <v>-84.072879799999995</v>
      </c>
      <c r="L1697" t="s">
        <v>1225</v>
      </c>
      <c r="M1697" t="s">
        <v>94</v>
      </c>
      <c r="N1697" t="s">
        <v>95</v>
      </c>
      <c r="O1697" t="s">
        <v>96</v>
      </c>
      <c r="P1697">
        <v>12</v>
      </c>
      <c r="Q1697" t="s">
        <v>42</v>
      </c>
      <c r="S1697" t="str">
        <f>_xlfn.XLOOKUP(UNIVERSO[[#This Row],[Ruta]],'[1]CUOTA RUTA'!A:A,'[1]CUOTA RUTA'!D:D)</f>
        <v>Cargar</v>
      </c>
    </row>
    <row r="1698" spans="1:19" x14ac:dyDescent="0.25">
      <c r="A1698">
        <v>1500167455</v>
      </c>
      <c r="B1698" t="s">
        <v>3522</v>
      </c>
      <c r="C1698" t="s">
        <v>19</v>
      </c>
      <c r="D1698" t="s">
        <v>266</v>
      </c>
      <c r="E1698" t="s">
        <v>21</v>
      </c>
      <c r="F1698" t="s">
        <v>22</v>
      </c>
      <c r="G1698" t="s">
        <v>33</v>
      </c>
      <c r="H1698" t="s">
        <v>703</v>
      </c>
      <c r="I1698" t="s">
        <v>3523</v>
      </c>
      <c r="J1698">
        <v>9.8308990000000005</v>
      </c>
      <c r="K1698">
        <v>-83.952186100000006</v>
      </c>
      <c r="L1698" t="s">
        <v>1225</v>
      </c>
      <c r="M1698" t="s">
        <v>36</v>
      </c>
      <c r="N1698" t="s">
        <v>316</v>
      </c>
      <c r="O1698" t="s">
        <v>317</v>
      </c>
      <c r="P1698">
        <v>19</v>
      </c>
      <c r="Q1698" t="s">
        <v>67</v>
      </c>
      <c r="S1698" t="str">
        <f>_xlfn.XLOOKUP(UNIVERSO[[#This Row],[Ruta]],'[1]CUOTA RUTA'!A:A,'[1]CUOTA RUTA'!D:D)</f>
        <v>Cargar</v>
      </c>
    </row>
    <row r="1699" spans="1:19" x14ac:dyDescent="0.25">
      <c r="A1699">
        <v>1500167818</v>
      </c>
      <c r="B1699" t="s">
        <v>2743</v>
      </c>
      <c r="C1699" t="s">
        <v>19</v>
      </c>
      <c r="D1699" t="s">
        <v>32</v>
      </c>
      <c r="E1699" t="s">
        <v>21</v>
      </c>
      <c r="F1699" t="s">
        <v>22</v>
      </c>
      <c r="G1699" t="s">
        <v>64</v>
      </c>
      <c r="H1699" t="s">
        <v>425</v>
      </c>
      <c r="I1699" t="s">
        <v>3524</v>
      </c>
      <c r="J1699">
        <v>9.8734906000000002</v>
      </c>
      <c r="K1699">
        <v>-84.079996100000002</v>
      </c>
      <c r="L1699" t="s">
        <v>1225</v>
      </c>
      <c r="M1699" t="s">
        <v>71</v>
      </c>
      <c r="N1699" t="s">
        <v>72</v>
      </c>
      <c r="O1699" t="s">
        <v>73</v>
      </c>
      <c r="P1699">
        <v>16</v>
      </c>
      <c r="Q1699" t="s">
        <v>60</v>
      </c>
      <c r="S1699" t="str">
        <f>_xlfn.XLOOKUP(UNIVERSO[[#This Row],[Ruta]],'[1]CUOTA RUTA'!A:A,'[1]CUOTA RUTA'!D:D)</f>
        <v>Cargar</v>
      </c>
    </row>
    <row r="1700" spans="1:19" x14ac:dyDescent="0.25">
      <c r="A1700">
        <v>1500167878</v>
      </c>
      <c r="B1700" t="s">
        <v>968</v>
      </c>
      <c r="C1700" t="s">
        <v>19</v>
      </c>
      <c r="D1700" t="s">
        <v>32</v>
      </c>
      <c r="E1700" t="s">
        <v>21</v>
      </c>
      <c r="F1700" t="s">
        <v>22</v>
      </c>
      <c r="G1700" t="s">
        <v>33</v>
      </c>
      <c r="H1700" t="s">
        <v>89</v>
      </c>
      <c r="I1700" t="s">
        <v>3525</v>
      </c>
      <c r="J1700">
        <v>9.8863800000000008</v>
      </c>
      <c r="K1700">
        <v>-84.079899999999995</v>
      </c>
      <c r="L1700" t="s">
        <v>1225</v>
      </c>
      <c r="M1700" t="s">
        <v>71</v>
      </c>
      <c r="N1700" t="s">
        <v>72</v>
      </c>
      <c r="O1700" t="s">
        <v>73</v>
      </c>
      <c r="P1700">
        <v>7</v>
      </c>
      <c r="Q1700" t="s">
        <v>39</v>
      </c>
      <c r="S1700" t="str">
        <f>_xlfn.XLOOKUP(UNIVERSO[[#This Row],[Ruta]],'[1]CUOTA RUTA'!A:A,'[1]CUOTA RUTA'!D:D)</f>
        <v>Cargar</v>
      </c>
    </row>
    <row r="1701" spans="1:19" x14ac:dyDescent="0.25">
      <c r="A1701">
        <v>1500168004</v>
      </c>
      <c r="B1701" t="s">
        <v>3526</v>
      </c>
      <c r="C1701" t="s">
        <v>19</v>
      </c>
      <c r="D1701" t="s">
        <v>32</v>
      </c>
      <c r="E1701" t="s">
        <v>21</v>
      </c>
      <c r="F1701" t="s">
        <v>22</v>
      </c>
      <c r="G1701" t="s">
        <v>33</v>
      </c>
      <c r="H1701" t="s">
        <v>76</v>
      </c>
      <c r="I1701" t="s">
        <v>3527</v>
      </c>
      <c r="J1701">
        <v>9.9559230000000003</v>
      </c>
      <c r="K1701">
        <v>-84.004677000000001</v>
      </c>
      <c r="L1701" t="s">
        <v>1225</v>
      </c>
      <c r="M1701" t="s">
        <v>36</v>
      </c>
      <c r="N1701" t="s">
        <v>37</v>
      </c>
      <c r="O1701" t="s">
        <v>38</v>
      </c>
      <c r="P1701">
        <v>20</v>
      </c>
      <c r="Q1701" t="s">
        <v>74</v>
      </c>
      <c r="S1701" t="str">
        <f>_xlfn.XLOOKUP(UNIVERSO[[#This Row],[Ruta]],'[1]CUOTA RUTA'!A:A,'[1]CUOTA RUTA'!D:D)</f>
        <v>Cargar</v>
      </c>
    </row>
    <row r="1702" spans="1:19" x14ac:dyDescent="0.25">
      <c r="A1702">
        <v>1500168833</v>
      </c>
      <c r="B1702" t="s">
        <v>3528</v>
      </c>
      <c r="C1702" t="s">
        <v>19</v>
      </c>
      <c r="D1702" t="s">
        <v>20</v>
      </c>
      <c r="E1702" t="s">
        <v>21</v>
      </c>
      <c r="F1702" t="s">
        <v>22</v>
      </c>
      <c r="G1702" t="s">
        <v>23</v>
      </c>
      <c r="H1702" t="s">
        <v>52</v>
      </c>
      <c r="I1702" t="s">
        <v>3529</v>
      </c>
      <c r="J1702">
        <v>9.9069886</v>
      </c>
      <c r="K1702">
        <v>-84.131121899999997</v>
      </c>
      <c r="L1702" t="s">
        <v>1225</v>
      </c>
      <c r="M1702" t="s">
        <v>54</v>
      </c>
      <c r="N1702" t="s">
        <v>55</v>
      </c>
      <c r="O1702" t="s">
        <v>56</v>
      </c>
      <c r="P1702">
        <v>12</v>
      </c>
      <c r="Q1702" t="s">
        <v>42</v>
      </c>
      <c r="S1702" t="str">
        <f>_xlfn.XLOOKUP(UNIVERSO[[#This Row],[Ruta]],'[1]CUOTA RUTA'!A:A,'[1]CUOTA RUTA'!D:D)</f>
        <v>Cargar</v>
      </c>
    </row>
    <row r="1703" spans="1:19" x14ac:dyDescent="0.25">
      <c r="A1703">
        <v>1500168917</v>
      </c>
      <c r="B1703" t="s">
        <v>3530</v>
      </c>
      <c r="C1703" t="s">
        <v>19</v>
      </c>
      <c r="D1703" t="s">
        <v>20</v>
      </c>
      <c r="E1703" t="s">
        <v>21</v>
      </c>
      <c r="F1703" t="s">
        <v>22</v>
      </c>
      <c r="G1703" t="s">
        <v>33</v>
      </c>
      <c r="H1703" t="s">
        <v>308</v>
      </c>
      <c r="I1703" t="s">
        <v>3531</v>
      </c>
      <c r="J1703">
        <v>9.8313799999999993</v>
      </c>
      <c r="K1703">
        <v>-84.234319999999997</v>
      </c>
      <c r="L1703" t="s">
        <v>1225</v>
      </c>
      <c r="M1703" t="s">
        <v>54</v>
      </c>
      <c r="N1703" t="s">
        <v>55</v>
      </c>
      <c r="O1703" t="s">
        <v>56</v>
      </c>
      <c r="P1703">
        <v>23</v>
      </c>
      <c r="Q1703" t="s">
        <v>125</v>
      </c>
      <c r="S1703" t="str">
        <f>_xlfn.XLOOKUP(UNIVERSO[[#This Row],[Ruta]],'[1]CUOTA RUTA'!A:A,'[1]CUOTA RUTA'!D:D)</f>
        <v>Cargar</v>
      </c>
    </row>
    <row r="1704" spans="1:19" x14ac:dyDescent="0.25">
      <c r="A1704">
        <v>1500168940</v>
      </c>
      <c r="B1704" t="s">
        <v>3532</v>
      </c>
      <c r="C1704" t="s">
        <v>19</v>
      </c>
      <c r="D1704" t="s">
        <v>20</v>
      </c>
      <c r="E1704" t="s">
        <v>21</v>
      </c>
      <c r="F1704" t="s">
        <v>22</v>
      </c>
      <c r="G1704" t="s">
        <v>33</v>
      </c>
      <c r="H1704" t="s">
        <v>308</v>
      </c>
      <c r="I1704" t="s">
        <v>3533</v>
      </c>
      <c r="J1704">
        <v>9.8658699999999993</v>
      </c>
      <c r="K1704">
        <v>-84.363249999999994</v>
      </c>
      <c r="L1704" t="s">
        <v>1225</v>
      </c>
      <c r="M1704" t="s">
        <v>54</v>
      </c>
      <c r="N1704" t="s">
        <v>55</v>
      </c>
      <c r="O1704" t="s">
        <v>56</v>
      </c>
      <c r="P1704">
        <v>21</v>
      </c>
      <c r="Q1704" t="s">
        <v>239</v>
      </c>
      <c r="S1704" t="str">
        <f>_xlfn.XLOOKUP(UNIVERSO[[#This Row],[Ruta]],'[1]CUOTA RUTA'!A:A,'[1]CUOTA RUTA'!D:D)</f>
        <v>Cargar</v>
      </c>
    </row>
    <row r="1705" spans="1:19" x14ac:dyDescent="0.25">
      <c r="A1705">
        <v>1500168962</v>
      </c>
      <c r="B1705" t="s">
        <v>3534</v>
      </c>
      <c r="C1705" t="s">
        <v>19</v>
      </c>
      <c r="D1705" t="s">
        <v>20</v>
      </c>
      <c r="E1705" t="s">
        <v>21</v>
      </c>
      <c r="F1705" t="s">
        <v>22</v>
      </c>
      <c r="G1705" t="s">
        <v>33</v>
      </c>
      <c r="H1705" t="s">
        <v>308</v>
      </c>
      <c r="I1705" t="s">
        <v>3535</v>
      </c>
      <c r="J1705">
        <v>9.8780319999999993</v>
      </c>
      <c r="K1705">
        <v>-84.510090000000005</v>
      </c>
      <c r="L1705" t="s">
        <v>1225</v>
      </c>
      <c r="M1705" t="s">
        <v>54</v>
      </c>
      <c r="N1705" t="s">
        <v>55</v>
      </c>
      <c r="O1705" t="s">
        <v>56</v>
      </c>
      <c r="P1705">
        <v>22</v>
      </c>
      <c r="Q1705" t="s">
        <v>30</v>
      </c>
      <c r="S1705" t="str">
        <f>_xlfn.XLOOKUP(UNIVERSO[[#This Row],[Ruta]],'[1]CUOTA RUTA'!A:A,'[1]CUOTA RUTA'!D:D)</f>
        <v>Cargar</v>
      </c>
    </row>
    <row r="1706" spans="1:19" x14ac:dyDescent="0.25">
      <c r="A1706">
        <v>1500168990</v>
      </c>
      <c r="B1706" t="s">
        <v>3536</v>
      </c>
      <c r="C1706" t="s">
        <v>19</v>
      </c>
      <c r="D1706" t="s">
        <v>20</v>
      </c>
      <c r="E1706" t="s">
        <v>21</v>
      </c>
      <c r="F1706" t="s">
        <v>51</v>
      </c>
      <c r="G1706" t="s">
        <v>23</v>
      </c>
      <c r="H1706" t="s">
        <v>58</v>
      </c>
      <c r="I1706" t="s">
        <v>3537</v>
      </c>
      <c r="J1706">
        <v>10.03565</v>
      </c>
      <c r="K1706">
        <v>-84.199280000000002</v>
      </c>
      <c r="L1706" t="s">
        <v>1225</v>
      </c>
      <c r="M1706" t="s">
        <v>54</v>
      </c>
      <c r="N1706" t="s">
        <v>55</v>
      </c>
      <c r="O1706" t="s">
        <v>56</v>
      </c>
      <c r="P1706">
        <v>16</v>
      </c>
      <c r="Q1706" t="s">
        <v>60</v>
      </c>
      <c r="S1706" t="str">
        <f>_xlfn.XLOOKUP(UNIVERSO[[#This Row],[Ruta]],'[1]CUOTA RUTA'!A:A,'[1]CUOTA RUTA'!D:D)</f>
        <v>Cargar</v>
      </c>
    </row>
    <row r="1707" spans="1:19" x14ac:dyDescent="0.25">
      <c r="A1707">
        <v>1500169010</v>
      </c>
      <c r="B1707" t="s">
        <v>1252</v>
      </c>
      <c r="C1707" t="s">
        <v>19</v>
      </c>
      <c r="D1707" t="s">
        <v>20</v>
      </c>
      <c r="E1707" t="s">
        <v>21</v>
      </c>
      <c r="F1707" t="s">
        <v>22</v>
      </c>
      <c r="G1707" t="s">
        <v>33</v>
      </c>
      <c r="H1707" t="s">
        <v>44</v>
      </c>
      <c r="I1707" t="s">
        <v>3538</v>
      </c>
      <c r="J1707">
        <v>10.115830000000001</v>
      </c>
      <c r="K1707">
        <v>-84.421549999999996</v>
      </c>
      <c r="L1707" t="s">
        <v>1225</v>
      </c>
      <c r="M1707" t="s">
        <v>46</v>
      </c>
      <c r="N1707" t="s">
        <v>47</v>
      </c>
      <c r="O1707" t="s">
        <v>48</v>
      </c>
      <c r="P1707">
        <v>6</v>
      </c>
      <c r="Q1707" t="s">
        <v>49</v>
      </c>
      <c r="S1707" t="str">
        <f>_xlfn.XLOOKUP(UNIVERSO[[#This Row],[Ruta]],'[1]CUOTA RUTA'!A:A,'[1]CUOTA RUTA'!D:D)</f>
        <v>Cargar</v>
      </c>
    </row>
    <row r="1708" spans="1:19" x14ac:dyDescent="0.25">
      <c r="A1708">
        <v>1500169074</v>
      </c>
      <c r="B1708" t="s">
        <v>3539</v>
      </c>
      <c r="C1708" t="s">
        <v>19</v>
      </c>
      <c r="D1708" t="s">
        <v>20</v>
      </c>
      <c r="E1708" t="s">
        <v>21</v>
      </c>
      <c r="F1708" t="s">
        <v>22</v>
      </c>
      <c r="G1708" t="s">
        <v>23</v>
      </c>
      <c r="H1708" t="s">
        <v>193</v>
      </c>
      <c r="I1708" t="s">
        <v>3540</v>
      </c>
      <c r="J1708">
        <v>9.9536166999999995</v>
      </c>
      <c r="K1708">
        <v>-84.324773300000004</v>
      </c>
      <c r="L1708" t="s">
        <v>1225</v>
      </c>
      <c r="M1708" t="s">
        <v>54</v>
      </c>
      <c r="N1708" t="s">
        <v>55</v>
      </c>
      <c r="O1708" t="s">
        <v>56</v>
      </c>
      <c r="P1708">
        <v>20</v>
      </c>
      <c r="Q1708" t="s">
        <v>74</v>
      </c>
      <c r="S1708" t="str">
        <f>_xlfn.XLOOKUP(UNIVERSO[[#This Row],[Ruta]],'[1]CUOTA RUTA'!A:A,'[1]CUOTA RUTA'!D:D)</f>
        <v>Cargar</v>
      </c>
    </row>
    <row r="1709" spans="1:19" x14ac:dyDescent="0.25">
      <c r="A1709">
        <v>1500169092</v>
      </c>
      <c r="B1709" t="s">
        <v>3541</v>
      </c>
      <c r="C1709" t="s">
        <v>19</v>
      </c>
      <c r="D1709" t="s">
        <v>20</v>
      </c>
      <c r="E1709" t="s">
        <v>21</v>
      </c>
      <c r="F1709" t="s">
        <v>22</v>
      </c>
      <c r="G1709" t="s">
        <v>64</v>
      </c>
      <c r="H1709" t="s">
        <v>260</v>
      </c>
      <c r="I1709" t="s">
        <v>3542</v>
      </c>
      <c r="J1709">
        <v>10.100899999999999</v>
      </c>
      <c r="K1709">
        <v>-84.499399999999994</v>
      </c>
      <c r="L1709" t="s">
        <v>1225</v>
      </c>
      <c r="M1709" t="s">
        <v>46</v>
      </c>
      <c r="N1709" t="s">
        <v>47</v>
      </c>
      <c r="O1709" t="s">
        <v>48</v>
      </c>
      <c r="P1709">
        <v>9</v>
      </c>
      <c r="Q1709" t="s">
        <v>80</v>
      </c>
      <c r="S1709" t="str">
        <f>_xlfn.XLOOKUP(UNIVERSO[[#This Row],[Ruta]],'[1]CUOTA RUTA'!A:A,'[1]CUOTA RUTA'!D:D)</f>
        <v>Cargar</v>
      </c>
    </row>
    <row r="1710" spans="1:19" x14ac:dyDescent="0.25">
      <c r="A1710">
        <v>1500169095</v>
      </c>
      <c r="B1710" t="s">
        <v>3543</v>
      </c>
      <c r="C1710" t="s">
        <v>19</v>
      </c>
      <c r="D1710" t="s">
        <v>20</v>
      </c>
      <c r="E1710" t="s">
        <v>21</v>
      </c>
      <c r="F1710" t="s">
        <v>22</v>
      </c>
      <c r="G1710" t="s">
        <v>33</v>
      </c>
      <c r="H1710" t="s">
        <v>1021</v>
      </c>
      <c r="I1710" t="s">
        <v>3544</v>
      </c>
      <c r="J1710">
        <v>10.028642</v>
      </c>
      <c r="K1710">
        <v>-84.304091999999997</v>
      </c>
      <c r="L1710" t="s">
        <v>1225</v>
      </c>
      <c r="M1710" t="s">
        <v>46</v>
      </c>
      <c r="N1710" t="s">
        <v>47</v>
      </c>
      <c r="O1710" t="s">
        <v>48</v>
      </c>
      <c r="P1710">
        <v>5</v>
      </c>
      <c r="Q1710" t="s">
        <v>117</v>
      </c>
      <c r="S1710" t="str">
        <f>_xlfn.XLOOKUP(UNIVERSO[[#This Row],[Ruta]],'[1]CUOTA RUTA'!A:A,'[1]CUOTA RUTA'!D:D)</f>
        <v>Cargar</v>
      </c>
    </row>
    <row r="1711" spans="1:19" x14ac:dyDescent="0.25">
      <c r="A1711">
        <v>1500169176</v>
      </c>
      <c r="B1711" t="s">
        <v>3545</v>
      </c>
      <c r="C1711" t="s">
        <v>19</v>
      </c>
      <c r="D1711" t="s">
        <v>20</v>
      </c>
      <c r="E1711" t="s">
        <v>21</v>
      </c>
      <c r="F1711" t="s">
        <v>22</v>
      </c>
      <c r="G1711" t="s">
        <v>64</v>
      </c>
      <c r="H1711" t="s">
        <v>260</v>
      </c>
      <c r="I1711" t="s">
        <v>3546</v>
      </c>
      <c r="J1711">
        <v>10.095817661935</v>
      </c>
      <c r="K1711">
        <v>-84.478217029769993</v>
      </c>
      <c r="L1711" t="s">
        <v>1225</v>
      </c>
      <c r="M1711" t="s">
        <v>46</v>
      </c>
      <c r="N1711" t="s">
        <v>47</v>
      </c>
      <c r="O1711" t="s">
        <v>48</v>
      </c>
      <c r="P1711">
        <v>6</v>
      </c>
      <c r="Q1711" t="s">
        <v>49</v>
      </c>
      <c r="S1711" t="str">
        <f>_xlfn.XLOOKUP(UNIVERSO[[#This Row],[Ruta]],'[1]CUOTA RUTA'!A:A,'[1]CUOTA RUTA'!D:D)</f>
        <v>Cargar</v>
      </c>
    </row>
    <row r="1712" spans="1:19" x14ac:dyDescent="0.25">
      <c r="A1712">
        <v>1500169269</v>
      </c>
      <c r="B1712" t="s">
        <v>3547</v>
      </c>
      <c r="C1712" t="s">
        <v>19</v>
      </c>
      <c r="D1712" t="s">
        <v>20</v>
      </c>
      <c r="E1712" t="s">
        <v>21</v>
      </c>
      <c r="F1712" t="s">
        <v>22</v>
      </c>
      <c r="G1712" t="s">
        <v>33</v>
      </c>
      <c r="H1712" t="s">
        <v>458</v>
      </c>
      <c r="I1712" t="s">
        <v>3548</v>
      </c>
      <c r="J1712">
        <v>9.9707667999999998</v>
      </c>
      <c r="K1712">
        <v>-84.256535200000002</v>
      </c>
      <c r="L1712" t="s">
        <v>1225</v>
      </c>
      <c r="M1712" t="s">
        <v>54</v>
      </c>
      <c r="N1712" t="s">
        <v>55</v>
      </c>
      <c r="O1712" t="s">
        <v>56</v>
      </c>
      <c r="P1712">
        <v>6</v>
      </c>
      <c r="Q1712" t="s">
        <v>49</v>
      </c>
      <c r="S1712" t="str">
        <f>_xlfn.XLOOKUP(UNIVERSO[[#This Row],[Ruta]],'[1]CUOTA RUTA'!A:A,'[1]CUOTA RUTA'!D:D)</f>
        <v>Cargar</v>
      </c>
    </row>
    <row r="1713" spans="1:19" x14ac:dyDescent="0.25">
      <c r="A1713">
        <v>1500169276</v>
      </c>
      <c r="B1713" t="s">
        <v>3549</v>
      </c>
      <c r="C1713" t="s">
        <v>19</v>
      </c>
      <c r="D1713" t="s">
        <v>20</v>
      </c>
      <c r="E1713" t="s">
        <v>21</v>
      </c>
      <c r="F1713" t="s">
        <v>51</v>
      </c>
      <c r="G1713" t="s">
        <v>23</v>
      </c>
      <c r="H1713" t="s">
        <v>193</v>
      </c>
      <c r="I1713" t="s">
        <v>3550</v>
      </c>
      <c r="J1713">
        <v>9.9788983000000009</v>
      </c>
      <c r="K1713">
        <v>-84.263349700000006</v>
      </c>
      <c r="L1713" t="s">
        <v>1225</v>
      </c>
      <c r="M1713" t="s">
        <v>54</v>
      </c>
      <c r="N1713" t="s">
        <v>55</v>
      </c>
      <c r="O1713" t="s">
        <v>56</v>
      </c>
      <c r="P1713">
        <v>5</v>
      </c>
      <c r="Q1713" t="s">
        <v>117</v>
      </c>
      <c r="S1713" t="str">
        <f>_xlfn.XLOOKUP(UNIVERSO[[#This Row],[Ruta]],'[1]CUOTA RUTA'!A:A,'[1]CUOTA RUTA'!D:D)</f>
        <v>Cargar</v>
      </c>
    </row>
    <row r="1714" spans="1:19" x14ac:dyDescent="0.25">
      <c r="A1714">
        <v>1500169389</v>
      </c>
      <c r="B1714" t="s">
        <v>3551</v>
      </c>
      <c r="C1714" t="s">
        <v>19</v>
      </c>
      <c r="D1714" t="s">
        <v>20</v>
      </c>
      <c r="E1714" t="s">
        <v>21</v>
      </c>
      <c r="F1714" t="s">
        <v>51</v>
      </c>
      <c r="G1714" t="s">
        <v>23</v>
      </c>
      <c r="H1714" t="s">
        <v>277</v>
      </c>
      <c r="I1714" t="s">
        <v>3552</v>
      </c>
      <c r="J1714">
        <v>9.9652876999999993</v>
      </c>
      <c r="K1714">
        <v>-84.244274899999994</v>
      </c>
      <c r="L1714" t="s">
        <v>1225</v>
      </c>
      <c r="M1714" t="s">
        <v>54</v>
      </c>
      <c r="N1714" t="s">
        <v>55</v>
      </c>
      <c r="O1714" t="s">
        <v>56</v>
      </c>
      <c r="P1714">
        <v>9</v>
      </c>
      <c r="Q1714" t="s">
        <v>80</v>
      </c>
      <c r="S1714" t="str">
        <f>_xlfn.XLOOKUP(UNIVERSO[[#This Row],[Ruta]],'[1]CUOTA RUTA'!A:A,'[1]CUOTA RUTA'!D:D)</f>
        <v>Cargar</v>
      </c>
    </row>
    <row r="1715" spans="1:19" x14ac:dyDescent="0.25">
      <c r="A1715">
        <v>1500169444</v>
      </c>
      <c r="B1715" t="s">
        <v>3553</v>
      </c>
      <c r="C1715" t="s">
        <v>19</v>
      </c>
      <c r="D1715" t="s">
        <v>208</v>
      </c>
      <c r="E1715" t="s">
        <v>21</v>
      </c>
      <c r="F1715" t="s">
        <v>22</v>
      </c>
      <c r="G1715" t="s">
        <v>64</v>
      </c>
      <c r="H1715" t="s">
        <v>616</v>
      </c>
      <c r="I1715" t="s">
        <v>3554</v>
      </c>
      <c r="J1715">
        <v>10.34761</v>
      </c>
      <c r="K1715">
        <v>-83.718199999999996</v>
      </c>
      <c r="L1715" t="s">
        <v>1225</v>
      </c>
      <c r="M1715" t="s">
        <v>189</v>
      </c>
      <c r="N1715" t="s">
        <v>211</v>
      </c>
      <c r="O1715" t="s">
        <v>212</v>
      </c>
      <c r="P1715">
        <v>2</v>
      </c>
      <c r="Q1715" t="s">
        <v>150</v>
      </c>
      <c r="S1715" t="str">
        <f>_xlfn.XLOOKUP(UNIVERSO[[#This Row],[Ruta]],'[1]CUOTA RUTA'!A:A,'[1]CUOTA RUTA'!D:D)</f>
        <v>Cargar</v>
      </c>
    </row>
    <row r="1716" spans="1:19" x14ac:dyDescent="0.25">
      <c r="A1716">
        <v>1500169503</v>
      </c>
      <c r="B1716" t="s">
        <v>3555</v>
      </c>
      <c r="C1716" t="s">
        <v>19</v>
      </c>
      <c r="D1716" t="s">
        <v>324</v>
      </c>
      <c r="E1716" t="s">
        <v>21</v>
      </c>
      <c r="F1716" t="s">
        <v>22</v>
      </c>
      <c r="G1716" t="s">
        <v>23</v>
      </c>
      <c r="H1716" t="s">
        <v>396</v>
      </c>
      <c r="I1716" t="s">
        <v>3556</v>
      </c>
      <c r="J1716">
        <v>10.3749</v>
      </c>
      <c r="K1716">
        <v>-84.343270000000004</v>
      </c>
      <c r="L1716" t="s">
        <v>1225</v>
      </c>
      <c r="M1716" t="s">
        <v>327</v>
      </c>
      <c r="N1716" t="s">
        <v>328</v>
      </c>
      <c r="O1716" t="s">
        <v>329</v>
      </c>
      <c r="P1716">
        <v>16</v>
      </c>
      <c r="Q1716" t="s">
        <v>60</v>
      </c>
      <c r="S1716" t="str">
        <f>_xlfn.XLOOKUP(UNIVERSO[[#This Row],[Ruta]],'[1]CUOTA RUTA'!A:A,'[1]CUOTA RUTA'!D:D)</f>
        <v>Cargar</v>
      </c>
    </row>
    <row r="1717" spans="1:19" x14ac:dyDescent="0.25">
      <c r="A1717">
        <v>1500169580</v>
      </c>
      <c r="B1717" t="s">
        <v>3557</v>
      </c>
      <c r="C1717" t="s">
        <v>19</v>
      </c>
      <c r="D1717" t="s">
        <v>324</v>
      </c>
      <c r="E1717" t="s">
        <v>21</v>
      </c>
      <c r="F1717" t="s">
        <v>22</v>
      </c>
      <c r="G1717" t="s">
        <v>64</v>
      </c>
      <c r="H1717" t="s">
        <v>325</v>
      </c>
      <c r="I1717" t="s">
        <v>3558</v>
      </c>
      <c r="J1717">
        <v>10.303734</v>
      </c>
      <c r="K1717">
        <v>-84.527771000000001</v>
      </c>
      <c r="L1717" t="s">
        <v>1225</v>
      </c>
      <c r="M1717" t="s">
        <v>327</v>
      </c>
      <c r="N1717" t="s">
        <v>328</v>
      </c>
      <c r="O1717" t="s">
        <v>329</v>
      </c>
      <c r="P1717">
        <v>14</v>
      </c>
      <c r="Q1717" t="s">
        <v>181</v>
      </c>
      <c r="S1717" t="str">
        <f>_xlfn.XLOOKUP(UNIVERSO[[#This Row],[Ruta]],'[1]CUOTA RUTA'!A:A,'[1]CUOTA RUTA'!D:D)</f>
        <v>Cargar</v>
      </c>
    </row>
    <row r="1718" spans="1:19" x14ac:dyDescent="0.25">
      <c r="A1718">
        <v>1500169586</v>
      </c>
      <c r="B1718" t="s">
        <v>2878</v>
      </c>
      <c r="C1718" t="s">
        <v>19</v>
      </c>
      <c r="D1718" t="s">
        <v>324</v>
      </c>
      <c r="E1718" t="s">
        <v>21</v>
      </c>
      <c r="F1718" t="s">
        <v>22</v>
      </c>
      <c r="G1718" t="s">
        <v>33</v>
      </c>
      <c r="H1718" t="s">
        <v>390</v>
      </c>
      <c r="I1718" t="s">
        <v>3559</v>
      </c>
      <c r="J1718">
        <v>10.3436</v>
      </c>
      <c r="K1718">
        <v>-84.42756</v>
      </c>
      <c r="L1718" t="s">
        <v>1225</v>
      </c>
      <c r="M1718" t="s">
        <v>327</v>
      </c>
      <c r="N1718" t="s">
        <v>328</v>
      </c>
      <c r="O1718" t="s">
        <v>329</v>
      </c>
      <c r="P1718">
        <v>15</v>
      </c>
      <c r="Q1718" t="s">
        <v>231</v>
      </c>
      <c r="S1718" t="str">
        <f>_xlfn.XLOOKUP(UNIVERSO[[#This Row],[Ruta]],'[1]CUOTA RUTA'!A:A,'[1]CUOTA RUTA'!D:D)</f>
        <v>Cargar</v>
      </c>
    </row>
    <row r="1719" spans="1:19" x14ac:dyDescent="0.25">
      <c r="A1719">
        <v>1500169632</v>
      </c>
      <c r="B1719" t="s">
        <v>3518</v>
      </c>
      <c r="C1719" t="s">
        <v>19</v>
      </c>
      <c r="D1719" t="s">
        <v>324</v>
      </c>
      <c r="E1719" t="s">
        <v>21</v>
      </c>
      <c r="F1719" t="s">
        <v>22</v>
      </c>
      <c r="G1719" t="s">
        <v>64</v>
      </c>
      <c r="H1719" t="s">
        <v>393</v>
      </c>
      <c r="I1719" t="s">
        <v>3560</v>
      </c>
      <c r="J1719">
        <v>10.3628</v>
      </c>
      <c r="K1719">
        <v>-84.439009999999996</v>
      </c>
      <c r="L1719" t="s">
        <v>1225</v>
      </c>
      <c r="M1719" t="s">
        <v>327</v>
      </c>
      <c r="N1719" t="s">
        <v>328</v>
      </c>
      <c r="O1719" t="s">
        <v>329</v>
      </c>
      <c r="P1719">
        <v>15</v>
      </c>
      <c r="Q1719" t="s">
        <v>231</v>
      </c>
      <c r="S1719" t="str">
        <f>_xlfn.XLOOKUP(UNIVERSO[[#This Row],[Ruta]],'[1]CUOTA RUTA'!A:A,'[1]CUOTA RUTA'!D:D)</f>
        <v>Cargar</v>
      </c>
    </row>
    <row r="1720" spans="1:19" x14ac:dyDescent="0.25">
      <c r="A1720">
        <v>1500169998</v>
      </c>
      <c r="B1720" t="s">
        <v>3561</v>
      </c>
      <c r="C1720" t="s">
        <v>19</v>
      </c>
      <c r="D1720" t="s">
        <v>20</v>
      </c>
      <c r="E1720" t="s">
        <v>21</v>
      </c>
      <c r="F1720" t="s">
        <v>22</v>
      </c>
      <c r="G1720" t="s">
        <v>64</v>
      </c>
      <c r="H1720" t="s">
        <v>774</v>
      </c>
      <c r="I1720" t="s">
        <v>3562</v>
      </c>
      <c r="J1720">
        <v>9.9201800000000002</v>
      </c>
      <c r="K1720">
        <v>-84.196600000000004</v>
      </c>
      <c r="L1720" t="s">
        <v>1225</v>
      </c>
      <c r="M1720" t="s">
        <v>54</v>
      </c>
      <c r="N1720" t="s">
        <v>55</v>
      </c>
      <c r="O1720" t="s">
        <v>56</v>
      </c>
      <c r="P1720">
        <v>19</v>
      </c>
      <c r="Q1720" t="s">
        <v>67</v>
      </c>
      <c r="S1720" t="str">
        <f>_xlfn.XLOOKUP(UNIVERSO[[#This Row],[Ruta]],'[1]CUOTA RUTA'!A:A,'[1]CUOTA RUTA'!D:D)</f>
        <v>Cargar</v>
      </c>
    </row>
    <row r="1721" spans="1:19" x14ac:dyDescent="0.25">
      <c r="A1721">
        <v>1500170012</v>
      </c>
      <c r="B1721" t="s">
        <v>3563</v>
      </c>
      <c r="C1721" t="s">
        <v>19</v>
      </c>
      <c r="D1721" t="s">
        <v>266</v>
      </c>
      <c r="E1721" t="s">
        <v>21</v>
      </c>
      <c r="F1721" t="s">
        <v>22</v>
      </c>
      <c r="G1721" t="s">
        <v>23</v>
      </c>
      <c r="H1721" t="s">
        <v>321</v>
      </c>
      <c r="I1721" t="s">
        <v>3564</v>
      </c>
      <c r="J1721">
        <v>9.7981712297789993</v>
      </c>
      <c r="K1721">
        <v>-83.854027308369993</v>
      </c>
      <c r="L1721" t="s">
        <v>1225</v>
      </c>
      <c r="M1721" t="s">
        <v>54</v>
      </c>
      <c r="N1721" t="s">
        <v>274</v>
      </c>
      <c r="O1721" t="s">
        <v>275</v>
      </c>
      <c r="P1721">
        <v>23</v>
      </c>
      <c r="Q1721" t="s">
        <v>125</v>
      </c>
      <c r="S1721" t="str">
        <f>_xlfn.XLOOKUP(UNIVERSO[[#This Row],[Ruta]],'[1]CUOTA RUTA'!A:A,'[1]CUOTA RUTA'!D:D)</f>
        <v>Cargar</v>
      </c>
    </row>
    <row r="1722" spans="1:19" x14ac:dyDescent="0.25">
      <c r="A1722">
        <v>1500170531</v>
      </c>
      <c r="B1722" t="s">
        <v>3565</v>
      </c>
      <c r="C1722" t="s">
        <v>19</v>
      </c>
      <c r="D1722" t="s">
        <v>244</v>
      </c>
      <c r="E1722" t="s">
        <v>21</v>
      </c>
      <c r="F1722" t="s">
        <v>22</v>
      </c>
      <c r="G1722" t="s">
        <v>23</v>
      </c>
      <c r="H1722" t="s">
        <v>436</v>
      </c>
      <c r="I1722" t="s">
        <v>3566</v>
      </c>
      <c r="J1722">
        <v>9.4601400000000009</v>
      </c>
      <c r="K1722">
        <v>-84.180499999999995</v>
      </c>
      <c r="L1722" t="s">
        <v>1225</v>
      </c>
      <c r="M1722" t="s">
        <v>46</v>
      </c>
      <c r="N1722" t="s">
        <v>247</v>
      </c>
      <c r="O1722" t="s">
        <v>248</v>
      </c>
      <c r="P1722">
        <v>21</v>
      </c>
      <c r="Q1722" t="s">
        <v>239</v>
      </c>
      <c r="S1722" t="str">
        <f>_xlfn.XLOOKUP(UNIVERSO[[#This Row],[Ruta]],'[1]CUOTA RUTA'!A:A,'[1]CUOTA RUTA'!D:D)</f>
        <v>Cargar</v>
      </c>
    </row>
    <row r="1723" spans="1:19" x14ac:dyDescent="0.25">
      <c r="A1723">
        <v>1500170924</v>
      </c>
      <c r="B1723" t="s">
        <v>3567</v>
      </c>
      <c r="C1723" t="s">
        <v>19</v>
      </c>
      <c r="D1723" t="s">
        <v>244</v>
      </c>
      <c r="E1723" t="s">
        <v>21</v>
      </c>
      <c r="F1723" t="s">
        <v>22</v>
      </c>
      <c r="G1723" t="s">
        <v>33</v>
      </c>
      <c r="H1723" t="s">
        <v>436</v>
      </c>
      <c r="I1723" t="s">
        <v>3568</v>
      </c>
      <c r="J1723">
        <v>9.4515999999999991</v>
      </c>
      <c r="K1723">
        <v>-84.1447</v>
      </c>
      <c r="L1723" t="s">
        <v>1225</v>
      </c>
      <c r="M1723" t="s">
        <v>46</v>
      </c>
      <c r="N1723" t="s">
        <v>247</v>
      </c>
      <c r="O1723" t="s">
        <v>248</v>
      </c>
      <c r="P1723">
        <v>21</v>
      </c>
      <c r="Q1723" t="s">
        <v>239</v>
      </c>
      <c r="S1723" t="str">
        <f>_xlfn.XLOOKUP(UNIVERSO[[#This Row],[Ruta]],'[1]CUOTA RUTA'!A:A,'[1]CUOTA RUTA'!D:D)</f>
        <v>Cargar</v>
      </c>
    </row>
    <row r="1724" spans="1:19" x14ac:dyDescent="0.25">
      <c r="A1724">
        <v>1500171034</v>
      </c>
      <c r="B1724" t="s">
        <v>3569</v>
      </c>
      <c r="C1724" t="s">
        <v>19</v>
      </c>
      <c r="D1724" t="s">
        <v>244</v>
      </c>
      <c r="E1724" t="s">
        <v>21</v>
      </c>
      <c r="F1724" t="s">
        <v>22</v>
      </c>
      <c r="G1724" t="s">
        <v>23</v>
      </c>
      <c r="H1724" t="s">
        <v>436</v>
      </c>
      <c r="I1724" t="s">
        <v>3570</v>
      </c>
      <c r="J1724">
        <v>9.4515999999999991</v>
      </c>
      <c r="K1724">
        <v>-84.140199999999993</v>
      </c>
      <c r="L1724" t="s">
        <v>1225</v>
      </c>
      <c r="M1724" t="s">
        <v>46</v>
      </c>
      <c r="N1724" t="s">
        <v>247</v>
      </c>
      <c r="O1724" t="s">
        <v>248</v>
      </c>
      <c r="P1724">
        <v>20</v>
      </c>
      <c r="Q1724" t="s">
        <v>74</v>
      </c>
      <c r="S1724" t="str">
        <f>_xlfn.XLOOKUP(UNIVERSO[[#This Row],[Ruta]],'[1]CUOTA RUTA'!A:A,'[1]CUOTA RUTA'!D:D)</f>
        <v>Cargar</v>
      </c>
    </row>
    <row r="1725" spans="1:19" x14ac:dyDescent="0.25">
      <c r="A1725">
        <v>1500171114</v>
      </c>
      <c r="B1725" t="s">
        <v>3571</v>
      </c>
      <c r="C1725" t="s">
        <v>19</v>
      </c>
      <c r="D1725" t="s">
        <v>349</v>
      </c>
      <c r="E1725" t="s">
        <v>21</v>
      </c>
      <c r="F1725" t="s">
        <v>51</v>
      </c>
      <c r="G1725" t="s">
        <v>23</v>
      </c>
      <c r="H1725" t="s">
        <v>350</v>
      </c>
      <c r="I1725" t="s">
        <v>3572</v>
      </c>
      <c r="J1725">
        <v>9.8807759999999991</v>
      </c>
      <c r="K1725">
        <v>-85.536569</v>
      </c>
      <c r="L1725" t="s">
        <v>1225</v>
      </c>
      <c r="M1725" t="s">
        <v>352</v>
      </c>
      <c r="N1725" t="s">
        <v>353</v>
      </c>
      <c r="O1725" t="s">
        <v>354</v>
      </c>
      <c r="P1725">
        <v>8</v>
      </c>
      <c r="Q1725" t="s">
        <v>97</v>
      </c>
      <c r="S1725" t="str">
        <f>_xlfn.XLOOKUP(UNIVERSO[[#This Row],[Ruta]],'[1]CUOTA RUTA'!A:A,'[1]CUOTA RUTA'!D:D)</f>
        <v>Cargar</v>
      </c>
    </row>
    <row r="1726" spans="1:19" x14ac:dyDescent="0.25">
      <c r="A1726">
        <v>1500171137</v>
      </c>
      <c r="B1726" t="s">
        <v>3573</v>
      </c>
      <c r="C1726" t="s">
        <v>19</v>
      </c>
      <c r="D1726" t="s">
        <v>349</v>
      </c>
      <c r="E1726" t="s">
        <v>21</v>
      </c>
      <c r="F1726" t="s">
        <v>22</v>
      </c>
      <c r="G1726" t="s">
        <v>64</v>
      </c>
      <c r="H1726" t="s">
        <v>359</v>
      </c>
      <c r="I1726" t="s">
        <v>3574</v>
      </c>
      <c r="J1726">
        <v>9.9758899999999997</v>
      </c>
      <c r="K1726">
        <v>-85.169161000000003</v>
      </c>
      <c r="L1726" t="s">
        <v>1225</v>
      </c>
      <c r="M1726" t="s">
        <v>352</v>
      </c>
      <c r="N1726" t="s">
        <v>353</v>
      </c>
      <c r="O1726" t="s">
        <v>354</v>
      </c>
      <c r="P1726">
        <v>11</v>
      </c>
      <c r="Q1726" t="s">
        <v>108</v>
      </c>
      <c r="S1726" t="str">
        <f>_xlfn.XLOOKUP(UNIVERSO[[#This Row],[Ruta]],'[1]CUOTA RUTA'!A:A,'[1]CUOTA RUTA'!D:D)</f>
        <v>Cargar</v>
      </c>
    </row>
    <row r="1727" spans="1:19" x14ac:dyDescent="0.25">
      <c r="A1727">
        <v>1500171573</v>
      </c>
      <c r="B1727" t="s">
        <v>3575</v>
      </c>
      <c r="C1727" t="s">
        <v>19</v>
      </c>
      <c r="D1727" t="s">
        <v>349</v>
      </c>
      <c r="E1727" t="s">
        <v>21</v>
      </c>
      <c r="F1727" t="s">
        <v>22</v>
      </c>
      <c r="G1727" t="s">
        <v>23</v>
      </c>
      <c r="H1727" t="s">
        <v>359</v>
      </c>
      <c r="I1727" t="s">
        <v>3576</v>
      </c>
      <c r="J1727">
        <v>10.02877</v>
      </c>
      <c r="K1727">
        <v>-85.236001000000002</v>
      </c>
      <c r="L1727" t="s">
        <v>1225</v>
      </c>
      <c r="M1727" t="s">
        <v>352</v>
      </c>
      <c r="N1727" t="s">
        <v>353</v>
      </c>
      <c r="O1727" t="s">
        <v>354</v>
      </c>
      <c r="P1727">
        <v>11</v>
      </c>
      <c r="Q1727" t="s">
        <v>108</v>
      </c>
      <c r="S1727" t="str">
        <f>_xlfn.XLOOKUP(UNIVERSO[[#This Row],[Ruta]],'[1]CUOTA RUTA'!A:A,'[1]CUOTA RUTA'!D:D)</f>
        <v>Cargar</v>
      </c>
    </row>
    <row r="1728" spans="1:19" x14ac:dyDescent="0.25">
      <c r="A1728">
        <v>1500171575</v>
      </c>
      <c r="B1728" t="s">
        <v>3534</v>
      </c>
      <c r="C1728" t="s">
        <v>19</v>
      </c>
      <c r="D1728" t="s">
        <v>349</v>
      </c>
      <c r="E1728" t="s">
        <v>21</v>
      </c>
      <c r="F1728" t="s">
        <v>22</v>
      </c>
      <c r="G1728" t="s">
        <v>64</v>
      </c>
      <c r="H1728" t="s">
        <v>356</v>
      </c>
      <c r="I1728" t="s">
        <v>3577</v>
      </c>
      <c r="J1728">
        <v>10.1656</v>
      </c>
      <c r="K1728">
        <v>-85.538150000000002</v>
      </c>
      <c r="L1728" t="s">
        <v>1225</v>
      </c>
      <c r="M1728" t="s">
        <v>352</v>
      </c>
      <c r="N1728" t="s">
        <v>353</v>
      </c>
      <c r="O1728" t="s">
        <v>354</v>
      </c>
      <c r="P1728">
        <v>16</v>
      </c>
      <c r="Q1728" t="s">
        <v>60</v>
      </c>
      <c r="S1728" t="str">
        <f>_xlfn.XLOOKUP(UNIVERSO[[#This Row],[Ruta]],'[1]CUOTA RUTA'!A:A,'[1]CUOTA RUTA'!D:D)</f>
        <v>Cargar</v>
      </c>
    </row>
    <row r="1729" spans="1:19" x14ac:dyDescent="0.25">
      <c r="A1729">
        <v>1500171657</v>
      </c>
      <c r="B1729" t="s">
        <v>3578</v>
      </c>
      <c r="C1729" t="s">
        <v>19</v>
      </c>
      <c r="D1729" t="s">
        <v>349</v>
      </c>
      <c r="E1729" t="s">
        <v>21</v>
      </c>
      <c r="F1729" t="s">
        <v>22</v>
      </c>
      <c r="G1729" t="s">
        <v>33</v>
      </c>
      <c r="H1729" t="s">
        <v>496</v>
      </c>
      <c r="I1729" t="s">
        <v>3579</v>
      </c>
      <c r="J1729">
        <v>10.14335</v>
      </c>
      <c r="K1729">
        <v>-85.451121000000001</v>
      </c>
      <c r="L1729" t="s">
        <v>1225</v>
      </c>
      <c r="M1729" t="s">
        <v>352</v>
      </c>
      <c r="N1729" t="s">
        <v>353</v>
      </c>
      <c r="O1729" t="s">
        <v>354</v>
      </c>
      <c r="P1729">
        <v>12</v>
      </c>
      <c r="Q1729" t="s">
        <v>42</v>
      </c>
      <c r="S1729" t="str">
        <f>_xlfn.XLOOKUP(UNIVERSO[[#This Row],[Ruta]],'[1]CUOTA RUTA'!A:A,'[1]CUOTA RUTA'!D:D)</f>
        <v>Cargar</v>
      </c>
    </row>
    <row r="1730" spans="1:19" x14ac:dyDescent="0.25">
      <c r="A1730">
        <v>1500171819</v>
      </c>
      <c r="B1730" t="s">
        <v>3580</v>
      </c>
      <c r="C1730" t="s">
        <v>19</v>
      </c>
      <c r="D1730" t="s">
        <v>349</v>
      </c>
      <c r="E1730" t="s">
        <v>21</v>
      </c>
      <c r="F1730" t="s">
        <v>22</v>
      </c>
      <c r="G1730" t="s">
        <v>23</v>
      </c>
      <c r="H1730" t="s">
        <v>350</v>
      </c>
      <c r="I1730" t="s">
        <v>3581</v>
      </c>
      <c r="J1730">
        <v>9.8803485099999993</v>
      </c>
      <c r="K1730">
        <v>-85.510362330000007</v>
      </c>
      <c r="L1730" t="s">
        <v>1225</v>
      </c>
      <c r="M1730" t="s">
        <v>352</v>
      </c>
      <c r="N1730" t="s">
        <v>353</v>
      </c>
      <c r="O1730" t="s">
        <v>354</v>
      </c>
      <c r="P1730">
        <v>8</v>
      </c>
      <c r="Q1730" t="s">
        <v>97</v>
      </c>
      <c r="S1730" t="str">
        <f>_xlfn.XLOOKUP(UNIVERSO[[#This Row],[Ruta]],'[1]CUOTA RUTA'!A:A,'[1]CUOTA RUTA'!D:D)</f>
        <v>Cargar</v>
      </c>
    </row>
    <row r="1731" spans="1:19" x14ac:dyDescent="0.25">
      <c r="A1731">
        <v>1500171877</v>
      </c>
      <c r="B1731" t="s">
        <v>3582</v>
      </c>
      <c r="C1731" t="s">
        <v>19</v>
      </c>
      <c r="D1731" t="s">
        <v>201</v>
      </c>
      <c r="E1731" t="s">
        <v>21</v>
      </c>
      <c r="F1731" t="s">
        <v>22</v>
      </c>
      <c r="G1731" t="s">
        <v>64</v>
      </c>
      <c r="H1731" t="s">
        <v>202</v>
      </c>
      <c r="I1731" t="s">
        <v>3583</v>
      </c>
      <c r="J1731">
        <v>9.9829600000000003</v>
      </c>
      <c r="K1731">
        <v>-84.735519999999994</v>
      </c>
      <c r="L1731" t="s">
        <v>1225</v>
      </c>
      <c r="M1731" t="s">
        <v>204</v>
      </c>
      <c r="N1731" t="s">
        <v>205</v>
      </c>
      <c r="O1731" t="s">
        <v>206</v>
      </c>
      <c r="P1731">
        <v>9</v>
      </c>
      <c r="Q1731" t="s">
        <v>80</v>
      </c>
      <c r="S1731" t="str">
        <f>_xlfn.XLOOKUP(UNIVERSO[[#This Row],[Ruta]],'[1]CUOTA RUTA'!A:A,'[1]CUOTA RUTA'!D:D)</f>
        <v>Cargar</v>
      </c>
    </row>
    <row r="1732" spans="1:19" x14ac:dyDescent="0.25">
      <c r="A1732">
        <v>1500171886</v>
      </c>
      <c r="B1732" t="s">
        <v>3584</v>
      </c>
      <c r="C1732" t="s">
        <v>19</v>
      </c>
      <c r="D1732" t="s">
        <v>201</v>
      </c>
      <c r="E1732" t="s">
        <v>21</v>
      </c>
      <c r="F1732" t="s">
        <v>22</v>
      </c>
      <c r="G1732" t="s">
        <v>64</v>
      </c>
      <c r="H1732" t="s">
        <v>202</v>
      </c>
      <c r="I1732" t="s">
        <v>3585</v>
      </c>
      <c r="J1732">
        <v>9.9717939589999993</v>
      </c>
      <c r="K1732">
        <v>-84.727782099999999</v>
      </c>
      <c r="L1732" t="s">
        <v>1225</v>
      </c>
      <c r="M1732" t="s">
        <v>204</v>
      </c>
      <c r="N1732" t="s">
        <v>205</v>
      </c>
      <c r="O1732" t="s">
        <v>206</v>
      </c>
      <c r="P1732">
        <v>7</v>
      </c>
      <c r="Q1732" t="s">
        <v>39</v>
      </c>
      <c r="S1732" t="str">
        <f>_xlfn.XLOOKUP(UNIVERSO[[#This Row],[Ruta]],'[1]CUOTA RUTA'!A:A,'[1]CUOTA RUTA'!D:D)</f>
        <v>Cargar</v>
      </c>
    </row>
    <row r="1733" spans="1:19" x14ac:dyDescent="0.25">
      <c r="A1733">
        <v>1500171925</v>
      </c>
      <c r="B1733" t="s">
        <v>3586</v>
      </c>
      <c r="C1733" t="s">
        <v>19</v>
      </c>
      <c r="D1733" t="s">
        <v>201</v>
      </c>
      <c r="E1733" t="s">
        <v>21</v>
      </c>
      <c r="F1733" t="s">
        <v>22</v>
      </c>
      <c r="G1733" t="s">
        <v>33</v>
      </c>
      <c r="H1733" t="s">
        <v>334</v>
      </c>
      <c r="I1733" t="s">
        <v>3587</v>
      </c>
      <c r="J1733">
        <v>9.9954430999999992</v>
      </c>
      <c r="K1733">
        <v>-84.657479600000002</v>
      </c>
      <c r="L1733" t="s">
        <v>1225</v>
      </c>
      <c r="M1733" t="s">
        <v>204</v>
      </c>
      <c r="N1733" t="s">
        <v>205</v>
      </c>
      <c r="O1733" t="s">
        <v>206</v>
      </c>
      <c r="P1733">
        <v>14</v>
      </c>
      <c r="Q1733" t="s">
        <v>181</v>
      </c>
      <c r="S1733" t="str">
        <f>_xlfn.XLOOKUP(UNIVERSO[[#This Row],[Ruta]],'[1]CUOTA RUTA'!A:A,'[1]CUOTA RUTA'!D:D)</f>
        <v>Cargar</v>
      </c>
    </row>
    <row r="1734" spans="1:19" x14ac:dyDescent="0.25">
      <c r="A1734">
        <v>1500172219</v>
      </c>
      <c r="B1734" t="s">
        <v>3588</v>
      </c>
      <c r="C1734" t="s">
        <v>19</v>
      </c>
      <c r="D1734" t="s">
        <v>201</v>
      </c>
      <c r="E1734" t="s">
        <v>21</v>
      </c>
      <c r="F1734" t="s">
        <v>22</v>
      </c>
      <c r="G1734" t="s">
        <v>33</v>
      </c>
      <c r="H1734" t="s">
        <v>528</v>
      </c>
      <c r="I1734" t="s">
        <v>3589</v>
      </c>
      <c r="J1734">
        <v>10.22508</v>
      </c>
      <c r="K1734">
        <v>-85.186973300000005</v>
      </c>
      <c r="L1734" t="s">
        <v>1225</v>
      </c>
      <c r="M1734" t="s">
        <v>327</v>
      </c>
      <c r="N1734" t="s">
        <v>530</v>
      </c>
      <c r="O1734" t="s">
        <v>531</v>
      </c>
      <c r="P1734">
        <v>2</v>
      </c>
      <c r="Q1734" t="s">
        <v>150</v>
      </c>
      <c r="S1734" t="str">
        <f>_xlfn.XLOOKUP(UNIVERSO[[#This Row],[Ruta]],'[1]CUOTA RUTA'!A:A,'[1]CUOTA RUTA'!D:D)</f>
        <v>Cargar</v>
      </c>
    </row>
    <row r="1735" spans="1:19" x14ac:dyDescent="0.25">
      <c r="A1735">
        <v>1500172265</v>
      </c>
      <c r="B1735" t="s">
        <v>3590</v>
      </c>
      <c r="C1735" t="s">
        <v>19</v>
      </c>
      <c r="D1735" t="s">
        <v>201</v>
      </c>
      <c r="E1735" t="s">
        <v>21</v>
      </c>
      <c r="F1735" t="s">
        <v>22</v>
      </c>
      <c r="G1735" t="s">
        <v>33</v>
      </c>
      <c r="H1735" t="s">
        <v>488</v>
      </c>
      <c r="I1735" t="s">
        <v>3591</v>
      </c>
      <c r="J1735">
        <v>10.2085317</v>
      </c>
      <c r="K1735">
        <v>-84.847821699999997</v>
      </c>
      <c r="L1735" t="s">
        <v>1225</v>
      </c>
      <c r="M1735" t="s">
        <v>204</v>
      </c>
      <c r="N1735" t="s">
        <v>205</v>
      </c>
      <c r="O1735" t="s">
        <v>206</v>
      </c>
      <c r="P1735">
        <v>12</v>
      </c>
      <c r="Q1735" t="s">
        <v>42</v>
      </c>
      <c r="S1735" t="str">
        <f>_xlfn.XLOOKUP(UNIVERSO[[#This Row],[Ruta]],'[1]CUOTA RUTA'!A:A,'[1]CUOTA RUTA'!D:D)</f>
        <v>Cargar</v>
      </c>
    </row>
    <row r="1736" spans="1:19" x14ac:dyDescent="0.25">
      <c r="A1736">
        <v>1500172345</v>
      </c>
      <c r="B1736" t="s">
        <v>3592</v>
      </c>
      <c r="C1736" t="s">
        <v>19</v>
      </c>
      <c r="D1736" t="s">
        <v>201</v>
      </c>
      <c r="E1736" t="s">
        <v>21</v>
      </c>
      <c r="F1736" t="s">
        <v>22</v>
      </c>
      <c r="G1736" t="s">
        <v>64</v>
      </c>
      <c r="H1736" t="s">
        <v>785</v>
      </c>
      <c r="I1736" t="s">
        <v>3593</v>
      </c>
      <c r="J1736">
        <v>10.1007161</v>
      </c>
      <c r="K1736">
        <v>-84.994554600000001</v>
      </c>
      <c r="L1736" t="s">
        <v>1225</v>
      </c>
      <c r="M1736" t="s">
        <v>204</v>
      </c>
      <c r="N1736" t="s">
        <v>205</v>
      </c>
      <c r="O1736" t="s">
        <v>206</v>
      </c>
      <c r="P1736">
        <v>12</v>
      </c>
      <c r="Q1736" t="s">
        <v>42</v>
      </c>
      <c r="S1736" t="str">
        <f>_xlfn.XLOOKUP(UNIVERSO[[#This Row],[Ruta]],'[1]CUOTA RUTA'!A:A,'[1]CUOTA RUTA'!D:D)</f>
        <v>Cargar</v>
      </c>
    </row>
    <row r="1737" spans="1:19" x14ac:dyDescent="0.25">
      <c r="A1737">
        <v>1500172666</v>
      </c>
      <c r="B1737" t="s">
        <v>3594</v>
      </c>
      <c r="C1737" t="s">
        <v>19</v>
      </c>
      <c r="D1737" t="s">
        <v>201</v>
      </c>
      <c r="E1737" t="s">
        <v>21</v>
      </c>
      <c r="F1737" t="s">
        <v>22</v>
      </c>
      <c r="G1737" t="s">
        <v>33</v>
      </c>
      <c r="H1737" t="s">
        <v>533</v>
      </c>
      <c r="I1737" t="s">
        <v>3595</v>
      </c>
      <c r="J1737">
        <v>9.9447919999999996</v>
      </c>
      <c r="K1737">
        <v>-84.547371999999996</v>
      </c>
      <c r="L1737" t="s">
        <v>1225</v>
      </c>
      <c r="M1737" t="s">
        <v>204</v>
      </c>
      <c r="N1737" t="s">
        <v>205</v>
      </c>
      <c r="O1737" t="s">
        <v>206</v>
      </c>
      <c r="P1737">
        <v>14</v>
      </c>
      <c r="Q1737" t="s">
        <v>181</v>
      </c>
      <c r="S1737" t="str">
        <f>_xlfn.XLOOKUP(UNIVERSO[[#This Row],[Ruta]],'[1]CUOTA RUTA'!A:A,'[1]CUOTA RUTA'!D:D)</f>
        <v>Cargar</v>
      </c>
    </row>
    <row r="1738" spans="1:19" x14ac:dyDescent="0.25">
      <c r="A1738">
        <v>1500173303</v>
      </c>
      <c r="B1738" t="s">
        <v>3596</v>
      </c>
      <c r="C1738" t="s">
        <v>19</v>
      </c>
      <c r="D1738" t="s">
        <v>201</v>
      </c>
      <c r="E1738" t="s">
        <v>21</v>
      </c>
      <c r="F1738" t="s">
        <v>22</v>
      </c>
      <c r="G1738" t="s">
        <v>64</v>
      </c>
      <c r="H1738" t="s">
        <v>785</v>
      </c>
      <c r="I1738" t="s">
        <v>3597</v>
      </c>
      <c r="J1738">
        <v>10.113415</v>
      </c>
      <c r="K1738">
        <v>-84.898812100000001</v>
      </c>
      <c r="L1738" t="s">
        <v>1225</v>
      </c>
      <c r="M1738" t="s">
        <v>204</v>
      </c>
      <c r="N1738" t="s">
        <v>205</v>
      </c>
      <c r="O1738" t="s">
        <v>206</v>
      </c>
      <c r="P1738">
        <v>12</v>
      </c>
      <c r="Q1738" t="s">
        <v>42</v>
      </c>
      <c r="S1738" t="str">
        <f>_xlfn.XLOOKUP(UNIVERSO[[#This Row],[Ruta]],'[1]CUOTA RUTA'!A:A,'[1]CUOTA RUTA'!D:D)</f>
        <v>Cargar</v>
      </c>
    </row>
    <row r="1739" spans="1:19" x14ac:dyDescent="0.25">
      <c r="A1739">
        <v>1500173584</v>
      </c>
      <c r="B1739" t="s">
        <v>3598</v>
      </c>
      <c r="C1739" t="s">
        <v>19</v>
      </c>
      <c r="D1739" t="s">
        <v>201</v>
      </c>
      <c r="E1739" t="s">
        <v>21</v>
      </c>
      <c r="F1739" t="s">
        <v>22</v>
      </c>
      <c r="G1739" t="s">
        <v>64</v>
      </c>
      <c r="H1739" t="s">
        <v>499</v>
      </c>
      <c r="I1739" t="s">
        <v>3599</v>
      </c>
      <c r="J1739">
        <v>9.8923705999999996</v>
      </c>
      <c r="K1739">
        <v>-84.627145900000002</v>
      </c>
      <c r="L1739" t="s">
        <v>1225</v>
      </c>
      <c r="M1739" t="s">
        <v>204</v>
      </c>
      <c r="N1739" t="s">
        <v>205</v>
      </c>
      <c r="O1739" t="s">
        <v>206</v>
      </c>
      <c r="P1739">
        <v>6</v>
      </c>
      <c r="Q1739" t="s">
        <v>49</v>
      </c>
      <c r="S1739" t="str">
        <f>_xlfn.XLOOKUP(UNIVERSO[[#This Row],[Ruta]],'[1]CUOTA RUTA'!A:A,'[1]CUOTA RUTA'!D:D)</f>
        <v>Cargar</v>
      </c>
    </row>
    <row r="1740" spans="1:19" x14ac:dyDescent="0.25">
      <c r="A1740">
        <v>1500173604</v>
      </c>
      <c r="B1740" t="s">
        <v>3600</v>
      </c>
      <c r="C1740" t="s">
        <v>19</v>
      </c>
      <c r="D1740" t="s">
        <v>201</v>
      </c>
      <c r="E1740" t="s">
        <v>21</v>
      </c>
      <c r="F1740" t="s">
        <v>22</v>
      </c>
      <c r="G1740" t="s">
        <v>33</v>
      </c>
      <c r="H1740" t="s">
        <v>202</v>
      </c>
      <c r="I1740" t="s">
        <v>3601</v>
      </c>
      <c r="J1740">
        <v>9.9875699999999998</v>
      </c>
      <c r="K1740">
        <v>-84.741569999999996</v>
      </c>
      <c r="L1740" t="s">
        <v>1225</v>
      </c>
      <c r="M1740" t="s">
        <v>204</v>
      </c>
      <c r="N1740" t="s">
        <v>205</v>
      </c>
      <c r="O1740" t="s">
        <v>206</v>
      </c>
      <c r="P1740">
        <v>9</v>
      </c>
      <c r="Q1740" t="s">
        <v>80</v>
      </c>
      <c r="S1740" t="str">
        <f>_xlfn.XLOOKUP(UNIVERSO[[#This Row],[Ruta]],'[1]CUOTA RUTA'!A:A,'[1]CUOTA RUTA'!D:D)</f>
        <v>Cargar</v>
      </c>
    </row>
    <row r="1741" spans="1:19" x14ac:dyDescent="0.25">
      <c r="A1741">
        <v>1500173666</v>
      </c>
      <c r="B1741" t="s">
        <v>3602</v>
      </c>
      <c r="C1741" t="s">
        <v>19</v>
      </c>
      <c r="D1741" t="s">
        <v>201</v>
      </c>
      <c r="E1741" t="s">
        <v>21</v>
      </c>
      <c r="F1741" t="s">
        <v>22</v>
      </c>
      <c r="G1741" t="s">
        <v>33</v>
      </c>
      <c r="H1741" t="s">
        <v>528</v>
      </c>
      <c r="I1741" t="s">
        <v>3603</v>
      </c>
      <c r="J1741">
        <v>10.26474</v>
      </c>
      <c r="K1741">
        <v>-85.093333000000001</v>
      </c>
      <c r="L1741" t="s">
        <v>1225</v>
      </c>
      <c r="M1741" t="s">
        <v>327</v>
      </c>
      <c r="N1741" t="s">
        <v>530</v>
      </c>
      <c r="O1741" t="s">
        <v>531</v>
      </c>
      <c r="P1741">
        <v>2</v>
      </c>
      <c r="Q1741" t="s">
        <v>150</v>
      </c>
      <c r="S1741" t="str">
        <f>_xlfn.XLOOKUP(UNIVERSO[[#This Row],[Ruta]],'[1]CUOTA RUTA'!A:A,'[1]CUOTA RUTA'!D:D)</f>
        <v>Cargar</v>
      </c>
    </row>
    <row r="1742" spans="1:19" x14ac:dyDescent="0.25">
      <c r="A1742">
        <v>1500173758</v>
      </c>
      <c r="B1742" t="s">
        <v>3604</v>
      </c>
      <c r="C1742" t="s">
        <v>19</v>
      </c>
      <c r="D1742" t="s">
        <v>201</v>
      </c>
      <c r="E1742" t="s">
        <v>21</v>
      </c>
      <c r="F1742" t="s">
        <v>22</v>
      </c>
      <c r="G1742" t="s">
        <v>64</v>
      </c>
      <c r="H1742" t="s">
        <v>785</v>
      </c>
      <c r="I1742" t="s">
        <v>3605</v>
      </c>
      <c r="J1742">
        <v>10.074862599999999</v>
      </c>
      <c r="K1742">
        <v>-84.800150099999996</v>
      </c>
      <c r="L1742" t="s">
        <v>1225</v>
      </c>
      <c r="M1742" t="s">
        <v>204</v>
      </c>
      <c r="N1742" t="s">
        <v>205</v>
      </c>
      <c r="O1742" t="s">
        <v>206</v>
      </c>
      <c r="P1742">
        <v>11</v>
      </c>
      <c r="Q1742" t="s">
        <v>108</v>
      </c>
      <c r="S1742" t="str">
        <f>_xlfn.XLOOKUP(UNIVERSO[[#This Row],[Ruta]],'[1]CUOTA RUTA'!A:A,'[1]CUOTA RUTA'!D:D)</f>
        <v>Cargar</v>
      </c>
    </row>
    <row r="1743" spans="1:19" x14ac:dyDescent="0.25">
      <c r="A1743">
        <v>1500180076</v>
      </c>
      <c r="B1743" t="s">
        <v>3606</v>
      </c>
      <c r="C1743" t="s">
        <v>19</v>
      </c>
      <c r="D1743" t="s">
        <v>20</v>
      </c>
      <c r="E1743" t="s">
        <v>21</v>
      </c>
      <c r="F1743" t="s">
        <v>22</v>
      </c>
      <c r="G1743" t="s">
        <v>64</v>
      </c>
      <c r="H1743" t="s">
        <v>308</v>
      </c>
      <c r="I1743" t="s">
        <v>3607</v>
      </c>
      <c r="J1743">
        <v>9.7644699999999993</v>
      </c>
      <c r="K1743">
        <v>-84.398870000000002</v>
      </c>
      <c r="L1743" t="s">
        <v>1225</v>
      </c>
      <c r="M1743" t="s">
        <v>54</v>
      </c>
      <c r="N1743" t="s">
        <v>55</v>
      </c>
      <c r="O1743" t="s">
        <v>56</v>
      </c>
      <c r="P1743">
        <v>22</v>
      </c>
      <c r="Q1743" t="s">
        <v>30</v>
      </c>
      <c r="S1743" t="str">
        <f>_xlfn.XLOOKUP(UNIVERSO[[#This Row],[Ruta]],'[1]CUOTA RUTA'!A:A,'[1]CUOTA RUTA'!D:D)</f>
        <v>Cargar</v>
      </c>
    </row>
    <row r="1744" spans="1:19" x14ac:dyDescent="0.25">
      <c r="A1744">
        <v>1500180188</v>
      </c>
      <c r="B1744" t="s">
        <v>3608</v>
      </c>
      <c r="C1744" t="s">
        <v>19</v>
      </c>
      <c r="D1744" t="s">
        <v>20</v>
      </c>
      <c r="E1744" t="s">
        <v>21</v>
      </c>
      <c r="F1744" t="s">
        <v>51</v>
      </c>
      <c r="G1744" t="s">
        <v>23</v>
      </c>
      <c r="H1744" t="s">
        <v>277</v>
      </c>
      <c r="I1744" t="s">
        <v>3609</v>
      </c>
      <c r="J1744">
        <v>9.9581470000000003</v>
      </c>
      <c r="K1744">
        <v>-84.203126999999995</v>
      </c>
      <c r="L1744" t="s">
        <v>1225</v>
      </c>
      <c r="M1744" t="s">
        <v>54</v>
      </c>
      <c r="N1744" t="s">
        <v>55</v>
      </c>
      <c r="O1744" t="s">
        <v>56</v>
      </c>
      <c r="P1744">
        <v>14</v>
      </c>
      <c r="Q1744" t="s">
        <v>181</v>
      </c>
      <c r="S1744" t="str">
        <f>_xlfn.XLOOKUP(UNIVERSO[[#This Row],[Ruta]],'[1]CUOTA RUTA'!A:A,'[1]CUOTA RUTA'!D:D)</f>
        <v>Cargar</v>
      </c>
    </row>
    <row r="1745" spans="1:19" x14ac:dyDescent="0.25">
      <c r="A1745">
        <v>1500180302</v>
      </c>
      <c r="B1745" t="s">
        <v>3610</v>
      </c>
      <c r="C1745" t="s">
        <v>19</v>
      </c>
      <c r="D1745" t="s">
        <v>20</v>
      </c>
      <c r="E1745" t="s">
        <v>62</v>
      </c>
      <c r="F1745" t="s">
        <v>63</v>
      </c>
      <c r="G1745" t="s">
        <v>33</v>
      </c>
      <c r="H1745" t="s">
        <v>52</v>
      </c>
      <c r="I1745" t="s">
        <v>3611</v>
      </c>
      <c r="J1745">
        <v>9.9203838999999991</v>
      </c>
      <c r="K1745">
        <v>-84.140717699999996</v>
      </c>
      <c r="L1745" t="s">
        <v>1225</v>
      </c>
      <c r="M1745" t="s">
        <v>54</v>
      </c>
      <c r="N1745" t="s">
        <v>55</v>
      </c>
      <c r="O1745" t="s">
        <v>56</v>
      </c>
      <c r="P1745">
        <v>12</v>
      </c>
      <c r="Q1745" t="s">
        <v>42</v>
      </c>
      <c r="S1745" t="str">
        <f>_xlfn.XLOOKUP(UNIVERSO[[#This Row],[Ruta]],'[1]CUOTA RUTA'!A:A,'[1]CUOTA RUTA'!D:D)</f>
        <v>Cargar</v>
      </c>
    </row>
    <row r="1746" spans="1:19" x14ac:dyDescent="0.25">
      <c r="A1746">
        <v>1500180481</v>
      </c>
      <c r="B1746" t="s">
        <v>3612</v>
      </c>
      <c r="C1746" t="s">
        <v>19</v>
      </c>
      <c r="D1746" t="s">
        <v>20</v>
      </c>
      <c r="E1746" t="s">
        <v>21</v>
      </c>
      <c r="F1746" t="s">
        <v>22</v>
      </c>
      <c r="G1746" t="s">
        <v>23</v>
      </c>
      <c r="H1746" t="s">
        <v>311</v>
      </c>
      <c r="I1746" t="s">
        <v>3613</v>
      </c>
      <c r="J1746">
        <v>9.9646358999999993</v>
      </c>
      <c r="K1746">
        <v>-84.248071600000003</v>
      </c>
      <c r="L1746" t="s">
        <v>1225</v>
      </c>
      <c r="M1746" t="s">
        <v>54</v>
      </c>
      <c r="N1746" t="s">
        <v>55</v>
      </c>
      <c r="O1746" t="s">
        <v>56</v>
      </c>
      <c r="P1746">
        <v>9</v>
      </c>
      <c r="Q1746" t="s">
        <v>80</v>
      </c>
      <c r="S1746" t="str">
        <f>_xlfn.XLOOKUP(UNIVERSO[[#This Row],[Ruta]],'[1]CUOTA RUTA'!A:A,'[1]CUOTA RUTA'!D:D)</f>
        <v>Cargar</v>
      </c>
    </row>
    <row r="1747" spans="1:19" x14ac:dyDescent="0.25">
      <c r="A1747">
        <v>1500180551</v>
      </c>
      <c r="B1747" t="s">
        <v>3614</v>
      </c>
      <c r="C1747" t="s">
        <v>19</v>
      </c>
      <c r="D1747" t="s">
        <v>20</v>
      </c>
      <c r="E1747" t="s">
        <v>21</v>
      </c>
      <c r="F1747" t="s">
        <v>51</v>
      </c>
      <c r="G1747" t="s">
        <v>23</v>
      </c>
      <c r="H1747" t="s">
        <v>554</v>
      </c>
      <c r="I1747" t="s">
        <v>3615</v>
      </c>
      <c r="J1747">
        <v>9.9889559999999999</v>
      </c>
      <c r="K1747">
        <v>-84.133981000000006</v>
      </c>
      <c r="L1747" t="s">
        <v>1225</v>
      </c>
      <c r="M1747" t="s">
        <v>27</v>
      </c>
      <c r="N1747" t="s">
        <v>28</v>
      </c>
      <c r="O1747" t="s">
        <v>29</v>
      </c>
      <c r="P1747">
        <v>5</v>
      </c>
      <c r="Q1747" t="s">
        <v>117</v>
      </c>
      <c r="S1747" t="str">
        <f>_xlfn.XLOOKUP(UNIVERSO[[#This Row],[Ruta]],'[1]CUOTA RUTA'!A:A,'[1]CUOTA RUTA'!D:D)</f>
        <v>Cargar</v>
      </c>
    </row>
    <row r="1748" spans="1:19" x14ac:dyDescent="0.25">
      <c r="A1748">
        <v>1500180620</v>
      </c>
      <c r="B1748" t="s">
        <v>3616</v>
      </c>
      <c r="C1748" t="s">
        <v>19</v>
      </c>
      <c r="D1748" t="s">
        <v>20</v>
      </c>
      <c r="E1748" t="s">
        <v>21</v>
      </c>
      <c r="F1748" t="s">
        <v>22</v>
      </c>
      <c r="G1748" t="s">
        <v>23</v>
      </c>
      <c r="H1748" t="s">
        <v>285</v>
      </c>
      <c r="I1748" t="s">
        <v>3617</v>
      </c>
      <c r="J1748">
        <v>9.9926999999999992</v>
      </c>
      <c r="K1748">
        <v>-84.163499999999999</v>
      </c>
      <c r="L1748" t="s">
        <v>1225</v>
      </c>
      <c r="M1748" t="s">
        <v>54</v>
      </c>
      <c r="N1748" t="s">
        <v>55</v>
      </c>
      <c r="O1748" t="s">
        <v>56</v>
      </c>
      <c r="P1748">
        <v>17</v>
      </c>
      <c r="Q1748" t="s">
        <v>287</v>
      </c>
      <c r="S1748" t="str">
        <f>_xlfn.XLOOKUP(UNIVERSO[[#This Row],[Ruta]],'[1]CUOTA RUTA'!A:A,'[1]CUOTA RUTA'!D:D)</f>
        <v>Cargar</v>
      </c>
    </row>
    <row r="1749" spans="1:19" x14ac:dyDescent="0.25">
      <c r="A1749">
        <v>1500180698</v>
      </c>
      <c r="B1749" t="s">
        <v>3618</v>
      </c>
      <c r="C1749" t="s">
        <v>19</v>
      </c>
      <c r="D1749" t="s">
        <v>20</v>
      </c>
      <c r="E1749" t="s">
        <v>21</v>
      </c>
      <c r="F1749" t="s">
        <v>22</v>
      </c>
      <c r="G1749" t="s">
        <v>33</v>
      </c>
      <c r="H1749" t="s">
        <v>311</v>
      </c>
      <c r="I1749" t="s">
        <v>3619</v>
      </c>
      <c r="J1749">
        <v>9.9730699999999999</v>
      </c>
      <c r="K1749">
        <v>-84.211929999999995</v>
      </c>
      <c r="L1749" t="s">
        <v>1225</v>
      </c>
      <c r="M1749" t="s">
        <v>54</v>
      </c>
      <c r="N1749" t="s">
        <v>55</v>
      </c>
      <c r="O1749" t="s">
        <v>56</v>
      </c>
      <c r="P1749">
        <v>19</v>
      </c>
      <c r="Q1749" t="s">
        <v>67</v>
      </c>
      <c r="S1749" t="str">
        <f>_xlfn.XLOOKUP(UNIVERSO[[#This Row],[Ruta]],'[1]CUOTA RUTA'!A:A,'[1]CUOTA RUTA'!D:D)</f>
        <v>Cargar</v>
      </c>
    </row>
    <row r="1750" spans="1:19" x14ac:dyDescent="0.25">
      <c r="A1750">
        <v>1500180721</v>
      </c>
      <c r="B1750" t="s">
        <v>3620</v>
      </c>
      <c r="C1750" t="s">
        <v>19</v>
      </c>
      <c r="D1750" t="s">
        <v>20</v>
      </c>
      <c r="E1750" t="s">
        <v>21</v>
      </c>
      <c r="F1750" t="s">
        <v>22</v>
      </c>
      <c r="G1750" t="s">
        <v>33</v>
      </c>
      <c r="H1750" t="s">
        <v>250</v>
      </c>
      <c r="I1750" t="s">
        <v>3621</v>
      </c>
      <c r="J1750">
        <v>10.04313</v>
      </c>
      <c r="K1750">
        <v>-84.2333</v>
      </c>
      <c r="L1750" t="s">
        <v>1225</v>
      </c>
      <c r="M1750" t="s">
        <v>46</v>
      </c>
      <c r="N1750" t="s">
        <v>47</v>
      </c>
      <c r="O1750" t="s">
        <v>48</v>
      </c>
      <c r="P1750">
        <v>3</v>
      </c>
      <c r="Q1750" t="s">
        <v>101</v>
      </c>
      <c r="S1750" t="str">
        <f>_xlfn.XLOOKUP(UNIVERSO[[#This Row],[Ruta]],'[1]CUOTA RUTA'!A:A,'[1]CUOTA RUTA'!D:D)</f>
        <v>Cargar</v>
      </c>
    </row>
    <row r="1751" spans="1:19" x14ac:dyDescent="0.25">
      <c r="A1751">
        <v>1500180862</v>
      </c>
      <c r="B1751" t="s">
        <v>3622</v>
      </c>
      <c r="C1751" t="s">
        <v>19</v>
      </c>
      <c r="D1751" t="s">
        <v>20</v>
      </c>
      <c r="E1751" t="s">
        <v>21</v>
      </c>
      <c r="F1751" t="s">
        <v>22</v>
      </c>
      <c r="G1751" t="s">
        <v>33</v>
      </c>
      <c r="H1751" t="s">
        <v>263</v>
      </c>
      <c r="I1751" t="s">
        <v>3623</v>
      </c>
      <c r="J1751">
        <v>10.11641053</v>
      </c>
      <c r="K1751">
        <v>-84.398271269999995</v>
      </c>
      <c r="L1751" t="s">
        <v>1225</v>
      </c>
      <c r="M1751" t="s">
        <v>46</v>
      </c>
      <c r="N1751" t="s">
        <v>47</v>
      </c>
      <c r="O1751" t="s">
        <v>48</v>
      </c>
      <c r="P1751">
        <v>1</v>
      </c>
      <c r="Q1751" t="s">
        <v>155</v>
      </c>
      <c r="S1751" t="str">
        <f>_xlfn.XLOOKUP(UNIVERSO[[#This Row],[Ruta]],'[1]CUOTA RUTA'!A:A,'[1]CUOTA RUTA'!D:D)</f>
        <v>Cargar</v>
      </c>
    </row>
    <row r="1752" spans="1:19" x14ac:dyDescent="0.25">
      <c r="A1752">
        <v>1500180969</v>
      </c>
      <c r="B1752" t="s">
        <v>3624</v>
      </c>
      <c r="C1752" t="s">
        <v>19</v>
      </c>
      <c r="D1752" t="s">
        <v>20</v>
      </c>
      <c r="E1752" t="s">
        <v>21</v>
      </c>
      <c r="F1752" t="s">
        <v>22</v>
      </c>
      <c r="G1752" t="s">
        <v>64</v>
      </c>
      <c r="H1752" t="s">
        <v>743</v>
      </c>
      <c r="I1752" t="s">
        <v>3625</v>
      </c>
      <c r="J1752">
        <v>9.9776699999999998</v>
      </c>
      <c r="K1752">
        <v>-84.397919999999999</v>
      </c>
      <c r="L1752" t="s">
        <v>1225</v>
      </c>
      <c r="M1752" t="s">
        <v>46</v>
      </c>
      <c r="N1752" t="s">
        <v>47</v>
      </c>
      <c r="O1752" t="s">
        <v>48</v>
      </c>
      <c r="P1752">
        <v>12</v>
      </c>
      <c r="Q1752" t="s">
        <v>42</v>
      </c>
      <c r="S1752" t="str">
        <f>_xlfn.XLOOKUP(UNIVERSO[[#This Row],[Ruta]],'[1]CUOTA RUTA'!A:A,'[1]CUOTA RUTA'!D:D)</f>
        <v>Cargar</v>
      </c>
    </row>
    <row r="1753" spans="1:19" x14ac:dyDescent="0.25">
      <c r="A1753">
        <v>1500181060</v>
      </c>
      <c r="B1753" t="s">
        <v>3002</v>
      </c>
      <c r="C1753" t="s">
        <v>19</v>
      </c>
      <c r="D1753" t="s">
        <v>32</v>
      </c>
      <c r="E1753" t="s">
        <v>21</v>
      </c>
      <c r="F1753" t="s">
        <v>22</v>
      </c>
      <c r="G1753" t="s">
        <v>64</v>
      </c>
      <c r="H1753" t="s">
        <v>69</v>
      </c>
      <c r="I1753" t="s">
        <v>3626</v>
      </c>
      <c r="J1753">
        <v>9.8483433333330002</v>
      </c>
      <c r="K1753">
        <v>-84.054673333330001</v>
      </c>
      <c r="L1753" t="s">
        <v>1225</v>
      </c>
      <c r="M1753" t="s">
        <v>71</v>
      </c>
      <c r="N1753" t="s">
        <v>72</v>
      </c>
      <c r="O1753" t="s">
        <v>73</v>
      </c>
      <c r="P1753">
        <v>22</v>
      </c>
      <c r="Q1753" t="s">
        <v>30</v>
      </c>
      <c r="S1753" t="str">
        <f>_xlfn.XLOOKUP(UNIVERSO[[#This Row],[Ruta]],'[1]CUOTA RUTA'!A:A,'[1]CUOTA RUTA'!D:D)</f>
        <v>Cargar</v>
      </c>
    </row>
    <row r="1754" spans="1:19" x14ac:dyDescent="0.25">
      <c r="A1754">
        <v>1500181445</v>
      </c>
      <c r="B1754" t="s">
        <v>3627</v>
      </c>
      <c r="C1754" t="s">
        <v>19</v>
      </c>
      <c r="D1754" t="s">
        <v>32</v>
      </c>
      <c r="E1754" t="s">
        <v>21</v>
      </c>
      <c r="F1754" t="s">
        <v>22</v>
      </c>
      <c r="G1754" t="s">
        <v>23</v>
      </c>
      <c r="H1754" t="s">
        <v>425</v>
      </c>
      <c r="I1754" t="s">
        <v>3628</v>
      </c>
      <c r="J1754">
        <v>9.8737549999999992</v>
      </c>
      <c r="K1754">
        <v>-84.103827999999993</v>
      </c>
      <c r="L1754" t="s">
        <v>1225</v>
      </c>
      <c r="M1754" t="s">
        <v>71</v>
      </c>
      <c r="N1754" t="s">
        <v>72</v>
      </c>
      <c r="O1754" t="s">
        <v>73</v>
      </c>
      <c r="P1754">
        <v>14</v>
      </c>
      <c r="Q1754" t="s">
        <v>181</v>
      </c>
      <c r="S1754" t="str">
        <f>_xlfn.XLOOKUP(UNIVERSO[[#This Row],[Ruta]],'[1]CUOTA RUTA'!A:A,'[1]CUOTA RUTA'!D:D)</f>
        <v>Cargar</v>
      </c>
    </row>
    <row r="1755" spans="1:19" x14ac:dyDescent="0.25">
      <c r="A1755">
        <v>1500181791</v>
      </c>
      <c r="B1755" t="s">
        <v>3629</v>
      </c>
      <c r="C1755" t="s">
        <v>19</v>
      </c>
      <c r="D1755" t="s">
        <v>32</v>
      </c>
      <c r="E1755" t="s">
        <v>21</v>
      </c>
      <c r="F1755" t="s">
        <v>22</v>
      </c>
      <c r="G1755" t="s">
        <v>64</v>
      </c>
      <c r="H1755" t="s">
        <v>1383</v>
      </c>
      <c r="I1755" t="s">
        <v>3630</v>
      </c>
      <c r="J1755">
        <v>9.9218150000000005</v>
      </c>
      <c r="K1755">
        <v>-84.092817999999994</v>
      </c>
      <c r="L1755" t="s">
        <v>1225</v>
      </c>
      <c r="M1755" t="s">
        <v>71</v>
      </c>
      <c r="N1755" t="s">
        <v>72</v>
      </c>
      <c r="O1755" t="s">
        <v>73</v>
      </c>
      <c r="P1755">
        <v>4</v>
      </c>
      <c r="Q1755" t="s">
        <v>120</v>
      </c>
      <c r="S1755" t="str">
        <f>_xlfn.XLOOKUP(UNIVERSO[[#This Row],[Ruta]],'[1]CUOTA RUTA'!A:A,'[1]CUOTA RUTA'!D:D)</f>
        <v>Cargar</v>
      </c>
    </row>
    <row r="1756" spans="1:19" x14ac:dyDescent="0.25">
      <c r="A1756">
        <v>1500181864</v>
      </c>
      <c r="B1756" t="s">
        <v>3631</v>
      </c>
      <c r="C1756" t="s">
        <v>19</v>
      </c>
      <c r="D1756" t="s">
        <v>266</v>
      </c>
      <c r="E1756" t="s">
        <v>21</v>
      </c>
      <c r="F1756" t="s">
        <v>22</v>
      </c>
      <c r="G1756" t="s">
        <v>33</v>
      </c>
      <c r="H1756" t="s">
        <v>404</v>
      </c>
      <c r="I1756" t="s">
        <v>3632</v>
      </c>
      <c r="J1756">
        <v>9.8314360000000001</v>
      </c>
      <c r="K1756">
        <v>-83.874126000000004</v>
      </c>
      <c r="L1756" t="s">
        <v>1225</v>
      </c>
      <c r="M1756" t="s">
        <v>36</v>
      </c>
      <c r="N1756" t="s">
        <v>316</v>
      </c>
      <c r="O1756" t="s">
        <v>317</v>
      </c>
      <c r="P1756">
        <v>23</v>
      </c>
      <c r="Q1756" t="s">
        <v>125</v>
      </c>
      <c r="S1756" t="str">
        <f>_xlfn.XLOOKUP(UNIVERSO[[#This Row],[Ruta]],'[1]CUOTA RUTA'!A:A,'[1]CUOTA RUTA'!D:D)</f>
        <v>Cargar</v>
      </c>
    </row>
    <row r="1757" spans="1:19" x14ac:dyDescent="0.25">
      <c r="A1757">
        <v>1500182011</v>
      </c>
      <c r="B1757" t="s">
        <v>3633</v>
      </c>
      <c r="C1757" t="s">
        <v>19</v>
      </c>
      <c r="D1757" t="s">
        <v>324</v>
      </c>
      <c r="E1757" t="s">
        <v>21</v>
      </c>
      <c r="F1757" t="s">
        <v>22</v>
      </c>
      <c r="G1757" t="s">
        <v>33</v>
      </c>
      <c r="H1757" t="s">
        <v>331</v>
      </c>
      <c r="I1757" t="s">
        <v>3634</v>
      </c>
      <c r="J1757">
        <v>10.4610687</v>
      </c>
      <c r="K1757">
        <v>-84.274069499999996</v>
      </c>
      <c r="L1757" t="s">
        <v>1225</v>
      </c>
      <c r="M1757" t="s">
        <v>327</v>
      </c>
      <c r="N1757" t="s">
        <v>328</v>
      </c>
      <c r="O1757" t="s">
        <v>329</v>
      </c>
      <c r="P1757">
        <v>18</v>
      </c>
      <c r="Q1757" t="s">
        <v>84</v>
      </c>
      <c r="S1757" t="str">
        <f>_xlfn.XLOOKUP(UNIVERSO[[#This Row],[Ruta]],'[1]CUOTA RUTA'!A:A,'[1]CUOTA RUTA'!D:D)</f>
        <v>Cargar</v>
      </c>
    </row>
    <row r="1758" spans="1:19" x14ac:dyDescent="0.25">
      <c r="A1758">
        <v>1500182068</v>
      </c>
      <c r="B1758" t="s">
        <v>3635</v>
      </c>
      <c r="C1758" t="s">
        <v>19</v>
      </c>
      <c r="D1758" t="s">
        <v>324</v>
      </c>
      <c r="E1758" t="s">
        <v>21</v>
      </c>
      <c r="F1758" t="s">
        <v>22</v>
      </c>
      <c r="G1758" t="s">
        <v>33</v>
      </c>
      <c r="H1758" t="s">
        <v>331</v>
      </c>
      <c r="I1758" t="s">
        <v>3636</v>
      </c>
      <c r="J1758">
        <v>10.444000000000001</v>
      </c>
      <c r="K1758">
        <v>-84.356989999999996</v>
      </c>
      <c r="L1758" t="s">
        <v>1225</v>
      </c>
      <c r="M1758" t="s">
        <v>327</v>
      </c>
      <c r="N1758" t="s">
        <v>328</v>
      </c>
      <c r="O1758" t="s">
        <v>329</v>
      </c>
      <c r="P1758">
        <v>19</v>
      </c>
      <c r="Q1758" t="s">
        <v>67</v>
      </c>
      <c r="S1758" t="str">
        <f>_xlfn.XLOOKUP(UNIVERSO[[#This Row],[Ruta]],'[1]CUOTA RUTA'!A:A,'[1]CUOTA RUTA'!D:D)</f>
        <v>Cargar</v>
      </c>
    </row>
    <row r="1759" spans="1:19" x14ac:dyDescent="0.25">
      <c r="A1759">
        <v>1500182280</v>
      </c>
      <c r="B1759" t="s">
        <v>1463</v>
      </c>
      <c r="C1759" t="s">
        <v>19</v>
      </c>
      <c r="D1759" t="s">
        <v>324</v>
      </c>
      <c r="E1759" t="s">
        <v>21</v>
      </c>
      <c r="F1759" t="s">
        <v>22</v>
      </c>
      <c r="G1759" t="s">
        <v>33</v>
      </c>
      <c r="H1759" t="s">
        <v>393</v>
      </c>
      <c r="I1759" t="s">
        <v>3637</v>
      </c>
      <c r="J1759">
        <v>10.3668</v>
      </c>
      <c r="K1759">
        <v>-84.336179999999999</v>
      </c>
      <c r="L1759" t="s">
        <v>1225</v>
      </c>
      <c r="M1759" t="s">
        <v>327</v>
      </c>
      <c r="N1759" t="s">
        <v>328</v>
      </c>
      <c r="O1759" t="s">
        <v>329</v>
      </c>
      <c r="P1759">
        <v>16</v>
      </c>
      <c r="Q1759" t="s">
        <v>60</v>
      </c>
      <c r="S1759" t="str">
        <f>_xlfn.XLOOKUP(UNIVERSO[[#This Row],[Ruta]],'[1]CUOTA RUTA'!A:A,'[1]CUOTA RUTA'!D:D)</f>
        <v>Cargar</v>
      </c>
    </row>
    <row r="1760" spans="1:19" x14ac:dyDescent="0.25">
      <c r="A1760">
        <v>1500182320</v>
      </c>
      <c r="B1760" t="s">
        <v>3638</v>
      </c>
      <c r="C1760" t="s">
        <v>19</v>
      </c>
      <c r="D1760" t="s">
        <v>324</v>
      </c>
      <c r="E1760" t="s">
        <v>21</v>
      </c>
      <c r="F1760" t="s">
        <v>22</v>
      </c>
      <c r="G1760" t="s">
        <v>23</v>
      </c>
      <c r="H1760" t="s">
        <v>393</v>
      </c>
      <c r="I1760" t="s">
        <v>3639</v>
      </c>
      <c r="J1760">
        <v>10.320399999999999</v>
      </c>
      <c r="K1760">
        <v>-84.422290000000004</v>
      </c>
      <c r="L1760" t="s">
        <v>1225</v>
      </c>
      <c r="M1760" t="s">
        <v>327</v>
      </c>
      <c r="N1760" t="s">
        <v>328</v>
      </c>
      <c r="O1760" t="s">
        <v>329</v>
      </c>
      <c r="P1760">
        <v>22</v>
      </c>
      <c r="Q1760" t="s">
        <v>30</v>
      </c>
      <c r="S1760" t="str">
        <f>_xlfn.XLOOKUP(UNIVERSO[[#This Row],[Ruta]],'[1]CUOTA RUTA'!A:A,'[1]CUOTA RUTA'!D:D)</f>
        <v>Cargar</v>
      </c>
    </row>
    <row r="1761" spans="1:19" x14ac:dyDescent="0.25">
      <c r="A1761">
        <v>1500182530</v>
      </c>
      <c r="B1761" t="s">
        <v>3640</v>
      </c>
      <c r="C1761" t="s">
        <v>19</v>
      </c>
      <c r="D1761" t="s">
        <v>32</v>
      </c>
      <c r="E1761" t="s">
        <v>21</v>
      </c>
      <c r="F1761" t="s">
        <v>22</v>
      </c>
      <c r="G1761" t="s">
        <v>64</v>
      </c>
      <c r="H1761" t="s">
        <v>148</v>
      </c>
      <c r="I1761" t="s">
        <v>3641</v>
      </c>
      <c r="J1761">
        <v>9.9791366999999997</v>
      </c>
      <c r="K1761">
        <v>-84.032669999999996</v>
      </c>
      <c r="L1761" t="s">
        <v>1225</v>
      </c>
      <c r="M1761" t="s">
        <v>94</v>
      </c>
      <c r="N1761" t="s">
        <v>95</v>
      </c>
      <c r="O1761" t="s">
        <v>96</v>
      </c>
      <c r="P1761">
        <v>2</v>
      </c>
      <c r="Q1761" t="s">
        <v>150</v>
      </c>
      <c r="S1761" t="str">
        <f>_xlfn.XLOOKUP(UNIVERSO[[#This Row],[Ruta]],'[1]CUOTA RUTA'!A:A,'[1]CUOTA RUTA'!D:D)</f>
        <v>Cargar</v>
      </c>
    </row>
    <row r="1762" spans="1:19" x14ac:dyDescent="0.25">
      <c r="A1762">
        <v>1500182675</v>
      </c>
      <c r="B1762" t="s">
        <v>3642</v>
      </c>
      <c r="C1762" t="s">
        <v>19</v>
      </c>
      <c r="D1762" t="s">
        <v>266</v>
      </c>
      <c r="E1762" t="s">
        <v>21</v>
      </c>
      <c r="F1762" t="s">
        <v>22</v>
      </c>
      <c r="G1762" t="s">
        <v>33</v>
      </c>
      <c r="H1762" t="s">
        <v>272</v>
      </c>
      <c r="I1762" t="s">
        <v>3643</v>
      </c>
      <c r="J1762">
        <v>9.8345558000000004</v>
      </c>
      <c r="K1762">
        <v>-83.709374800000006</v>
      </c>
      <c r="L1762" t="s">
        <v>1225</v>
      </c>
      <c r="M1762" t="s">
        <v>54</v>
      </c>
      <c r="N1762" t="s">
        <v>274</v>
      </c>
      <c r="O1762" t="s">
        <v>275</v>
      </c>
      <c r="P1762">
        <v>24</v>
      </c>
      <c r="Q1762" t="s">
        <v>947</v>
      </c>
      <c r="S1762" t="str">
        <f>_xlfn.XLOOKUP(UNIVERSO[[#This Row],[Ruta]],'[1]CUOTA RUTA'!A:A,'[1]CUOTA RUTA'!D:D)</f>
        <v>Cargar</v>
      </c>
    </row>
    <row r="1763" spans="1:19" x14ac:dyDescent="0.25">
      <c r="A1763">
        <v>1500182862</v>
      </c>
      <c r="B1763" t="s">
        <v>3644</v>
      </c>
      <c r="C1763" t="s">
        <v>19</v>
      </c>
      <c r="D1763" t="s">
        <v>32</v>
      </c>
      <c r="E1763" t="s">
        <v>21</v>
      </c>
      <c r="F1763" t="s">
        <v>22</v>
      </c>
      <c r="G1763" t="s">
        <v>23</v>
      </c>
      <c r="H1763" t="s">
        <v>127</v>
      </c>
      <c r="I1763" t="s">
        <v>3645</v>
      </c>
      <c r="J1763">
        <v>9.7895816666670008</v>
      </c>
      <c r="K1763">
        <v>-84.067976666660002</v>
      </c>
      <c r="L1763" t="s">
        <v>1225</v>
      </c>
      <c r="M1763" t="s">
        <v>54</v>
      </c>
      <c r="N1763" t="s">
        <v>129</v>
      </c>
      <c r="O1763" t="s">
        <v>130</v>
      </c>
      <c r="P1763">
        <v>23</v>
      </c>
      <c r="Q1763" t="s">
        <v>125</v>
      </c>
      <c r="S1763" t="str">
        <f>_xlfn.XLOOKUP(UNIVERSO[[#This Row],[Ruta]],'[1]CUOTA RUTA'!A:A,'[1]CUOTA RUTA'!D:D)</f>
        <v>Cargar</v>
      </c>
    </row>
    <row r="1764" spans="1:19" x14ac:dyDescent="0.25">
      <c r="A1764">
        <v>1500183011</v>
      </c>
      <c r="B1764" t="s">
        <v>2126</v>
      </c>
      <c r="C1764" t="s">
        <v>19</v>
      </c>
      <c r="D1764" t="s">
        <v>32</v>
      </c>
      <c r="E1764" t="s">
        <v>21</v>
      </c>
      <c r="F1764" t="s">
        <v>22</v>
      </c>
      <c r="G1764" t="s">
        <v>64</v>
      </c>
      <c r="H1764" t="s">
        <v>1191</v>
      </c>
      <c r="I1764" t="s">
        <v>3646</v>
      </c>
      <c r="J1764">
        <v>9.8978680000000008</v>
      </c>
      <c r="K1764">
        <v>-84.023678000000004</v>
      </c>
      <c r="L1764" t="s">
        <v>1225</v>
      </c>
      <c r="M1764" t="s">
        <v>36</v>
      </c>
      <c r="N1764" t="s">
        <v>37</v>
      </c>
      <c r="O1764" t="s">
        <v>38</v>
      </c>
      <c r="P1764">
        <v>15</v>
      </c>
      <c r="Q1764" t="s">
        <v>231</v>
      </c>
      <c r="S1764" t="str">
        <f>_xlfn.XLOOKUP(UNIVERSO[[#This Row],[Ruta]],'[1]CUOTA RUTA'!A:A,'[1]CUOTA RUTA'!D:D)</f>
        <v>Cargar</v>
      </c>
    </row>
    <row r="1765" spans="1:19" x14ac:dyDescent="0.25">
      <c r="A1765">
        <v>1500183285</v>
      </c>
      <c r="B1765" t="s">
        <v>3647</v>
      </c>
      <c r="C1765" t="s">
        <v>19</v>
      </c>
      <c r="D1765" t="s">
        <v>32</v>
      </c>
      <c r="E1765" t="s">
        <v>21</v>
      </c>
      <c r="F1765" t="s">
        <v>22</v>
      </c>
      <c r="G1765" t="s">
        <v>33</v>
      </c>
      <c r="H1765" t="s">
        <v>1383</v>
      </c>
      <c r="I1765" t="s">
        <v>3648</v>
      </c>
      <c r="J1765">
        <v>9.9243210000000008</v>
      </c>
      <c r="K1765">
        <v>-84.093436999999994</v>
      </c>
      <c r="L1765" t="s">
        <v>1225</v>
      </c>
      <c r="M1765" t="s">
        <v>71</v>
      </c>
      <c r="N1765" t="s">
        <v>72</v>
      </c>
      <c r="O1765" t="s">
        <v>73</v>
      </c>
      <c r="P1765">
        <v>3</v>
      </c>
      <c r="Q1765" t="s">
        <v>101</v>
      </c>
      <c r="S1765" t="str">
        <f>_xlfn.XLOOKUP(UNIVERSO[[#This Row],[Ruta]],'[1]CUOTA RUTA'!A:A,'[1]CUOTA RUTA'!D:D)</f>
        <v>Cargar</v>
      </c>
    </row>
    <row r="1766" spans="1:19" x14ac:dyDescent="0.25">
      <c r="A1766">
        <v>1500183423</v>
      </c>
      <c r="B1766" t="s">
        <v>1117</v>
      </c>
      <c r="C1766" t="s">
        <v>19</v>
      </c>
      <c r="D1766" t="s">
        <v>32</v>
      </c>
      <c r="E1766" t="s">
        <v>21</v>
      </c>
      <c r="F1766" t="s">
        <v>22</v>
      </c>
      <c r="G1766" t="s">
        <v>23</v>
      </c>
      <c r="H1766" t="s">
        <v>441</v>
      </c>
      <c r="I1766" t="s">
        <v>3649</v>
      </c>
      <c r="J1766">
        <v>9.8645849999999999</v>
      </c>
      <c r="K1766">
        <v>-84.046594999999996</v>
      </c>
      <c r="L1766" t="s">
        <v>1225</v>
      </c>
      <c r="M1766" t="s">
        <v>71</v>
      </c>
      <c r="N1766" t="s">
        <v>72</v>
      </c>
      <c r="O1766" t="s">
        <v>73</v>
      </c>
      <c r="P1766">
        <v>21</v>
      </c>
      <c r="Q1766" t="s">
        <v>239</v>
      </c>
      <c r="S1766" t="str">
        <f>_xlfn.XLOOKUP(UNIVERSO[[#This Row],[Ruta]],'[1]CUOTA RUTA'!A:A,'[1]CUOTA RUTA'!D:D)</f>
        <v>Cargar</v>
      </c>
    </row>
    <row r="1767" spans="1:19" x14ac:dyDescent="0.25">
      <c r="A1767">
        <v>1500183494</v>
      </c>
      <c r="B1767" t="s">
        <v>3650</v>
      </c>
      <c r="C1767" t="s">
        <v>19</v>
      </c>
      <c r="D1767" t="s">
        <v>32</v>
      </c>
      <c r="E1767" t="s">
        <v>21</v>
      </c>
      <c r="F1767" t="s">
        <v>22</v>
      </c>
      <c r="G1767" t="s">
        <v>64</v>
      </c>
      <c r="H1767" t="s">
        <v>69</v>
      </c>
      <c r="I1767" t="s">
        <v>3651</v>
      </c>
      <c r="J1767">
        <v>9.8626900000000006</v>
      </c>
      <c r="K1767">
        <v>-84.061700000000002</v>
      </c>
      <c r="L1767" t="s">
        <v>1225</v>
      </c>
      <c r="M1767" t="s">
        <v>71</v>
      </c>
      <c r="N1767" t="s">
        <v>72</v>
      </c>
      <c r="O1767" t="s">
        <v>73</v>
      </c>
      <c r="P1767">
        <v>22</v>
      </c>
      <c r="Q1767" t="s">
        <v>30</v>
      </c>
      <c r="S1767" t="str">
        <f>_xlfn.XLOOKUP(UNIVERSO[[#This Row],[Ruta]],'[1]CUOTA RUTA'!A:A,'[1]CUOTA RUTA'!D:D)</f>
        <v>Cargar</v>
      </c>
    </row>
    <row r="1768" spans="1:19" x14ac:dyDescent="0.25">
      <c r="A1768">
        <v>1500183822</v>
      </c>
      <c r="B1768" t="s">
        <v>3104</v>
      </c>
      <c r="C1768" t="s">
        <v>19</v>
      </c>
      <c r="D1768" t="s">
        <v>20</v>
      </c>
      <c r="E1768" t="s">
        <v>21</v>
      </c>
      <c r="F1768" t="s">
        <v>22</v>
      </c>
      <c r="G1768" t="s">
        <v>33</v>
      </c>
      <c r="H1768" t="s">
        <v>308</v>
      </c>
      <c r="I1768" t="s">
        <v>3652</v>
      </c>
      <c r="J1768">
        <v>9.8110300000000006</v>
      </c>
      <c r="K1768">
        <v>-84.327020000000005</v>
      </c>
      <c r="L1768" t="s">
        <v>1225</v>
      </c>
      <c r="M1768" t="s">
        <v>54</v>
      </c>
      <c r="N1768" t="s">
        <v>55</v>
      </c>
      <c r="O1768" t="s">
        <v>56</v>
      </c>
      <c r="P1768">
        <v>23</v>
      </c>
      <c r="Q1768" t="s">
        <v>125</v>
      </c>
      <c r="S1768" t="str">
        <f>_xlfn.XLOOKUP(UNIVERSO[[#This Row],[Ruta]],'[1]CUOTA RUTA'!A:A,'[1]CUOTA RUTA'!D:D)</f>
        <v>Cargar</v>
      </c>
    </row>
    <row r="1769" spans="1:19" x14ac:dyDescent="0.25">
      <c r="A1769">
        <v>1500183898</v>
      </c>
      <c r="B1769" t="s">
        <v>3653</v>
      </c>
      <c r="C1769" t="s">
        <v>19</v>
      </c>
      <c r="D1769" t="s">
        <v>20</v>
      </c>
      <c r="E1769" t="s">
        <v>21</v>
      </c>
      <c r="F1769" t="s">
        <v>22</v>
      </c>
      <c r="G1769" t="s">
        <v>23</v>
      </c>
      <c r="H1769" t="s">
        <v>24</v>
      </c>
      <c r="I1769" t="s">
        <v>3654</v>
      </c>
      <c r="J1769">
        <v>9.9701789999999999</v>
      </c>
      <c r="K1769">
        <v>-84.121251999999998</v>
      </c>
      <c r="L1769" t="s">
        <v>1225</v>
      </c>
      <c r="M1769" t="s">
        <v>27</v>
      </c>
      <c r="N1769" t="s">
        <v>28</v>
      </c>
      <c r="O1769" t="s">
        <v>29</v>
      </c>
      <c r="P1769">
        <v>7</v>
      </c>
      <c r="Q1769" t="s">
        <v>39</v>
      </c>
      <c r="S1769" t="str">
        <f>_xlfn.XLOOKUP(UNIVERSO[[#This Row],[Ruta]],'[1]CUOTA RUTA'!A:A,'[1]CUOTA RUTA'!D:D)</f>
        <v>Cargar</v>
      </c>
    </row>
    <row r="1770" spans="1:19" x14ac:dyDescent="0.25">
      <c r="A1770">
        <v>1500183958</v>
      </c>
      <c r="B1770" t="s">
        <v>3655</v>
      </c>
      <c r="C1770" t="s">
        <v>19</v>
      </c>
      <c r="D1770" t="s">
        <v>20</v>
      </c>
      <c r="E1770" t="s">
        <v>62</v>
      </c>
      <c r="F1770" t="s">
        <v>63</v>
      </c>
      <c r="G1770" t="s">
        <v>64</v>
      </c>
      <c r="H1770" t="s">
        <v>1143</v>
      </c>
      <c r="I1770" t="s">
        <v>3656</v>
      </c>
      <c r="J1770">
        <v>10.08625</v>
      </c>
      <c r="K1770">
        <v>-84.168620000000004</v>
      </c>
      <c r="L1770" t="s">
        <v>1225</v>
      </c>
      <c r="M1770" t="s">
        <v>54</v>
      </c>
      <c r="N1770" t="s">
        <v>55</v>
      </c>
      <c r="O1770" t="s">
        <v>56</v>
      </c>
      <c r="P1770">
        <v>18</v>
      </c>
      <c r="Q1770" t="s">
        <v>84</v>
      </c>
      <c r="S1770" t="str">
        <f>_xlfn.XLOOKUP(UNIVERSO[[#This Row],[Ruta]],'[1]CUOTA RUTA'!A:A,'[1]CUOTA RUTA'!D:D)</f>
        <v>Cargar</v>
      </c>
    </row>
    <row r="1771" spans="1:19" x14ac:dyDescent="0.25">
      <c r="A1771">
        <v>1500184050</v>
      </c>
      <c r="B1771" t="s">
        <v>3657</v>
      </c>
      <c r="C1771" t="s">
        <v>19</v>
      </c>
      <c r="D1771" t="s">
        <v>20</v>
      </c>
      <c r="E1771" t="s">
        <v>21</v>
      </c>
      <c r="F1771" t="s">
        <v>22</v>
      </c>
      <c r="G1771" t="s">
        <v>23</v>
      </c>
      <c r="H1771" t="s">
        <v>280</v>
      </c>
      <c r="I1771" t="s">
        <v>3658</v>
      </c>
      <c r="J1771">
        <v>10.015933199999999</v>
      </c>
      <c r="K1771">
        <v>-84.201131099999998</v>
      </c>
      <c r="L1771" t="s">
        <v>1225</v>
      </c>
      <c r="M1771" t="s">
        <v>54</v>
      </c>
      <c r="N1771" t="s">
        <v>55</v>
      </c>
      <c r="O1771" t="s">
        <v>56</v>
      </c>
      <c r="P1771">
        <v>4</v>
      </c>
      <c r="Q1771" t="s">
        <v>120</v>
      </c>
      <c r="S1771" t="str">
        <f>_xlfn.XLOOKUP(UNIVERSO[[#This Row],[Ruta]],'[1]CUOTA RUTA'!A:A,'[1]CUOTA RUTA'!D:D)</f>
        <v>Cargar</v>
      </c>
    </row>
    <row r="1772" spans="1:19" x14ac:dyDescent="0.25">
      <c r="A1772">
        <v>1500184388</v>
      </c>
      <c r="B1772" t="s">
        <v>3659</v>
      </c>
      <c r="C1772" t="s">
        <v>19</v>
      </c>
      <c r="D1772" t="s">
        <v>20</v>
      </c>
      <c r="E1772" t="s">
        <v>21</v>
      </c>
      <c r="F1772" t="s">
        <v>22</v>
      </c>
      <c r="G1772" t="s">
        <v>64</v>
      </c>
      <c r="H1772" t="s">
        <v>743</v>
      </c>
      <c r="I1772" t="s">
        <v>2381</v>
      </c>
      <c r="J1772">
        <v>9.9731799999999993</v>
      </c>
      <c r="K1772">
        <v>-84.374300000000005</v>
      </c>
      <c r="L1772" t="s">
        <v>1225</v>
      </c>
      <c r="M1772" t="s">
        <v>46</v>
      </c>
      <c r="N1772" t="s">
        <v>47</v>
      </c>
      <c r="O1772" t="s">
        <v>48</v>
      </c>
      <c r="P1772">
        <v>10</v>
      </c>
      <c r="Q1772" t="s">
        <v>136</v>
      </c>
      <c r="S1772" t="str">
        <f>_xlfn.XLOOKUP(UNIVERSO[[#This Row],[Ruta]],'[1]CUOTA RUTA'!A:A,'[1]CUOTA RUTA'!D:D)</f>
        <v>Cargar</v>
      </c>
    </row>
    <row r="1773" spans="1:19" x14ac:dyDescent="0.25">
      <c r="A1773">
        <v>1500184423</v>
      </c>
      <c r="B1773" t="s">
        <v>3660</v>
      </c>
      <c r="C1773" t="s">
        <v>19</v>
      </c>
      <c r="D1773" t="s">
        <v>20</v>
      </c>
      <c r="E1773" t="s">
        <v>21</v>
      </c>
      <c r="F1773" t="s">
        <v>22</v>
      </c>
      <c r="G1773" t="s">
        <v>64</v>
      </c>
      <c r="H1773" t="s">
        <v>260</v>
      </c>
      <c r="I1773" t="s">
        <v>3661</v>
      </c>
      <c r="J1773">
        <v>10.089485359999999</v>
      </c>
      <c r="K1773">
        <v>-84.462866070000004</v>
      </c>
      <c r="L1773" t="s">
        <v>1225</v>
      </c>
      <c r="M1773" t="s">
        <v>46</v>
      </c>
      <c r="N1773" t="s">
        <v>47</v>
      </c>
      <c r="O1773" t="s">
        <v>48</v>
      </c>
      <c r="P1773">
        <v>6</v>
      </c>
      <c r="Q1773" t="s">
        <v>49</v>
      </c>
      <c r="S1773" t="str">
        <f>_xlfn.XLOOKUP(UNIVERSO[[#This Row],[Ruta]],'[1]CUOTA RUTA'!A:A,'[1]CUOTA RUTA'!D:D)</f>
        <v>Cargar</v>
      </c>
    </row>
    <row r="1774" spans="1:19" x14ac:dyDescent="0.25">
      <c r="A1774">
        <v>1500184440</v>
      </c>
      <c r="B1774" t="s">
        <v>3662</v>
      </c>
      <c r="C1774" t="s">
        <v>19</v>
      </c>
      <c r="D1774" t="s">
        <v>20</v>
      </c>
      <c r="E1774" t="s">
        <v>21</v>
      </c>
      <c r="F1774" t="s">
        <v>22</v>
      </c>
      <c r="G1774" t="s">
        <v>33</v>
      </c>
      <c r="H1774" t="s">
        <v>1143</v>
      </c>
      <c r="I1774" t="s">
        <v>3663</v>
      </c>
      <c r="J1774">
        <v>10.106579999999999</v>
      </c>
      <c r="K1774">
        <v>-84.191999999999993</v>
      </c>
      <c r="L1774" t="s">
        <v>1225</v>
      </c>
      <c r="M1774" t="s">
        <v>54</v>
      </c>
      <c r="N1774" t="s">
        <v>55</v>
      </c>
      <c r="O1774" t="s">
        <v>56</v>
      </c>
      <c r="P1774">
        <v>18</v>
      </c>
      <c r="Q1774" t="s">
        <v>84</v>
      </c>
      <c r="S1774" t="str">
        <f>_xlfn.XLOOKUP(UNIVERSO[[#This Row],[Ruta]],'[1]CUOTA RUTA'!A:A,'[1]CUOTA RUTA'!D:D)</f>
        <v>Cargar</v>
      </c>
    </row>
    <row r="1775" spans="1:19" x14ac:dyDescent="0.25">
      <c r="A1775">
        <v>1500185338</v>
      </c>
      <c r="B1775" t="s">
        <v>3664</v>
      </c>
      <c r="C1775" t="s">
        <v>19</v>
      </c>
      <c r="D1775" t="s">
        <v>337</v>
      </c>
      <c r="E1775" t="s">
        <v>21</v>
      </c>
      <c r="F1775" t="s">
        <v>51</v>
      </c>
      <c r="G1775" t="s">
        <v>23</v>
      </c>
      <c r="H1775" t="s">
        <v>483</v>
      </c>
      <c r="I1775" t="s">
        <v>3665</v>
      </c>
      <c r="J1775">
        <v>10.51599949</v>
      </c>
      <c r="K1775">
        <v>-85.574362949999994</v>
      </c>
      <c r="L1775" t="s">
        <v>1225</v>
      </c>
      <c r="M1775" t="s">
        <v>327</v>
      </c>
      <c r="N1775" t="s">
        <v>340</v>
      </c>
      <c r="O1775" t="s">
        <v>341</v>
      </c>
      <c r="P1775">
        <v>16</v>
      </c>
      <c r="Q1775" t="s">
        <v>60</v>
      </c>
      <c r="S1775" t="str">
        <f>_xlfn.XLOOKUP(UNIVERSO[[#This Row],[Ruta]],'[1]CUOTA RUTA'!A:A,'[1]CUOTA RUTA'!D:D)</f>
        <v>Cargar</v>
      </c>
    </row>
    <row r="1776" spans="1:19" x14ac:dyDescent="0.25">
      <c r="A1776">
        <v>1500185348</v>
      </c>
      <c r="B1776" t="s">
        <v>3666</v>
      </c>
      <c r="C1776" t="s">
        <v>19</v>
      </c>
      <c r="D1776" t="s">
        <v>337</v>
      </c>
      <c r="E1776" t="s">
        <v>21</v>
      </c>
      <c r="F1776" t="s">
        <v>22</v>
      </c>
      <c r="G1776" t="s">
        <v>33</v>
      </c>
      <c r="H1776" t="s">
        <v>1732</v>
      </c>
      <c r="I1776" t="s">
        <v>3667</v>
      </c>
      <c r="J1776">
        <v>10.471500000000001</v>
      </c>
      <c r="K1776">
        <v>-84.965209999999999</v>
      </c>
      <c r="L1776" t="s">
        <v>1225</v>
      </c>
      <c r="M1776" t="s">
        <v>327</v>
      </c>
      <c r="N1776" t="s">
        <v>340</v>
      </c>
      <c r="O1776" t="s">
        <v>341</v>
      </c>
      <c r="P1776">
        <v>23</v>
      </c>
      <c r="Q1776" t="s">
        <v>125</v>
      </c>
      <c r="S1776" t="str">
        <f>_xlfn.XLOOKUP(UNIVERSO[[#This Row],[Ruta]],'[1]CUOTA RUTA'!A:A,'[1]CUOTA RUTA'!D:D)</f>
        <v>Cargar</v>
      </c>
    </row>
    <row r="1777" spans="1:19" x14ac:dyDescent="0.25">
      <c r="A1777">
        <v>1500185357</v>
      </c>
      <c r="B1777" t="s">
        <v>3668</v>
      </c>
      <c r="C1777" t="s">
        <v>19</v>
      </c>
      <c r="D1777" t="s">
        <v>337</v>
      </c>
      <c r="E1777" t="s">
        <v>21</v>
      </c>
      <c r="F1777" t="s">
        <v>22</v>
      </c>
      <c r="G1777" t="s">
        <v>23</v>
      </c>
      <c r="H1777" t="s">
        <v>1732</v>
      </c>
      <c r="I1777" t="s">
        <v>3669</v>
      </c>
      <c r="J1777">
        <v>10.35986872</v>
      </c>
      <c r="K1777">
        <v>-85.461942800000003</v>
      </c>
      <c r="L1777" t="s">
        <v>1225</v>
      </c>
      <c r="M1777" t="s">
        <v>327</v>
      </c>
      <c r="N1777" t="s">
        <v>340</v>
      </c>
      <c r="O1777" t="s">
        <v>341</v>
      </c>
      <c r="P1777">
        <v>16</v>
      </c>
      <c r="Q1777" t="s">
        <v>60</v>
      </c>
      <c r="S1777" t="str">
        <f>_xlfn.XLOOKUP(UNIVERSO[[#This Row],[Ruta]],'[1]CUOTA RUTA'!A:A,'[1]CUOTA RUTA'!D:D)</f>
        <v>Cargar</v>
      </c>
    </row>
    <row r="1778" spans="1:19" x14ac:dyDescent="0.25">
      <c r="A1778">
        <v>1500185379</v>
      </c>
      <c r="B1778" t="s">
        <v>3670</v>
      </c>
      <c r="C1778" t="s">
        <v>19</v>
      </c>
      <c r="D1778" t="s">
        <v>337</v>
      </c>
      <c r="E1778" t="s">
        <v>21</v>
      </c>
      <c r="F1778" t="s">
        <v>22</v>
      </c>
      <c r="G1778" t="s">
        <v>33</v>
      </c>
      <c r="H1778" t="s">
        <v>343</v>
      </c>
      <c r="I1778" t="s">
        <v>3671</v>
      </c>
      <c r="J1778">
        <v>10.416086</v>
      </c>
      <c r="K1778">
        <v>-85.087245999999993</v>
      </c>
      <c r="L1778" t="s">
        <v>1225</v>
      </c>
      <c r="M1778" t="s">
        <v>327</v>
      </c>
      <c r="N1778" t="s">
        <v>340</v>
      </c>
      <c r="O1778" t="s">
        <v>341</v>
      </c>
      <c r="P1778">
        <v>21</v>
      </c>
      <c r="Q1778" t="s">
        <v>239</v>
      </c>
      <c r="S1778" t="str">
        <f>_xlfn.XLOOKUP(UNIVERSO[[#This Row],[Ruta]],'[1]CUOTA RUTA'!A:A,'[1]CUOTA RUTA'!D:D)</f>
        <v>Cargar</v>
      </c>
    </row>
    <row r="1779" spans="1:19" x14ac:dyDescent="0.25">
      <c r="A1779">
        <v>1500185395</v>
      </c>
      <c r="B1779" t="s">
        <v>3672</v>
      </c>
      <c r="C1779" t="s">
        <v>19</v>
      </c>
      <c r="D1779" t="s">
        <v>337</v>
      </c>
      <c r="E1779" t="s">
        <v>21</v>
      </c>
      <c r="F1779" t="s">
        <v>22</v>
      </c>
      <c r="G1779" t="s">
        <v>33</v>
      </c>
      <c r="H1779" t="s">
        <v>346</v>
      </c>
      <c r="I1779" t="s">
        <v>3673</v>
      </c>
      <c r="J1779">
        <v>10.518431530000001</v>
      </c>
      <c r="K1779">
        <v>-85.253772789999999</v>
      </c>
      <c r="L1779" t="s">
        <v>1225</v>
      </c>
      <c r="M1779" t="s">
        <v>327</v>
      </c>
      <c r="N1779" t="s">
        <v>340</v>
      </c>
      <c r="O1779" t="s">
        <v>341</v>
      </c>
      <c r="P1779">
        <v>20</v>
      </c>
      <c r="Q1779" t="s">
        <v>74</v>
      </c>
      <c r="S1779" t="str">
        <f>_xlfn.XLOOKUP(UNIVERSO[[#This Row],[Ruta]],'[1]CUOTA RUTA'!A:A,'[1]CUOTA RUTA'!D:D)</f>
        <v>Cargar</v>
      </c>
    </row>
    <row r="1780" spans="1:19" x14ac:dyDescent="0.25">
      <c r="A1780">
        <v>1500185471</v>
      </c>
      <c r="B1780" t="s">
        <v>3674</v>
      </c>
      <c r="C1780" t="s">
        <v>19</v>
      </c>
      <c r="D1780" t="s">
        <v>337</v>
      </c>
      <c r="E1780" t="s">
        <v>21</v>
      </c>
      <c r="F1780" t="s">
        <v>22</v>
      </c>
      <c r="G1780" t="s">
        <v>33</v>
      </c>
      <c r="H1780" t="s">
        <v>451</v>
      </c>
      <c r="I1780" t="s">
        <v>3675</v>
      </c>
      <c r="J1780">
        <v>10.64942185</v>
      </c>
      <c r="K1780">
        <v>-85.433840079999996</v>
      </c>
      <c r="L1780" t="s">
        <v>1225</v>
      </c>
      <c r="M1780" t="s">
        <v>327</v>
      </c>
      <c r="N1780" t="s">
        <v>340</v>
      </c>
      <c r="O1780" t="s">
        <v>341</v>
      </c>
      <c r="P1780">
        <v>12</v>
      </c>
      <c r="Q1780" t="s">
        <v>42</v>
      </c>
      <c r="S1780" t="str">
        <f>_xlfn.XLOOKUP(UNIVERSO[[#This Row],[Ruta]],'[1]CUOTA RUTA'!A:A,'[1]CUOTA RUTA'!D:D)</f>
        <v>Cargar</v>
      </c>
    </row>
    <row r="1781" spans="1:19" x14ac:dyDescent="0.25">
      <c r="A1781">
        <v>1500185477</v>
      </c>
      <c r="B1781" t="s">
        <v>3676</v>
      </c>
      <c r="C1781" t="s">
        <v>19</v>
      </c>
      <c r="D1781" t="s">
        <v>337</v>
      </c>
      <c r="E1781" t="s">
        <v>21</v>
      </c>
      <c r="F1781" t="s">
        <v>22</v>
      </c>
      <c r="G1781" t="s">
        <v>33</v>
      </c>
      <c r="H1781" t="s">
        <v>346</v>
      </c>
      <c r="I1781" t="s">
        <v>3677</v>
      </c>
      <c r="J1781">
        <v>10.51869804</v>
      </c>
      <c r="K1781">
        <v>-85.238713570000002</v>
      </c>
      <c r="L1781" t="s">
        <v>1225</v>
      </c>
      <c r="M1781" t="s">
        <v>327</v>
      </c>
      <c r="N1781" t="s">
        <v>340</v>
      </c>
      <c r="O1781" t="s">
        <v>341</v>
      </c>
      <c r="P1781">
        <v>20</v>
      </c>
      <c r="Q1781" t="s">
        <v>74</v>
      </c>
      <c r="S1781" t="str">
        <f>_xlfn.XLOOKUP(UNIVERSO[[#This Row],[Ruta]],'[1]CUOTA RUTA'!A:A,'[1]CUOTA RUTA'!D:D)</f>
        <v>Cargar</v>
      </c>
    </row>
    <row r="1782" spans="1:19" x14ac:dyDescent="0.25">
      <c r="A1782">
        <v>1500185548</v>
      </c>
      <c r="B1782" t="s">
        <v>3678</v>
      </c>
      <c r="C1782" t="s">
        <v>19</v>
      </c>
      <c r="D1782" t="s">
        <v>337</v>
      </c>
      <c r="E1782" t="s">
        <v>21</v>
      </c>
      <c r="F1782" t="s">
        <v>22</v>
      </c>
      <c r="G1782" t="s">
        <v>33</v>
      </c>
      <c r="H1782" t="s">
        <v>338</v>
      </c>
      <c r="I1782" t="s">
        <v>3679</v>
      </c>
      <c r="J1782">
        <v>10.43343743</v>
      </c>
      <c r="K1782">
        <v>-85.09173715</v>
      </c>
      <c r="L1782" t="s">
        <v>1225</v>
      </c>
      <c r="M1782" t="s">
        <v>327</v>
      </c>
      <c r="N1782" t="s">
        <v>340</v>
      </c>
      <c r="O1782" t="s">
        <v>341</v>
      </c>
      <c r="P1782">
        <v>22</v>
      </c>
      <c r="Q1782" t="s">
        <v>30</v>
      </c>
      <c r="S1782" t="str">
        <f>_xlfn.XLOOKUP(UNIVERSO[[#This Row],[Ruta]],'[1]CUOTA RUTA'!A:A,'[1]CUOTA RUTA'!D:D)</f>
        <v>Cargar</v>
      </c>
    </row>
    <row r="1783" spans="1:19" x14ac:dyDescent="0.25">
      <c r="A1783">
        <v>1500186266</v>
      </c>
      <c r="B1783" t="s">
        <v>3680</v>
      </c>
      <c r="C1783" t="s">
        <v>19</v>
      </c>
      <c r="D1783" t="s">
        <v>337</v>
      </c>
      <c r="E1783" t="s">
        <v>21</v>
      </c>
      <c r="F1783" t="s">
        <v>22</v>
      </c>
      <c r="G1783" t="s">
        <v>33</v>
      </c>
      <c r="H1783" t="s">
        <v>338</v>
      </c>
      <c r="I1783" t="s">
        <v>3681</v>
      </c>
      <c r="J1783">
        <v>10.56443</v>
      </c>
      <c r="K1783">
        <v>-85.58766</v>
      </c>
      <c r="L1783" t="s">
        <v>1225</v>
      </c>
      <c r="M1783" t="s">
        <v>327</v>
      </c>
      <c r="N1783" t="s">
        <v>340</v>
      </c>
      <c r="O1783" t="s">
        <v>341</v>
      </c>
      <c r="P1783">
        <v>16</v>
      </c>
      <c r="Q1783" t="s">
        <v>60</v>
      </c>
      <c r="S1783" t="str">
        <f>_xlfn.XLOOKUP(UNIVERSO[[#This Row],[Ruta]],'[1]CUOTA RUTA'!A:A,'[1]CUOTA RUTA'!D:D)</f>
        <v>Cargar</v>
      </c>
    </row>
    <row r="1784" spans="1:19" x14ac:dyDescent="0.25">
      <c r="A1784">
        <v>1500186273</v>
      </c>
      <c r="B1784" t="s">
        <v>3682</v>
      </c>
      <c r="C1784" t="s">
        <v>19</v>
      </c>
      <c r="D1784" t="s">
        <v>32</v>
      </c>
      <c r="E1784" t="s">
        <v>21</v>
      </c>
      <c r="F1784" t="s">
        <v>22</v>
      </c>
      <c r="G1784" t="s">
        <v>64</v>
      </c>
      <c r="H1784" t="s">
        <v>115</v>
      </c>
      <c r="I1784" t="s">
        <v>3683</v>
      </c>
      <c r="J1784">
        <v>9.9575460000000007</v>
      </c>
      <c r="K1784">
        <v>-84.088747999999995</v>
      </c>
      <c r="L1784" t="s">
        <v>1225</v>
      </c>
      <c r="M1784" t="s">
        <v>36</v>
      </c>
      <c r="N1784" t="s">
        <v>37</v>
      </c>
      <c r="O1784" t="s">
        <v>38</v>
      </c>
      <c r="P1784">
        <v>5</v>
      </c>
      <c r="Q1784" t="s">
        <v>117</v>
      </c>
      <c r="S1784" t="str">
        <f>_xlfn.XLOOKUP(UNIVERSO[[#This Row],[Ruta]],'[1]CUOTA RUTA'!A:A,'[1]CUOTA RUTA'!D:D)</f>
        <v>Cargar</v>
      </c>
    </row>
    <row r="1785" spans="1:19" x14ac:dyDescent="0.25">
      <c r="A1785">
        <v>1500186350</v>
      </c>
      <c r="B1785" t="s">
        <v>2001</v>
      </c>
      <c r="C1785" t="s">
        <v>19</v>
      </c>
      <c r="D1785" t="s">
        <v>32</v>
      </c>
      <c r="E1785" t="s">
        <v>21</v>
      </c>
      <c r="F1785" t="s">
        <v>22</v>
      </c>
      <c r="G1785" t="s">
        <v>33</v>
      </c>
      <c r="H1785" t="s">
        <v>716</v>
      </c>
      <c r="I1785" t="s">
        <v>3684</v>
      </c>
      <c r="J1785">
        <v>9.9100433333330002</v>
      </c>
      <c r="K1785">
        <v>-84.069040000000001</v>
      </c>
      <c r="L1785" t="s">
        <v>1225</v>
      </c>
      <c r="M1785" t="s">
        <v>36</v>
      </c>
      <c r="N1785" t="s">
        <v>37</v>
      </c>
      <c r="O1785" t="s">
        <v>38</v>
      </c>
      <c r="P1785">
        <v>12</v>
      </c>
      <c r="Q1785" t="s">
        <v>42</v>
      </c>
      <c r="S1785" t="str">
        <f>_xlfn.XLOOKUP(UNIVERSO[[#This Row],[Ruta]],'[1]CUOTA RUTA'!A:A,'[1]CUOTA RUTA'!D:D)</f>
        <v>Cargar</v>
      </c>
    </row>
    <row r="1786" spans="1:19" x14ac:dyDescent="0.25">
      <c r="A1786">
        <v>1500186519</v>
      </c>
      <c r="B1786" t="s">
        <v>3685</v>
      </c>
      <c r="C1786" t="s">
        <v>19</v>
      </c>
      <c r="D1786" t="s">
        <v>349</v>
      </c>
      <c r="E1786" t="s">
        <v>21</v>
      </c>
      <c r="F1786" t="s">
        <v>22</v>
      </c>
      <c r="G1786" t="s">
        <v>64</v>
      </c>
      <c r="H1786" t="s">
        <v>496</v>
      </c>
      <c r="I1786" t="s">
        <v>3686</v>
      </c>
      <c r="J1786">
        <v>10.353205000000001</v>
      </c>
      <c r="K1786">
        <v>-85.562481000000005</v>
      </c>
      <c r="L1786" t="s">
        <v>1225</v>
      </c>
      <c r="M1786" t="s">
        <v>352</v>
      </c>
      <c r="N1786" t="s">
        <v>353</v>
      </c>
      <c r="O1786" t="s">
        <v>354</v>
      </c>
      <c r="P1786">
        <v>4</v>
      </c>
      <c r="Q1786" t="s">
        <v>120</v>
      </c>
      <c r="S1786" t="str">
        <f>_xlfn.XLOOKUP(UNIVERSO[[#This Row],[Ruta]],'[1]CUOTA RUTA'!A:A,'[1]CUOTA RUTA'!D:D)</f>
        <v>Cargar</v>
      </c>
    </row>
    <row r="1787" spans="1:19" x14ac:dyDescent="0.25">
      <c r="A1787">
        <v>1500186575</v>
      </c>
      <c r="B1787" t="s">
        <v>3687</v>
      </c>
      <c r="C1787" t="s">
        <v>19</v>
      </c>
      <c r="D1787" t="s">
        <v>337</v>
      </c>
      <c r="E1787" t="s">
        <v>21</v>
      </c>
      <c r="F1787" t="s">
        <v>22</v>
      </c>
      <c r="G1787" t="s">
        <v>64</v>
      </c>
      <c r="H1787" t="s">
        <v>483</v>
      </c>
      <c r="I1787" t="s">
        <v>3688</v>
      </c>
      <c r="J1787">
        <v>10.519285740000001</v>
      </c>
      <c r="K1787">
        <v>-85.645520390000001</v>
      </c>
      <c r="L1787" t="s">
        <v>1225</v>
      </c>
      <c r="M1787" t="s">
        <v>327</v>
      </c>
      <c r="N1787" t="s">
        <v>340</v>
      </c>
      <c r="O1787" t="s">
        <v>341</v>
      </c>
      <c r="P1787">
        <v>19</v>
      </c>
      <c r="Q1787" t="s">
        <v>67</v>
      </c>
      <c r="S1787" t="str">
        <f>_xlfn.XLOOKUP(UNIVERSO[[#This Row],[Ruta]],'[1]CUOTA RUTA'!A:A,'[1]CUOTA RUTA'!D:D)</f>
        <v>Cargar</v>
      </c>
    </row>
    <row r="1788" spans="1:19" x14ac:dyDescent="0.25">
      <c r="A1788">
        <v>1500186772</v>
      </c>
      <c r="B1788" t="s">
        <v>3689</v>
      </c>
      <c r="C1788" t="s">
        <v>19</v>
      </c>
      <c r="D1788" t="s">
        <v>266</v>
      </c>
      <c r="E1788" t="s">
        <v>21</v>
      </c>
      <c r="F1788" t="s">
        <v>22</v>
      </c>
      <c r="G1788" t="s">
        <v>64</v>
      </c>
      <c r="H1788" t="s">
        <v>272</v>
      </c>
      <c r="I1788" t="s">
        <v>3690</v>
      </c>
      <c r="J1788">
        <v>9.9026633333330008</v>
      </c>
      <c r="K1788">
        <v>-83.823676666660006</v>
      </c>
      <c r="L1788" t="s">
        <v>1225</v>
      </c>
      <c r="M1788" t="s">
        <v>54</v>
      </c>
      <c r="N1788" t="s">
        <v>274</v>
      </c>
      <c r="O1788" t="s">
        <v>275</v>
      </c>
      <c r="P1788">
        <v>21</v>
      </c>
      <c r="Q1788" t="s">
        <v>239</v>
      </c>
      <c r="S1788" t="str">
        <f>_xlfn.XLOOKUP(UNIVERSO[[#This Row],[Ruta]],'[1]CUOTA RUTA'!A:A,'[1]CUOTA RUTA'!D:D)</f>
        <v>Cargar</v>
      </c>
    </row>
    <row r="1789" spans="1:19" x14ac:dyDescent="0.25">
      <c r="A1789">
        <v>1500186862</v>
      </c>
      <c r="B1789" t="s">
        <v>3691</v>
      </c>
      <c r="C1789" t="s">
        <v>19</v>
      </c>
      <c r="D1789" t="s">
        <v>32</v>
      </c>
      <c r="E1789" t="s">
        <v>21</v>
      </c>
      <c r="F1789" t="s">
        <v>22</v>
      </c>
      <c r="G1789" t="s">
        <v>23</v>
      </c>
      <c r="H1789" t="s">
        <v>148</v>
      </c>
      <c r="I1789" t="s">
        <v>3692</v>
      </c>
      <c r="J1789">
        <v>9.9845799999999993</v>
      </c>
      <c r="K1789">
        <v>-84.030199999999994</v>
      </c>
      <c r="L1789" t="s">
        <v>1225</v>
      </c>
      <c r="M1789" t="s">
        <v>94</v>
      </c>
      <c r="N1789" t="s">
        <v>95</v>
      </c>
      <c r="O1789" t="s">
        <v>96</v>
      </c>
      <c r="P1789">
        <v>2</v>
      </c>
      <c r="Q1789" t="s">
        <v>150</v>
      </c>
      <c r="S1789" t="str">
        <f>_xlfn.XLOOKUP(UNIVERSO[[#This Row],[Ruta]],'[1]CUOTA RUTA'!A:A,'[1]CUOTA RUTA'!D:D)</f>
        <v>Cargar</v>
      </c>
    </row>
    <row r="1790" spans="1:19" x14ac:dyDescent="0.25">
      <c r="A1790">
        <v>1500187210</v>
      </c>
      <c r="B1790" t="s">
        <v>3693</v>
      </c>
      <c r="C1790" t="s">
        <v>19</v>
      </c>
      <c r="D1790" t="s">
        <v>266</v>
      </c>
      <c r="E1790" t="s">
        <v>21</v>
      </c>
      <c r="F1790" t="s">
        <v>22</v>
      </c>
      <c r="G1790" t="s">
        <v>64</v>
      </c>
      <c r="H1790" t="s">
        <v>404</v>
      </c>
      <c r="I1790" t="s">
        <v>3694</v>
      </c>
      <c r="J1790">
        <v>9.8459249999999994</v>
      </c>
      <c r="K1790">
        <v>-83.896344999999997</v>
      </c>
      <c r="L1790" t="s">
        <v>1225</v>
      </c>
      <c r="M1790" t="s">
        <v>36</v>
      </c>
      <c r="N1790" t="s">
        <v>316</v>
      </c>
      <c r="O1790" t="s">
        <v>317</v>
      </c>
      <c r="P1790">
        <v>17</v>
      </c>
      <c r="Q1790" t="s">
        <v>287</v>
      </c>
      <c r="S1790" t="str">
        <f>_xlfn.XLOOKUP(UNIVERSO[[#This Row],[Ruta]],'[1]CUOTA RUTA'!A:A,'[1]CUOTA RUTA'!D:D)</f>
        <v>Cargar</v>
      </c>
    </row>
    <row r="1791" spans="1:19" x14ac:dyDescent="0.25">
      <c r="A1791">
        <v>1500187211</v>
      </c>
      <c r="B1791" t="s">
        <v>3695</v>
      </c>
      <c r="C1791" t="s">
        <v>19</v>
      </c>
      <c r="D1791" t="s">
        <v>266</v>
      </c>
      <c r="E1791" t="s">
        <v>21</v>
      </c>
      <c r="F1791" t="s">
        <v>22</v>
      </c>
      <c r="G1791" t="s">
        <v>33</v>
      </c>
      <c r="H1791" t="s">
        <v>404</v>
      </c>
      <c r="I1791" t="s">
        <v>3696</v>
      </c>
      <c r="J1791">
        <v>9.8601840000000003</v>
      </c>
      <c r="K1791">
        <v>-83.894700999999998</v>
      </c>
      <c r="L1791" t="s">
        <v>1225</v>
      </c>
      <c r="M1791" t="s">
        <v>36</v>
      </c>
      <c r="N1791" t="s">
        <v>316</v>
      </c>
      <c r="O1791" t="s">
        <v>317</v>
      </c>
      <c r="P1791">
        <v>17</v>
      </c>
      <c r="Q1791" t="s">
        <v>287</v>
      </c>
      <c r="S1791" t="str">
        <f>_xlfn.XLOOKUP(UNIVERSO[[#This Row],[Ruta]],'[1]CUOTA RUTA'!A:A,'[1]CUOTA RUTA'!D:D)</f>
        <v>Cargar</v>
      </c>
    </row>
    <row r="1792" spans="1:19" x14ac:dyDescent="0.25">
      <c r="A1792">
        <v>1500187250</v>
      </c>
      <c r="B1792" t="s">
        <v>3697</v>
      </c>
      <c r="C1792" t="s">
        <v>19</v>
      </c>
      <c r="D1792" t="s">
        <v>32</v>
      </c>
      <c r="E1792" t="s">
        <v>21</v>
      </c>
      <c r="F1792" t="s">
        <v>22</v>
      </c>
      <c r="G1792" t="s">
        <v>33</v>
      </c>
      <c r="H1792" t="s">
        <v>69</v>
      </c>
      <c r="I1792" t="s">
        <v>3698</v>
      </c>
      <c r="J1792">
        <v>9.8654499999999992</v>
      </c>
      <c r="K1792">
        <v>-84.053259999999995</v>
      </c>
      <c r="L1792" t="s">
        <v>1225</v>
      </c>
      <c r="M1792" t="s">
        <v>71</v>
      </c>
      <c r="N1792" t="s">
        <v>72</v>
      </c>
      <c r="O1792" t="s">
        <v>73</v>
      </c>
      <c r="P1792">
        <v>20</v>
      </c>
      <c r="Q1792" t="s">
        <v>74</v>
      </c>
      <c r="S1792" t="str">
        <f>_xlfn.XLOOKUP(UNIVERSO[[#This Row],[Ruta]],'[1]CUOTA RUTA'!A:A,'[1]CUOTA RUTA'!D:D)</f>
        <v>Cargar</v>
      </c>
    </row>
    <row r="1793" spans="1:19" x14ac:dyDescent="0.25">
      <c r="A1793">
        <v>1500187348</v>
      </c>
      <c r="B1793" t="s">
        <v>3699</v>
      </c>
      <c r="C1793" t="s">
        <v>19</v>
      </c>
      <c r="D1793" t="s">
        <v>266</v>
      </c>
      <c r="E1793" t="s">
        <v>21</v>
      </c>
      <c r="F1793" t="s">
        <v>22</v>
      </c>
      <c r="G1793" t="s">
        <v>23</v>
      </c>
      <c r="H1793" t="s">
        <v>366</v>
      </c>
      <c r="I1793" t="s">
        <v>3700</v>
      </c>
      <c r="J1793">
        <v>9.8421649999999996</v>
      </c>
      <c r="K1793">
        <v>-83.921944999999994</v>
      </c>
      <c r="L1793" t="s">
        <v>1225</v>
      </c>
      <c r="M1793" t="s">
        <v>36</v>
      </c>
      <c r="N1793" t="s">
        <v>316</v>
      </c>
      <c r="O1793" t="s">
        <v>317</v>
      </c>
      <c r="P1793">
        <v>17</v>
      </c>
      <c r="Q1793" t="s">
        <v>287</v>
      </c>
      <c r="S1793" t="str">
        <f>_xlfn.XLOOKUP(UNIVERSO[[#This Row],[Ruta]],'[1]CUOTA RUTA'!A:A,'[1]CUOTA RUTA'!D:D)</f>
        <v>Cargar</v>
      </c>
    </row>
    <row r="1794" spans="1:19" x14ac:dyDescent="0.25">
      <c r="A1794">
        <v>1500187387</v>
      </c>
      <c r="B1794" t="s">
        <v>968</v>
      </c>
      <c r="C1794" t="s">
        <v>19</v>
      </c>
      <c r="D1794" t="s">
        <v>266</v>
      </c>
      <c r="E1794" t="s">
        <v>21</v>
      </c>
      <c r="F1794" t="s">
        <v>22</v>
      </c>
      <c r="G1794" t="s">
        <v>33</v>
      </c>
      <c r="H1794" t="s">
        <v>314</v>
      </c>
      <c r="I1794" t="s">
        <v>3701</v>
      </c>
      <c r="J1794">
        <v>9.8683931999999999</v>
      </c>
      <c r="K1794">
        <v>-83.914366099999995</v>
      </c>
      <c r="L1794" t="s">
        <v>1225</v>
      </c>
      <c r="M1794" t="s">
        <v>36</v>
      </c>
      <c r="N1794" t="s">
        <v>316</v>
      </c>
      <c r="O1794" t="s">
        <v>317</v>
      </c>
      <c r="P1794">
        <v>16</v>
      </c>
      <c r="Q1794" t="s">
        <v>60</v>
      </c>
      <c r="S1794" t="str">
        <f>_xlfn.XLOOKUP(UNIVERSO[[#This Row],[Ruta]],'[1]CUOTA RUTA'!A:A,'[1]CUOTA RUTA'!D:D)</f>
        <v>Cargar</v>
      </c>
    </row>
    <row r="1795" spans="1:19" x14ac:dyDescent="0.25">
      <c r="A1795">
        <v>1500187444</v>
      </c>
      <c r="B1795" t="s">
        <v>3702</v>
      </c>
      <c r="C1795" t="s">
        <v>19</v>
      </c>
      <c r="D1795" t="s">
        <v>266</v>
      </c>
      <c r="E1795" t="s">
        <v>21</v>
      </c>
      <c r="F1795" t="s">
        <v>22</v>
      </c>
      <c r="G1795" t="s">
        <v>23</v>
      </c>
      <c r="H1795" t="s">
        <v>706</v>
      </c>
      <c r="I1795" t="s">
        <v>3703</v>
      </c>
      <c r="J1795">
        <v>9.8701679999999996</v>
      </c>
      <c r="K1795">
        <v>-83.942625000000007</v>
      </c>
      <c r="L1795" t="s">
        <v>1225</v>
      </c>
      <c r="M1795" t="s">
        <v>36</v>
      </c>
      <c r="N1795" t="s">
        <v>316</v>
      </c>
      <c r="O1795" t="s">
        <v>317</v>
      </c>
      <c r="P1795">
        <v>21</v>
      </c>
      <c r="Q1795" t="s">
        <v>239</v>
      </c>
      <c r="S1795" t="str">
        <f>_xlfn.XLOOKUP(UNIVERSO[[#This Row],[Ruta]],'[1]CUOTA RUTA'!A:A,'[1]CUOTA RUTA'!D:D)</f>
        <v>Cargar</v>
      </c>
    </row>
    <row r="1796" spans="1:19" x14ac:dyDescent="0.25">
      <c r="A1796">
        <v>1500187754</v>
      </c>
      <c r="B1796" t="s">
        <v>3704</v>
      </c>
      <c r="C1796" t="s">
        <v>19</v>
      </c>
      <c r="D1796" t="s">
        <v>266</v>
      </c>
      <c r="E1796" t="s">
        <v>21</v>
      </c>
      <c r="F1796" t="s">
        <v>22</v>
      </c>
      <c r="G1796" t="s">
        <v>33</v>
      </c>
      <c r="H1796" t="s">
        <v>372</v>
      </c>
      <c r="I1796" t="s">
        <v>3705</v>
      </c>
      <c r="J1796">
        <v>9.9098000000000006</v>
      </c>
      <c r="K1796">
        <v>-83.688999999999993</v>
      </c>
      <c r="L1796" t="s">
        <v>1225</v>
      </c>
      <c r="M1796" t="s">
        <v>189</v>
      </c>
      <c r="N1796" t="s">
        <v>269</v>
      </c>
      <c r="O1796" t="s">
        <v>270</v>
      </c>
      <c r="P1796">
        <v>21</v>
      </c>
      <c r="Q1796" t="s">
        <v>239</v>
      </c>
      <c r="S1796" t="str">
        <f>_xlfn.XLOOKUP(UNIVERSO[[#This Row],[Ruta]],'[1]CUOTA RUTA'!A:A,'[1]CUOTA RUTA'!D:D)</f>
        <v>Cargar</v>
      </c>
    </row>
    <row r="1797" spans="1:19" x14ac:dyDescent="0.25">
      <c r="A1797">
        <v>1500187860</v>
      </c>
      <c r="B1797" t="s">
        <v>3706</v>
      </c>
      <c r="C1797" t="s">
        <v>19</v>
      </c>
      <c r="D1797" t="s">
        <v>266</v>
      </c>
      <c r="E1797" t="s">
        <v>21</v>
      </c>
      <c r="F1797" t="s">
        <v>22</v>
      </c>
      <c r="G1797" t="s">
        <v>33</v>
      </c>
      <c r="H1797" t="s">
        <v>267</v>
      </c>
      <c r="I1797" t="s">
        <v>3707</v>
      </c>
      <c r="J1797">
        <v>9.8508686099999991</v>
      </c>
      <c r="K1797">
        <v>-83.613878339999999</v>
      </c>
      <c r="L1797" t="s">
        <v>1225</v>
      </c>
      <c r="M1797" t="s">
        <v>189</v>
      </c>
      <c r="N1797" t="s">
        <v>269</v>
      </c>
      <c r="O1797" t="s">
        <v>270</v>
      </c>
      <c r="P1797">
        <v>20</v>
      </c>
      <c r="Q1797" t="s">
        <v>74</v>
      </c>
      <c r="S1797" t="str">
        <f>_xlfn.XLOOKUP(UNIVERSO[[#This Row],[Ruta]],'[1]CUOTA RUTA'!A:A,'[1]CUOTA RUTA'!D:D)</f>
        <v>Cargar</v>
      </c>
    </row>
    <row r="1798" spans="1:19" x14ac:dyDescent="0.25">
      <c r="A1798">
        <v>1500187925</v>
      </c>
      <c r="B1798" t="s">
        <v>3708</v>
      </c>
      <c r="C1798" t="s">
        <v>19</v>
      </c>
      <c r="D1798" t="s">
        <v>266</v>
      </c>
      <c r="E1798" t="s">
        <v>21</v>
      </c>
      <c r="F1798" t="s">
        <v>22</v>
      </c>
      <c r="G1798" t="s">
        <v>33</v>
      </c>
      <c r="H1798" t="s">
        <v>1011</v>
      </c>
      <c r="I1798" t="s">
        <v>3709</v>
      </c>
      <c r="J1798">
        <v>9.8474258100000007</v>
      </c>
      <c r="K1798">
        <v>-83.823515709999995</v>
      </c>
      <c r="L1798" t="s">
        <v>1225</v>
      </c>
      <c r="M1798" t="s">
        <v>54</v>
      </c>
      <c r="N1798" t="s">
        <v>274</v>
      </c>
      <c r="O1798" t="s">
        <v>275</v>
      </c>
      <c r="P1798">
        <v>21</v>
      </c>
      <c r="Q1798" t="s">
        <v>239</v>
      </c>
      <c r="S1798" t="str">
        <f>_xlfn.XLOOKUP(UNIVERSO[[#This Row],[Ruta]],'[1]CUOTA RUTA'!A:A,'[1]CUOTA RUTA'!D:D)</f>
        <v>Cargar</v>
      </c>
    </row>
    <row r="1799" spans="1:19" x14ac:dyDescent="0.25">
      <c r="A1799">
        <v>1500188106</v>
      </c>
      <c r="B1799" t="s">
        <v>2054</v>
      </c>
      <c r="C1799" t="s">
        <v>19</v>
      </c>
      <c r="D1799" t="s">
        <v>186</v>
      </c>
      <c r="E1799" t="s">
        <v>21</v>
      </c>
      <c r="F1799" t="s">
        <v>22</v>
      </c>
      <c r="G1799" t="s">
        <v>33</v>
      </c>
      <c r="H1799" t="s">
        <v>237</v>
      </c>
      <c r="I1799" t="s">
        <v>3710</v>
      </c>
      <c r="J1799">
        <v>10.028159</v>
      </c>
      <c r="K1799">
        <v>-83.344023000000007</v>
      </c>
      <c r="L1799" t="s">
        <v>1225</v>
      </c>
      <c r="M1799" t="s">
        <v>189</v>
      </c>
      <c r="N1799" t="s">
        <v>190</v>
      </c>
      <c r="O1799" t="s">
        <v>191</v>
      </c>
      <c r="P1799">
        <v>22</v>
      </c>
      <c r="Q1799" t="s">
        <v>30</v>
      </c>
      <c r="S1799" t="str">
        <f>_xlfn.XLOOKUP(UNIVERSO[[#This Row],[Ruta]],'[1]CUOTA RUTA'!A:A,'[1]CUOTA RUTA'!D:D)</f>
        <v>Cargar</v>
      </c>
    </row>
    <row r="1800" spans="1:19" x14ac:dyDescent="0.25">
      <c r="A1800">
        <v>1500188214</v>
      </c>
      <c r="B1800" t="s">
        <v>3711</v>
      </c>
      <c r="C1800" t="s">
        <v>19</v>
      </c>
      <c r="D1800" t="s">
        <v>186</v>
      </c>
      <c r="E1800" t="s">
        <v>21</v>
      </c>
      <c r="F1800" t="s">
        <v>22</v>
      </c>
      <c r="G1800" t="s">
        <v>33</v>
      </c>
      <c r="H1800" t="s">
        <v>420</v>
      </c>
      <c r="I1800" t="s">
        <v>3712</v>
      </c>
      <c r="J1800">
        <v>9.7416169999999997</v>
      </c>
      <c r="K1800">
        <v>-82.954643000000004</v>
      </c>
      <c r="L1800" t="s">
        <v>1225</v>
      </c>
      <c r="M1800" t="s">
        <v>189</v>
      </c>
      <c r="N1800" t="s">
        <v>190</v>
      </c>
      <c r="O1800" t="s">
        <v>191</v>
      </c>
      <c r="P1800">
        <v>17</v>
      </c>
      <c r="Q1800" t="s">
        <v>287</v>
      </c>
      <c r="S1800" t="str">
        <f>_xlfn.XLOOKUP(UNIVERSO[[#This Row],[Ruta]],'[1]CUOTA RUTA'!A:A,'[1]CUOTA RUTA'!D:D)</f>
        <v>Cargar</v>
      </c>
    </row>
    <row r="1801" spans="1:19" x14ac:dyDescent="0.25">
      <c r="A1801">
        <v>1500188306</v>
      </c>
      <c r="B1801" t="s">
        <v>3713</v>
      </c>
      <c r="C1801" t="s">
        <v>19</v>
      </c>
      <c r="D1801" t="s">
        <v>186</v>
      </c>
      <c r="E1801" t="s">
        <v>21</v>
      </c>
      <c r="F1801" t="s">
        <v>22</v>
      </c>
      <c r="G1801" t="s">
        <v>33</v>
      </c>
      <c r="H1801" t="s">
        <v>237</v>
      </c>
      <c r="I1801" t="s">
        <v>3714</v>
      </c>
      <c r="J1801">
        <v>10.07785</v>
      </c>
      <c r="K1801">
        <v>-83.288489999999996</v>
      </c>
      <c r="L1801" t="s">
        <v>1225</v>
      </c>
      <c r="M1801" t="s">
        <v>189</v>
      </c>
      <c r="N1801" t="s">
        <v>190</v>
      </c>
      <c r="O1801" t="s">
        <v>191</v>
      </c>
      <c r="P1801">
        <v>20</v>
      </c>
      <c r="Q1801" t="s">
        <v>74</v>
      </c>
      <c r="S1801" t="str">
        <f>_xlfn.XLOOKUP(UNIVERSO[[#This Row],[Ruta]],'[1]CUOTA RUTA'!A:A,'[1]CUOTA RUTA'!D:D)</f>
        <v>Cargar</v>
      </c>
    </row>
    <row r="1802" spans="1:19" x14ac:dyDescent="0.25">
      <c r="A1802">
        <v>1500188403</v>
      </c>
      <c r="B1802" t="s">
        <v>3715</v>
      </c>
      <c r="C1802" t="s">
        <v>19</v>
      </c>
      <c r="D1802" t="s">
        <v>186</v>
      </c>
      <c r="E1802" t="s">
        <v>21</v>
      </c>
      <c r="F1802" t="s">
        <v>22</v>
      </c>
      <c r="G1802" t="s">
        <v>64</v>
      </c>
      <c r="H1802" t="s">
        <v>237</v>
      </c>
      <c r="I1802" t="s">
        <v>3716</v>
      </c>
      <c r="J1802">
        <v>10.083</v>
      </c>
      <c r="K1802">
        <v>-83.348230000000001</v>
      </c>
      <c r="L1802" t="s">
        <v>1225</v>
      </c>
      <c r="M1802" t="s">
        <v>189</v>
      </c>
      <c r="N1802" t="s">
        <v>190</v>
      </c>
      <c r="O1802" t="s">
        <v>191</v>
      </c>
      <c r="P1802">
        <v>21</v>
      </c>
      <c r="Q1802" t="s">
        <v>239</v>
      </c>
      <c r="S1802" t="str">
        <f>_xlfn.XLOOKUP(UNIVERSO[[#This Row],[Ruta]],'[1]CUOTA RUTA'!A:A,'[1]CUOTA RUTA'!D:D)</f>
        <v>Cargar</v>
      </c>
    </row>
    <row r="1803" spans="1:19" x14ac:dyDescent="0.25">
      <c r="A1803">
        <v>1500188466</v>
      </c>
      <c r="B1803" t="s">
        <v>3717</v>
      </c>
      <c r="C1803" t="s">
        <v>19</v>
      </c>
      <c r="D1803" t="s">
        <v>186</v>
      </c>
      <c r="E1803" t="s">
        <v>21</v>
      </c>
      <c r="F1803" t="s">
        <v>22</v>
      </c>
      <c r="G1803" t="s">
        <v>33</v>
      </c>
      <c r="H1803" t="s">
        <v>420</v>
      </c>
      <c r="I1803" t="s">
        <v>3718</v>
      </c>
      <c r="J1803">
        <v>9.7407430000000002</v>
      </c>
      <c r="K1803">
        <v>-83.036658000000003</v>
      </c>
      <c r="L1803" t="s">
        <v>1225</v>
      </c>
      <c r="M1803" t="s">
        <v>189</v>
      </c>
      <c r="N1803" t="s">
        <v>190</v>
      </c>
      <c r="O1803" t="s">
        <v>191</v>
      </c>
      <c r="P1803">
        <v>18</v>
      </c>
      <c r="Q1803" t="s">
        <v>84</v>
      </c>
      <c r="S1803" t="str">
        <f>_xlfn.XLOOKUP(UNIVERSO[[#This Row],[Ruta]],'[1]CUOTA RUTA'!A:A,'[1]CUOTA RUTA'!D:D)</f>
        <v>Cargar</v>
      </c>
    </row>
    <row r="1804" spans="1:19" x14ac:dyDescent="0.25">
      <c r="A1804">
        <v>1500188513</v>
      </c>
      <c r="B1804" t="s">
        <v>3719</v>
      </c>
      <c r="C1804" t="s">
        <v>19</v>
      </c>
      <c r="D1804" t="s">
        <v>186</v>
      </c>
      <c r="E1804" t="s">
        <v>21</v>
      </c>
      <c r="F1804" t="s">
        <v>22</v>
      </c>
      <c r="G1804" t="s">
        <v>64</v>
      </c>
      <c r="H1804" t="s">
        <v>241</v>
      </c>
      <c r="I1804" t="s">
        <v>3720</v>
      </c>
      <c r="J1804">
        <v>10.000579999999999</v>
      </c>
      <c r="K1804">
        <v>-83.179040000000001</v>
      </c>
      <c r="L1804" t="s">
        <v>1225</v>
      </c>
      <c r="M1804" t="s">
        <v>189</v>
      </c>
      <c r="N1804" t="s">
        <v>190</v>
      </c>
      <c r="O1804" t="s">
        <v>191</v>
      </c>
      <c r="P1804">
        <v>19</v>
      </c>
      <c r="Q1804" t="s">
        <v>67</v>
      </c>
      <c r="S1804" t="str">
        <f>_xlfn.XLOOKUP(UNIVERSO[[#This Row],[Ruta]],'[1]CUOTA RUTA'!A:A,'[1]CUOTA RUTA'!D:D)</f>
        <v>Cargar</v>
      </c>
    </row>
    <row r="1805" spans="1:19" x14ac:dyDescent="0.25">
      <c r="A1805">
        <v>1500188621</v>
      </c>
      <c r="B1805" t="s">
        <v>3721</v>
      </c>
      <c r="C1805" t="s">
        <v>19</v>
      </c>
      <c r="D1805" t="s">
        <v>186</v>
      </c>
      <c r="E1805" t="s">
        <v>21</v>
      </c>
      <c r="F1805" t="s">
        <v>22</v>
      </c>
      <c r="G1805" t="s">
        <v>33</v>
      </c>
      <c r="H1805" t="s">
        <v>241</v>
      </c>
      <c r="I1805" t="s">
        <v>3722</v>
      </c>
      <c r="J1805">
        <v>10.025821000000001</v>
      </c>
      <c r="K1805">
        <v>-83.238200000000006</v>
      </c>
      <c r="L1805" t="s">
        <v>1225</v>
      </c>
      <c r="M1805" t="s">
        <v>189</v>
      </c>
      <c r="N1805" t="s">
        <v>190</v>
      </c>
      <c r="O1805" t="s">
        <v>191</v>
      </c>
      <c r="P1805">
        <v>19</v>
      </c>
      <c r="Q1805" t="s">
        <v>67</v>
      </c>
      <c r="S1805" t="str">
        <f>_xlfn.XLOOKUP(UNIVERSO[[#This Row],[Ruta]],'[1]CUOTA RUTA'!A:A,'[1]CUOTA RUTA'!D:D)</f>
        <v>Cargar</v>
      </c>
    </row>
    <row r="1806" spans="1:19" x14ac:dyDescent="0.25">
      <c r="A1806">
        <v>1500188904</v>
      </c>
      <c r="B1806" t="s">
        <v>3723</v>
      </c>
      <c r="C1806" t="s">
        <v>19</v>
      </c>
      <c r="D1806" t="s">
        <v>186</v>
      </c>
      <c r="E1806" t="s">
        <v>21</v>
      </c>
      <c r="F1806" t="s">
        <v>22</v>
      </c>
      <c r="G1806" t="s">
        <v>33</v>
      </c>
      <c r="H1806" t="s">
        <v>229</v>
      </c>
      <c r="I1806" t="s">
        <v>3724</v>
      </c>
      <c r="J1806">
        <v>9.9891900000000007</v>
      </c>
      <c r="K1806">
        <v>-83.035039999999995</v>
      </c>
      <c r="L1806" t="s">
        <v>1225</v>
      </c>
      <c r="M1806" t="s">
        <v>189</v>
      </c>
      <c r="N1806" t="s">
        <v>190</v>
      </c>
      <c r="O1806" t="s">
        <v>191</v>
      </c>
      <c r="P1806">
        <v>15</v>
      </c>
      <c r="Q1806" t="s">
        <v>231</v>
      </c>
      <c r="S1806" t="str">
        <f>_xlfn.XLOOKUP(UNIVERSO[[#This Row],[Ruta]],'[1]CUOTA RUTA'!A:A,'[1]CUOTA RUTA'!D:D)</f>
        <v>Cargar</v>
      </c>
    </row>
    <row r="1807" spans="1:19" x14ac:dyDescent="0.25">
      <c r="A1807">
        <v>1500189595</v>
      </c>
      <c r="B1807" t="s">
        <v>3725</v>
      </c>
      <c r="C1807" t="s">
        <v>19</v>
      </c>
      <c r="D1807" t="s">
        <v>20</v>
      </c>
      <c r="E1807" t="s">
        <v>21</v>
      </c>
      <c r="F1807" t="s">
        <v>22</v>
      </c>
      <c r="G1807" t="s">
        <v>64</v>
      </c>
      <c r="H1807" t="s">
        <v>311</v>
      </c>
      <c r="I1807" t="s">
        <v>3726</v>
      </c>
      <c r="J1807">
        <v>9.9761374000000007</v>
      </c>
      <c r="K1807">
        <v>-84.207307</v>
      </c>
      <c r="L1807" t="s">
        <v>1225</v>
      </c>
      <c r="M1807" t="s">
        <v>54</v>
      </c>
      <c r="N1807" t="s">
        <v>55</v>
      </c>
      <c r="O1807" t="s">
        <v>56</v>
      </c>
      <c r="P1807">
        <v>14</v>
      </c>
      <c r="Q1807" t="s">
        <v>181</v>
      </c>
      <c r="S1807" t="str">
        <f>_xlfn.XLOOKUP(UNIVERSO[[#This Row],[Ruta]],'[1]CUOTA RUTA'!A:A,'[1]CUOTA RUTA'!D:D)</f>
        <v>Cargar</v>
      </c>
    </row>
    <row r="1808" spans="1:19" x14ac:dyDescent="0.25">
      <c r="A1808">
        <v>1500190579</v>
      </c>
      <c r="B1808" t="s">
        <v>1344</v>
      </c>
      <c r="C1808" t="s">
        <v>19</v>
      </c>
      <c r="D1808" t="s">
        <v>20</v>
      </c>
      <c r="E1808" t="s">
        <v>21</v>
      </c>
      <c r="F1808" t="s">
        <v>22</v>
      </c>
      <c r="G1808" t="s">
        <v>33</v>
      </c>
      <c r="H1808" t="s">
        <v>901</v>
      </c>
      <c r="I1808" t="s">
        <v>3727</v>
      </c>
      <c r="J1808">
        <v>10.057270000000001</v>
      </c>
      <c r="K1808">
        <v>-84.421430000000001</v>
      </c>
      <c r="L1808" t="s">
        <v>1225</v>
      </c>
      <c r="M1808" t="s">
        <v>46</v>
      </c>
      <c r="N1808" t="s">
        <v>47</v>
      </c>
      <c r="O1808" t="s">
        <v>48</v>
      </c>
      <c r="P1808">
        <v>7</v>
      </c>
      <c r="Q1808" t="s">
        <v>39</v>
      </c>
      <c r="S1808" t="str">
        <f>_xlfn.XLOOKUP(UNIVERSO[[#This Row],[Ruta]],'[1]CUOTA RUTA'!A:A,'[1]CUOTA RUTA'!D:D)</f>
        <v>Cargar</v>
      </c>
    </row>
    <row r="1809" spans="1:19" x14ac:dyDescent="0.25">
      <c r="A1809">
        <v>1500190607</v>
      </c>
      <c r="B1809" t="s">
        <v>3728</v>
      </c>
      <c r="C1809" t="s">
        <v>19</v>
      </c>
      <c r="D1809" t="s">
        <v>20</v>
      </c>
      <c r="E1809" t="s">
        <v>21</v>
      </c>
      <c r="F1809" t="s">
        <v>22</v>
      </c>
      <c r="G1809" t="s">
        <v>64</v>
      </c>
      <c r="H1809" t="s">
        <v>901</v>
      </c>
      <c r="I1809" t="s">
        <v>3729</v>
      </c>
      <c r="J1809">
        <v>10.03594771</v>
      </c>
      <c r="K1809">
        <v>-84.449031980000001</v>
      </c>
      <c r="L1809" t="s">
        <v>1225</v>
      </c>
      <c r="M1809" t="s">
        <v>46</v>
      </c>
      <c r="N1809" t="s">
        <v>47</v>
      </c>
      <c r="O1809" t="s">
        <v>48</v>
      </c>
      <c r="P1809">
        <v>7</v>
      </c>
      <c r="Q1809" t="s">
        <v>39</v>
      </c>
      <c r="S1809" t="str">
        <f>_xlfn.XLOOKUP(UNIVERSO[[#This Row],[Ruta]],'[1]CUOTA RUTA'!A:A,'[1]CUOTA RUTA'!D:D)</f>
        <v>Cargar</v>
      </c>
    </row>
    <row r="1810" spans="1:19" x14ac:dyDescent="0.25">
      <c r="A1810">
        <v>1500190675</v>
      </c>
      <c r="B1810" t="s">
        <v>700</v>
      </c>
      <c r="C1810" t="s">
        <v>19</v>
      </c>
      <c r="D1810" t="s">
        <v>20</v>
      </c>
      <c r="E1810" t="s">
        <v>21</v>
      </c>
      <c r="F1810" t="s">
        <v>22</v>
      </c>
      <c r="G1810" t="s">
        <v>64</v>
      </c>
      <c r="H1810" t="s">
        <v>250</v>
      </c>
      <c r="I1810" t="s">
        <v>3730</v>
      </c>
      <c r="J1810">
        <v>10.049630000000001</v>
      </c>
      <c r="K1810">
        <v>-84.321653400000002</v>
      </c>
      <c r="L1810" t="s">
        <v>1225</v>
      </c>
      <c r="M1810" t="s">
        <v>46</v>
      </c>
      <c r="N1810" t="s">
        <v>47</v>
      </c>
      <c r="O1810" t="s">
        <v>48</v>
      </c>
      <c r="P1810">
        <v>11</v>
      </c>
      <c r="Q1810" t="s">
        <v>108</v>
      </c>
      <c r="S1810" t="str">
        <f>_xlfn.XLOOKUP(UNIVERSO[[#This Row],[Ruta]],'[1]CUOTA RUTA'!A:A,'[1]CUOTA RUTA'!D:D)</f>
        <v>Cargar</v>
      </c>
    </row>
    <row r="1811" spans="1:19" x14ac:dyDescent="0.25">
      <c r="A1811">
        <v>1500190716</v>
      </c>
      <c r="B1811" t="s">
        <v>3731</v>
      </c>
      <c r="C1811" t="s">
        <v>19</v>
      </c>
      <c r="D1811" t="s">
        <v>20</v>
      </c>
      <c r="E1811" t="s">
        <v>21</v>
      </c>
      <c r="F1811" t="s">
        <v>22</v>
      </c>
      <c r="G1811" t="s">
        <v>64</v>
      </c>
      <c r="H1811" t="s">
        <v>1021</v>
      </c>
      <c r="I1811" t="s">
        <v>3732</v>
      </c>
      <c r="J1811">
        <v>10.055393</v>
      </c>
      <c r="K1811">
        <v>-84.294640000000001</v>
      </c>
      <c r="L1811" t="s">
        <v>1225</v>
      </c>
      <c r="M1811" t="s">
        <v>46</v>
      </c>
      <c r="N1811" t="s">
        <v>47</v>
      </c>
      <c r="O1811" t="s">
        <v>48</v>
      </c>
      <c r="P1811">
        <v>5</v>
      </c>
      <c r="Q1811" t="s">
        <v>117</v>
      </c>
      <c r="S1811" t="str">
        <f>_xlfn.XLOOKUP(UNIVERSO[[#This Row],[Ruta]],'[1]CUOTA RUTA'!A:A,'[1]CUOTA RUTA'!D:D)</f>
        <v>Cargar</v>
      </c>
    </row>
    <row r="1812" spans="1:19" x14ac:dyDescent="0.25">
      <c r="A1812">
        <v>1500190754</v>
      </c>
      <c r="B1812" t="s">
        <v>3733</v>
      </c>
      <c r="C1812" t="s">
        <v>19</v>
      </c>
      <c r="D1812" t="s">
        <v>20</v>
      </c>
      <c r="E1812" t="s">
        <v>21</v>
      </c>
      <c r="F1812" t="s">
        <v>22</v>
      </c>
      <c r="G1812" t="s">
        <v>33</v>
      </c>
      <c r="H1812" t="s">
        <v>303</v>
      </c>
      <c r="I1812" t="s">
        <v>3734</v>
      </c>
      <c r="J1812">
        <v>10.00657</v>
      </c>
      <c r="K1812">
        <v>-84.238370000000003</v>
      </c>
      <c r="L1812" t="s">
        <v>1225</v>
      </c>
      <c r="M1812" t="s">
        <v>54</v>
      </c>
      <c r="N1812" t="s">
        <v>55</v>
      </c>
      <c r="O1812" t="s">
        <v>56</v>
      </c>
      <c r="P1812">
        <v>19</v>
      </c>
      <c r="Q1812" t="s">
        <v>67</v>
      </c>
      <c r="S1812" t="str">
        <f>_xlfn.XLOOKUP(UNIVERSO[[#This Row],[Ruta]],'[1]CUOTA RUTA'!A:A,'[1]CUOTA RUTA'!D:D)</f>
        <v>Cargar</v>
      </c>
    </row>
    <row r="1813" spans="1:19" x14ac:dyDescent="0.25">
      <c r="A1813">
        <v>1500190827</v>
      </c>
      <c r="B1813" t="s">
        <v>3735</v>
      </c>
      <c r="C1813" t="s">
        <v>19</v>
      </c>
      <c r="D1813" t="s">
        <v>20</v>
      </c>
      <c r="E1813" t="s">
        <v>62</v>
      </c>
      <c r="F1813" t="s">
        <v>63</v>
      </c>
      <c r="G1813" t="s">
        <v>64</v>
      </c>
      <c r="H1813" t="s">
        <v>913</v>
      </c>
      <c r="I1813" t="s">
        <v>3736</v>
      </c>
      <c r="J1813">
        <v>9.9554159999999996</v>
      </c>
      <c r="K1813">
        <v>-84.113303000000002</v>
      </c>
      <c r="L1813" t="s">
        <v>1225</v>
      </c>
      <c r="M1813" t="s">
        <v>27</v>
      </c>
      <c r="N1813" t="s">
        <v>28</v>
      </c>
      <c r="O1813" t="s">
        <v>29</v>
      </c>
      <c r="P1813">
        <v>10</v>
      </c>
      <c r="Q1813" t="s">
        <v>136</v>
      </c>
      <c r="S1813" t="str">
        <f>_xlfn.XLOOKUP(UNIVERSO[[#This Row],[Ruta]],'[1]CUOTA RUTA'!A:A,'[1]CUOTA RUTA'!D:D)</f>
        <v>Cargar</v>
      </c>
    </row>
    <row r="1814" spans="1:19" x14ac:dyDescent="0.25">
      <c r="A1814">
        <v>1500190908</v>
      </c>
      <c r="B1814" t="s">
        <v>3737</v>
      </c>
      <c r="C1814" t="s">
        <v>19</v>
      </c>
      <c r="D1814" t="s">
        <v>20</v>
      </c>
      <c r="E1814" t="s">
        <v>21</v>
      </c>
      <c r="F1814" t="s">
        <v>22</v>
      </c>
      <c r="G1814" t="s">
        <v>33</v>
      </c>
      <c r="H1814" t="s">
        <v>774</v>
      </c>
      <c r="I1814" t="s">
        <v>3738</v>
      </c>
      <c r="J1814">
        <v>9.9389599999999998</v>
      </c>
      <c r="K1814">
        <v>-84.220759999999999</v>
      </c>
      <c r="L1814" t="s">
        <v>1225</v>
      </c>
      <c r="M1814" t="s">
        <v>54</v>
      </c>
      <c r="N1814" t="s">
        <v>55</v>
      </c>
      <c r="O1814" t="s">
        <v>56</v>
      </c>
      <c r="P1814">
        <v>10</v>
      </c>
      <c r="Q1814" t="s">
        <v>136</v>
      </c>
      <c r="S1814" t="str">
        <f>_xlfn.XLOOKUP(UNIVERSO[[#This Row],[Ruta]],'[1]CUOTA RUTA'!A:A,'[1]CUOTA RUTA'!D:D)</f>
        <v>Cargar</v>
      </c>
    </row>
    <row r="1815" spans="1:19" x14ac:dyDescent="0.25">
      <c r="A1815">
        <v>1500190950</v>
      </c>
      <c r="B1815" t="s">
        <v>2174</v>
      </c>
      <c r="C1815" t="s">
        <v>19</v>
      </c>
      <c r="D1815" t="s">
        <v>20</v>
      </c>
      <c r="E1815" t="s">
        <v>21</v>
      </c>
      <c r="F1815" t="s">
        <v>22</v>
      </c>
      <c r="G1815" t="s">
        <v>33</v>
      </c>
      <c r="H1815" t="s">
        <v>308</v>
      </c>
      <c r="I1815" t="s">
        <v>3739</v>
      </c>
      <c r="J1815">
        <v>9.8179485</v>
      </c>
      <c r="K1815">
        <v>-84.377816999999993</v>
      </c>
      <c r="L1815" t="s">
        <v>1225</v>
      </c>
      <c r="M1815" t="s">
        <v>54</v>
      </c>
      <c r="N1815" t="s">
        <v>55</v>
      </c>
      <c r="O1815" t="s">
        <v>56</v>
      </c>
      <c r="P1815">
        <v>22</v>
      </c>
      <c r="Q1815" t="s">
        <v>30</v>
      </c>
      <c r="S1815" t="str">
        <f>_xlfn.XLOOKUP(UNIVERSO[[#This Row],[Ruta]],'[1]CUOTA RUTA'!A:A,'[1]CUOTA RUTA'!D:D)</f>
        <v>Cargar</v>
      </c>
    </row>
    <row r="1816" spans="1:19" x14ac:dyDescent="0.25">
      <c r="A1816">
        <v>1500190979</v>
      </c>
      <c r="B1816" t="s">
        <v>3740</v>
      </c>
      <c r="C1816" t="s">
        <v>19</v>
      </c>
      <c r="D1816" t="s">
        <v>20</v>
      </c>
      <c r="E1816" t="s">
        <v>21</v>
      </c>
      <c r="F1816" t="s">
        <v>22</v>
      </c>
      <c r="G1816" t="s">
        <v>64</v>
      </c>
      <c r="H1816" t="s">
        <v>1021</v>
      </c>
      <c r="I1816" t="s">
        <v>3741</v>
      </c>
      <c r="J1816">
        <v>10.08067</v>
      </c>
      <c r="K1816">
        <v>-84.222080000000005</v>
      </c>
      <c r="L1816" t="s">
        <v>1225</v>
      </c>
      <c r="M1816" t="s">
        <v>46</v>
      </c>
      <c r="N1816" t="s">
        <v>47</v>
      </c>
      <c r="O1816" t="s">
        <v>48</v>
      </c>
      <c r="P1816">
        <v>12</v>
      </c>
      <c r="Q1816" t="s">
        <v>42</v>
      </c>
      <c r="S1816" t="str">
        <f>_xlfn.XLOOKUP(UNIVERSO[[#This Row],[Ruta]],'[1]CUOTA RUTA'!A:A,'[1]CUOTA RUTA'!D:D)</f>
        <v>Cargar</v>
      </c>
    </row>
    <row r="1817" spans="1:19" x14ac:dyDescent="0.25">
      <c r="A1817">
        <v>1500191171</v>
      </c>
      <c r="B1817" t="s">
        <v>3742</v>
      </c>
      <c r="C1817" t="s">
        <v>19</v>
      </c>
      <c r="D1817" t="s">
        <v>20</v>
      </c>
      <c r="E1817" t="s">
        <v>21</v>
      </c>
      <c r="F1817" t="s">
        <v>22</v>
      </c>
      <c r="G1817" t="s">
        <v>64</v>
      </c>
      <c r="H1817" t="s">
        <v>303</v>
      </c>
      <c r="I1817" t="s">
        <v>3743</v>
      </c>
      <c r="J1817">
        <v>10.002079999999999</v>
      </c>
      <c r="K1817">
        <v>-84.259370000000004</v>
      </c>
      <c r="L1817" t="s">
        <v>1225</v>
      </c>
      <c r="M1817" t="s">
        <v>54</v>
      </c>
      <c r="N1817" t="s">
        <v>55</v>
      </c>
      <c r="O1817" t="s">
        <v>56</v>
      </c>
      <c r="P1817">
        <v>7</v>
      </c>
      <c r="Q1817" t="s">
        <v>39</v>
      </c>
      <c r="S1817" t="str">
        <f>_xlfn.XLOOKUP(UNIVERSO[[#This Row],[Ruta]],'[1]CUOTA RUTA'!A:A,'[1]CUOTA RUTA'!D:D)</f>
        <v>Cargar</v>
      </c>
    </row>
    <row r="1818" spans="1:19" x14ac:dyDescent="0.25">
      <c r="A1818">
        <v>1500191209</v>
      </c>
      <c r="B1818" t="s">
        <v>3744</v>
      </c>
      <c r="C1818" t="s">
        <v>19</v>
      </c>
      <c r="D1818" t="s">
        <v>20</v>
      </c>
      <c r="E1818" t="s">
        <v>21</v>
      </c>
      <c r="F1818" t="s">
        <v>22</v>
      </c>
      <c r="G1818" t="s">
        <v>33</v>
      </c>
      <c r="H1818" t="s">
        <v>774</v>
      </c>
      <c r="I1818" t="s">
        <v>3745</v>
      </c>
      <c r="J1818">
        <v>9.9199800000000007</v>
      </c>
      <c r="K1818">
        <v>-84.269580000000005</v>
      </c>
      <c r="L1818" t="s">
        <v>1225</v>
      </c>
      <c r="M1818" t="s">
        <v>54</v>
      </c>
      <c r="N1818" t="s">
        <v>55</v>
      </c>
      <c r="O1818" t="s">
        <v>56</v>
      </c>
      <c r="P1818">
        <v>20</v>
      </c>
      <c r="Q1818" t="s">
        <v>74</v>
      </c>
      <c r="S1818" t="str">
        <f>_xlfn.XLOOKUP(UNIVERSO[[#This Row],[Ruta]],'[1]CUOTA RUTA'!A:A,'[1]CUOTA RUTA'!D:D)</f>
        <v>Cargar</v>
      </c>
    </row>
    <row r="1819" spans="1:19" x14ac:dyDescent="0.25">
      <c r="A1819">
        <v>1500191211</v>
      </c>
      <c r="B1819" t="s">
        <v>3746</v>
      </c>
      <c r="C1819" t="s">
        <v>19</v>
      </c>
      <c r="D1819" t="s">
        <v>20</v>
      </c>
      <c r="E1819" t="s">
        <v>21</v>
      </c>
      <c r="F1819" t="s">
        <v>22</v>
      </c>
      <c r="G1819" t="s">
        <v>64</v>
      </c>
      <c r="H1819" t="s">
        <v>901</v>
      </c>
      <c r="I1819" t="s">
        <v>3747</v>
      </c>
      <c r="J1819">
        <v>10.066349669999999</v>
      </c>
      <c r="K1819">
        <v>-84.426531249999996</v>
      </c>
      <c r="L1819" t="s">
        <v>1225</v>
      </c>
      <c r="M1819" t="s">
        <v>46</v>
      </c>
      <c r="N1819" t="s">
        <v>47</v>
      </c>
      <c r="O1819" t="s">
        <v>48</v>
      </c>
      <c r="P1819">
        <v>7</v>
      </c>
      <c r="Q1819" t="s">
        <v>39</v>
      </c>
      <c r="S1819" t="str">
        <f>_xlfn.XLOOKUP(UNIVERSO[[#This Row],[Ruta]],'[1]CUOTA RUTA'!A:A,'[1]CUOTA RUTA'!D:D)</f>
        <v>Cargar</v>
      </c>
    </row>
    <row r="1820" spans="1:19" x14ac:dyDescent="0.25">
      <c r="A1820">
        <v>1500191411</v>
      </c>
      <c r="B1820" t="s">
        <v>3748</v>
      </c>
      <c r="C1820" t="s">
        <v>19</v>
      </c>
      <c r="D1820" t="s">
        <v>20</v>
      </c>
      <c r="E1820" t="s">
        <v>21</v>
      </c>
      <c r="F1820" t="s">
        <v>22</v>
      </c>
      <c r="G1820" t="s">
        <v>33</v>
      </c>
      <c r="H1820" t="s">
        <v>1143</v>
      </c>
      <c r="I1820" t="s">
        <v>3749</v>
      </c>
      <c r="J1820">
        <v>10.04012</v>
      </c>
      <c r="K1820">
        <v>-84.194980000000001</v>
      </c>
      <c r="L1820" t="s">
        <v>1225</v>
      </c>
      <c r="M1820" t="s">
        <v>54</v>
      </c>
      <c r="N1820" t="s">
        <v>55</v>
      </c>
      <c r="O1820" t="s">
        <v>56</v>
      </c>
      <c r="P1820">
        <v>16</v>
      </c>
      <c r="Q1820" t="s">
        <v>60</v>
      </c>
      <c r="S1820" t="str">
        <f>_xlfn.XLOOKUP(UNIVERSO[[#This Row],[Ruta]],'[1]CUOTA RUTA'!A:A,'[1]CUOTA RUTA'!D:D)</f>
        <v>Cargar</v>
      </c>
    </row>
    <row r="1821" spans="1:19" x14ac:dyDescent="0.25">
      <c r="A1821">
        <v>1500191417</v>
      </c>
      <c r="B1821" t="s">
        <v>595</v>
      </c>
      <c r="C1821" t="s">
        <v>19</v>
      </c>
      <c r="D1821" t="s">
        <v>20</v>
      </c>
      <c r="E1821" t="s">
        <v>21</v>
      </c>
      <c r="F1821" t="s">
        <v>22</v>
      </c>
      <c r="G1821" t="s">
        <v>23</v>
      </c>
      <c r="H1821" t="s">
        <v>193</v>
      </c>
      <c r="I1821" t="s">
        <v>3750</v>
      </c>
      <c r="J1821">
        <v>10.005369999999999</v>
      </c>
      <c r="K1821">
        <v>-84.246650000000002</v>
      </c>
      <c r="L1821" t="s">
        <v>1225</v>
      </c>
      <c r="M1821" t="s">
        <v>54</v>
      </c>
      <c r="N1821" t="s">
        <v>55</v>
      </c>
      <c r="O1821" t="s">
        <v>56</v>
      </c>
      <c r="P1821">
        <v>7</v>
      </c>
      <c r="Q1821" t="s">
        <v>39</v>
      </c>
      <c r="S1821" t="str">
        <f>_xlfn.XLOOKUP(UNIVERSO[[#This Row],[Ruta]],'[1]CUOTA RUTA'!A:A,'[1]CUOTA RUTA'!D:D)</f>
        <v>Cargar</v>
      </c>
    </row>
    <row r="1822" spans="1:19" x14ac:dyDescent="0.25">
      <c r="A1822">
        <v>1500191521</v>
      </c>
      <c r="B1822" t="s">
        <v>3751</v>
      </c>
      <c r="C1822" t="s">
        <v>19</v>
      </c>
      <c r="D1822" t="s">
        <v>20</v>
      </c>
      <c r="E1822" t="s">
        <v>21</v>
      </c>
      <c r="F1822" t="s">
        <v>22</v>
      </c>
      <c r="G1822" t="s">
        <v>23</v>
      </c>
      <c r="H1822" t="s">
        <v>193</v>
      </c>
      <c r="I1822" t="s">
        <v>3752</v>
      </c>
      <c r="J1822">
        <v>9.9924510000000009</v>
      </c>
      <c r="K1822">
        <v>-84.320835000000002</v>
      </c>
      <c r="L1822" t="s">
        <v>1225</v>
      </c>
      <c r="M1822" t="s">
        <v>54</v>
      </c>
      <c r="N1822" t="s">
        <v>55</v>
      </c>
      <c r="O1822" t="s">
        <v>56</v>
      </c>
      <c r="P1822">
        <v>23</v>
      </c>
      <c r="Q1822" t="s">
        <v>125</v>
      </c>
      <c r="S1822" t="str">
        <f>_xlfn.XLOOKUP(UNIVERSO[[#This Row],[Ruta]],'[1]CUOTA RUTA'!A:A,'[1]CUOTA RUTA'!D:D)</f>
        <v>Cargar</v>
      </c>
    </row>
    <row r="1823" spans="1:19" x14ac:dyDescent="0.25">
      <c r="A1823">
        <v>1500191805</v>
      </c>
      <c r="B1823" t="s">
        <v>3753</v>
      </c>
      <c r="C1823" t="s">
        <v>19</v>
      </c>
      <c r="D1823" t="s">
        <v>20</v>
      </c>
      <c r="E1823" t="s">
        <v>21</v>
      </c>
      <c r="F1823" t="s">
        <v>22</v>
      </c>
      <c r="G1823" t="s">
        <v>33</v>
      </c>
      <c r="H1823" t="s">
        <v>263</v>
      </c>
      <c r="I1823" t="s">
        <v>3754</v>
      </c>
      <c r="J1823">
        <v>10.086921800000001</v>
      </c>
      <c r="K1823">
        <v>-84.343664099999998</v>
      </c>
      <c r="L1823" t="s">
        <v>1225</v>
      </c>
      <c r="M1823" t="s">
        <v>46</v>
      </c>
      <c r="N1823" t="s">
        <v>47</v>
      </c>
      <c r="O1823" t="s">
        <v>48</v>
      </c>
      <c r="P1823">
        <v>4</v>
      </c>
      <c r="Q1823" t="s">
        <v>120</v>
      </c>
      <c r="S1823" t="str">
        <f>_xlfn.XLOOKUP(UNIVERSO[[#This Row],[Ruta]],'[1]CUOTA RUTA'!A:A,'[1]CUOTA RUTA'!D:D)</f>
        <v>Cargar</v>
      </c>
    </row>
    <row r="1824" spans="1:19" x14ac:dyDescent="0.25">
      <c r="A1824">
        <v>1500191869</v>
      </c>
      <c r="B1824" t="s">
        <v>3755</v>
      </c>
      <c r="C1824" t="s">
        <v>19</v>
      </c>
      <c r="D1824" t="s">
        <v>20</v>
      </c>
      <c r="E1824" t="s">
        <v>21</v>
      </c>
      <c r="F1824" t="s">
        <v>22</v>
      </c>
      <c r="G1824" t="s">
        <v>23</v>
      </c>
      <c r="H1824" t="s">
        <v>24</v>
      </c>
      <c r="I1824" t="s">
        <v>3756</v>
      </c>
      <c r="J1824">
        <v>9.9524500000000007</v>
      </c>
      <c r="K1824">
        <v>-84.124927</v>
      </c>
      <c r="L1824" t="s">
        <v>1225</v>
      </c>
      <c r="M1824" t="s">
        <v>27</v>
      </c>
      <c r="N1824" t="s">
        <v>28</v>
      </c>
      <c r="O1824" t="s">
        <v>29</v>
      </c>
      <c r="P1824">
        <v>8</v>
      </c>
      <c r="Q1824" t="s">
        <v>97</v>
      </c>
      <c r="S1824" t="str">
        <f>_xlfn.XLOOKUP(UNIVERSO[[#This Row],[Ruta]],'[1]CUOTA RUTA'!A:A,'[1]CUOTA RUTA'!D:D)</f>
        <v>Cargar</v>
      </c>
    </row>
    <row r="1825" spans="1:19" x14ac:dyDescent="0.25">
      <c r="A1825">
        <v>1500192045</v>
      </c>
      <c r="B1825" t="s">
        <v>3757</v>
      </c>
      <c r="C1825" t="s">
        <v>19</v>
      </c>
      <c r="D1825" t="s">
        <v>32</v>
      </c>
      <c r="E1825" t="s">
        <v>21</v>
      </c>
      <c r="F1825" t="s">
        <v>51</v>
      </c>
      <c r="G1825" t="s">
        <v>23</v>
      </c>
      <c r="H1825" t="s">
        <v>441</v>
      </c>
      <c r="I1825" t="s">
        <v>3758</v>
      </c>
      <c r="J1825">
        <v>9.8760966666669994</v>
      </c>
      <c r="K1825">
        <v>-84.075703333329997</v>
      </c>
      <c r="L1825" t="s">
        <v>1225</v>
      </c>
      <c r="M1825" t="s">
        <v>71</v>
      </c>
      <c r="N1825" t="s">
        <v>72</v>
      </c>
      <c r="O1825" t="s">
        <v>73</v>
      </c>
      <c r="P1825">
        <v>16</v>
      </c>
      <c r="Q1825" t="s">
        <v>60</v>
      </c>
      <c r="S1825" t="str">
        <f>_xlfn.XLOOKUP(UNIVERSO[[#This Row],[Ruta]],'[1]CUOTA RUTA'!A:A,'[1]CUOTA RUTA'!D:D)</f>
        <v>Cargar</v>
      </c>
    </row>
    <row r="1826" spans="1:19" x14ac:dyDescent="0.25">
      <c r="A1826">
        <v>1500192088</v>
      </c>
      <c r="B1826" t="s">
        <v>3759</v>
      </c>
      <c r="C1826" t="s">
        <v>19</v>
      </c>
      <c r="D1826" t="s">
        <v>32</v>
      </c>
      <c r="E1826" t="s">
        <v>21</v>
      </c>
      <c r="F1826" t="s">
        <v>22</v>
      </c>
      <c r="G1826" t="s">
        <v>64</v>
      </c>
      <c r="H1826" t="s">
        <v>1383</v>
      </c>
      <c r="I1826" t="s">
        <v>3760</v>
      </c>
      <c r="J1826">
        <v>9.9241883333329994</v>
      </c>
      <c r="K1826">
        <v>-84.092500000000001</v>
      </c>
      <c r="L1826" t="s">
        <v>1225</v>
      </c>
      <c r="M1826" t="s">
        <v>71</v>
      </c>
      <c r="N1826" t="s">
        <v>72</v>
      </c>
      <c r="O1826" t="s">
        <v>73</v>
      </c>
      <c r="P1826">
        <v>3</v>
      </c>
      <c r="Q1826" t="s">
        <v>101</v>
      </c>
      <c r="S1826" t="str">
        <f>_xlfn.XLOOKUP(UNIVERSO[[#This Row],[Ruta]],'[1]CUOTA RUTA'!A:A,'[1]CUOTA RUTA'!D:D)</f>
        <v>Cargar</v>
      </c>
    </row>
    <row r="1827" spans="1:19" x14ac:dyDescent="0.25">
      <c r="A1827">
        <v>1500192499</v>
      </c>
      <c r="B1827" t="s">
        <v>3761</v>
      </c>
      <c r="C1827" t="s">
        <v>19</v>
      </c>
      <c r="D1827" t="s">
        <v>32</v>
      </c>
      <c r="E1827" t="s">
        <v>21</v>
      </c>
      <c r="F1827" t="s">
        <v>22</v>
      </c>
      <c r="G1827" t="s">
        <v>64</v>
      </c>
      <c r="H1827" t="s">
        <v>106</v>
      </c>
      <c r="I1827" t="s">
        <v>3762</v>
      </c>
      <c r="J1827">
        <v>9.9184640000000002</v>
      </c>
      <c r="K1827">
        <v>-84.104738999999995</v>
      </c>
      <c r="L1827" t="s">
        <v>1225</v>
      </c>
      <c r="M1827" t="s">
        <v>71</v>
      </c>
      <c r="N1827" t="s">
        <v>72</v>
      </c>
      <c r="O1827" t="s">
        <v>73</v>
      </c>
      <c r="P1827">
        <v>10</v>
      </c>
      <c r="Q1827" t="s">
        <v>136</v>
      </c>
      <c r="S1827" t="str">
        <f>_xlfn.XLOOKUP(UNIVERSO[[#This Row],[Ruta]],'[1]CUOTA RUTA'!A:A,'[1]CUOTA RUTA'!D:D)</f>
        <v>Cargar</v>
      </c>
    </row>
    <row r="1828" spans="1:19" x14ac:dyDescent="0.25">
      <c r="A1828">
        <v>1500192544</v>
      </c>
      <c r="B1828" t="s">
        <v>3763</v>
      </c>
      <c r="C1828" t="s">
        <v>19</v>
      </c>
      <c r="D1828" t="s">
        <v>266</v>
      </c>
      <c r="E1828" t="s">
        <v>21</v>
      </c>
      <c r="F1828" t="s">
        <v>22</v>
      </c>
      <c r="G1828" t="s">
        <v>23</v>
      </c>
      <c r="H1828" t="s">
        <v>366</v>
      </c>
      <c r="I1828" t="s">
        <v>3764</v>
      </c>
      <c r="J1828">
        <v>9.8420500000000004</v>
      </c>
      <c r="K1828">
        <v>-83.914810000000003</v>
      </c>
      <c r="L1828" t="s">
        <v>1225</v>
      </c>
      <c r="M1828" t="s">
        <v>36</v>
      </c>
      <c r="N1828" t="s">
        <v>316</v>
      </c>
      <c r="O1828" t="s">
        <v>317</v>
      </c>
      <c r="P1828">
        <v>17</v>
      </c>
      <c r="Q1828" t="s">
        <v>287</v>
      </c>
      <c r="S1828" t="str">
        <f>_xlfn.XLOOKUP(UNIVERSO[[#This Row],[Ruta]],'[1]CUOTA RUTA'!A:A,'[1]CUOTA RUTA'!D:D)</f>
        <v>Cargar</v>
      </c>
    </row>
    <row r="1829" spans="1:19" x14ac:dyDescent="0.25">
      <c r="A1829">
        <v>1500192555</v>
      </c>
      <c r="B1829" t="s">
        <v>3765</v>
      </c>
      <c r="C1829" t="s">
        <v>19</v>
      </c>
      <c r="D1829" t="s">
        <v>266</v>
      </c>
      <c r="E1829" t="s">
        <v>21</v>
      </c>
      <c r="F1829" t="s">
        <v>22</v>
      </c>
      <c r="G1829" t="s">
        <v>33</v>
      </c>
      <c r="H1829" t="s">
        <v>366</v>
      </c>
      <c r="I1829" t="s">
        <v>3766</v>
      </c>
      <c r="J1829">
        <v>9.8265183333330004</v>
      </c>
      <c r="K1829">
        <v>-83.907624999999996</v>
      </c>
      <c r="L1829" t="s">
        <v>1225</v>
      </c>
      <c r="M1829" t="s">
        <v>36</v>
      </c>
      <c r="N1829" t="s">
        <v>316</v>
      </c>
      <c r="O1829" t="s">
        <v>317</v>
      </c>
      <c r="P1829">
        <v>17</v>
      </c>
      <c r="Q1829" t="s">
        <v>287</v>
      </c>
      <c r="S1829" t="str">
        <f>_xlfn.XLOOKUP(UNIVERSO[[#This Row],[Ruta]],'[1]CUOTA RUTA'!A:A,'[1]CUOTA RUTA'!D:D)</f>
        <v>Cargar</v>
      </c>
    </row>
    <row r="1830" spans="1:19" x14ac:dyDescent="0.25">
      <c r="A1830">
        <v>1500192561</v>
      </c>
      <c r="B1830" t="s">
        <v>3767</v>
      </c>
      <c r="C1830" t="s">
        <v>19</v>
      </c>
      <c r="D1830" t="s">
        <v>266</v>
      </c>
      <c r="E1830" t="s">
        <v>21</v>
      </c>
      <c r="F1830" t="s">
        <v>22</v>
      </c>
      <c r="G1830" t="s">
        <v>33</v>
      </c>
      <c r="H1830" t="s">
        <v>267</v>
      </c>
      <c r="I1830" t="s">
        <v>3768</v>
      </c>
      <c r="J1830">
        <v>9.9130370899999996</v>
      </c>
      <c r="K1830">
        <v>-83.666198080000001</v>
      </c>
      <c r="L1830" t="s">
        <v>1225</v>
      </c>
      <c r="M1830" t="s">
        <v>189</v>
      </c>
      <c r="N1830" t="s">
        <v>269</v>
      </c>
      <c r="O1830" t="s">
        <v>270</v>
      </c>
      <c r="P1830">
        <v>22</v>
      </c>
      <c r="Q1830" t="s">
        <v>30</v>
      </c>
      <c r="S1830" t="str">
        <f>_xlfn.XLOOKUP(UNIVERSO[[#This Row],[Ruta]],'[1]CUOTA RUTA'!A:A,'[1]CUOTA RUTA'!D:D)</f>
        <v>Cargar</v>
      </c>
    </row>
    <row r="1831" spans="1:19" x14ac:dyDescent="0.25">
      <c r="A1831">
        <v>1500192727</v>
      </c>
      <c r="B1831" t="s">
        <v>3769</v>
      </c>
      <c r="C1831" t="s">
        <v>19</v>
      </c>
      <c r="D1831" t="s">
        <v>20</v>
      </c>
      <c r="E1831" t="s">
        <v>21</v>
      </c>
      <c r="F1831" t="s">
        <v>22</v>
      </c>
      <c r="G1831" t="s">
        <v>23</v>
      </c>
      <c r="H1831" t="s">
        <v>308</v>
      </c>
      <c r="I1831" t="s">
        <v>3770</v>
      </c>
      <c r="J1831">
        <v>9.9078499999999998</v>
      </c>
      <c r="K1831">
        <v>-84.316220000000001</v>
      </c>
      <c r="L1831" t="s">
        <v>1225</v>
      </c>
      <c r="M1831" t="s">
        <v>54</v>
      </c>
      <c r="N1831" t="s">
        <v>55</v>
      </c>
      <c r="O1831" t="s">
        <v>56</v>
      </c>
      <c r="P1831">
        <v>20</v>
      </c>
      <c r="Q1831" t="s">
        <v>74</v>
      </c>
      <c r="S1831" t="str">
        <f>_xlfn.XLOOKUP(UNIVERSO[[#This Row],[Ruta]],'[1]CUOTA RUTA'!A:A,'[1]CUOTA RUTA'!D:D)</f>
        <v>Cargar</v>
      </c>
    </row>
    <row r="1832" spans="1:19" x14ac:dyDescent="0.25">
      <c r="A1832">
        <v>1500192866</v>
      </c>
      <c r="B1832" t="s">
        <v>3771</v>
      </c>
      <c r="C1832" t="s">
        <v>19</v>
      </c>
      <c r="D1832" t="s">
        <v>20</v>
      </c>
      <c r="E1832" t="s">
        <v>62</v>
      </c>
      <c r="F1832" t="s">
        <v>63</v>
      </c>
      <c r="G1832" t="s">
        <v>64</v>
      </c>
      <c r="H1832" t="s">
        <v>1506</v>
      </c>
      <c r="I1832" t="s">
        <v>3772</v>
      </c>
      <c r="J1832">
        <v>9.9782569999999993</v>
      </c>
      <c r="K1832">
        <v>-84.150219000000007</v>
      </c>
      <c r="L1832" t="s">
        <v>1225</v>
      </c>
      <c r="M1832" t="s">
        <v>27</v>
      </c>
      <c r="N1832" t="s">
        <v>28</v>
      </c>
      <c r="O1832" t="s">
        <v>29</v>
      </c>
      <c r="P1832">
        <v>2</v>
      </c>
      <c r="Q1832" t="s">
        <v>150</v>
      </c>
      <c r="S1832" t="str">
        <f>_xlfn.XLOOKUP(UNIVERSO[[#This Row],[Ruta]],'[1]CUOTA RUTA'!A:A,'[1]CUOTA RUTA'!D:D)</f>
        <v>Cargar</v>
      </c>
    </row>
    <row r="1833" spans="1:19" x14ac:dyDescent="0.25">
      <c r="A1833">
        <v>1500193386</v>
      </c>
      <c r="B1833" t="s">
        <v>3773</v>
      </c>
      <c r="C1833" t="s">
        <v>19</v>
      </c>
      <c r="D1833" t="s">
        <v>20</v>
      </c>
      <c r="E1833" t="s">
        <v>21</v>
      </c>
      <c r="F1833" t="s">
        <v>51</v>
      </c>
      <c r="G1833" t="s">
        <v>23</v>
      </c>
      <c r="H1833" t="s">
        <v>554</v>
      </c>
      <c r="I1833" t="s">
        <v>3774</v>
      </c>
      <c r="J1833">
        <v>10.054844640000001</v>
      </c>
      <c r="K1833">
        <v>-84.114604889999995</v>
      </c>
      <c r="L1833" t="s">
        <v>1225</v>
      </c>
      <c r="M1833" t="s">
        <v>27</v>
      </c>
      <c r="N1833" t="s">
        <v>28</v>
      </c>
      <c r="O1833" t="s">
        <v>29</v>
      </c>
      <c r="P1833">
        <v>21</v>
      </c>
      <c r="Q1833" t="s">
        <v>239</v>
      </c>
      <c r="S1833" t="str">
        <f>_xlfn.XLOOKUP(UNIVERSO[[#This Row],[Ruta]],'[1]CUOTA RUTA'!A:A,'[1]CUOTA RUTA'!D:D)</f>
        <v>Cargar</v>
      </c>
    </row>
    <row r="1834" spans="1:19" x14ac:dyDescent="0.25">
      <c r="A1834">
        <v>1500193589</v>
      </c>
      <c r="B1834" t="s">
        <v>3775</v>
      </c>
      <c r="C1834" t="s">
        <v>19</v>
      </c>
      <c r="D1834" t="s">
        <v>20</v>
      </c>
      <c r="E1834" t="s">
        <v>21</v>
      </c>
      <c r="F1834" t="s">
        <v>22</v>
      </c>
      <c r="G1834" t="s">
        <v>23</v>
      </c>
      <c r="H1834" t="s">
        <v>458</v>
      </c>
      <c r="I1834" t="s">
        <v>3776</v>
      </c>
      <c r="J1834">
        <v>9.9455484999999992</v>
      </c>
      <c r="K1834">
        <v>-84.319354899999993</v>
      </c>
      <c r="L1834" t="s">
        <v>1225</v>
      </c>
      <c r="M1834" t="s">
        <v>54</v>
      </c>
      <c r="N1834" t="s">
        <v>55</v>
      </c>
      <c r="O1834" t="s">
        <v>56</v>
      </c>
      <c r="P1834">
        <v>20</v>
      </c>
      <c r="Q1834" t="s">
        <v>74</v>
      </c>
      <c r="S1834" t="str">
        <f>_xlfn.XLOOKUP(UNIVERSO[[#This Row],[Ruta]],'[1]CUOTA RUTA'!A:A,'[1]CUOTA RUTA'!D:D)</f>
        <v>Cargar</v>
      </c>
    </row>
    <row r="1835" spans="1:19" x14ac:dyDescent="0.25">
      <c r="A1835">
        <v>1500194015</v>
      </c>
      <c r="B1835" t="s">
        <v>3777</v>
      </c>
      <c r="C1835" t="s">
        <v>19</v>
      </c>
      <c r="D1835" t="s">
        <v>324</v>
      </c>
      <c r="E1835" t="s">
        <v>21</v>
      </c>
      <c r="F1835" t="s">
        <v>22</v>
      </c>
      <c r="G1835" t="s">
        <v>33</v>
      </c>
      <c r="H1835" t="s">
        <v>325</v>
      </c>
      <c r="I1835" t="s">
        <v>3778</v>
      </c>
      <c r="J1835">
        <v>10.324</v>
      </c>
      <c r="K1835">
        <v>-84.573340000000002</v>
      </c>
      <c r="L1835" t="s">
        <v>1225</v>
      </c>
      <c r="M1835" t="s">
        <v>327</v>
      </c>
      <c r="N1835" t="s">
        <v>328</v>
      </c>
      <c r="O1835" t="s">
        <v>329</v>
      </c>
      <c r="P1835">
        <v>20</v>
      </c>
      <c r="Q1835" t="s">
        <v>74</v>
      </c>
      <c r="S1835" t="str">
        <f>_xlfn.XLOOKUP(UNIVERSO[[#This Row],[Ruta]],'[1]CUOTA RUTA'!A:A,'[1]CUOTA RUTA'!D:D)</f>
        <v>Cargar</v>
      </c>
    </row>
    <row r="1836" spans="1:19" x14ac:dyDescent="0.25">
      <c r="A1836">
        <v>1500194027</v>
      </c>
      <c r="B1836" t="s">
        <v>3779</v>
      </c>
      <c r="C1836" t="s">
        <v>19</v>
      </c>
      <c r="D1836" t="s">
        <v>324</v>
      </c>
      <c r="E1836" t="s">
        <v>21</v>
      </c>
      <c r="F1836" t="s">
        <v>22</v>
      </c>
      <c r="G1836" t="s">
        <v>33</v>
      </c>
      <c r="H1836" t="s">
        <v>393</v>
      </c>
      <c r="I1836" t="s">
        <v>3780</v>
      </c>
      <c r="J1836">
        <v>10.395899999999999</v>
      </c>
      <c r="K1836">
        <v>-84.475210000000004</v>
      </c>
      <c r="L1836" t="s">
        <v>1225</v>
      </c>
      <c r="M1836" t="s">
        <v>327</v>
      </c>
      <c r="N1836" t="s">
        <v>328</v>
      </c>
      <c r="O1836" t="s">
        <v>329</v>
      </c>
      <c r="P1836">
        <v>19</v>
      </c>
      <c r="Q1836" t="s">
        <v>67</v>
      </c>
      <c r="S1836" t="str">
        <f>_xlfn.XLOOKUP(UNIVERSO[[#This Row],[Ruta]],'[1]CUOTA RUTA'!A:A,'[1]CUOTA RUTA'!D:D)</f>
        <v>Cargar</v>
      </c>
    </row>
    <row r="1837" spans="1:19" x14ac:dyDescent="0.25">
      <c r="A1837">
        <v>1500194044</v>
      </c>
      <c r="B1837" t="s">
        <v>3781</v>
      </c>
      <c r="C1837" t="s">
        <v>19</v>
      </c>
      <c r="D1837" t="s">
        <v>324</v>
      </c>
      <c r="E1837" t="s">
        <v>21</v>
      </c>
      <c r="F1837" t="s">
        <v>22</v>
      </c>
      <c r="G1837" t="s">
        <v>64</v>
      </c>
      <c r="H1837" t="s">
        <v>393</v>
      </c>
      <c r="I1837" t="s">
        <v>3782</v>
      </c>
      <c r="J1837">
        <v>10.3611</v>
      </c>
      <c r="K1837">
        <v>-84.44332</v>
      </c>
      <c r="L1837" t="s">
        <v>1225</v>
      </c>
      <c r="M1837" t="s">
        <v>327</v>
      </c>
      <c r="N1837" t="s">
        <v>328</v>
      </c>
      <c r="O1837" t="s">
        <v>329</v>
      </c>
      <c r="P1837">
        <v>15</v>
      </c>
      <c r="Q1837" t="s">
        <v>231</v>
      </c>
      <c r="S1837" t="str">
        <f>_xlfn.XLOOKUP(UNIVERSO[[#This Row],[Ruta]],'[1]CUOTA RUTA'!A:A,'[1]CUOTA RUTA'!D:D)</f>
        <v>Cargar</v>
      </c>
    </row>
    <row r="1838" spans="1:19" x14ac:dyDescent="0.25">
      <c r="A1838">
        <v>1500194082</v>
      </c>
      <c r="B1838" t="s">
        <v>3783</v>
      </c>
      <c r="C1838" t="s">
        <v>19</v>
      </c>
      <c r="D1838" t="s">
        <v>324</v>
      </c>
      <c r="E1838" t="s">
        <v>21</v>
      </c>
      <c r="F1838" t="s">
        <v>22</v>
      </c>
      <c r="G1838" t="s">
        <v>23</v>
      </c>
      <c r="H1838" t="s">
        <v>511</v>
      </c>
      <c r="I1838" t="s">
        <v>3784</v>
      </c>
      <c r="J1838">
        <v>10.4191</v>
      </c>
      <c r="K1838">
        <v>-84.569940000000003</v>
      </c>
      <c r="L1838" t="s">
        <v>1225</v>
      </c>
      <c r="M1838" t="s">
        <v>327</v>
      </c>
      <c r="N1838" t="s">
        <v>328</v>
      </c>
      <c r="O1838" t="s">
        <v>329</v>
      </c>
      <c r="P1838">
        <v>13</v>
      </c>
      <c r="Q1838" t="s">
        <v>161</v>
      </c>
      <c r="S1838" t="str">
        <f>_xlfn.XLOOKUP(UNIVERSO[[#This Row],[Ruta]],'[1]CUOTA RUTA'!A:A,'[1]CUOTA RUTA'!D:D)</f>
        <v>Cargar</v>
      </c>
    </row>
    <row r="1839" spans="1:19" x14ac:dyDescent="0.25">
      <c r="A1839">
        <v>1500194420</v>
      </c>
      <c r="B1839" t="s">
        <v>3785</v>
      </c>
      <c r="C1839" t="s">
        <v>19</v>
      </c>
      <c r="D1839" t="s">
        <v>324</v>
      </c>
      <c r="E1839" t="s">
        <v>21</v>
      </c>
      <c r="F1839" t="s">
        <v>22</v>
      </c>
      <c r="G1839" t="s">
        <v>33</v>
      </c>
      <c r="H1839" t="s">
        <v>325</v>
      </c>
      <c r="I1839" t="s">
        <v>2770</v>
      </c>
      <c r="J1839">
        <v>10.3651</v>
      </c>
      <c r="K1839">
        <v>-84.587140000000005</v>
      </c>
      <c r="L1839" t="s">
        <v>1225</v>
      </c>
      <c r="M1839" t="s">
        <v>327</v>
      </c>
      <c r="N1839" t="s">
        <v>328</v>
      </c>
      <c r="O1839" t="s">
        <v>329</v>
      </c>
      <c r="P1839">
        <v>13</v>
      </c>
      <c r="Q1839" t="s">
        <v>161</v>
      </c>
      <c r="S1839" t="str">
        <f>_xlfn.XLOOKUP(UNIVERSO[[#This Row],[Ruta]],'[1]CUOTA RUTA'!A:A,'[1]CUOTA RUTA'!D:D)</f>
        <v>Cargar</v>
      </c>
    </row>
    <row r="1840" spans="1:19" x14ac:dyDescent="0.25">
      <c r="A1840">
        <v>1500194502</v>
      </c>
      <c r="B1840" t="s">
        <v>3786</v>
      </c>
      <c r="C1840" t="s">
        <v>19</v>
      </c>
      <c r="D1840" t="s">
        <v>324</v>
      </c>
      <c r="E1840" t="s">
        <v>21</v>
      </c>
      <c r="F1840" t="s">
        <v>22</v>
      </c>
      <c r="G1840" t="s">
        <v>33</v>
      </c>
      <c r="H1840" t="s">
        <v>393</v>
      </c>
      <c r="I1840" t="s">
        <v>3787</v>
      </c>
      <c r="J1840">
        <v>10.3764</v>
      </c>
      <c r="K1840">
        <v>-84.34102</v>
      </c>
      <c r="L1840" t="s">
        <v>1225</v>
      </c>
      <c r="M1840" t="s">
        <v>327</v>
      </c>
      <c r="N1840" t="s">
        <v>328</v>
      </c>
      <c r="O1840" t="s">
        <v>329</v>
      </c>
      <c r="P1840">
        <v>16</v>
      </c>
      <c r="Q1840" t="s">
        <v>60</v>
      </c>
      <c r="S1840" t="str">
        <f>_xlfn.XLOOKUP(UNIVERSO[[#This Row],[Ruta]],'[1]CUOTA RUTA'!A:A,'[1]CUOTA RUTA'!D:D)</f>
        <v>Cargar</v>
      </c>
    </row>
    <row r="1841" spans="1:19" x14ac:dyDescent="0.25">
      <c r="A1841">
        <v>1500194512</v>
      </c>
      <c r="B1841" t="s">
        <v>3788</v>
      </c>
      <c r="C1841" t="s">
        <v>19</v>
      </c>
      <c r="D1841" t="s">
        <v>324</v>
      </c>
      <c r="E1841" t="s">
        <v>21</v>
      </c>
      <c r="F1841" t="s">
        <v>22</v>
      </c>
      <c r="G1841" t="s">
        <v>64</v>
      </c>
      <c r="H1841" t="s">
        <v>325</v>
      </c>
      <c r="I1841" t="s">
        <v>3789</v>
      </c>
      <c r="J1841">
        <v>10.3347</v>
      </c>
      <c r="K1841">
        <v>-84.566839999999999</v>
      </c>
      <c r="L1841" t="s">
        <v>1225</v>
      </c>
      <c r="M1841" t="s">
        <v>327</v>
      </c>
      <c r="N1841" t="s">
        <v>328</v>
      </c>
      <c r="O1841" t="s">
        <v>329</v>
      </c>
      <c r="P1841">
        <v>20</v>
      </c>
      <c r="Q1841" t="s">
        <v>74</v>
      </c>
      <c r="S1841" t="str">
        <f>_xlfn.XLOOKUP(UNIVERSO[[#This Row],[Ruta]],'[1]CUOTA RUTA'!A:A,'[1]CUOTA RUTA'!D:D)</f>
        <v>Cargar</v>
      </c>
    </row>
    <row r="1842" spans="1:19" x14ac:dyDescent="0.25">
      <c r="A1842">
        <v>1500194679</v>
      </c>
      <c r="B1842" t="s">
        <v>3790</v>
      </c>
      <c r="C1842" t="s">
        <v>19</v>
      </c>
      <c r="D1842" t="s">
        <v>324</v>
      </c>
      <c r="E1842" t="s">
        <v>21</v>
      </c>
      <c r="F1842" t="s">
        <v>22</v>
      </c>
      <c r="G1842" t="s">
        <v>33</v>
      </c>
      <c r="H1842" t="s">
        <v>393</v>
      </c>
      <c r="I1842" t="s">
        <v>3791</v>
      </c>
      <c r="J1842">
        <v>10.346774</v>
      </c>
      <c r="K1842">
        <v>-84.481562999999994</v>
      </c>
      <c r="L1842" t="s">
        <v>1225</v>
      </c>
      <c r="M1842" t="s">
        <v>327</v>
      </c>
      <c r="N1842" t="s">
        <v>328</v>
      </c>
      <c r="O1842" t="s">
        <v>329</v>
      </c>
      <c r="P1842">
        <v>15</v>
      </c>
      <c r="Q1842" t="s">
        <v>231</v>
      </c>
      <c r="S1842" t="str">
        <f>_xlfn.XLOOKUP(UNIVERSO[[#This Row],[Ruta]],'[1]CUOTA RUTA'!A:A,'[1]CUOTA RUTA'!D:D)</f>
        <v>Cargar</v>
      </c>
    </row>
    <row r="1843" spans="1:19" x14ac:dyDescent="0.25">
      <c r="A1843">
        <v>1500194730</v>
      </c>
      <c r="B1843" t="s">
        <v>3792</v>
      </c>
      <c r="C1843" t="s">
        <v>19</v>
      </c>
      <c r="D1843" t="s">
        <v>324</v>
      </c>
      <c r="E1843" t="s">
        <v>21</v>
      </c>
      <c r="F1843" t="s">
        <v>22</v>
      </c>
      <c r="G1843" t="s">
        <v>23</v>
      </c>
      <c r="H1843" t="s">
        <v>396</v>
      </c>
      <c r="I1843" t="s">
        <v>3793</v>
      </c>
      <c r="J1843">
        <v>10.4049</v>
      </c>
      <c r="K1843">
        <v>-84.219790000000003</v>
      </c>
      <c r="L1843" t="s">
        <v>1225</v>
      </c>
      <c r="M1843" t="s">
        <v>327</v>
      </c>
      <c r="N1843" t="s">
        <v>328</v>
      </c>
      <c r="O1843" t="s">
        <v>329</v>
      </c>
      <c r="P1843">
        <v>17</v>
      </c>
      <c r="Q1843" t="s">
        <v>287</v>
      </c>
      <c r="S1843" t="str">
        <f>_xlfn.XLOOKUP(UNIVERSO[[#This Row],[Ruta]],'[1]CUOTA RUTA'!A:A,'[1]CUOTA RUTA'!D:D)</f>
        <v>Cargar</v>
      </c>
    </row>
    <row r="1844" spans="1:19" x14ac:dyDescent="0.25">
      <c r="A1844">
        <v>1500194771</v>
      </c>
      <c r="B1844" t="s">
        <v>3794</v>
      </c>
      <c r="C1844" t="s">
        <v>19</v>
      </c>
      <c r="D1844" t="s">
        <v>324</v>
      </c>
      <c r="E1844" t="s">
        <v>21</v>
      </c>
      <c r="F1844" t="s">
        <v>22</v>
      </c>
      <c r="G1844" t="s">
        <v>64</v>
      </c>
      <c r="H1844" t="s">
        <v>511</v>
      </c>
      <c r="I1844" t="s">
        <v>3795</v>
      </c>
      <c r="J1844">
        <v>10.4918774</v>
      </c>
      <c r="K1844">
        <v>-84.534722099999996</v>
      </c>
      <c r="L1844" t="s">
        <v>1225</v>
      </c>
      <c r="M1844" t="s">
        <v>327</v>
      </c>
      <c r="N1844" t="s">
        <v>328</v>
      </c>
      <c r="O1844" t="s">
        <v>329</v>
      </c>
      <c r="P1844">
        <v>20</v>
      </c>
      <c r="Q1844" t="s">
        <v>74</v>
      </c>
      <c r="S1844" t="str">
        <f>_xlfn.XLOOKUP(UNIVERSO[[#This Row],[Ruta]],'[1]CUOTA RUTA'!A:A,'[1]CUOTA RUTA'!D:D)</f>
        <v>Cargar</v>
      </c>
    </row>
    <row r="1845" spans="1:19" x14ac:dyDescent="0.25">
      <c r="A1845">
        <v>1500194866</v>
      </c>
      <c r="B1845" t="s">
        <v>226</v>
      </c>
      <c r="C1845" t="s">
        <v>19</v>
      </c>
      <c r="D1845" t="s">
        <v>324</v>
      </c>
      <c r="E1845" t="s">
        <v>21</v>
      </c>
      <c r="F1845" t="s">
        <v>22</v>
      </c>
      <c r="G1845" t="s">
        <v>33</v>
      </c>
      <c r="H1845" t="s">
        <v>331</v>
      </c>
      <c r="I1845" t="s">
        <v>3796</v>
      </c>
      <c r="J1845">
        <v>10.466205134877001</v>
      </c>
      <c r="K1845">
        <v>-84.293199851720004</v>
      </c>
      <c r="L1845" t="s">
        <v>1225</v>
      </c>
      <c r="M1845" t="s">
        <v>327</v>
      </c>
      <c r="N1845" t="s">
        <v>328</v>
      </c>
      <c r="O1845" t="s">
        <v>329</v>
      </c>
      <c r="P1845">
        <v>18</v>
      </c>
      <c r="Q1845" t="s">
        <v>84</v>
      </c>
      <c r="S1845" t="str">
        <f>_xlfn.XLOOKUP(UNIVERSO[[#This Row],[Ruta]],'[1]CUOTA RUTA'!A:A,'[1]CUOTA RUTA'!D:D)</f>
        <v>Cargar</v>
      </c>
    </row>
    <row r="1846" spans="1:19" x14ac:dyDescent="0.25">
      <c r="A1846">
        <v>1500195352</v>
      </c>
      <c r="B1846" t="s">
        <v>3797</v>
      </c>
      <c r="C1846" t="s">
        <v>19</v>
      </c>
      <c r="D1846" t="s">
        <v>569</v>
      </c>
      <c r="E1846" t="s">
        <v>21</v>
      </c>
      <c r="F1846" t="s">
        <v>22</v>
      </c>
      <c r="G1846" t="s">
        <v>33</v>
      </c>
      <c r="H1846" t="s">
        <v>2023</v>
      </c>
      <c r="I1846" t="s">
        <v>3798</v>
      </c>
      <c r="J1846">
        <v>8.6307623000000007</v>
      </c>
      <c r="K1846">
        <v>-83.156940199999994</v>
      </c>
      <c r="L1846" t="s">
        <v>1225</v>
      </c>
      <c r="M1846" t="s">
        <v>572</v>
      </c>
      <c r="N1846" t="s">
        <v>573</v>
      </c>
      <c r="O1846" t="s">
        <v>574</v>
      </c>
      <c r="P1846">
        <v>22</v>
      </c>
      <c r="Q1846" t="s">
        <v>30</v>
      </c>
      <c r="S1846" t="str">
        <f>_xlfn.XLOOKUP(UNIVERSO[[#This Row],[Ruta]],'[1]CUOTA RUTA'!A:A,'[1]CUOTA RUTA'!D:D)</f>
        <v>Cargar</v>
      </c>
    </row>
    <row r="1847" spans="1:19" x14ac:dyDescent="0.25">
      <c r="A1847">
        <v>1500196755</v>
      </c>
      <c r="B1847" t="s">
        <v>3799</v>
      </c>
      <c r="C1847" t="s">
        <v>19</v>
      </c>
      <c r="D1847" t="s">
        <v>266</v>
      </c>
      <c r="E1847" t="s">
        <v>21</v>
      </c>
      <c r="F1847" t="s">
        <v>22</v>
      </c>
      <c r="G1847" t="s">
        <v>33</v>
      </c>
      <c r="H1847" t="s">
        <v>372</v>
      </c>
      <c r="I1847" t="s">
        <v>3800</v>
      </c>
      <c r="J1847">
        <v>9.9060584899999995</v>
      </c>
      <c r="K1847">
        <v>-83.684703760000005</v>
      </c>
      <c r="L1847" t="s">
        <v>1225</v>
      </c>
      <c r="M1847" t="s">
        <v>189</v>
      </c>
      <c r="N1847" t="s">
        <v>269</v>
      </c>
      <c r="O1847" t="s">
        <v>270</v>
      </c>
      <c r="P1847">
        <v>20</v>
      </c>
      <c r="Q1847" t="s">
        <v>74</v>
      </c>
      <c r="S1847" t="str">
        <f>_xlfn.XLOOKUP(UNIVERSO[[#This Row],[Ruta]],'[1]CUOTA RUTA'!A:A,'[1]CUOTA RUTA'!D:D)</f>
        <v>Cargar</v>
      </c>
    </row>
    <row r="1848" spans="1:19" x14ac:dyDescent="0.25">
      <c r="A1848">
        <v>1500196812</v>
      </c>
      <c r="B1848" t="s">
        <v>3801</v>
      </c>
      <c r="C1848" t="s">
        <v>19</v>
      </c>
      <c r="D1848" t="s">
        <v>32</v>
      </c>
      <c r="E1848" t="s">
        <v>21</v>
      </c>
      <c r="F1848" t="s">
        <v>22</v>
      </c>
      <c r="G1848" t="s">
        <v>33</v>
      </c>
      <c r="H1848" t="s">
        <v>82</v>
      </c>
      <c r="I1848" t="s">
        <v>3802</v>
      </c>
      <c r="J1848">
        <v>9.8884229999999995</v>
      </c>
      <c r="K1848">
        <v>-84.070061999999993</v>
      </c>
      <c r="L1848" t="s">
        <v>1225</v>
      </c>
      <c r="M1848" t="s">
        <v>71</v>
      </c>
      <c r="N1848" t="s">
        <v>72</v>
      </c>
      <c r="O1848" t="s">
        <v>73</v>
      </c>
      <c r="P1848">
        <v>7</v>
      </c>
      <c r="Q1848" t="s">
        <v>39</v>
      </c>
      <c r="S1848" t="str">
        <f>_xlfn.XLOOKUP(UNIVERSO[[#This Row],[Ruta]],'[1]CUOTA RUTA'!A:A,'[1]CUOTA RUTA'!D:D)</f>
        <v>Cargar</v>
      </c>
    </row>
    <row r="1849" spans="1:19" x14ac:dyDescent="0.25">
      <c r="A1849">
        <v>1500196872</v>
      </c>
      <c r="B1849" t="s">
        <v>3803</v>
      </c>
      <c r="C1849" t="s">
        <v>19</v>
      </c>
      <c r="D1849" t="s">
        <v>32</v>
      </c>
      <c r="E1849" t="s">
        <v>21</v>
      </c>
      <c r="F1849" t="s">
        <v>22</v>
      </c>
      <c r="G1849" t="s">
        <v>64</v>
      </c>
      <c r="H1849" t="s">
        <v>425</v>
      </c>
      <c r="I1849" t="s">
        <v>3804</v>
      </c>
      <c r="J1849">
        <v>9.8705700000000007</v>
      </c>
      <c r="K1849">
        <v>-84.112469000000004</v>
      </c>
      <c r="L1849" t="s">
        <v>1225</v>
      </c>
      <c r="M1849" t="s">
        <v>71</v>
      </c>
      <c r="N1849" t="s">
        <v>72</v>
      </c>
      <c r="O1849" t="s">
        <v>73</v>
      </c>
      <c r="P1849">
        <v>14</v>
      </c>
      <c r="Q1849" t="s">
        <v>181</v>
      </c>
      <c r="S1849" t="str">
        <f>_xlfn.XLOOKUP(UNIVERSO[[#This Row],[Ruta]],'[1]CUOTA RUTA'!A:A,'[1]CUOTA RUTA'!D:D)</f>
        <v>Cargar</v>
      </c>
    </row>
    <row r="1850" spans="1:19" x14ac:dyDescent="0.25">
      <c r="A1850">
        <v>1500197120</v>
      </c>
      <c r="B1850" t="s">
        <v>3805</v>
      </c>
      <c r="C1850" t="s">
        <v>19</v>
      </c>
      <c r="D1850" t="s">
        <v>266</v>
      </c>
      <c r="E1850" t="s">
        <v>21</v>
      </c>
      <c r="F1850" t="s">
        <v>22</v>
      </c>
      <c r="G1850" t="s">
        <v>64</v>
      </c>
      <c r="H1850" t="s">
        <v>372</v>
      </c>
      <c r="I1850" t="s">
        <v>3806</v>
      </c>
      <c r="J1850">
        <v>9.9494941499999996</v>
      </c>
      <c r="K1850">
        <v>-83.699494650000005</v>
      </c>
      <c r="L1850" t="s">
        <v>1225</v>
      </c>
      <c r="M1850" t="s">
        <v>189</v>
      </c>
      <c r="N1850" t="s">
        <v>269</v>
      </c>
      <c r="O1850" t="s">
        <v>270</v>
      </c>
      <c r="P1850">
        <v>23</v>
      </c>
      <c r="Q1850" t="s">
        <v>125</v>
      </c>
      <c r="S1850" t="str">
        <f>_xlfn.XLOOKUP(UNIVERSO[[#This Row],[Ruta]],'[1]CUOTA RUTA'!A:A,'[1]CUOTA RUTA'!D:D)</f>
        <v>Cargar</v>
      </c>
    </row>
    <row r="1851" spans="1:19" x14ac:dyDescent="0.25">
      <c r="A1851">
        <v>1500197192</v>
      </c>
      <c r="B1851" t="s">
        <v>3807</v>
      </c>
      <c r="C1851" t="s">
        <v>19</v>
      </c>
      <c r="D1851" t="s">
        <v>266</v>
      </c>
      <c r="E1851" t="s">
        <v>21</v>
      </c>
      <c r="F1851" t="s">
        <v>22</v>
      </c>
      <c r="G1851" t="s">
        <v>64</v>
      </c>
      <c r="H1851" t="s">
        <v>267</v>
      </c>
      <c r="I1851" t="s">
        <v>3808</v>
      </c>
      <c r="J1851">
        <v>9.9105324499999998</v>
      </c>
      <c r="K1851">
        <v>-83.666046940000001</v>
      </c>
      <c r="L1851" t="s">
        <v>1225</v>
      </c>
      <c r="M1851" t="s">
        <v>189</v>
      </c>
      <c r="N1851" t="s">
        <v>269</v>
      </c>
      <c r="O1851" t="s">
        <v>270</v>
      </c>
      <c r="P1851">
        <v>22</v>
      </c>
      <c r="Q1851" t="s">
        <v>30</v>
      </c>
      <c r="S1851" t="str">
        <f>_xlfn.XLOOKUP(UNIVERSO[[#This Row],[Ruta]],'[1]CUOTA RUTA'!A:A,'[1]CUOTA RUTA'!D:D)</f>
        <v>Cargar</v>
      </c>
    </row>
    <row r="1852" spans="1:19" x14ac:dyDescent="0.25">
      <c r="A1852">
        <v>1500197203</v>
      </c>
      <c r="B1852" t="s">
        <v>3809</v>
      </c>
      <c r="C1852" t="s">
        <v>19</v>
      </c>
      <c r="D1852" t="s">
        <v>32</v>
      </c>
      <c r="E1852" t="s">
        <v>21</v>
      </c>
      <c r="F1852" t="s">
        <v>22</v>
      </c>
      <c r="G1852" t="s">
        <v>33</v>
      </c>
      <c r="H1852" t="s">
        <v>425</v>
      </c>
      <c r="I1852" t="s">
        <v>3810</v>
      </c>
      <c r="J1852">
        <v>9.8663589999999992</v>
      </c>
      <c r="K1852">
        <v>-84.081337000000005</v>
      </c>
      <c r="L1852" t="s">
        <v>1225</v>
      </c>
      <c r="M1852" t="s">
        <v>71</v>
      </c>
      <c r="N1852" t="s">
        <v>72</v>
      </c>
      <c r="O1852" t="s">
        <v>73</v>
      </c>
      <c r="P1852">
        <v>16</v>
      </c>
      <c r="Q1852" t="s">
        <v>60</v>
      </c>
      <c r="S1852" t="str">
        <f>_xlfn.XLOOKUP(UNIVERSO[[#This Row],[Ruta]],'[1]CUOTA RUTA'!A:A,'[1]CUOTA RUTA'!D:D)</f>
        <v>Cargar</v>
      </c>
    </row>
    <row r="1853" spans="1:19" x14ac:dyDescent="0.25">
      <c r="A1853">
        <v>1500197221</v>
      </c>
      <c r="B1853" t="s">
        <v>3811</v>
      </c>
      <c r="C1853" t="s">
        <v>19</v>
      </c>
      <c r="D1853" t="s">
        <v>266</v>
      </c>
      <c r="E1853" t="s">
        <v>21</v>
      </c>
      <c r="F1853" t="s">
        <v>22</v>
      </c>
      <c r="G1853" t="s">
        <v>33</v>
      </c>
      <c r="H1853" t="s">
        <v>372</v>
      </c>
      <c r="I1853" t="s">
        <v>3812</v>
      </c>
      <c r="J1853">
        <v>9.93956236</v>
      </c>
      <c r="K1853">
        <v>-83.721753669999998</v>
      </c>
      <c r="L1853" t="s">
        <v>1225</v>
      </c>
      <c r="M1853" t="s">
        <v>189</v>
      </c>
      <c r="N1853" t="s">
        <v>269</v>
      </c>
      <c r="O1853" t="s">
        <v>270</v>
      </c>
      <c r="P1853">
        <v>22</v>
      </c>
      <c r="Q1853" t="s">
        <v>30</v>
      </c>
      <c r="S1853" t="str">
        <f>_xlfn.XLOOKUP(UNIVERSO[[#This Row],[Ruta]],'[1]CUOTA RUTA'!A:A,'[1]CUOTA RUTA'!D:D)</f>
        <v>Cargar</v>
      </c>
    </row>
    <row r="1854" spans="1:19" x14ac:dyDescent="0.25">
      <c r="A1854">
        <v>1500197664</v>
      </c>
      <c r="B1854" t="s">
        <v>3813</v>
      </c>
      <c r="C1854" t="s">
        <v>19</v>
      </c>
      <c r="D1854" t="s">
        <v>266</v>
      </c>
      <c r="E1854" t="s">
        <v>21</v>
      </c>
      <c r="F1854" t="s">
        <v>22</v>
      </c>
      <c r="G1854" t="s">
        <v>23</v>
      </c>
      <c r="H1854" t="s">
        <v>366</v>
      </c>
      <c r="I1854" t="s">
        <v>3814</v>
      </c>
      <c r="J1854">
        <v>9.84023</v>
      </c>
      <c r="K1854">
        <v>-83.92219666666</v>
      </c>
      <c r="L1854" t="s">
        <v>1225</v>
      </c>
      <c r="M1854" t="s">
        <v>36</v>
      </c>
      <c r="N1854" t="s">
        <v>316</v>
      </c>
      <c r="O1854" t="s">
        <v>317</v>
      </c>
      <c r="P1854">
        <v>17</v>
      </c>
      <c r="Q1854" t="s">
        <v>287</v>
      </c>
      <c r="S1854" t="str">
        <f>_xlfn.XLOOKUP(UNIVERSO[[#This Row],[Ruta]],'[1]CUOTA RUTA'!A:A,'[1]CUOTA RUTA'!D:D)</f>
        <v>Cargar</v>
      </c>
    </row>
    <row r="1855" spans="1:19" x14ac:dyDescent="0.25">
      <c r="A1855">
        <v>1500197684</v>
      </c>
      <c r="B1855" t="s">
        <v>3815</v>
      </c>
      <c r="C1855" t="s">
        <v>19</v>
      </c>
      <c r="D1855" t="s">
        <v>266</v>
      </c>
      <c r="E1855" t="s">
        <v>21</v>
      </c>
      <c r="F1855" t="s">
        <v>22</v>
      </c>
      <c r="G1855" t="s">
        <v>23</v>
      </c>
      <c r="H1855" t="s">
        <v>314</v>
      </c>
      <c r="I1855" t="s">
        <v>3816</v>
      </c>
      <c r="J1855">
        <v>9.8726462000000001</v>
      </c>
      <c r="K1855">
        <v>-83.897566100000006</v>
      </c>
      <c r="L1855" t="s">
        <v>1225</v>
      </c>
      <c r="M1855" t="s">
        <v>36</v>
      </c>
      <c r="N1855" t="s">
        <v>316</v>
      </c>
      <c r="O1855" t="s">
        <v>317</v>
      </c>
      <c r="P1855">
        <v>17</v>
      </c>
      <c r="Q1855" t="s">
        <v>287</v>
      </c>
      <c r="S1855" t="str">
        <f>_xlfn.XLOOKUP(UNIVERSO[[#This Row],[Ruta]],'[1]CUOTA RUTA'!A:A,'[1]CUOTA RUTA'!D:D)</f>
        <v>Cargar</v>
      </c>
    </row>
    <row r="1856" spans="1:19" x14ac:dyDescent="0.25">
      <c r="A1856">
        <v>1500197698</v>
      </c>
      <c r="B1856" t="s">
        <v>3817</v>
      </c>
      <c r="C1856" t="s">
        <v>19</v>
      </c>
      <c r="D1856" t="s">
        <v>32</v>
      </c>
      <c r="E1856" t="s">
        <v>21</v>
      </c>
      <c r="F1856" t="s">
        <v>22</v>
      </c>
      <c r="G1856" t="s">
        <v>33</v>
      </c>
      <c r="H1856" t="s">
        <v>1191</v>
      </c>
      <c r="I1856" t="s">
        <v>3818</v>
      </c>
      <c r="J1856">
        <v>9.8931719999999999</v>
      </c>
      <c r="K1856">
        <v>-83.998480000000001</v>
      </c>
      <c r="L1856" t="s">
        <v>1225</v>
      </c>
      <c r="M1856" t="s">
        <v>36</v>
      </c>
      <c r="N1856" t="s">
        <v>37</v>
      </c>
      <c r="O1856" t="s">
        <v>38</v>
      </c>
      <c r="P1856">
        <v>23</v>
      </c>
      <c r="Q1856" t="s">
        <v>125</v>
      </c>
      <c r="S1856" t="str">
        <f>_xlfn.XLOOKUP(UNIVERSO[[#This Row],[Ruta]],'[1]CUOTA RUTA'!A:A,'[1]CUOTA RUTA'!D:D)</f>
        <v>Cargar</v>
      </c>
    </row>
    <row r="1857" spans="1:19" x14ac:dyDescent="0.25">
      <c r="A1857">
        <v>1500197861</v>
      </c>
      <c r="B1857" t="s">
        <v>1467</v>
      </c>
      <c r="C1857" t="s">
        <v>19</v>
      </c>
      <c r="D1857" t="s">
        <v>32</v>
      </c>
      <c r="E1857" t="s">
        <v>21</v>
      </c>
      <c r="F1857" t="s">
        <v>22</v>
      </c>
      <c r="G1857" t="s">
        <v>64</v>
      </c>
      <c r="H1857" t="s">
        <v>69</v>
      </c>
      <c r="I1857" t="s">
        <v>3819</v>
      </c>
      <c r="J1857">
        <v>9.8662983333330008</v>
      </c>
      <c r="K1857">
        <v>-84.064700000000002</v>
      </c>
      <c r="L1857" t="s">
        <v>1225</v>
      </c>
      <c r="M1857" t="s">
        <v>71</v>
      </c>
      <c r="N1857" t="s">
        <v>72</v>
      </c>
      <c r="O1857" t="s">
        <v>73</v>
      </c>
      <c r="P1857">
        <v>20</v>
      </c>
      <c r="Q1857" t="s">
        <v>74</v>
      </c>
      <c r="S1857" t="str">
        <f>_xlfn.XLOOKUP(UNIVERSO[[#This Row],[Ruta]],'[1]CUOTA RUTA'!A:A,'[1]CUOTA RUTA'!D:D)</f>
        <v>Cargar</v>
      </c>
    </row>
    <row r="1858" spans="1:19" x14ac:dyDescent="0.25">
      <c r="A1858">
        <v>1500197953</v>
      </c>
      <c r="B1858" t="s">
        <v>3820</v>
      </c>
      <c r="C1858" t="s">
        <v>19</v>
      </c>
      <c r="D1858" t="s">
        <v>32</v>
      </c>
      <c r="E1858" t="s">
        <v>21</v>
      </c>
      <c r="F1858" t="s">
        <v>22</v>
      </c>
      <c r="G1858" t="s">
        <v>33</v>
      </c>
      <c r="H1858" t="s">
        <v>69</v>
      </c>
      <c r="I1858" t="s">
        <v>3821</v>
      </c>
      <c r="J1858">
        <v>9.8654416666669995</v>
      </c>
      <c r="K1858">
        <v>-84.061108333329997</v>
      </c>
      <c r="L1858" t="s">
        <v>1225</v>
      </c>
      <c r="M1858" t="s">
        <v>71</v>
      </c>
      <c r="N1858" t="s">
        <v>72</v>
      </c>
      <c r="O1858" t="s">
        <v>73</v>
      </c>
      <c r="P1858">
        <v>22</v>
      </c>
      <c r="Q1858" t="s">
        <v>30</v>
      </c>
      <c r="S1858" t="str">
        <f>_xlfn.XLOOKUP(UNIVERSO[[#This Row],[Ruta]],'[1]CUOTA RUTA'!A:A,'[1]CUOTA RUTA'!D:D)</f>
        <v>Cargar</v>
      </c>
    </row>
    <row r="1859" spans="1:19" x14ac:dyDescent="0.25">
      <c r="A1859">
        <v>1500198085</v>
      </c>
      <c r="B1859" t="s">
        <v>3822</v>
      </c>
      <c r="C1859" t="s">
        <v>19</v>
      </c>
      <c r="D1859" t="s">
        <v>266</v>
      </c>
      <c r="E1859" t="s">
        <v>21</v>
      </c>
      <c r="F1859" t="s">
        <v>22</v>
      </c>
      <c r="G1859" t="s">
        <v>33</v>
      </c>
      <c r="H1859" t="s">
        <v>366</v>
      </c>
      <c r="I1859" t="s">
        <v>3823</v>
      </c>
      <c r="J1859">
        <v>9.8545716666670007</v>
      </c>
      <c r="K1859">
        <v>-83.920304999999999</v>
      </c>
      <c r="L1859" t="s">
        <v>1225</v>
      </c>
      <c r="M1859" t="s">
        <v>36</v>
      </c>
      <c r="N1859" t="s">
        <v>316</v>
      </c>
      <c r="O1859" t="s">
        <v>317</v>
      </c>
      <c r="P1859">
        <v>18</v>
      </c>
      <c r="Q1859" t="s">
        <v>84</v>
      </c>
      <c r="S1859" t="str">
        <f>_xlfn.XLOOKUP(UNIVERSO[[#This Row],[Ruta]],'[1]CUOTA RUTA'!A:A,'[1]CUOTA RUTA'!D:D)</f>
        <v>Cargar</v>
      </c>
    </row>
    <row r="1860" spans="1:19" x14ac:dyDescent="0.25">
      <c r="A1860">
        <v>1500198385</v>
      </c>
      <c r="B1860" t="s">
        <v>3824</v>
      </c>
      <c r="C1860" t="s">
        <v>19</v>
      </c>
      <c r="D1860" t="s">
        <v>32</v>
      </c>
      <c r="E1860" t="s">
        <v>21</v>
      </c>
      <c r="F1860" t="s">
        <v>22</v>
      </c>
      <c r="G1860" t="s">
        <v>33</v>
      </c>
      <c r="H1860" t="s">
        <v>179</v>
      </c>
      <c r="I1860" t="s">
        <v>3825</v>
      </c>
      <c r="J1860">
        <v>9.8950960000000006</v>
      </c>
      <c r="K1860">
        <v>-84.057495000000003</v>
      </c>
      <c r="L1860" t="s">
        <v>1225</v>
      </c>
      <c r="M1860" t="s">
        <v>36</v>
      </c>
      <c r="N1860" t="s">
        <v>37</v>
      </c>
      <c r="O1860" t="s">
        <v>38</v>
      </c>
      <c r="P1860">
        <v>13</v>
      </c>
      <c r="Q1860" t="s">
        <v>161</v>
      </c>
      <c r="S1860" t="str">
        <f>_xlfn.XLOOKUP(UNIVERSO[[#This Row],[Ruta]],'[1]CUOTA RUTA'!A:A,'[1]CUOTA RUTA'!D:D)</f>
        <v>Cargar</v>
      </c>
    </row>
    <row r="1861" spans="1:19" x14ac:dyDescent="0.25">
      <c r="A1861">
        <v>1500198395</v>
      </c>
      <c r="B1861" t="s">
        <v>3826</v>
      </c>
      <c r="C1861" t="s">
        <v>19</v>
      </c>
      <c r="D1861" t="s">
        <v>32</v>
      </c>
      <c r="E1861" t="s">
        <v>21</v>
      </c>
      <c r="F1861" t="s">
        <v>22</v>
      </c>
      <c r="G1861" t="s">
        <v>23</v>
      </c>
      <c r="H1861" t="s">
        <v>89</v>
      </c>
      <c r="I1861" t="s">
        <v>3827</v>
      </c>
      <c r="J1861">
        <v>9.8876399999999993</v>
      </c>
      <c r="K1861">
        <v>-84.0809</v>
      </c>
      <c r="L1861" t="s">
        <v>1225</v>
      </c>
      <c r="M1861" t="s">
        <v>71</v>
      </c>
      <c r="N1861" t="s">
        <v>72</v>
      </c>
      <c r="O1861" t="s">
        <v>73</v>
      </c>
      <c r="P1861">
        <v>7</v>
      </c>
      <c r="Q1861" t="s">
        <v>39</v>
      </c>
      <c r="S1861" t="str">
        <f>_xlfn.XLOOKUP(UNIVERSO[[#This Row],[Ruta]],'[1]CUOTA RUTA'!A:A,'[1]CUOTA RUTA'!D:D)</f>
        <v>Cargar</v>
      </c>
    </row>
    <row r="1862" spans="1:19" x14ac:dyDescent="0.25">
      <c r="A1862">
        <v>1500198413</v>
      </c>
      <c r="B1862" t="s">
        <v>3828</v>
      </c>
      <c r="C1862" t="s">
        <v>19</v>
      </c>
      <c r="D1862" t="s">
        <v>32</v>
      </c>
      <c r="E1862" t="s">
        <v>21</v>
      </c>
      <c r="F1862" t="s">
        <v>22</v>
      </c>
      <c r="G1862" t="s">
        <v>33</v>
      </c>
      <c r="H1862" t="s">
        <v>159</v>
      </c>
      <c r="I1862" t="s">
        <v>3829</v>
      </c>
      <c r="J1862">
        <v>9.8841599999999996</v>
      </c>
      <c r="K1862">
        <v>-84.109399999999994</v>
      </c>
      <c r="L1862" t="s">
        <v>1225</v>
      </c>
      <c r="M1862" t="s">
        <v>71</v>
      </c>
      <c r="N1862" t="s">
        <v>72</v>
      </c>
      <c r="O1862" t="s">
        <v>73</v>
      </c>
      <c r="P1862">
        <v>14</v>
      </c>
      <c r="Q1862" t="s">
        <v>181</v>
      </c>
      <c r="S1862" t="str">
        <f>_xlfn.XLOOKUP(UNIVERSO[[#This Row],[Ruta]],'[1]CUOTA RUTA'!A:A,'[1]CUOTA RUTA'!D:D)</f>
        <v>Cargar</v>
      </c>
    </row>
    <row r="1863" spans="1:19" x14ac:dyDescent="0.25">
      <c r="A1863">
        <v>1500198434</v>
      </c>
      <c r="B1863" t="s">
        <v>3830</v>
      </c>
      <c r="C1863" t="s">
        <v>19</v>
      </c>
      <c r="D1863" t="s">
        <v>32</v>
      </c>
      <c r="E1863" t="s">
        <v>21</v>
      </c>
      <c r="F1863" t="s">
        <v>22</v>
      </c>
      <c r="G1863" t="s">
        <v>33</v>
      </c>
      <c r="H1863" t="s">
        <v>106</v>
      </c>
      <c r="I1863" t="s">
        <v>3831</v>
      </c>
      <c r="J1863">
        <v>9.9198450000000005</v>
      </c>
      <c r="K1863">
        <v>-84.117371000000006</v>
      </c>
      <c r="L1863" t="s">
        <v>1225</v>
      </c>
      <c r="M1863" t="s">
        <v>71</v>
      </c>
      <c r="N1863" t="s">
        <v>72</v>
      </c>
      <c r="O1863" t="s">
        <v>73</v>
      </c>
      <c r="P1863">
        <v>11</v>
      </c>
      <c r="Q1863" t="s">
        <v>108</v>
      </c>
      <c r="S1863" t="str">
        <f>_xlfn.XLOOKUP(UNIVERSO[[#This Row],[Ruta]],'[1]CUOTA RUTA'!A:A,'[1]CUOTA RUTA'!D:D)</f>
        <v>Cargar</v>
      </c>
    </row>
    <row r="1864" spans="1:19" x14ac:dyDescent="0.25">
      <c r="A1864">
        <v>1500198487</v>
      </c>
      <c r="B1864" t="s">
        <v>3187</v>
      </c>
      <c r="C1864" t="s">
        <v>19</v>
      </c>
      <c r="D1864" t="s">
        <v>32</v>
      </c>
      <c r="E1864" t="s">
        <v>21</v>
      </c>
      <c r="F1864" t="s">
        <v>22</v>
      </c>
      <c r="G1864" t="s">
        <v>33</v>
      </c>
      <c r="H1864" t="s">
        <v>425</v>
      </c>
      <c r="I1864" t="s">
        <v>3832</v>
      </c>
      <c r="J1864">
        <v>9.8595959999999998</v>
      </c>
      <c r="K1864">
        <v>-84.089432000000002</v>
      </c>
      <c r="L1864" t="s">
        <v>1225</v>
      </c>
      <c r="M1864" t="s">
        <v>71</v>
      </c>
      <c r="N1864" t="s">
        <v>72</v>
      </c>
      <c r="O1864" t="s">
        <v>73</v>
      </c>
      <c r="P1864">
        <v>15</v>
      </c>
      <c r="Q1864" t="s">
        <v>231</v>
      </c>
      <c r="S1864" t="str">
        <f>_xlfn.XLOOKUP(UNIVERSO[[#This Row],[Ruta]],'[1]CUOTA RUTA'!A:A,'[1]CUOTA RUTA'!D:D)</f>
        <v>Cargar</v>
      </c>
    </row>
    <row r="1865" spans="1:19" x14ac:dyDescent="0.25">
      <c r="A1865">
        <v>1500198514</v>
      </c>
      <c r="B1865" t="s">
        <v>3833</v>
      </c>
      <c r="C1865" t="s">
        <v>19</v>
      </c>
      <c r="D1865" t="s">
        <v>32</v>
      </c>
      <c r="E1865" t="s">
        <v>21</v>
      </c>
      <c r="F1865" t="s">
        <v>22</v>
      </c>
      <c r="G1865" t="s">
        <v>33</v>
      </c>
      <c r="H1865" t="s">
        <v>425</v>
      </c>
      <c r="I1865" t="s">
        <v>3834</v>
      </c>
      <c r="J1865">
        <v>9.87974</v>
      </c>
      <c r="K1865">
        <v>-84.083564999999993</v>
      </c>
      <c r="L1865" t="s">
        <v>1225</v>
      </c>
      <c r="M1865" t="s">
        <v>71</v>
      </c>
      <c r="N1865" t="s">
        <v>72</v>
      </c>
      <c r="O1865" t="s">
        <v>73</v>
      </c>
      <c r="P1865">
        <v>17</v>
      </c>
      <c r="Q1865" t="s">
        <v>287</v>
      </c>
      <c r="S1865" t="str">
        <f>_xlfn.XLOOKUP(UNIVERSO[[#This Row],[Ruta]],'[1]CUOTA RUTA'!A:A,'[1]CUOTA RUTA'!D:D)</f>
        <v>Cargar</v>
      </c>
    </row>
    <row r="1866" spans="1:19" x14ac:dyDescent="0.25">
      <c r="A1866">
        <v>1500198845</v>
      </c>
      <c r="B1866" t="s">
        <v>3835</v>
      </c>
      <c r="C1866" t="s">
        <v>19</v>
      </c>
      <c r="D1866" t="s">
        <v>266</v>
      </c>
      <c r="E1866" t="s">
        <v>21</v>
      </c>
      <c r="F1866" t="s">
        <v>22</v>
      </c>
      <c r="G1866" t="s">
        <v>33</v>
      </c>
      <c r="H1866" t="s">
        <v>404</v>
      </c>
      <c r="I1866" t="s">
        <v>3836</v>
      </c>
      <c r="J1866">
        <v>9.8472583333330004</v>
      </c>
      <c r="K1866">
        <v>-83.893715</v>
      </c>
      <c r="L1866" t="s">
        <v>1225</v>
      </c>
      <c r="M1866" t="s">
        <v>36</v>
      </c>
      <c r="N1866" t="s">
        <v>316</v>
      </c>
      <c r="O1866" t="s">
        <v>317</v>
      </c>
      <c r="P1866">
        <v>17</v>
      </c>
      <c r="Q1866" t="s">
        <v>287</v>
      </c>
      <c r="S1866" t="str">
        <f>_xlfn.XLOOKUP(UNIVERSO[[#This Row],[Ruta]],'[1]CUOTA RUTA'!A:A,'[1]CUOTA RUTA'!D:D)</f>
        <v>Cargar</v>
      </c>
    </row>
    <row r="1867" spans="1:19" x14ac:dyDescent="0.25">
      <c r="A1867">
        <v>1500198906</v>
      </c>
      <c r="B1867" t="s">
        <v>3837</v>
      </c>
      <c r="C1867" t="s">
        <v>19</v>
      </c>
      <c r="D1867" t="s">
        <v>32</v>
      </c>
      <c r="E1867" t="s">
        <v>21</v>
      </c>
      <c r="F1867" t="s">
        <v>22</v>
      </c>
      <c r="G1867" t="s">
        <v>33</v>
      </c>
      <c r="H1867" t="s">
        <v>148</v>
      </c>
      <c r="I1867" t="s">
        <v>3838</v>
      </c>
      <c r="J1867">
        <v>9.9763400000000004</v>
      </c>
      <c r="K1867">
        <v>-84.020769999999999</v>
      </c>
      <c r="L1867" t="s">
        <v>1225</v>
      </c>
      <c r="M1867" t="s">
        <v>94</v>
      </c>
      <c r="N1867" t="s">
        <v>95</v>
      </c>
      <c r="O1867" t="s">
        <v>96</v>
      </c>
      <c r="P1867">
        <v>1</v>
      </c>
      <c r="Q1867" t="s">
        <v>155</v>
      </c>
      <c r="S1867" t="str">
        <f>_xlfn.XLOOKUP(UNIVERSO[[#This Row],[Ruta]],'[1]CUOTA RUTA'!A:A,'[1]CUOTA RUTA'!D:D)</f>
        <v>Cargar</v>
      </c>
    </row>
    <row r="1868" spans="1:19" x14ac:dyDescent="0.25">
      <c r="A1868">
        <v>1500199356</v>
      </c>
      <c r="B1868" t="s">
        <v>3839</v>
      </c>
      <c r="C1868" t="s">
        <v>19</v>
      </c>
      <c r="D1868" t="s">
        <v>32</v>
      </c>
      <c r="E1868" t="s">
        <v>21</v>
      </c>
      <c r="F1868" t="s">
        <v>22</v>
      </c>
      <c r="G1868" t="s">
        <v>64</v>
      </c>
      <c r="H1868" t="s">
        <v>148</v>
      </c>
      <c r="I1868" t="s">
        <v>3840</v>
      </c>
      <c r="J1868">
        <v>10.01665</v>
      </c>
      <c r="K1868">
        <v>-84.010589999999993</v>
      </c>
      <c r="L1868" t="s">
        <v>1225</v>
      </c>
      <c r="M1868" t="s">
        <v>94</v>
      </c>
      <c r="N1868" t="s">
        <v>95</v>
      </c>
      <c r="O1868" t="s">
        <v>96</v>
      </c>
      <c r="P1868">
        <v>5</v>
      </c>
      <c r="Q1868" t="s">
        <v>117</v>
      </c>
      <c r="S1868" t="str">
        <f>_xlfn.XLOOKUP(UNIVERSO[[#This Row],[Ruta]],'[1]CUOTA RUTA'!A:A,'[1]CUOTA RUTA'!D:D)</f>
        <v>Cargar</v>
      </c>
    </row>
    <row r="1869" spans="1:19" x14ac:dyDescent="0.25">
      <c r="A1869">
        <v>1500199672</v>
      </c>
      <c r="B1869" t="s">
        <v>3841</v>
      </c>
      <c r="C1869" t="s">
        <v>19</v>
      </c>
      <c r="D1869" t="s">
        <v>32</v>
      </c>
      <c r="E1869" t="s">
        <v>21</v>
      </c>
      <c r="F1869" t="s">
        <v>22</v>
      </c>
      <c r="G1869" t="s">
        <v>23</v>
      </c>
      <c r="H1869" t="s">
        <v>34</v>
      </c>
      <c r="I1869" t="s">
        <v>3842</v>
      </c>
      <c r="J1869">
        <v>9.9338999999999995</v>
      </c>
      <c r="K1869">
        <v>-84.089115000000007</v>
      </c>
      <c r="L1869" t="s">
        <v>1225</v>
      </c>
      <c r="M1869" t="s">
        <v>36</v>
      </c>
      <c r="N1869" t="s">
        <v>37</v>
      </c>
      <c r="O1869" t="s">
        <v>38</v>
      </c>
      <c r="P1869">
        <v>6</v>
      </c>
      <c r="Q1869" t="s">
        <v>49</v>
      </c>
      <c r="S1869" t="str">
        <f>_xlfn.XLOOKUP(UNIVERSO[[#This Row],[Ruta]],'[1]CUOTA RUTA'!A:A,'[1]CUOTA RUTA'!D:D)</f>
        <v>Cargar</v>
      </c>
    </row>
    <row r="1870" spans="1:19" x14ac:dyDescent="0.25">
      <c r="A1870">
        <v>1500200051</v>
      </c>
      <c r="B1870" t="s">
        <v>3843</v>
      </c>
      <c r="C1870" t="s">
        <v>19</v>
      </c>
      <c r="D1870" t="s">
        <v>244</v>
      </c>
      <c r="E1870" t="s">
        <v>21</v>
      </c>
      <c r="F1870" t="s">
        <v>22</v>
      </c>
      <c r="G1870" t="s">
        <v>64</v>
      </c>
      <c r="H1870" t="s">
        <v>857</v>
      </c>
      <c r="I1870" t="s">
        <v>3844</v>
      </c>
      <c r="J1870">
        <v>9.1388549999999995</v>
      </c>
      <c r="K1870">
        <v>-83.312264999999996</v>
      </c>
      <c r="L1870" t="s">
        <v>1225</v>
      </c>
      <c r="M1870" t="s">
        <v>46</v>
      </c>
      <c r="N1870" t="s">
        <v>247</v>
      </c>
      <c r="O1870" t="s">
        <v>248</v>
      </c>
      <c r="P1870">
        <v>12</v>
      </c>
      <c r="Q1870" t="s">
        <v>42</v>
      </c>
      <c r="S1870" t="str">
        <f>_xlfn.XLOOKUP(UNIVERSO[[#This Row],[Ruta]],'[1]CUOTA RUTA'!A:A,'[1]CUOTA RUTA'!D:D)</f>
        <v>Cargar</v>
      </c>
    </row>
    <row r="1871" spans="1:19" x14ac:dyDescent="0.25">
      <c r="A1871">
        <v>1500200165</v>
      </c>
      <c r="B1871" t="s">
        <v>3845</v>
      </c>
      <c r="C1871" t="s">
        <v>19</v>
      </c>
      <c r="D1871" t="s">
        <v>244</v>
      </c>
      <c r="E1871" t="s">
        <v>21</v>
      </c>
      <c r="F1871" t="s">
        <v>22</v>
      </c>
      <c r="G1871" t="s">
        <v>64</v>
      </c>
      <c r="H1871" t="s">
        <v>566</v>
      </c>
      <c r="I1871" t="s">
        <v>3846</v>
      </c>
      <c r="J1871">
        <v>9.3719599999999996</v>
      </c>
      <c r="K1871">
        <v>-83.693669999999997</v>
      </c>
      <c r="L1871" t="s">
        <v>1225</v>
      </c>
      <c r="M1871" t="s">
        <v>46</v>
      </c>
      <c r="N1871" t="s">
        <v>247</v>
      </c>
      <c r="O1871" t="s">
        <v>248</v>
      </c>
      <c r="P1871">
        <v>15</v>
      </c>
      <c r="Q1871" t="s">
        <v>231</v>
      </c>
      <c r="S1871" t="str">
        <f>_xlfn.XLOOKUP(UNIVERSO[[#This Row],[Ruta]],'[1]CUOTA RUTA'!A:A,'[1]CUOTA RUTA'!D:D)</f>
        <v>Cargar</v>
      </c>
    </row>
    <row r="1872" spans="1:19" x14ac:dyDescent="0.25">
      <c r="A1872">
        <v>1500200225</v>
      </c>
      <c r="B1872" t="s">
        <v>3847</v>
      </c>
      <c r="C1872" t="s">
        <v>19</v>
      </c>
      <c r="D1872" t="s">
        <v>244</v>
      </c>
      <c r="E1872" t="s">
        <v>21</v>
      </c>
      <c r="F1872" t="s">
        <v>22</v>
      </c>
      <c r="G1872" t="s">
        <v>33</v>
      </c>
      <c r="H1872" t="s">
        <v>566</v>
      </c>
      <c r="I1872" t="s">
        <v>3848</v>
      </c>
      <c r="J1872">
        <v>9.3636700000000008</v>
      </c>
      <c r="K1872">
        <v>-83.692092000000002</v>
      </c>
      <c r="L1872" t="s">
        <v>1225</v>
      </c>
      <c r="M1872" t="s">
        <v>46</v>
      </c>
      <c r="N1872" t="s">
        <v>247</v>
      </c>
      <c r="O1872" t="s">
        <v>248</v>
      </c>
      <c r="P1872">
        <v>14</v>
      </c>
      <c r="Q1872" t="s">
        <v>181</v>
      </c>
      <c r="S1872" t="str">
        <f>_xlfn.XLOOKUP(UNIVERSO[[#This Row],[Ruta]],'[1]CUOTA RUTA'!A:A,'[1]CUOTA RUTA'!D:D)</f>
        <v>Cargar</v>
      </c>
    </row>
    <row r="1873" spans="1:19" x14ac:dyDescent="0.25">
      <c r="A1873">
        <v>1500200227</v>
      </c>
      <c r="B1873" t="s">
        <v>3849</v>
      </c>
      <c r="C1873" t="s">
        <v>19</v>
      </c>
      <c r="D1873" t="s">
        <v>244</v>
      </c>
      <c r="E1873" t="s">
        <v>21</v>
      </c>
      <c r="F1873" t="s">
        <v>22</v>
      </c>
      <c r="G1873" t="s">
        <v>33</v>
      </c>
      <c r="H1873" t="s">
        <v>1233</v>
      </c>
      <c r="I1873" t="s">
        <v>3850</v>
      </c>
      <c r="J1873">
        <v>9.3625150000000001</v>
      </c>
      <c r="K1873">
        <v>-83.678177000000005</v>
      </c>
      <c r="L1873" t="s">
        <v>1225</v>
      </c>
      <c r="M1873" t="s">
        <v>46</v>
      </c>
      <c r="N1873" t="s">
        <v>247</v>
      </c>
      <c r="O1873" t="s">
        <v>248</v>
      </c>
      <c r="P1873">
        <v>14</v>
      </c>
      <c r="Q1873" t="s">
        <v>181</v>
      </c>
      <c r="S1873" t="str">
        <f>_xlfn.XLOOKUP(UNIVERSO[[#This Row],[Ruta]],'[1]CUOTA RUTA'!A:A,'[1]CUOTA RUTA'!D:D)</f>
        <v>Cargar</v>
      </c>
    </row>
    <row r="1874" spans="1:19" x14ac:dyDescent="0.25">
      <c r="A1874">
        <v>1500200315</v>
      </c>
      <c r="B1874" t="s">
        <v>3851</v>
      </c>
      <c r="C1874" t="s">
        <v>19</v>
      </c>
      <c r="D1874" t="s">
        <v>244</v>
      </c>
      <c r="E1874" t="s">
        <v>21</v>
      </c>
      <c r="F1874" t="s">
        <v>22</v>
      </c>
      <c r="G1874" t="s">
        <v>23</v>
      </c>
      <c r="H1874" t="s">
        <v>1233</v>
      </c>
      <c r="I1874" t="s">
        <v>3852</v>
      </c>
      <c r="J1874">
        <v>9.2870249999999999</v>
      </c>
      <c r="K1874">
        <v>-83.808439000000007</v>
      </c>
      <c r="L1874" t="s">
        <v>1225</v>
      </c>
      <c r="M1874" t="s">
        <v>46</v>
      </c>
      <c r="N1874" t="s">
        <v>247</v>
      </c>
      <c r="O1874" t="s">
        <v>248</v>
      </c>
      <c r="P1874">
        <v>16</v>
      </c>
      <c r="Q1874" t="s">
        <v>60</v>
      </c>
      <c r="S1874" t="str">
        <f>_xlfn.XLOOKUP(UNIVERSO[[#This Row],[Ruta]],'[1]CUOTA RUTA'!A:A,'[1]CUOTA RUTA'!D:D)</f>
        <v>Cargar</v>
      </c>
    </row>
    <row r="1875" spans="1:19" x14ac:dyDescent="0.25">
      <c r="A1875">
        <v>1500200344</v>
      </c>
      <c r="B1875" t="s">
        <v>3853</v>
      </c>
      <c r="C1875" t="s">
        <v>19</v>
      </c>
      <c r="D1875" t="s">
        <v>244</v>
      </c>
      <c r="E1875" t="s">
        <v>21</v>
      </c>
      <c r="F1875" t="s">
        <v>22</v>
      </c>
      <c r="G1875" t="s">
        <v>64</v>
      </c>
      <c r="H1875" t="s">
        <v>1294</v>
      </c>
      <c r="I1875" t="s">
        <v>3854</v>
      </c>
      <c r="J1875">
        <v>9.3686849999999993</v>
      </c>
      <c r="K1875">
        <v>-83.706232</v>
      </c>
      <c r="L1875" t="s">
        <v>1225</v>
      </c>
      <c r="M1875" t="s">
        <v>46</v>
      </c>
      <c r="N1875" t="s">
        <v>247</v>
      </c>
      <c r="O1875" t="s">
        <v>248</v>
      </c>
      <c r="P1875">
        <v>14</v>
      </c>
      <c r="Q1875" t="s">
        <v>181</v>
      </c>
      <c r="S1875" t="str">
        <f>_xlfn.XLOOKUP(UNIVERSO[[#This Row],[Ruta]],'[1]CUOTA RUTA'!A:A,'[1]CUOTA RUTA'!D:D)</f>
        <v>Cargar</v>
      </c>
    </row>
    <row r="1876" spans="1:19" x14ac:dyDescent="0.25">
      <c r="A1876">
        <v>1500200347</v>
      </c>
      <c r="B1876" t="s">
        <v>3855</v>
      </c>
      <c r="C1876" t="s">
        <v>19</v>
      </c>
      <c r="D1876" t="s">
        <v>244</v>
      </c>
      <c r="E1876" t="s">
        <v>21</v>
      </c>
      <c r="F1876" t="s">
        <v>22</v>
      </c>
      <c r="G1876" t="s">
        <v>33</v>
      </c>
      <c r="H1876" t="s">
        <v>1294</v>
      </c>
      <c r="I1876" t="s">
        <v>3856</v>
      </c>
      <c r="J1876">
        <v>9.3508083333329992</v>
      </c>
      <c r="K1876">
        <v>-83.731126666660003</v>
      </c>
      <c r="L1876" t="s">
        <v>1225</v>
      </c>
      <c r="M1876" t="s">
        <v>46</v>
      </c>
      <c r="N1876" t="s">
        <v>247</v>
      </c>
      <c r="O1876" t="s">
        <v>248</v>
      </c>
      <c r="P1876">
        <v>16</v>
      </c>
      <c r="Q1876" t="s">
        <v>60</v>
      </c>
      <c r="S1876" t="str">
        <f>_xlfn.XLOOKUP(UNIVERSO[[#This Row],[Ruta]],'[1]CUOTA RUTA'!A:A,'[1]CUOTA RUTA'!D:D)</f>
        <v>Cargar</v>
      </c>
    </row>
    <row r="1877" spans="1:19" x14ac:dyDescent="0.25">
      <c r="A1877">
        <v>1500200348</v>
      </c>
      <c r="B1877" t="s">
        <v>3857</v>
      </c>
      <c r="C1877" t="s">
        <v>19</v>
      </c>
      <c r="D1877" t="s">
        <v>244</v>
      </c>
      <c r="E1877" t="s">
        <v>21</v>
      </c>
      <c r="F1877" t="s">
        <v>22</v>
      </c>
      <c r="G1877" t="s">
        <v>64</v>
      </c>
      <c r="H1877" t="s">
        <v>1233</v>
      </c>
      <c r="I1877" t="s">
        <v>3858</v>
      </c>
      <c r="J1877">
        <v>9.2528959999999998</v>
      </c>
      <c r="K1877">
        <v>-83.864479000000003</v>
      </c>
      <c r="L1877" t="s">
        <v>1225</v>
      </c>
      <c r="M1877" t="s">
        <v>46</v>
      </c>
      <c r="N1877" t="s">
        <v>247</v>
      </c>
      <c r="O1877" t="s">
        <v>248</v>
      </c>
      <c r="P1877">
        <v>16</v>
      </c>
      <c r="Q1877" t="s">
        <v>60</v>
      </c>
      <c r="S1877" t="str">
        <f>_xlfn.XLOOKUP(UNIVERSO[[#This Row],[Ruta]],'[1]CUOTA RUTA'!A:A,'[1]CUOTA RUTA'!D:D)</f>
        <v>Cargar</v>
      </c>
    </row>
    <row r="1878" spans="1:19" x14ac:dyDescent="0.25">
      <c r="A1878">
        <v>1500200441</v>
      </c>
      <c r="B1878" t="s">
        <v>1928</v>
      </c>
      <c r="C1878" t="s">
        <v>19</v>
      </c>
      <c r="D1878" t="s">
        <v>244</v>
      </c>
      <c r="E1878" t="s">
        <v>21</v>
      </c>
      <c r="F1878" t="s">
        <v>22</v>
      </c>
      <c r="G1878" t="s">
        <v>33</v>
      </c>
      <c r="H1878" t="s">
        <v>857</v>
      </c>
      <c r="I1878" t="s">
        <v>3859</v>
      </c>
      <c r="J1878">
        <v>9.3835873500000009</v>
      </c>
      <c r="K1878">
        <v>-83.697256620000005</v>
      </c>
      <c r="L1878" t="s">
        <v>1225</v>
      </c>
      <c r="M1878" t="s">
        <v>46</v>
      </c>
      <c r="N1878" t="s">
        <v>247</v>
      </c>
      <c r="O1878" t="s">
        <v>248</v>
      </c>
      <c r="P1878">
        <v>15</v>
      </c>
      <c r="Q1878" t="s">
        <v>231</v>
      </c>
      <c r="S1878" t="str">
        <f>_xlfn.XLOOKUP(UNIVERSO[[#This Row],[Ruta]],'[1]CUOTA RUTA'!A:A,'[1]CUOTA RUTA'!D:D)</f>
        <v>Cargar</v>
      </c>
    </row>
    <row r="1879" spans="1:19" x14ac:dyDescent="0.25">
      <c r="A1879">
        <v>1500200753</v>
      </c>
      <c r="B1879" t="s">
        <v>3860</v>
      </c>
      <c r="C1879" t="s">
        <v>19</v>
      </c>
      <c r="D1879" t="s">
        <v>569</v>
      </c>
      <c r="E1879" t="s">
        <v>62</v>
      </c>
      <c r="F1879" t="s">
        <v>63</v>
      </c>
      <c r="G1879" t="s">
        <v>64</v>
      </c>
      <c r="H1879" t="s">
        <v>570</v>
      </c>
      <c r="I1879" t="s">
        <v>3861</v>
      </c>
      <c r="J1879">
        <v>8.6782900000000005</v>
      </c>
      <c r="K1879">
        <v>-83.066693000000001</v>
      </c>
      <c r="L1879" t="s">
        <v>1225</v>
      </c>
      <c r="M1879" t="s">
        <v>572</v>
      </c>
      <c r="N1879" t="s">
        <v>573</v>
      </c>
      <c r="O1879" t="s">
        <v>574</v>
      </c>
      <c r="P1879">
        <v>23</v>
      </c>
      <c r="Q1879" t="s">
        <v>125</v>
      </c>
      <c r="S1879" t="str">
        <f>_xlfn.XLOOKUP(UNIVERSO[[#This Row],[Ruta]],'[1]CUOTA RUTA'!A:A,'[1]CUOTA RUTA'!D:D)</f>
        <v>Cargar</v>
      </c>
    </row>
    <row r="1880" spans="1:19" x14ac:dyDescent="0.25">
      <c r="A1880">
        <v>1500201090</v>
      </c>
      <c r="B1880" t="s">
        <v>3862</v>
      </c>
      <c r="C1880" t="s">
        <v>19</v>
      </c>
      <c r="D1880" t="s">
        <v>266</v>
      </c>
      <c r="E1880" t="s">
        <v>21</v>
      </c>
      <c r="F1880" t="s">
        <v>22</v>
      </c>
      <c r="G1880" t="s">
        <v>33</v>
      </c>
      <c r="H1880" t="s">
        <v>366</v>
      </c>
      <c r="I1880" t="s">
        <v>3863</v>
      </c>
      <c r="J1880">
        <v>9.8378499999999995</v>
      </c>
      <c r="K1880">
        <v>-83.921496666660005</v>
      </c>
      <c r="L1880" t="s">
        <v>1225</v>
      </c>
      <c r="M1880" t="s">
        <v>36</v>
      </c>
      <c r="N1880" t="s">
        <v>316</v>
      </c>
      <c r="O1880" t="s">
        <v>317</v>
      </c>
      <c r="P1880">
        <v>17</v>
      </c>
      <c r="Q1880" t="s">
        <v>287</v>
      </c>
      <c r="S1880" t="str">
        <f>_xlfn.XLOOKUP(UNIVERSO[[#This Row],[Ruta]],'[1]CUOTA RUTA'!A:A,'[1]CUOTA RUTA'!D:D)</f>
        <v>Cargar</v>
      </c>
    </row>
    <row r="1881" spans="1:19" x14ac:dyDescent="0.25">
      <c r="A1881">
        <v>1500201157</v>
      </c>
      <c r="B1881" t="s">
        <v>3864</v>
      </c>
      <c r="C1881" t="s">
        <v>19</v>
      </c>
      <c r="D1881" t="s">
        <v>266</v>
      </c>
      <c r="E1881" t="s">
        <v>21</v>
      </c>
      <c r="F1881" t="s">
        <v>22</v>
      </c>
      <c r="G1881" t="s">
        <v>23</v>
      </c>
      <c r="H1881" t="s">
        <v>321</v>
      </c>
      <c r="I1881" t="s">
        <v>3865</v>
      </c>
      <c r="J1881">
        <v>9.7903581000000006</v>
      </c>
      <c r="K1881">
        <v>-83.851060599999997</v>
      </c>
      <c r="L1881" t="s">
        <v>1225</v>
      </c>
      <c r="M1881" t="s">
        <v>54</v>
      </c>
      <c r="N1881" t="s">
        <v>274</v>
      </c>
      <c r="O1881" t="s">
        <v>275</v>
      </c>
      <c r="P1881">
        <v>23</v>
      </c>
      <c r="Q1881" t="s">
        <v>125</v>
      </c>
      <c r="S1881" t="str">
        <f>_xlfn.XLOOKUP(UNIVERSO[[#This Row],[Ruta]],'[1]CUOTA RUTA'!A:A,'[1]CUOTA RUTA'!D:D)</f>
        <v>Cargar</v>
      </c>
    </row>
    <row r="1882" spans="1:19" x14ac:dyDescent="0.25">
      <c r="A1882">
        <v>1500201289</v>
      </c>
      <c r="B1882" t="s">
        <v>137</v>
      </c>
      <c r="C1882" t="s">
        <v>19</v>
      </c>
      <c r="D1882" t="s">
        <v>266</v>
      </c>
      <c r="E1882" t="s">
        <v>21</v>
      </c>
      <c r="F1882" t="s">
        <v>22</v>
      </c>
      <c r="G1882" t="s">
        <v>33</v>
      </c>
      <c r="H1882" t="s">
        <v>366</v>
      </c>
      <c r="I1882" t="s">
        <v>3866</v>
      </c>
      <c r="J1882">
        <v>9.8445900000000002</v>
      </c>
      <c r="K1882">
        <v>-83.90835833333</v>
      </c>
      <c r="L1882" t="s">
        <v>1225</v>
      </c>
      <c r="M1882" t="s">
        <v>36</v>
      </c>
      <c r="N1882" t="s">
        <v>316</v>
      </c>
      <c r="O1882" t="s">
        <v>317</v>
      </c>
      <c r="P1882">
        <v>17</v>
      </c>
      <c r="Q1882" t="s">
        <v>287</v>
      </c>
      <c r="S1882" t="str">
        <f>_xlfn.XLOOKUP(UNIVERSO[[#This Row],[Ruta]],'[1]CUOTA RUTA'!A:A,'[1]CUOTA RUTA'!D:D)</f>
        <v>Cargar</v>
      </c>
    </row>
    <row r="1883" spans="1:19" x14ac:dyDescent="0.25">
      <c r="A1883">
        <v>1500201393</v>
      </c>
      <c r="B1883" t="s">
        <v>3867</v>
      </c>
      <c r="C1883" t="s">
        <v>19</v>
      </c>
      <c r="D1883" t="s">
        <v>244</v>
      </c>
      <c r="E1883" t="s">
        <v>21</v>
      </c>
      <c r="F1883" t="s">
        <v>22</v>
      </c>
      <c r="G1883" t="s">
        <v>33</v>
      </c>
      <c r="H1883" t="s">
        <v>245</v>
      </c>
      <c r="I1883" t="s">
        <v>3868</v>
      </c>
      <c r="J1883">
        <v>9.158221666667</v>
      </c>
      <c r="K1883">
        <v>-83.743656666660002</v>
      </c>
      <c r="L1883" t="s">
        <v>1225</v>
      </c>
      <c r="M1883" t="s">
        <v>46</v>
      </c>
      <c r="N1883" t="s">
        <v>247</v>
      </c>
      <c r="O1883" t="s">
        <v>248</v>
      </c>
      <c r="P1883">
        <v>19</v>
      </c>
      <c r="Q1883" t="s">
        <v>67</v>
      </c>
      <c r="S1883" t="str">
        <f>_xlfn.XLOOKUP(UNIVERSO[[#This Row],[Ruta]],'[1]CUOTA RUTA'!A:A,'[1]CUOTA RUTA'!D:D)</f>
        <v>Cargar</v>
      </c>
    </row>
    <row r="1884" spans="1:19" x14ac:dyDescent="0.25">
      <c r="A1884">
        <v>1500201663</v>
      </c>
      <c r="B1884" t="s">
        <v>3869</v>
      </c>
      <c r="C1884" t="s">
        <v>19</v>
      </c>
      <c r="D1884" t="s">
        <v>244</v>
      </c>
      <c r="E1884" t="s">
        <v>21</v>
      </c>
      <c r="F1884" t="s">
        <v>22</v>
      </c>
      <c r="G1884" t="s">
        <v>64</v>
      </c>
      <c r="H1884" t="s">
        <v>245</v>
      </c>
      <c r="I1884" t="s">
        <v>3870</v>
      </c>
      <c r="J1884">
        <v>9.3562770000000004</v>
      </c>
      <c r="K1884">
        <v>-83.674046000000004</v>
      </c>
      <c r="L1884" t="s">
        <v>1225</v>
      </c>
      <c r="M1884" t="s">
        <v>46</v>
      </c>
      <c r="N1884" t="s">
        <v>247</v>
      </c>
      <c r="O1884" t="s">
        <v>248</v>
      </c>
      <c r="P1884">
        <v>14</v>
      </c>
      <c r="Q1884" t="s">
        <v>181</v>
      </c>
      <c r="S1884" t="str">
        <f>_xlfn.XLOOKUP(UNIVERSO[[#This Row],[Ruta]],'[1]CUOTA RUTA'!A:A,'[1]CUOTA RUTA'!D:D)</f>
        <v>Cargar</v>
      </c>
    </row>
    <row r="1885" spans="1:19" x14ac:dyDescent="0.25">
      <c r="A1885">
        <v>1500201678</v>
      </c>
      <c r="B1885" t="s">
        <v>3871</v>
      </c>
      <c r="C1885" t="s">
        <v>19</v>
      </c>
      <c r="D1885" t="s">
        <v>244</v>
      </c>
      <c r="E1885" t="s">
        <v>21</v>
      </c>
      <c r="F1885" t="s">
        <v>22</v>
      </c>
      <c r="G1885" t="s">
        <v>64</v>
      </c>
      <c r="H1885" t="s">
        <v>1233</v>
      </c>
      <c r="I1885" t="s">
        <v>3872</v>
      </c>
      <c r="J1885">
        <v>9.3564559999999997</v>
      </c>
      <c r="K1885">
        <v>-83.682737000000003</v>
      </c>
      <c r="L1885" t="s">
        <v>1225</v>
      </c>
      <c r="M1885" t="s">
        <v>46</v>
      </c>
      <c r="N1885" t="s">
        <v>247</v>
      </c>
      <c r="O1885" t="s">
        <v>248</v>
      </c>
      <c r="P1885">
        <v>14</v>
      </c>
      <c r="Q1885" t="s">
        <v>181</v>
      </c>
      <c r="S1885" t="str">
        <f>_xlfn.XLOOKUP(UNIVERSO[[#This Row],[Ruta]],'[1]CUOTA RUTA'!A:A,'[1]CUOTA RUTA'!D:D)</f>
        <v>Cargar</v>
      </c>
    </row>
    <row r="1886" spans="1:19" x14ac:dyDescent="0.25">
      <c r="A1886">
        <v>1500201726</v>
      </c>
      <c r="B1886" t="s">
        <v>3873</v>
      </c>
      <c r="C1886" t="s">
        <v>19</v>
      </c>
      <c r="D1886" t="s">
        <v>244</v>
      </c>
      <c r="E1886" t="s">
        <v>21</v>
      </c>
      <c r="F1886" t="s">
        <v>22</v>
      </c>
      <c r="G1886" t="s">
        <v>33</v>
      </c>
      <c r="H1886" t="s">
        <v>566</v>
      </c>
      <c r="I1886" t="s">
        <v>3874</v>
      </c>
      <c r="J1886">
        <v>9.3660440000000005</v>
      </c>
      <c r="K1886">
        <v>-83.697710000000001</v>
      </c>
      <c r="L1886" t="s">
        <v>1225</v>
      </c>
      <c r="M1886" t="s">
        <v>46</v>
      </c>
      <c r="N1886" t="s">
        <v>247</v>
      </c>
      <c r="O1886" t="s">
        <v>248</v>
      </c>
      <c r="P1886">
        <v>14</v>
      </c>
      <c r="Q1886" t="s">
        <v>181</v>
      </c>
      <c r="S1886" t="str">
        <f>_xlfn.XLOOKUP(UNIVERSO[[#This Row],[Ruta]],'[1]CUOTA RUTA'!A:A,'[1]CUOTA RUTA'!D:D)</f>
        <v>Cargar</v>
      </c>
    </row>
    <row r="1887" spans="1:19" x14ac:dyDescent="0.25">
      <c r="A1887">
        <v>1500202010</v>
      </c>
      <c r="B1887" t="s">
        <v>3332</v>
      </c>
      <c r="C1887" t="s">
        <v>19</v>
      </c>
      <c r="D1887" t="s">
        <v>266</v>
      </c>
      <c r="E1887" t="s">
        <v>21</v>
      </c>
      <c r="F1887" t="s">
        <v>22</v>
      </c>
      <c r="G1887" t="s">
        <v>64</v>
      </c>
      <c r="H1887" t="s">
        <v>703</v>
      </c>
      <c r="I1887" t="s">
        <v>3875</v>
      </c>
      <c r="J1887">
        <v>9.8473159999999993</v>
      </c>
      <c r="K1887">
        <v>-83.938098999999994</v>
      </c>
      <c r="L1887" t="s">
        <v>1225</v>
      </c>
      <c r="M1887" t="s">
        <v>36</v>
      </c>
      <c r="N1887" t="s">
        <v>316</v>
      </c>
      <c r="O1887" t="s">
        <v>317</v>
      </c>
      <c r="P1887">
        <v>17</v>
      </c>
      <c r="Q1887" t="s">
        <v>287</v>
      </c>
      <c r="S1887" t="str">
        <f>_xlfn.XLOOKUP(UNIVERSO[[#This Row],[Ruta]],'[1]CUOTA RUTA'!A:A,'[1]CUOTA RUTA'!D:D)</f>
        <v>Cargar</v>
      </c>
    </row>
    <row r="1888" spans="1:19" x14ac:dyDescent="0.25">
      <c r="A1888">
        <v>1500220054</v>
      </c>
      <c r="B1888" t="s">
        <v>3876</v>
      </c>
      <c r="C1888" t="s">
        <v>19</v>
      </c>
      <c r="D1888" t="s">
        <v>349</v>
      </c>
      <c r="E1888" t="s">
        <v>21</v>
      </c>
      <c r="F1888" t="s">
        <v>22</v>
      </c>
      <c r="G1888" t="s">
        <v>64</v>
      </c>
      <c r="H1888" t="s">
        <v>359</v>
      </c>
      <c r="I1888" t="s">
        <v>3877</v>
      </c>
      <c r="J1888">
        <v>10.278464</v>
      </c>
      <c r="K1888">
        <v>-85.789669000000004</v>
      </c>
      <c r="L1888" t="s">
        <v>1225</v>
      </c>
      <c r="M1888" t="s">
        <v>352</v>
      </c>
      <c r="N1888" t="s">
        <v>353</v>
      </c>
      <c r="O1888" t="s">
        <v>354</v>
      </c>
      <c r="P1888">
        <v>4</v>
      </c>
      <c r="Q1888" t="s">
        <v>120</v>
      </c>
      <c r="S1888" t="str">
        <f>_xlfn.XLOOKUP(UNIVERSO[[#This Row],[Ruta]],'[1]CUOTA RUTA'!A:A,'[1]CUOTA RUTA'!D:D)</f>
        <v>Cargar</v>
      </c>
    </row>
    <row r="1889" spans="1:19" x14ac:dyDescent="0.25">
      <c r="A1889">
        <v>1500220059</v>
      </c>
      <c r="B1889" t="s">
        <v>3878</v>
      </c>
      <c r="C1889" t="s">
        <v>19</v>
      </c>
      <c r="D1889" t="s">
        <v>349</v>
      </c>
      <c r="E1889" t="s">
        <v>21</v>
      </c>
      <c r="F1889" t="s">
        <v>22</v>
      </c>
      <c r="G1889" t="s">
        <v>33</v>
      </c>
      <c r="H1889" t="s">
        <v>496</v>
      </c>
      <c r="I1889" t="s">
        <v>3879</v>
      </c>
      <c r="J1889">
        <v>9.9334980000000002</v>
      </c>
      <c r="K1889">
        <v>-84.988401999999994</v>
      </c>
      <c r="L1889" t="s">
        <v>1225</v>
      </c>
      <c r="M1889" t="s">
        <v>352</v>
      </c>
      <c r="N1889" t="s">
        <v>353</v>
      </c>
      <c r="O1889" t="s">
        <v>354</v>
      </c>
      <c r="P1889">
        <v>15</v>
      </c>
      <c r="Q1889" t="s">
        <v>231</v>
      </c>
      <c r="S1889" t="str">
        <f>_xlfn.XLOOKUP(UNIVERSO[[#This Row],[Ruta]],'[1]CUOTA RUTA'!A:A,'[1]CUOTA RUTA'!D:D)</f>
        <v>Cargar</v>
      </c>
    </row>
    <row r="1890" spans="1:19" x14ac:dyDescent="0.25">
      <c r="A1890">
        <v>1500220083</v>
      </c>
      <c r="B1890" t="s">
        <v>3880</v>
      </c>
      <c r="C1890" t="s">
        <v>19</v>
      </c>
      <c r="D1890" t="s">
        <v>349</v>
      </c>
      <c r="E1890" t="s">
        <v>21</v>
      </c>
      <c r="F1890" t="s">
        <v>51</v>
      </c>
      <c r="G1890" t="s">
        <v>23</v>
      </c>
      <c r="H1890" t="s">
        <v>908</v>
      </c>
      <c r="I1890" t="s">
        <v>3881</v>
      </c>
      <c r="J1890">
        <v>10.303337000000001</v>
      </c>
      <c r="K1890">
        <v>-85.840011000000004</v>
      </c>
      <c r="L1890" t="s">
        <v>1225</v>
      </c>
      <c r="M1890" t="s">
        <v>352</v>
      </c>
      <c r="N1890" t="s">
        <v>353</v>
      </c>
      <c r="O1890" t="s">
        <v>354</v>
      </c>
      <c r="P1890">
        <v>5</v>
      </c>
      <c r="Q1890" t="s">
        <v>117</v>
      </c>
      <c r="S1890" t="str">
        <f>_xlfn.XLOOKUP(UNIVERSO[[#This Row],[Ruta]],'[1]CUOTA RUTA'!A:A,'[1]CUOTA RUTA'!D:D)</f>
        <v>Cargar</v>
      </c>
    </row>
    <row r="1891" spans="1:19" x14ac:dyDescent="0.25">
      <c r="A1891">
        <v>1500220155</v>
      </c>
      <c r="B1891" t="s">
        <v>1279</v>
      </c>
      <c r="C1891" t="s">
        <v>19</v>
      </c>
      <c r="D1891" t="s">
        <v>349</v>
      </c>
      <c r="E1891" t="s">
        <v>21</v>
      </c>
      <c r="F1891" t="s">
        <v>22</v>
      </c>
      <c r="G1891" t="s">
        <v>33</v>
      </c>
      <c r="H1891" t="s">
        <v>448</v>
      </c>
      <c r="I1891" t="s">
        <v>3882</v>
      </c>
      <c r="J1891">
        <v>9.979495</v>
      </c>
      <c r="K1891">
        <v>-85.634647000000001</v>
      </c>
      <c r="L1891" t="s">
        <v>1225</v>
      </c>
      <c r="M1891" t="s">
        <v>352</v>
      </c>
      <c r="N1891" t="s">
        <v>353</v>
      </c>
      <c r="O1891" t="s">
        <v>354</v>
      </c>
      <c r="P1891">
        <v>7</v>
      </c>
      <c r="Q1891" t="s">
        <v>39</v>
      </c>
      <c r="S1891" t="str">
        <f>_xlfn.XLOOKUP(UNIVERSO[[#This Row],[Ruta]],'[1]CUOTA RUTA'!A:A,'[1]CUOTA RUTA'!D:D)</f>
        <v>Cargar</v>
      </c>
    </row>
    <row r="1892" spans="1:19" x14ac:dyDescent="0.25">
      <c r="A1892">
        <v>1500220188</v>
      </c>
      <c r="B1892" t="s">
        <v>3883</v>
      </c>
      <c r="C1892" t="s">
        <v>19</v>
      </c>
      <c r="D1892" t="s">
        <v>349</v>
      </c>
      <c r="E1892" t="s">
        <v>21</v>
      </c>
      <c r="F1892" t="s">
        <v>22</v>
      </c>
      <c r="G1892" t="s">
        <v>33</v>
      </c>
      <c r="H1892" t="s">
        <v>496</v>
      </c>
      <c r="I1892" t="s">
        <v>3884</v>
      </c>
      <c r="J1892">
        <v>10.268408000000001</v>
      </c>
      <c r="K1892">
        <v>-85.581581</v>
      </c>
      <c r="L1892" t="s">
        <v>1225</v>
      </c>
      <c r="M1892" t="s">
        <v>352</v>
      </c>
      <c r="N1892" t="s">
        <v>353</v>
      </c>
      <c r="O1892" t="s">
        <v>354</v>
      </c>
      <c r="P1892">
        <v>2</v>
      </c>
      <c r="Q1892" t="s">
        <v>150</v>
      </c>
      <c r="S1892" t="str">
        <f>_xlfn.XLOOKUP(UNIVERSO[[#This Row],[Ruta]],'[1]CUOTA RUTA'!A:A,'[1]CUOTA RUTA'!D:D)</f>
        <v>Cargar</v>
      </c>
    </row>
    <row r="1893" spans="1:19" x14ac:dyDescent="0.25">
      <c r="A1893">
        <v>1500280928</v>
      </c>
      <c r="B1893" t="s">
        <v>3885</v>
      </c>
      <c r="C1893" t="s">
        <v>19</v>
      </c>
      <c r="D1893" t="s">
        <v>20</v>
      </c>
      <c r="E1893" t="s">
        <v>21</v>
      </c>
      <c r="F1893" t="s">
        <v>22</v>
      </c>
      <c r="G1893" t="s">
        <v>64</v>
      </c>
      <c r="H1893" t="s">
        <v>250</v>
      </c>
      <c r="I1893" t="s">
        <v>3886</v>
      </c>
      <c r="J1893">
        <v>10.026350000000001</v>
      </c>
      <c r="K1893">
        <v>-84.233900000000006</v>
      </c>
      <c r="L1893" t="s">
        <v>1225</v>
      </c>
      <c r="M1893" t="s">
        <v>46</v>
      </c>
      <c r="N1893" t="s">
        <v>47</v>
      </c>
      <c r="O1893" t="s">
        <v>48</v>
      </c>
      <c r="P1893">
        <v>3</v>
      </c>
      <c r="Q1893" t="s">
        <v>101</v>
      </c>
      <c r="S1893" t="str">
        <f>_xlfn.XLOOKUP(UNIVERSO[[#This Row],[Ruta]],'[1]CUOTA RUTA'!A:A,'[1]CUOTA RUTA'!D:D)</f>
        <v>Cargar</v>
      </c>
    </row>
    <row r="1894" spans="1:19" x14ac:dyDescent="0.25">
      <c r="A1894">
        <v>1500287663</v>
      </c>
      <c r="B1894" t="s">
        <v>3887</v>
      </c>
      <c r="C1894" t="s">
        <v>19</v>
      </c>
      <c r="D1894" t="s">
        <v>208</v>
      </c>
      <c r="E1894" t="s">
        <v>21</v>
      </c>
      <c r="F1894" t="s">
        <v>22</v>
      </c>
      <c r="G1894" t="s">
        <v>23</v>
      </c>
      <c r="H1894" t="s">
        <v>417</v>
      </c>
      <c r="I1894" t="s">
        <v>3888</v>
      </c>
      <c r="J1894">
        <v>10.21003</v>
      </c>
      <c r="K1894">
        <v>-83.757400000000004</v>
      </c>
      <c r="L1894" t="s">
        <v>1225</v>
      </c>
      <c r="M1894" t="s">
        <v>189</v>
      </c>
      <c r="N1894" t="s">
        <v>211</v>
      </c>
      <c r="O1894" t="s">
        <v>212</v>
      </c>
      <c r="P1894">
        <v>5</v>
      </c>
      <c r="Q1894" t="s">
        <v>117</v>
      </c>
      <c r="S1894" t="str">
        <f>_xlfn.XLOOKUP(UNIVERSO[[#This Row],[Ruta]],'[1]CUOTA RUTA'!A:A,'[1]CUOTA RUTA'!D:D)</f>
        <v>Cargar</v>
      </c>
    </row>
    <row r="1895" spans="1:19" x14ac:dyDescent="0.25">
      <c r="A1895">
        <v>1500300151</v>
      </c>
      <c r="B1895" t="s">
        <v>3889</v>
      </c>
      <c r="C1895" t="s">
        <v>19</v>
      </c>
      <c r="D1895" t="s">
        <v>349</v>
      </c>
      <c r="E1895" t="s">
        <v>21</v>
      </c>
      <c r="F1895" t="s">
        <v>22</v>
      </c>
      <c r="G1895" t="s">
        <v>64</v>
      </c>
      <c r="H1895" t="s">
        <v>496</v>
      </c>
      <c r="I1895" t="s">
        <v>3890</v>
      </c>
      <c r="J1895">
        <v>9.9333779999999994</v>
      </c>
      <c r="K1895">
        <v>-84.949574999999996</v>
      </c>
      <c r="L1895" t="s">
        <v>1225</v>
      </c>
      <c r="M1895" t="s">
        <v>352</v>
      </c>
      <c r="N1895" t="s">
        <v>353</v>
      </c>
      <c r="O1895" t="s">
        <v>354</v>
      </c>
      <c r="P1895">
        <v>16</v>
      </c>
      <c r="Q1895" t="s">
        <v>60</v>
      </c>
      <c r="S1895" t="str">
        <f>_xlfn.XLOOKUP(UNIVERSO[[#This Row],[Ruta]],'[1]CUOTA RUTA'!A:A,'[1]CUOTA RUTA'!D:D)</f>
        <v>Cargar</v>
      </c>
    </row>
    <row r="1896" spans="1:19" x14ac:dyDescent="0.25">
      <c r="A1896">
        <v>1500300164</v>
      </c>
      <c r="B1896" t="s">
        <v>3891</v>
      </c>
      <c r="C1896" t="s">
        <v>19</v>
      </c>
      <c r="D1896" t="s">
        <v>349</v>
      </c>
      <c r="E1896" t="s">
        <v>21</v>
      </c>
      <c r="F1896" t="s">
        <v>22</v>
      </c>
      <c r="G1896" t="s">
        <v>64</v>
      </c>
      <c r="H1896" t="s">
        <v>359</v>
      </c>
      <c r="I1896" t="s">
        <v>3892</v>
      </c>
      <c r="J1896">
        <v>10.27821</v>
      </c>
      <c r="K1896">
        <v>-85.787138999999996</v>
      </c>
      <c r="L1896" t="s">
        <v>1225</v>
      </c>
      <c r="M1896" t="s">
        <v>352</v>
      </c>
      <c r="N1896" t="s">
        <v>353</v>
      </c>
      <c r="O1896" t="s">
        <v>354</v>
      </c>
      <c r="P1896">
        <v>4</v>
      </c>
      <c r="Q1896" t="s">
        <v>120</v>
      </c>
      <c r="S1896" t="str">
        <f>_xlfn.XLOOKUP(UNIVERSO[[#This Row],[Ruta]],'[1]CUOTA RUTA'!A:A,'[1]CUOTA RUTA'!D:D)</f>
        <v>Cargar</v>
      </c>
    </row>
    <row r="1897" spans="1:19" x14ac:dyDescent="0.25">
      <c r="A1897">
        <v>1500300204</v>
      </c>
      <c r="B1897" t="s">
        <v>3893</v>
      </c>
      <c r="C1897" t="s">
        <v>19</v>
      </c>
      <c r="D1897" t="s">
        <v>349</v>
      </c>
      <c r="E1897" t="s">
        <v>21</v>
      </c>
      <c r="F1897" t="s">
        <v>22</v>
      </c>
      <c r="G1897" t="s">
        <v>33</v>
      </c>
      <c r="H1897" t="s">
        <v>448</v>
      </c>
      <c r="I1897" t="s">
        <v>3894</v>
      </c>
      <c r="J1897">
        <v>10.301856000000001</v>
      </c>
      <c r="K1897">
        <v>-85.840217999999993</v>
      </c>
      <c r="L1897" t="s">
        <v>1225</v>
      </c>
      <c r="M1897" t="s">
        <v>352</v>
      </c>
      <c r="N1897" t="s">
        <v>353</v>
      </c>
      <c r="O1897" t="s">
        <v>354</v>
      </c>
      <c r="P1897">
        <v>5</v>
      </c>
      <c r="Q1897" t="s">
        <v>117</v>
      </c>
      <c r="S1897" t="str">
        <f>_xlfn.XLOOKUP(UNIVERSO[[#This Row],[Ruta]],'[1]CUOTA RUTA'!A:A,'[1]CUOTA RUTA'!D:D)</f>
        <v>Cargar</v>
      </c>
    </row>
    <row r="1898" spans="1:19" x14ac:dyDescent="0.25">
      <c r="A1898">
        <v>1500300309</v>
      </c>
      <c r="B1898" t="s">
        <v>3895</v>
      </c>
      <c r="C1898" t="s">
        <v>19</v>
      </c>
      <c r="D1898" t="s">
        <v>337</v>
      </c>
      <c r="E1898" t="s">
        <v>21</v>
      </c>
      <c r="F1898" t="s">
        <v>22</v>
      </c>
      <c r="G1898" t="s">
        <v>64</v>
      </c>
      <c r="H1898" t="s">
        <v>451</v>
      </c>
      <c r="I1898" t="s">
        <v>3896</v>
      </c>
      <c r="J1898">
        <v>10.64558267</v>
      </c>
      <c r="K1898">
        <v>-85.440289649999997</v>
      </c>
      <c r="L1898" t="s">
        <v>1225</v>
      </c>
      <c r="M1898" t="s">
        <v>327</v>
      </c>
      <c r="N1898" t="s">
        <v>340</v>
      </c>
      <c r="O1898" t="s">
        <v>341</v>
      </c>
      <c r="P1898">
        <v>12</v>
      </c>
      <c r="Q1898" t="s">
        <v>42</v>
      </c>
      <c r="S1898" t="str">
        <f>_xlfn.XLOOKUP(UNIVERSO[[#This Row],[Ruta]],'[1]CUOTA RUTA'!A:A,'[1]CUOTA RUTA'!D:D)</f>
        <v>Cargar</v>
      </c>
    </row>
    <row r="1899" spans="1:19" x14ac:dyDescent="0.25">
      <c r="A1899">
        <v>1500300523</v>
      </c>
      <c r="B1899" t="s">
        <v>3897</v>
      </c>
      <c r="C1899" t="s">
        <v>19</v>
      </c>
      <c r="D1899" t="s">
        <v>337</v>
      </c>
      <c r="E1899" t="s">
        <v>21</v>
      </c>
      <c r="F1899" t="s">
        <v>22</v>
      </c>
      <c r="G1899" t="s">
        <v>64</v>
      </c>
      <c r="H1899" t="s">
        <v>1732</v>
      </c>
      <c r="I1899" t="s">
        <v>3898</v>
      </c>
      <c r="J1899">
        <v>10.473380000000001</v>
      </c>
      <c r="K1899">
        <v>-84.964600000000004</v>
      </c>
      <c r="L1899" t="s">
        <v>1225</v>
      </c>
      <c r="M1899" t="s">
        <v>327</v>
      </c>
      <c r="N1899" t="s">
        <v>340</v>
      </c>
      <c r="O1899" t="s">
        <v>341</v>
      </c>
      <c r="P1899">
        <v>23</v>
      </c>
      <c r="Q1899" t="s">
        <v>125</v>
      </c>
      <c r="S1899" t="str">
        <f>_xlfn.XLOOKUP(UNIVERSO[[#This Row],[Ruta]],'[1]CUOTA RUTA'!A:A,'[1]CUOTA RUTA'!D:D)</f>
        <v>Cargar</v>
      </c>
    </row>
    <row r="1900" spans="1:19" x14ac:dyDescent="0.25">
      <c r="A1900">
        <v>1500302959</v>
      </c>
      <c r="B1900" t="s">
        <v>3899</v>
      </c>
      <c r="C1900" t="s">
        <v>19</v>
      </c>
      <c r="D1900" t="s">
        <v>349</v>
      </c>
      <c r="E1900" t="s">
        <v>21</v>
      </c>
      <c r="F1900" t="s">
        <v>22</v>
      </c>
      <c r="G1900" t="s">
        <v>64</v>
      </c>
      <c r="H1900" t="s">
        <v>350</v>
      </c>
      <c r="I1900" t="s">
        <v>3900</v>
      </c>
      <c r="J1900">
        <v>9.9204609999999995</v>
      </c>
      <c r="K1900">
        <v>-85.533143999999993</v>
      </c>
      <c r="L1900" t="s">
        <v>1225</v>
      </c>
      <c r="M1900" t="s">
        <v>352</v>
      </c>
      <c r="N1900" t="s">
        <v>353</v>
      </c>
      <c r="O1900" t="s">
        <v>354</v>
      </c>
      <c r="P1900">
        <v>8</v>
      </c>
      <c r="Q1900" t="s">
        <v>97</v>
      </c>
      <c r="S1900" t="str">
        <f>_xlfn.XLOOKUP(UNIVERSO[[#This Row],[Ruta]],'[1]CUOTA RUTA'!A:A,'[1]CUOTA RUTA'!D:D)</f>
        <v>Cargar</v>
      </c>
    </row>
    <row r="1901" spans="1:19" x14ac:dyDescent="0.25">
      <c r="A1901">
        <v>1500303027</v>
      </c>
      <c r="B1901" t="s">
        <v>3901</v>
      </c>
      <c r="C1901" t="s">
        <v>19</v>
      </c>
      <c r="D1901" t="s">
        <v>349</v>
      </c>
      <c r="E1901" t="s">
        <v>21</v>
      </c>
      <c r="F1901" t="s">
        <v>22</v>
      </c>
      <c r="G1901" t="s">
        <v>33</v>
      </c>
      <c r="H1901" t="s">
        <v>359</v>
      </c>
      <c r="I1901" t="s">
        <v>3902</v>
      </c>
      <c r="J1901">
        <v>10.102474000000001</v>
      </c>
      <c r="K1901">
        <v>-85.283251000000007</v>
      </c>
      <c r="L1901" t="s">
        <v>1225</v>
      </c>
      <c r="M1901" t="s">
        <v>352</v>
      </c>
      <c r="N1901" t="s">
        <v>353</v>
      </c>
      <c r="O1901" t="s">
        <v>354</v>
      </c>
      <c r="P1901">
        <v>11</v>
      </c>
      <c r="Q1901" t="s">
        <v>108</v>
      </c>
      <c r="S1901" t="str">
        <f>_xlfn.XLOOKUP(UNIVERSO[[#This Row],[Ruta]],'[1]CUOTA RUTA'!A:A,'[1]CUOTA RUTA'!D:D)</f>
        <v>Cargar</v>
      </c>
    </row>
    <row r="1902" spans="1:19" x14ac:dyDescent="0.25">
      <c r="A1902">
        <v>1500400139</v>
      </c>
      <c r="B1902" t="s">
        <v>3903</v>
      </c>
      <c r="C1902" t="s">
        <v>19</v>
      </c>
      <c r="D1902" t="s">
        <v>20</v>
      </c>
      <c r="E1902" t="s">
        <v>21</v>
      </c>
      <c r="F1902" t="s">
        <v>51</v>
      </c>
      <c r="G1902" t="s">
        <v>23</v>
      </c>
      <c r="H1902" t="s">
        <v>554</v>
      </c>
      <c r="I1902" t="s">
        <v>3904</v>
      </c>
      <c r="J1902">
        <v>9.9922509999999996</v>
      </c>
      <c r="K1902">
        <v>-84.146322999999995</v>
      </c>
      <c r="L1902" t="s">
        <v>1225</v>
      </c>
      <c r="M1902" t="s">
        <v>27</v>
      </c>
      <c r="N1902" t="s">
        <v>28</v>
      </c>
      <c r="O1902" t="s">
        <v>29</v>
      </c>
      <c r="P1902">
        <v>4</v>
      </c>
      <c r="Q1902" t="s">
        <v>120</v>
      </c>
      <c r="S1902" t="str">
        <f>_xlfn.XLOOKUP(UNIVERSO[[#This Row],[Ruta]],'[1]CUOTA RUTA'!A:A,'[1]CUOTA RUTA'!D:D)</f>
        <v>Cargar</v>
      </c>
    </row>
    <row r="1903" spans="1:19" x14ac:dyDescent="0.25">
      <c r="A1903">
        <v>1500400175</v>
      </c>
      <c r="B1903" t="s">
        <v>3905</v>
      </c>
      <c r="C1903" t="s">
        <v>19</v>
      </c>
      <c r="D1903" t="s">
        <v>32</v>
      </c>
      <c r="E1903" t="s">
        <v>21</v>
      </c>
      <c r="F1903" t="s">
        <v>22</v>
      </c>
      <c r="G1903" t="s">
        <v>33</v>
      </c>
      <c r="H1903" t="s">
        <v>65</v>
      </c>
      <c r="I1903" t="s">
        <v>3906</v>
      </c>
      <c r="J1903">
        <v>9.9070999999999998</v>
      </c>
      <c r="K1903">
        <v>-83.962580000000003</v>
      </c>
      <c r="L1903" t="s">
        <v>1225</v>
      </c>
      <c r="M1903" t="s">
        <v>36</v>
      </c>
      <c r="N1903" t="s">
        <v>37</v>
      </c>
      <c r="O1903" t="s">
        <v>38</v>
      </c>
      <c r="P1903">
        <v>23</v>
      </c>
      <c r="Q1903" t="s">
        <v>125</v>
      </c>
      <c r="S1903" t="str">
        <f>_xlfn.XLOOKUP(UNIVERSO[[#This Row],[Ruta]],'[1]CUOTA RUTA'!A:A,'[1]CUOTA RUTA'!D:D)</f>
        <v>Cargar</v>
      </c>
    </row>
    <row r="1904" spans="1:19" x14ac:dyDescent="0.25">
      <c r="A1904">
        <v>1500400206</v>
      </c>
      <c r="B1904" t="s">
        <v>3907</v>
      </c>
      <c r="C1904" t="s">
        <v>19</v>
      </c>
      <c r="D1904" t="s">
        <v>32</v>
      </c>
      <c r="E1904" t="s">
        <v>21</v>
      </c>
      <c r="F1904" t="s">
        <v>22</v>
      </c>
      <c r="G1904" t="s">
        <v>64</v>
      </c>
      <c r="H1904" t="s">
        <v>1191</v>
      </c>
      <c r="I1904" t="s">
        <v>3908</v>
      </c>
      <c r="J1904">
        <v>9.8980759000000003</v>
      </c>
      <c r="K1904">
        <v>-84.084789299999997</v>
      </c>
      <c r="L1904" t="s">
        <v>1225</v>
      </c>
      <c r="M1904" t="s">
        <v>36</v>
      </c>
      <c r="N1904" t="s">
        <v>37</v>
      </c>
      <c r="O1904" t="s">
        <v>38</v>
      </c>
      <c r="P1904">
        <v>23</v>
      </c>
      <c r="Q1904" t="s">
        <v>125</v>
      </c>
      <c r="S1904" t="str">
        <f>_xlfn.XLOOKUP(UNIVERSO[[#This Row],[Ruta]],'[1]CUOTA RUTA'!A:A,'[1]CUOTA RUTA'!D:D)</f>
        <v>Cargar</v>
      </c>
    </row>
    <row r="1905" spans="1:19" x14ac:dyDescent="0.25">
      <c r="A1905">
        <v>1500400238</v>
      </c>
      <c r="B1905" t="s">
        <v>3909</v>
      </c>
      <c r="C1905" t="s">
        <v>19</v>
      </c>
      <c r="D1905" t="s">
        <v>20</v>
      </c>
      <c r="E1905" t="s">
        <v>21</v>
      </c>
      <c r="F1905" t="s">
        <v>22</v>
      </c>
      <c r="G1905" t="s">
        <v>64</v>
      </c>
      <c r="H1905" t="s">
        <v>1506</v>
      </c>
      <c r="I1905" t="s">
        <v>3910</v>
      </c>
      <c r="J1905">
        <v>9.9831699999999994</v>
      </c>
      <c r="K1905">
        <v>-84.136669999999995</v>
      </c>
      <c r="L1905" t="s">
        <v>1225</v>
      </c>
      <c r="M1905" t="s">
        <v>27</v>
      </c>
      <c r="N1905" t="s">
        <v>28</v>
      </c>
      <c r="O1905" t="s">
        <v>29</v>
      </c>
      <c r="P1905">
        <v>5</v>
      </c>
      <c r="Q1905" t="s">
        <v>117</v>
      </c>
      <c r="S1905" t="str">
        <f>_xlfn.XLOOKUP(UNIVERSO[[#This Row],[Ruta]],'[1]CUOTA RUTA'!A:A,'[1]CUOTA RUTA'!D:D)</f>
        <v>Cargar</v>
      </c>
    </row>
    <row r="1906" spans="1:19" x14ac:dyDescent="0.25">
      <c r="A1906">
        <v>1500600030</v>
      </c>
      <c r="B1906" t="s">
        <v>3911</v>
      </c>
      <c r="C1906" t="s">
        <v>19</v>
      </c>
      <c r="D1906" t="s">
        <v>201</v>
      </c>
      <c r="E1906" t="s">
        <v>21</v>
      </c>
      <c r="F1906" t="s">
        <v>22</v>
      </c>
      <c r="G1906" t="s">
        <v>23</v>
      </c>
      <c r="H1906" t="s">
        <v>488</v>
      </c>
      <c r="I1906" t="s">
        <v>3912</v>
      </c>
      <c r="J1906">
        <v>10.3173978</v>
      </c>
      <c r="K1906">
        <v>-84.824410700000001</v>
      </c>
      <c r="L1906" t="s">
        <v>1225</v>
      </c>
      <c r="M1906" t="s">
        <v>204</v>
      </c>
      <c r="N1906" t="s">
        <v>205</v>
      </c>
      <c r="O1906" t="s">
        <v>206</v>
      </c>
      <c r="P1906">
        <v>12</v>
      </c>
      <c r="Q1906" t="s">
        <v>42</v>
      </c>
      <c r="S1906" t="str">
        <f>_xlfn.XLOOKUP(UNIVERSO[[#This Row],[Ruta]],'[1]CUOTA RUTA'!A:A,'[1]CUOTA RUTA'!D:D)</f>
        <v>Cargar</v>
      </c>
    </row>
    <row r="1907" spans="1:19" x14ac:dyDescent="0.25">
      <c r="A1907">
        <v>1500600063</v>
      </c>
      <c r="B1907" t="s">
        <v>3913</v>
      </c>
      <c r="C1907" t="s">
        <v>19</v>
      </c>
      <c r="D1907" t="s">
        <v>201</v>
      </c>
      <c r="E1907" t="s">
        <v>21</v>
      </c>
      <c r="F1907" t="s">
        <v>51</v>
      </c>
      <c r="G1907" t="s">
        <v>23</v>
      </c>
      <c r="H1907" t="s">
        <v>488</v>
      </c>
      <c r="I1907" t="s">
        <v>3914</v>
      </c>
      <c r="J1907">
        <v>10.3152689</v>
      </c>
      <c r="K1907">
        <v>-84.826955600000005</v>
      </c>
      <c r="L1907" t="s">
        <v>1225</v>
      </c>
      <c r="M1907" t="s">
        <v>204</v>
      </c>
      <c r="N1907" t="s">
        <v>205</v>
      </c>
      <c r="O1907" t="s">
        <v>206</v>
      </c>
      <c r="P1907">
        <v>12</v>
      </c>
      <c r="Q1907" t="s">
        <v>42</v>
      </c>
      <c r="S1907" t="str">
        <f>_xlfn.XLOOKUP(UNIVERSO[[#This Row],[Ruta]],'[1]CUOTA RUTA'!A:A,'[1]CUOTA RUTA'!D:D)</f>
        <v>Cargar</v>
      </c>
    </row>
    <row r="1908" spans="1:19" x14ac:dyDescent="0.25">
      <c r="A1908">
        <v>1500606611</v>
      </c>
      <c r="B1908" t="s">
        <v>3915</v>
      </c>
      <c r="C1908" t="s">
        <v>19</v>
      </c>
      <c r="D1908" t="s">
        <v>20</v>
      </c>
      <c r="E1908" t="s">
        <v>21</v>
      </c>
      <c r="F1908" t="s">
        <v>22</v>
      </c>
      <c r="G1908" t="s">
        <v>33</v>
      </c>
      <c r="H1908" t="s">
        <v>910</v>
      </c>
      <c r="I1908" t="s">
        <v>3916</v>
      </c>
      <c r="J1908">
        <v>10.0185826</v>
      </c>
      <c r="K1908">
        <v>-84.164121699999995</v>
      </c>
      <c r="L1908" t="s">
        <v>1225</v>
      </c>
      <c r="M1908" t="s">
        <v>27</v>
      </c>
      <c r="N1908" t="s">
        <v>28</v>
      </c>
      <c r="O1908" t="s">
        <v>29</v>
      </c>
      <c r="P1908">
        <v>20</v>
      </c>
      <c r="Q1908" t="s">
        <v>74</v>
      </c>
      <c r="S1908" t="str">
        <f>_xlfn.XLOOKUP(UNIVERSO[[#This Row],[Ruta]],'[1]CUOTA RUTA'!A:A,'[1]CUOTA RUTA'!D:D)</f>
        <v>Cargar</v>
      </c>
    </row>
    <row r="1909" spans="1:19" x14ac:dyDescent="0.25">
      <c r="A1909">
        <v>1500614483</v>
      </c>
      <c r="B1909" t="s">
        <v>3917</v>
      </c>
      <c r="C1909" t="s">
        <v>19</v>
      </c>
      <c r="D1909" t="s">
        <v>20</v>
      </c>
      <c r="E1909" t="s">
        <v>21</v>
      </c>
      <c r="F1909" t="s">
        <v>22</v>
      </c>
      <c r="G1909" t="s">
        <v>33</v>
      </c>
      <c r="H1909" t="s">
        <v>638</v>
      </c>
      <c r="I1909" t="s">
        <v>3918</v>
      </c>
      <c r="J1909">
        <v>10.00667</v>
      </c>
      <c r="K1909">
        <v>-84.22663</v>
      </c>
      <c r="L1909" t="s">
        <v>1225</v>
      </c>
      <c r="M1909" t="s">
        <v>54</v>
      </c>
      <c r="N1909" t="s">
        <v>55</v>
      </c>
      <c r="O1909" t="s">
        <v>56</v>
      </c>
      <c r="P1909">
        <v>2</v>
      </c>
      <c r="Q1909" t="s">
        <v>150</v>
      </c>
      <c r="S1909" t="str">
        <f>_xlfn.XLOOKUP(UNIVERSO[[#This Row],[Ruta]],'[1]CUOTA RUTA'!A:A,'[1]CUOTA RUTA'!D:D)</f>
        <v>Cargar</v>
      </c>
    </row>
    <row r="1910" spans="1:19" x14ac:dyDescent="0.25">
      <c r="A1910">
        <v>1500614496</v>
      </c>
      <c r="B1910" t="s">
        <v>1094</v>
      </c>
      <c r="C1910" t="s">
        <v>19</v>
      </c>
      <c r="D1910" t="s">
        <v>20</v>
      </c>
      <c r="E1910" t="s">
        <v>21</v>
      </c>
      <c r="F1910" t="s">
        <v>22</v>
      </c>
      <c r="G1910" t="s">
        <v>64</v>
      </c>
      <c r="H1910" t="s">
        <v>638</v>
      </c>
      <c r="I1910" t="s">
        <v>3919</v>
      </c>
      <c r="J1910">
        <v>10.004149999999999</v>
      </c>
      <c r="K1910">
        <v>-84.224019999999996</v>
      </c>
      <c r="L1910" t="s">
        <v>1225</v>
      </c>
      <c r="M1910" t="s">
        <v>54</v>
      </c>
      <c r="N1910" t="s">
        <v>55</v>
      </c>
      <c r="O1910" t="s">
        <v>56</v>
      </c>
      <c r="P1910">
        <v>3</v>
      </c>
      <c r="Q1910" t="s">
        <v>101</v>
      </c>
      <c r="S1910" t="str">
        <f>_xlfn.XLOOKUP(UNIVERSO[[#This Row],[Ruta]],'[1]CUOTA RUTA'!A:A,'[1]CUOTA RUTA'!D:D)</f>
        <v>Cargar</v>
      </c>
    </row>
    <row r="1911" spans="1:19" x14ac:dyDescent="0.25">
      <c r="A1911">
        <v>1500614500</v>
      </c>
      <c r="B1911" t="s">
        <v>595</v>
      </c>
      <c r="C1911" t="s">
        <v>19</v>
      </c>
      <c r="D1911" t="s">
        <v>20</v>
      </c>
      <c r="E1911" t="s">
        <v>21</v>
      </c>
      <c r="F1911" t="s">
        <v>22</v>
      </c>
      <c r="G1911" t="s">
        <v>23</v>
      </c>
      <c r="H1911" t="s">
        <v>638</v>
      </c>
      <c r="I1911" t="s">
        <v>3920</v>
      </c>
      <c r="J1911">
        <v>10.001899999999999</v>
      </c>
      <c r="K1911">
        <v>-84.223150000000004</v>
      </c>
      <c r="L1911" t="s">
        <v>1225</v>
      </c>
      <c r="M1911" t="s">
        <v>54</v>
      </c>
      <c r="N1911" t="s">
        <v>55</v>
      </c>
      <c r="O1911" t="s">
        <v>56</v>
      </c>
      <c r="P1911">
        <v>3</v>
      </c>
      <c r="Q1911" t="s">
        <v>101</v>
      </c>
      <c r="S1911" t="str">
        <f>_xlfn.XLOOKUP(UNIVERSO[[#This Row],[Ruta]],'[1]CUOTA RUTA'!A:A,'[1]CUOTA RUTA'!D:D)</f>
        <v>Cargar</v>
      </c>
    </row>
    <row r="1912" spans="1:19" x14ac:dyDescent="0.25">
      <c r="A1912">
        <v>1500614522</v>
      </c>
      <c r="B1912" t="s">
        <v>3921</v>
      </c>
      <c r="C1912" t="s">
        <v>19</v>
      </c>
      <c r="D1912" t="s">
        <v>20</v>
      </c>
      <c r="E1912" t="s">
        <v>21</v>
      </c>
      <c r="F1912" t="s">
        <v>22</v>
      </c>
      <c r="G1912" t="s">
        <v>64</v>
      </c>
      <c r="H1912" t="s">
        <v>638</v>
      </c>
      <c r="I1912" t="s">
        <v>3922</v>
      </c>
      <c r="J1912">
        <v>10.00853</v>
      </c>
      <c r="K1912">
        <v>-84.223929999999996</v>
      </c>
      <c r="L1912" t="s">
        <v>1225</v>
      </c>
      <c r="M1912" t="s">
        <v>54</v>
      </c>
      <c r="N1912" t="s">
        <v>55</v>
      </c>
      <c r="O1912" t="s">
        <v>56</v>
      </c>
      <c r="P1912">
        <v>2</v>
      </c>
      <c r="Q1912" t="s">
        <v>150</v>
      </c>
      <c r="S1912" t="str">
        <f>_xlfn.XLOOKUP(UNIVERSO[[#This Row],[Ruta]],'[1]CUOTA RUTA'!A:A,'[1]CUOTA RUTA'!D:D)</f>
        <v>Cargar</v>
      </c>
    </row>
    <row r="1913" spans="1:19" x14ac:dyDescent="0.25">
      <c r="A1913">
        <v>1500614558</v>
      </c>
      <c r="B1913" t="s">
        <v>3923</v>
      </c>
      <c r="C1913" t="s">
        <v>19</v>
      </c>
      <c r="D1913" t="s">
        <v>20</v>
      </c>
      <c r="E1913" t="s">
        <v>21</v>
      </c>
      <c r="F1913" t="s">
        <v>22</v>
      </c>
      <c r="G1913" t="s">
        <v>33</v>
      </c>
      <c r="H1913" t="s">
        <v>458</v>
      </c>
      <c r="I1913" t="s">
        <v>3924</v>
      </c>
      <c r="J1913">
        <v>9.9455030000000004</v>
      </c>
      <c r="K1913">
        <v>-84.263250999999997</v>
      </c>
      <c r="L1913" t="s">
        <v>1225</v>
      </c>
      <c r="M1913" t="s">
        <v>54</v>
      </c>
      <c r="N1913" t="s">
        <v>55</v>
      </c>
      <c r="O1913" t="s">
        <v>56</v>
      </c>
      <c r="P1913">
        <v>20</v>
      </c>
      <c r="Q1913" t="s">
        <v>74</v>
      </c>
      <c r="S1913" t="str">
        <f>_xlfn.XLOOKUP(UNIVERSO[[#This Row],[Ruta]],'[1]CUOTA RUTA'!A:A,'[1]CUOTA RUTA'!D:D)</f>
        <v>Cargar</v>
      </c>
    </row>
    <row r="1914" spans="1:19" x14ac:dyDescent="0.25">
      <c r="A1914">
        <v>1500614574</v>
      </c>
      <c r="B1914" t="s">
        <v>730</v>
      </c>
      <c r="C1914" t="s">
        <v>19</v>
      </c>
      <c r="D1914" t="s">
        <v>20</v>
      </c>
      <c r="E1914" t="s">
        <v>21</v>
      </c>
      <c r="F1914" t="s">
        <v>51</v>
      </c>
      <c r="G1914" t="s">
        <v>23</v>
      </c>
      <c r="H1914" t="s">
        <v>193</v>
      </c>
      <c r="I1914" t="s">
        <v>3925</v>
      </c>
      <c r="J1914">
        <v>9.9818560000000005</v>
      </c>
      <c r="K1914">
        <v>-84.259198999999995</v>
      </c>
      <c r="L1914" t="s">
        <v>1225</v>
      </c>
      <c r="M1914" t="s">
        <v>54</v>
      </c>
      <c r="N1914" t="s">
        <v>55</v>
      </c>
      <c r="O1914" t="s">
        <v>56</v>
      </c>
      <c r="P1914">
        <v>5</v>
      </c>
      <c r="Q1914" t="s">
        <v>117</v>
      </c>
      <c r="S1914" t="str">
        <f>_xlfn.XLOOKUP(UNIVERSO[[#This Row],[Ruta]],'[1]CUOTA RUTA'!A:A,'[1]CUOTA RUTA'!D:D)</f>
        <v>Cargar</v>
      </c>
    </row>
    <row r="1915" spans="1:19" x14ac:dyDescent="0.25">
      <c r="A1915">
        <v>1500614582</v>
      </c>
      <c r="B1915" t="s">
        <v>3926</v>
      </c>
      <c r="C1915" t="s">
        <v>19</v>
      </c>
      <c r="D1915" t="s">
        <v>20</v>
      </c>
      <c r="E1915" t="s">
        <v>21</v>
      </c>
      <c r="F1915" t="s">
        <v>22</v>
      </c>
      <c r="G1915" t="s">
        <v>33</v>
      </c>
      <c r="H1915" t="s">
        <v>458</v>
      </c>
      <c r="I1915" t="s">
        <v>3927</v>
      </c>
      <c r="J1915">
        <v>9.9866873999999992</v>
      </c>
      <c r="K1915">
        <v>-84.249024599999998</v>
      </c>
      <c r="L1915" t="s">
        <v>1225</v>
      </c>
      <c r="M1915" t="s">
        <v>54</v>
      </c>
      <c r="N1915" t="s">
        <v>55</v>
      </c>
      <c r="O1915" t="s">
        <v>56</v>
      </c>
      <c r="P1915">
        <v>5</v>
      </c>
      <c r="Q1915" t="s">
        <v>117</v>
      </c>
      <c r="S1915" t="str">
        <f>_xlfn.XLOOKUP(UNIVERSO[[#This Row],[Ruta]],'[1]CUOTA RUTA'!A:A,'[1]CUOTA RUTA'!D:D)</f>
        <v>Cargar</v>
      </c>
    </row>
    <row r="1916" spans="1:19" x14ac:dyDescent="0.25">
      <c r="A1916">
        <v>1500614588</v>
      </c>
      <c r="B1916" t="s">
        <v>3928</v>
      </c>
      <c r="C1916" t="s">
        <v>19</v>
      </c>
      <c r="D1916" t="s">
        <v>20</v>
      </c>
      <c r="E1916" t="s">
        <v>21</v>
      </c>
      <c r="F1916" t="s">
        <v>22</v>
      </c>
      <c r="G1916" t="s">
        <v>23</v>
      </c>
      <c r="H1916" t="s">
        <v>303</v>
      </c>
      <c r="I1916" t="s">
        <v>3929</v>
      </c>
      <c r="J1916">
        <v>9.9791080999999995</v>
      </c>
      <c r="K1916">
        <v>-84.2442669</v>
      </c>
      <c r="L1916" t="s">
        <v>1225</v>
      </c>
      <c r="M1916" t="s">
        <v>54</v>
      </c>
      <c r="N1916" t="s">
        <v>55</v>
      </c>
      <c r="O1916" t="s">
        <v>56</v>
      </c>
      <c r="P1916">
        <v>8</v>
      </c>
      <c r="Q1916" t="s">
        <v>97</v>
      </c>
      <c r="S1916" t="str">
        <f>_xlfn.XLOOKUP(UNIVERSO[[#This Row],[Ruta]],'[1]CUOTA RUTA'!A:A,'[1]CUOTA RUTA'!D:D)</f>
        <v>Cargar</v>
      </c>
    </row>
    <row r="1917" spans="1:19" x14ac:dyDescent="0.25">
      <c r="A1917">
        <v>1500700231</v>
      </c>
      <c r="B1917" t="s">
        <v>3930</v>
      </c>
      <c r="C1917" t="s">
        <v>19</v>
      </c>
      <c r="D1917" t="s">
        <v>266</v>
      </c>
      <c r="E1917" t="s">
        <v>21</v>
      </c>
      <c r="F1917" t="s">
        <v>22</v>
      </c>
      <c r="G1917" t="s">
        <v>64</v>
      </c>
      <c r="H1917" t="s">
        <v>272</v>
      </c>
      <c r="I1917" t="s">
        <v>3931</v>
      </c>
      <c r="J1917">
        <v>9.9188627</v>
      </c>
      <c r="K1917">
        <v>-83.840634399999999</v>
      </c>
      <c r="L1917" t="s">
        <v>1225</v>
      </c>
      <c r="M1917" t="s">
        <v>54</v>
      </c>
      <c r="N1917" t="s">
        <v>274</v>
      </c>
      <c r="O1917" t="s">
        <v>275</v>
      </c>
      <c r="P1917">
        <v>21</v>
      </c>
      <c r="Q1917" t="s">
        <v>239</v>
      </c>
      <c r="S1917" t="str">
        <f>_xlfn.XLOOKUP(UNIVERSO[[#This Row],[Ruta]],'[1]CUOTA RUTA'!A:A,'[1]CUOTA RUTA'!D:D)</f>
        <v>Cargar</v>
      </c>
    </row>
    <row r="1918" spans="1:19" x14ac:dyDescent="0.25">
      <c r="A1918">
        <v>1500700386</v>
      </c>
      <c r="B1918" t="s">
        <v>3932</v>
      </c>
      <c r="C1918" t="s">
        <v>19</v>
      </c>
      <c r="D1918" t="s">
        <v>32</v>
      </c>
      <c r="E1918" t="s">
        <v>21</v>
      </c>
      <c r="F1918" t="s">
        <v>51</v>
      </c>
      <c r="G1918" t="s">
        <v>23</v>
      </c>
      <c r="H1918" t="s">
        <v>86</v>
      </c>
      <c r="I1918" t="s">
        <v>3933</v>
      </c>
      <c r="J1918">
        <v>9.9042999999999992</v>
      </c>
      <c r="K1918">
        <v>-84.106106666659997</v>
      </c>
      <c r="L1918" t="s">
        <v>1225</v>
      </c>
      <c r="M1918" t="s">
        <v>71</v>
      </c>
      <c r="N1918" t="s">
        <v>72</v>
      </c>
      <c r="O1918" t="s">
        <v>73</v>
      </c>
      <c r="P1918">
        <v>13</v>
      </c>
      <c r="Q1918" t="s">
        <v>161</v>
      </c>
      <c r="S1918" t="str">
        <f>_xlfn.XLOOKUP(UNIVERSO[[#This Row],[Ruta]],'[1]CUOTA RUTA'!A:A,'[1]CUOTA RUTA'!D:D)</f>
        <v>Cargar</v>
      </c>
    </row>
    <row r="1919" spans="1:19" x14ac:dyDescent="0.25">
      <c r="A1919">
        <v>1500700399</v>
      </c>
      <c r="B1919" t="s">
        <v>3934</v>
      </c>
      <c r="C1919" t="s">
        <v>19</v>
      </c>
      <c r="D1919" t="s">
        <v>266</v>
      </c>
      <c r="E1919" t="s">
        <v>21</v>
      </c>
      <c r="F1919" t="s">
        <v>22</v>
      </c>
      <c r="G1919" t="s">
        <v>33</v>
      </c>
      <c r="H1919" t="s">
        <v>706</v>
      </c>
      <c r="I1919" t="s">
        <v>3935</v>
      </c>
      <c r="J1919">
        <v>9.8614180000000005</v>
      </c>
      <c r="K1919">
        <v>-83.935941</v>
      </c>
      <c r="L1919" t="s">
        <v>1225</v>
      </c>
      <c r="M1919" t="s">
        <v>36</v>
      </c>
      <c r="N1919" t="s">
        <v>316</v>
      </c>
      <c r="O1919" t="s">
        <v>317</v>
      </c>
      <c r="P1919">
        <v>16</v>
      </c>
      <c r="Q1919" t="s">
        <v>60</v>
      </c>
      <c r="S1919" t="str">
        <f>_xlfn.XLOOKUP(UNIVERSO[[#This Row],[Ruta]],'[1]CUOTA RUTA'!A:A,'[1]CUOTA RUTA'!D:D)</f>
        <v>Cargar</v>
      </c>
    </row>
    <row r="1920" spans="1:19" x14ac:dyDescent="0.25">
      <c r="A1920">
        <v>1500700551</v>
      </c>
      <c r="B1920" t="s">
        <v>3936</v>
      </c>
      <c r="C1920" t="s">
        <v>19</v>
      </c>
      <c r="D1920" t="s">
        <v>20</v>
      </c>
      <c r="E1920" t="s">
        <v>62</v>
      </c>
      <c r="F1920" t="s">
        <v>63</v>
      </c>
      <c r="G1920" t="s">
        <v>64</v>
      </c>
      <c r="H1920" t="s">
        <v>311</v>
      </c>
      <c r="I1920" t="s">
        <v>3937</v>
      </c>
      <c r="J1920">
        <v>9.9696552700000005</v>
      </c>
      <c r="K1920">
        <v>-84.229394690000007</v>
      </c>
      <c r="L1920" t="s">
        <v>1225</v>
      </c>
      <c r="M1920" t="s">
        <v>54</v>
      </c>
      <c r="N1920" t="s">
        <v>55</v>
      </c>
      <c r="O1920" t="s">
        <v>56</v>
      </c>
      <c r="P1920">
        <v>8</v>
      </c>
      <c r="Q1920" t="s">
        <v>97</v>
      </c>
      <c r="S1920" t="str">
        <f>_xlfn.XLOOKUP(UNIVERSO[[#This Row],[Ruta]],'[1]CUOTA RUTA'!A:A,'[1]CUOTA RUTA'!D:D)</f>
        <v>Cargar</v>
      </c>
    </row>
    <row r="1921" spans="1:19" x14ac:dyDescent="0.25">
      <c r="A1921">
        <v>1500700785</v>
      </c>
      <c r="B1921" t="s">
        <v>3938</v>
      </c>
      <c r="C1921" t="s">
        <v>19</v>
      </c>
      <c r="D1921" t="s">
        <v>186</v>
      </c>
      <c r="E1921" t="s">
        <v>21</v>
      </c>
      <c r="F1921" t="s">
        <v>22</v>
      </c>
      <c r="G1921" t="s">
        <v>64</v>
      </c>
      <c r="H1921" t="s">
        <v>420</v>
      </c>
      <c r="I1921" t="s">
        <v>3939</v>
      </c>
      <c r="J1921">
        <v>9.7580419999999997</v>
      </c>
      <c r="K1921">
        <v>-82.938736000000006</v>
      </c>
      <c r="L1921" t="s">
        <v>1225</v>
      </c>
      <c r="M1921" t="s">
        <v>189</v>
      </c>
      <c r="N1921" t="s">
        <v>190</v>
      </c>
      <c r="O1921" t="s">
        <v>191</v>
      </c>
      <c r="P1921">
        <v>17</v>
      </c>
      <c r="Q1921" t="s">
        <v>287</v>
      </c>
      <c r="S1921" t="str">
        <f>_xlfn.XLOOKUP(UNIVERSO[[#This Row],[Ruta]],'[1]CUOTA RUTA'!A:A,'[1]CUOTA RUTA'!D:D)</f>
        <v>Cargar</v>
      </c>
    </row>
    <row r="1922" spans="1:19" x14ac:dyDescent="0.25">
      <c r="A1922">
        <v>1500700820</v>
      </c>
      <c r="B1922" t="s">
        <v>3940</v>
      </c>
      <c r="C1922" t="s">
        <v>19</v>
      </c>
      <c r="D1922" t="s">
        <v>20</v>
      </c>
      <c r="E1922" t="s">
        <v>21</v>
      </c>
      <c r="F1922" t="s">
        <v>22</v>
      </c>
      <c r="G1922" t="s">
        <v>33</v>
      </c>
      <c r="H1922" t="s">
        <v>260</v>
      </c>
      <c r="I1922" t="s">
        <v>3941</v>
      </c>
      <c r="J1922">
        <v>10.13390375032</v>
      </c>
      <c r="K1922">
        <v>-84.508692664820003</v>
      </c>
      <c r="L1922" t="s">
        <v>1225</v>
      </c>
      <c r="M1922" t="s">
        <v>46</v>
      </c>
      <c r="N1922" t="s">
        <v>47</v>
      </c>
      <c r="O1922" t="s">
        <v>48</v>
      </c>
      <c r="P1922">
        <v>10</v>
      </c>
      <c r="Q1922" t="s">
        <v>136</v>
      </c>
      <c r="S1922" t="str">
        <f>_xlfn.XLOOKUP(UNIVERSO[[#This Row],[Ruta]],'[1]CUOTA RUTA'!A:A,'[1]CUOTA RUTA'!D:D)</f>
        <v>Cargar</v>
      </c>
    </row>
    <row r="1923" spans="1:19" x14ac:dyDescent="0.25">
      <c r="A1923">
        <v>1500700857</v>
      </c>
      <c r="B1923" t="s">
        <v>3942</v>
      </c>
      <c r="C1923" t="s">
        <v>19</v>
      </c>
      <c r="D1923" t="s">
        <v>32</v>
      </c>
      <c r="E1923" t="s">
        <v>21</v>
      </c>
      <c r="F1923" t="s">
        <v>22</v>
      </c>
      <c r="G1923" t="s">
        <v>64</v>
      </c>
      <c r="H1923" t="s">
        <v>69</v>
      </c>
      <c r="I1923" t="s">
        <v>3943</v>
      </c>
      <c r="J1923">
        <v>9.8687716666669996</v>
      </c>
      <c r="K1923">
        <v>-84.061859999999996</v>
      </c>
      <c r="L1923" t="s">
        <v>1225</v>
      </c>
      <c r="M1923" t="s">
        <v>71</v>
      </c>
      <c r="N1923" t="s">
        <v>72</v>
      </c>
      <c r="O1923" t="s">
        <v>73</v>
      </c>
      <c r="P1923">
        <v>20</v>
      </c>
      <c r="Q1923" t="s">
        <v>74</v>
      </c>
      <c r="S1923" t="str">
        <f>_xlfn.XLOOKUP(UNIVERSO[[#This Row],[Ruta]],'[1]CUOTA RUTA'!A:A,'[1]CUOTA RUTA'!D:D)</f>
        <v>Cargar</v>
      </c>
    </row>
    <row r="1924" spans="1:19" x14ac:dyDescent="0.25">
      <c r="A1924">
        <v>1500700896</v>
      </c>
      <c r="B1924" t="s">
        <v>3944</v>
      </c>
      <c r="C1924" t="s">
        <v>19</v>
      </c>
      <c r="D1924" t="s">
        <v>266</v>
      </c>
      <c r="E1924" t="s">
        <v>21</v>
      </c>
      <c r="F1924" t="s">
        <v>22</v>
      </c>
      <c r="G1924" t="s">
        <v>64</v>
      </c>
      <c r="H1924" t="s">
        <v>272</v>
      </c>
      <c r="I1924" t="s">
        <v>3945</v>
      </c>
      <c r="J1924">
        <v>9.8531642000000002</v>
      </c>
      <c r="K1924">
        <v>-83.718958799999996</v>
      </c>
      <c r="L1924" t="s">
        <v>1225</v>
      </c>
      <c r="M1924" t="s">
        <v>54</v>
      </c>
      <c r="N1924" t="s">
        <v>274</v>
      </c>
      <c r="O1924" t="s">
        <v>275</v>
      </c>
      <c r="P1924">
        <v>24</v>
      </c>
      <c r="Q1924" t="s">
        <v>947</v>
      </c>
      <c r="S1924" t="str">
        <f>_xlfn.XLOOKUP(UNIVERSO[[#This Row],[Ruta]],'[1]CUOTA RUTA'!A:A,'[1]CUOTA RUTA'!D:D)</f>
        <v>Cargar</v>
      </c>
    </row>
    <row r="1925" spans="1:19" x14ac:dyDescent="0.25">
      <c r="A1925">
        <v>1500701034</v>
      </c>
      <c r="B1925" t="s">
        <v>1503</v>
      </c>
      <c r="C1925" t="s">
        <v>19</v>
      </c>
      <c r="D1925" t="s">
        <v>208</v>
      </c>
      <c r="E1925" t="s">
        <v>21</v>
      </c>
      <c r="F1925" t="s">
        <v>22</v>
      </c>
      <c r="G1925" t="s">
        <v>64</v>
      </c>
      <c r="H1925" t="s">
        <v>221</v>
      </c>
      <c r="I1925" t="s">
        <v>3946</v>
      </c>
      <c r="J1925">
        <v>10.043570000000001</v>
      </c>
      <c r="K1925">
        <v>-83.548860000000005</v>
      </c>
      <c r="L1925" t="s">
        <v>1225</v>
      </c>
      <c r="M1925" t="s">
        <v>189</v>
      </c>
      <c r="N1925" t="s">
        <v>211</v>
      </c>
      <c r="O1925" t="s">
        <v>212</v>
      </c>
      <c r="P1925">
        <v>9</v>
      </c>
      <c r="Q1925" t="s">
        <v>80</v>
      </c>
      <c r="S1925" t="str">
        <f>_xlfn.XLOOKUP(UNIVERSO[[#This Row],[Ruta]],'[1]CUOTA RUTA'!A:A,'[1]CUOTA RUTA'!D:D)</f>
        <v>Cargar</v>
      </c>
    </row>
    <row r="1926" spans="1:19" x14ac:dyDescent="0.25">
      <c r="A1926">
        <v>1500701101</v>
      </c>
      <c r="B1926" t="s">
        <v>3947</v>
      </c>
      <c r="C1926" t="s">
        <v>19</v>
      </c>
      <c r="D1926" t="s">
        <v>324</v>
      </c>
      <c r="E1926" t="s">
        <v>21</v>
      </c>
      <c r="F1926" t="s">
        <v>22</v>
      </c>
      <c r="G1926" t="s">
        <v>64</v>
      </c>
      <c r="H1926" t="s">
        <v>325</v>
      </c>
      <c r="I1926" t="s">
        <v>3948</v>
      </c>
      <c r="J1926">
        <v>10.364604</v>
      </c>
      <c r="K1926">
        <v>-84.587455000000006</v>
      </c>
      <c r="L1926" t="s">
        <v>1225</v>
      </c>
      <c r="M1926" t="s">
        <v>327</v>
      </c>
      <c r="N1926" t="s">
        <v>328</v>
      </c>
      <c r="O1926" t="s">
        <v>329</v>
      </c>
      <c r="P1926">
        <v>13</v>
      </c>
      <c r="Q1926" t="s">
        <v>161</v>
      </c>
      <c r="S1926" t="str">
        <f>_xlfn.XLOOKUP(UNIVERSO[[#This Row],[Ruta]],'[1]CUOTA RUTA'!A:A,'[1]CUOTA RUTA'!D:D)</f>
        <v>Cargar</v>
      </c>
    </row>
    <row r="1927" spans="1:19" x14ac:dyDescent="0.25">
      <c r="A1927">
        <v>1500701103</v>
      </c>
      <c r="B1927" t="s">
        <v>3949</v>
      </c>
      <c r="C1927" t="s">
        <v>19</v>
      </c>
      <c r="D1927" t="s">
        <v>20</v>
      </c>
      <c r="E1927" t="s">
        <v>21</v>
      </c>
      <c r="F1927" t="s">
        <v>22</v>
      </c>
      <c r="G1927" t="s">
        <v>64</v>
      </c>
      <c r="H1927" t="s">
        <v>1143</v>
      </c>
      <c r="I1927" t="s">
        <v>3950</v>
      </c>
      <c r="J1927">
        <v>10.0448</v>
      </c>
      <c r="K1927">
        <v>-84.209180000000003</v>
      </c>
      <c r="L1927" t="s">
        <v>1225</v>
      </c>
      <c r="M1927" t="s">
        <v>54</v>
      </c>
      <c r="N1927" t="s">
        <v>55</v>
      </c>
      <c r="O1927" t="s">
        <v>56</v>
      </c>
      <c r="P1927">
        <v>17</v>
      </c>
      <c r="Q1927" t="s">
        <v>287</v>
      </c>
      <c r="S1927" t="str">
        <f>_xlfn.XLOOKUP(UNIVERSO[[#This Row],[Ruta]],'[1]CUOTA RUTA'!A:A,'[1]CUOTA RUTA'!D:D)</f>
        <v>Cargar</v>
      </c>
    </row>
    <row r="1928" spans="1:19" x14ac:dyDescent="0.25">
      <c r="A1928">
        <v>1500701263</v>
      </c>
      <c r="B1928" t="s">
        <v>3951</v>
      </c>
      <c r="C1928" t="s">
        <v>19</v>
      </c>
      <c r="D1928" t="s">
        <v>20</v>
      </c>
      <c r="E1928" t="s">
        <v>21</v>
      </c>
      <c r="F1928" t="s">
        <v>22</v>
      </c>
      <c r="G1928" t="s">
        <v>33</v>
      </c>
      <c r="H1928" t="s">
        <v>1021</v>
      </c>
      <c r="I1928" t="s">
        <v>3952</v>
      </c>
      <c r="J1928">
        <v>10.081727000000001</v>
      </c>
      <c r="K1928">
        <v>-84.249941000000007</v>
      </c>
      <c r="L1928" t="s">
        <v>1225</v>
      </c>
      <c r="M1928" t="s">
        <v>46</v>
      </c>
      <c r="N1928" t="s">
        <v>47</v>
      </c>
      <c r="O1928" t="s">
        <v>48</v>
      </c>
      <c r="P1928">
        <v>12</v>
      </c>
      <c r="Q1928" t="s">
        <v>42</v>
      </c>
      <c r="S1928" t="str">
        <f>_xlfn.XLOOKUP(UNIVERSO[[#This Row],[Ruta]],'[1]CUOTA RUTA'!A:A,'[1]CUOTA RUTA'!D:D)</f>
        <v>Cargar</v>
      </c>
    </row>
    <row r="1929" spans="1:19" x14ac:dyDescent="0.25">
      <c r="A1929">
        <v>1500701511</v>
      </c>
      <c r="B1929" t="s">
        <v>3953</v>
      </c>
      <c r="C1929" t="s">
        <v>19</v>
      </c>
      <c r="D1929" t="s">
        <v>337</v>
      </c>
      <c r="E1929" t="s">
        <v>21</v>
      </c>
      <c r="F1929" t="s">
        <v>22</v>
      </c>
      <c r="G1929" t="s">
        <v>33</v>
      </c>
      <c r="H1929" t="s">
        <v>483</v>
      </c>
      <c r="I1929" t="s">
        <v>3954</v>
      </c>
      <c r="J1929">
        <v>10.4307</v>
      </c>
      <c r="K1929">
        <v>-84.944490000000002</v>
      </c>
      <c r="L1929" t="s">
        <v>1225</v>
      </c>
      <c r="M1929" t="s">
        <v>327</v>
      </c>
      <c r="N1929" t="s">
        <v>340</v>
      </c>
      <c r="O1929" t="s">
        <v>341</v>
      </c>
      <c r="P1929">
        <v>23</v>
      </c>
      <c r="Q1929" t="s">
        <v>125</v>
      </c>
      <c r="S1929" t="str">
        <f>_xlfn.XLOOKUP(UNIVERSO[[#This Row],[Ruta]],'[1]CUOTA RUTA'!A:A,'[1]CUOTA RUTA'!D:D)</f>
        <v>Cargar</v>
      </c>
    </row>
    <row r="1930" spans="1:19" x14ac:dyDescent="0.25">
      <c r="A1930">
        <v>1500701602</v>
      </c>
      <c r="B1930" t="s">
        <v>3955</v>
      </c>
      <c r="C1930" t="s">
        <v>19</v>
      </c>
      <c r="D1930" t="s">
        <v>208</v>
      </c>
      <c r="E1930" t="s">
        <v>21</v>
      </c>
      <c r="F1930" t="s">
        <v>22</v>
      </c>
      <c r="G1930" t="s">
        <v>33</v>
      </c>
      <c r="H1930" t="s">
        <v>1794</v>
      </c>
      <c r="I1930" t="s">
        <v>3956</v>
      </c>
      <c r="J1930">
        <v>10.349995249999999</v>
      </c>
      <c r="K1930">
        <v>-83.921658149999999</v>
      </c>
      <c r="L1930" t="s">
        <v>1225</v>
      </c>
      <c r="M1930" t="s">
        <v>189</v>
      </c>
      <c r="N1930" t="s">
        <v>211</v>
      </c>
      <c r="O1930" t="s">
        <v>212</v>
      </c>
      <c r="P1930">
        <v>3</v>
      </c>
      <c r="Q1930" t="s">
        <v>101</v>
      </c>
      <c r="S1930" t="str">
        <f>_xlfn.XLOOKUP(UNIVERSO[[#This Row],[Ruta]],'[1]CUOTA RUTA'!A:A,'[1]CUOTA RUTA'!D:D)</f>
        <v>Cargar</v>
      </c>
    </row>
    <row r="1931" spans="1:19" x14ac:dyDescent="0.25">
      <c r="A1931">
        <v>1500701621</v>
      </c>
      <c r="B1931" t="s">
        <v>3957</v>
      </c>
      <c r="C1931" t="s">
        <v>19</v>
      </c>
      <c r="D1931" t="s">
        <v>324</v>
      </c>
      <c r="E1931" t="s">
        <v>62</v>
      </c>
      <c r="F1931" t="s">
        <v>63</v>
      </c>
      <c r="G1931" t="s">
        <v>64</v>
      </c>
      <c r="H1931" t="s">
        <v>557</v>
      </c>
      <c r="I1931" t="s">
        <v>3958</v>
      </c>
      <c r="J1931">
        <v>10.4723934</v>
      </c>
      <c r="K1931">
        <v>-84.643723399999999</v>
      </c>
      <c r="L1931" t="s">
        <v>1225</v>
      </c>
      <c r="M1931" t="s">
        <v>327</v>
      </c>
      <c r="N1931" t="s">
        <v>328</v>
      </c>
      <c r="O1931" t="s">
        <v>329</v>
      </c>
      <c r="P1931">
        <v>21</v>
      </c>
      <c r="Q1931" t="s">
        <v>239</v>
      </c>
      <c r="S1931" t="str">
        <f>_xlfn.XLOOKUP(UNIVERSO[[#This Row],[Ruta]],'[1]CUOTA RUTA'!A:A,'[1]CUOTA RUTA'!D:D)</f>
        <v>Cargar</v>
      </c>
    </row>
    <row r="1932" spans="1:19" x14ac:dyDescent="0.25">
      <c r="A1932">
        <v>1500701641</v>
      </c>
      <c r="B1932" t="s">
        <v>3959</v>
      </c>
      <c r="C1932" t="s">
        <v>19</v>
      </c>
      <c r="D1932" t="s">
        <v>20</v>
      </c>
      <c r="E1932" t="s">
        <v>21</v>
      </c>
      <c r="F1932" t="s">
        <v>22</v>
      </c>
      <c r="G1932" t="s">
        <v>23</v>
      </c>
      <c r="H1932" t="s">
        <v>554</v>
      </c>
      <c r="I1932" t="s">
        <v>3960</v>
      </c>
      <c r="J1932">
        <v>9.9879180000000005</v>
      </c>
      <c r="K1932">
        <v>-84.152005000000003</v>
      </c>
      <c r="L1932" t="s">
        <v>1225</v>
      </c>
      <c r="M1932" t="s">
        <v>27</v>
      </c>
      <c r="N1932" t="s">
        <v>28</v>
      </c>
      <c r="O1932" t="s">
        <v>29</v>
      </c>
      <c r="P1932">
        <v>4</v>
      </c>
      <c r="Q1932" t="s">
        <v>120</v>
      </c>
      <c r="S1932" t="str">
        <f>_xlfn.XLOOKUP(UNIVERSO[[#This Row],[Ruta]],'[1]CUOTA RUTA'!A:A,'[1]CUOTA RUTA'!D:D)</f>
        <v>Cargar</v>
      </c>
    </row>
    <row r="1933" spans="1:19" x14ac:dyDescent="0.25">
      <c r="A1933">
        <v>1500701777</v>
      </c>
      <c r="B1933" t="s">
        <v>3412</v>
      </c>
      <c r="C1933" t="s">
        <v>19</v>
      </c>
      <c r="D1933" t="s">
        <v>208</v>
      </c>
      <c r="E1933" t="s">
        <v>21</v>
      </c>
      <c r="F1933" t="s">
        <v>22</v>
      </c>
      <c r="G1933" t="s">
        <v>23</v>
      </c>
      <c r="H1933" t="s">
        <v>218</v>
      </c>
      <c r="I1933" t="s">
        <v>3961</v>
      </c>
      <c r="J1933">
        <v>10.22075115</v>
      </c>
      <c r="K1933">
        <v>-83.672833269999998</v>
      </c>
      <c r="L1933" t="s">
        <v>1225</v>
      </c>
      <c r="M1933" t="s">
        <v>189</v>
      </c>
      <c r="N1933" t="s">
        <v>211</v>
      </c>
      <c r="O1933" t="s">
        <v>212</v>
      </c>
      <c r="P1933">
        <v>6</v>
      </c>
      <c r="Q1933" t="s">
        <v>49</v>
      </c>
      <c r="S1933" t="str">
        <f>_xlfn.XLOOKUP(UNIVERSO[[#This Row],[Ruta]],'[1]CUOTA RUTA'!A:A,'[1]CUOTA RUTA'!D:D)</f>
        <v>Cargar</v>
      </c>
    </row>
    <row r="1934" spans="1:19" x14ac:dyDescent="0.25">
      <c r="A1934">
        <v>1500701827</v>
      </c>
      <c r="B1934" t="s">
        <v>3962</v>
      </c>
      <c r="C1934" t="s">
        <v>19</v>
      </c>
      <c r="D1934" t="s">
        <v>201</v>
      </c>
      <c r="E1934" t="s">
        <v>21</v>
      </c>
      <c r="F1934" t="s">
        <v>51</v>
      </c>
      <c r="G1934" t="s">
        <v>23</v>
      </c>
      <c r="H1934" t="s">
        <v>334</v>
      </c>
      <c r="I1934" t="s">
        <v>3963</v>
      </c>
      <c r="J1934">
        <v>9.9747298999999998</v>
      </c>
      <c r="K1934">
        <v>-84.659848499999995</v>
      </c>
      <c r="L1934" t="s">
        <v>1225</v>
      </c>
      <c r="M1934" t="s">
        <v>204</v>
      </c>
      <c r="N1934" t="s">
        <v>205</v>
      </c>
      <c r="O1934" t="s">
        <v>206</v>
      </c>
      <c r="P1934">
        <v>14</v>
      </c>
      <c r="Q1934" t="s">
        <v>181</v>
      </c>
      <c r="S1934" t="str">
        <f>_xlfn.XLOOKUP(UNIVERSO[[#This Row],[Ruta]],'[1]CUOTA RUTA'!A:A,'[1]CUOTA RUTA'!D:D)</f>
        <v>Cargar</v>
      </c>
    </row>
    <row r="1935" spans="1:19" x14ac:dyDescent="0.25">
      <c r="A1935">
        <v>1500701872</v>
      </c>
      <c r="B1935" t="s">
        <v>3964</v>
      </c>
      <c r="C1935" t="s">
        <v>19</v>
      </c>
      <c r="D1935" t="s">
        <v>201</v>
      </c>
      <c r="E1935" t="s">
        <v>21</v>
      </c>
      <c r="F1935" t="s">
        <v>51</v>
      </c>
      <c r="G1935" t="s">
        <v>23</v>
      </c>
      <c r="H1935" t="s">
        <v>383</v>
      </c>
      <c r="I1935" t="s">
        <v>3965</v>
      </c>
      <c r="J1935">
        <v>9.9817569000000006</v>
      </c>
      <c r="K1935">
        <v>-84.766210700000002</v>
      </c>
      <c r="L1935" t="s">
        <v>1225</v>
      </c>
      <c r="M1935" t="s">
        <v>204</v>
      </c>
      <c r="N1935" t="s">
        <v>205</v>
      </c>
      <c r="O1935" t="s">
        <v>206</v>
      </c>
      <c r="P1935">
        <v>10</v>
      </c>
      <c r="Q1935" t="s">
        <v>136</v>
      </c>
      <c r="S1935" t="str">
        <f>_xlfn.XLOOKUP(UNIVERSO[[#This Row],[Ruta]],'[1]CUOTA RUTA'!A:A,'[1]CUOTA RUTA'!D:D)</f>
        <v>Cargar</v>
      </c>
    </row>
    <row r="1936" spans="1:19" x14ac:dyDescent="0.25">
      <c r="A1936">
        <v>1500701919</v>
      </c>
      <c r="B1936" t="s">
        <v>3966</v>
      </c>
      <c r="C1936" t="s">
        <v>19</v>
      </c>
      <c r="D1936" t="s">
        <v>20</v>
      </c>
      <c r="E1936" t="s">
        <v>21</v>
      </c>
      <c r="F1936" t="s">
        <v>22</v>
      </c>
      <c r="G1936" t="s">
        <v>33</v>
      </c>
      <c r="H1936" t="s">
        <v>24</v>
      </c>
      <c r="I1936" t="s">
        <v>3967</v>
      </c>
      <c r="J1936">
        <v>9.9908053500000005</v>
      </c>
      <c r="K1936">
        <v>-84.111791240000002</v>
      </c>
      <c r="L1936" t="s">
        <v>1225</v>
      </c>
      <c r="M1936" t="s">
        <v>27</v>
      </c>
      <c r="N1936" t="s">
        <v>28</v>
      </c>
      <c r="O1936" t="s">
        <v>29</v>
      </c>
      <c r="P1936">
        <v>19</v>
      </c>
      <c r="Q1936" t="s">
        <v>67</v>
      </c>
      <c r="S1936" t="str">
        <f>_xlfn.XLOOKUP(UNIVERSO[[#This Row],[Ruta]],'[1]CUOTA RUTA'!A:A,'[1]CUOTA RUTA'!D:D)</f>
        <v>Cargar</v>
      </c>
    </row>
    <row r="1937" spans="1:19" x14ac:dyDescent="0.25">
      <c r="A1937">
        <v>1500702091</v>
      </c>
      <c r="B1937" t="s">
        <v>3968</v>
      </c>
      <c r="C1937" t="s">
        <v>19</v>
      </c>
      <c r="D1937" t="s">
        <v>208</v>
      </c>
      <c r="E1937" t="s">
        <v>21</v>
      </c>
      <c r="F1937" t="s">
        <v>22</v>
      </c>
      <c r="G1937" t="s">
        <v>64</v>
      </c>
      <c r="H1937" t="s">
        <v>1794</v>
      </c>
      <c r="I1937" t="s">
        <v>3969</v>
      </c>
      <c r="J1937">
        <v>10.321507499999999</v>
      </c>
      <c r="K1937">
        <v>-83.942746600000007</v>
      </c>
      <c r="L1937" t="s">
        <v>1225</v>
      </c>
      <c r="M1937" t="s">
        <v>189</v>
      </c>
      <c r="N1937" t="s">
        <v>211</v>
      </c>
      <c r="O1937" t="s">
        <v>212</v>
      </c>
      <c r="P1937">
        <v>3</v>
      </c>
      <c r="Q1937" t="s">
        <v>101</v>
      </c>
      <c r="S1937" t="str">
        <f>_xlfn.XLOOKUP(UNIVERSO[[#This Row],[Ruta]],'[1]CUOTA RUTA'!A:A,'[1]CUOTA RUTA'!D:D)</f>
        <v>Cargar</v>
      </c>
    </row>
    <row r="1938" spans="1:19" x14ac:dyDescent="0.25">
      <c r="A1938">
        <v>1500702110</v>
      </c>
      <c r="B1938" t="s">
        <v>2743</v>
      </c>
      <c r="C1938" t="s">
        <v>19</v>
      </c>
      <c r="D1938" t="s">
        <v>349</v>
      </c>
      <c r="E1938" t="s">
        <v>21</v>
      </c>
      <c r="F1938" t="s">
        <v>22</v>
      </c>
      <c r="G1938" t="s">
        <v>33</v>
      </c>
      <c r="H1938" t="s">
        <v>356</v>
      </c>
      <c r="I1938" t="s">
        <v>3970</v>
      </c>
      <c r="J1938">
        <v>10.259713</v>
      </c>
      <c r="K1938">
        <v>-85.584102000000001</v>
      </c>
      <c r="L1938" t="s">
        <v>1225</v>
      </c>
      <c r="M1938" t="s">
        <v>352</v>
      </c>
      <c r="N1938" t="s">
        <v>353</v>
      </c>
      <c r="O1938" t="s">
        <v>354</v>
      </c>
      <c r="P1938">
        <v>1</v>
      </c>
      <c r="Q1938" t="s">
        <v>155</v>
      </c>
      <c r="S1938" t="str">
        <f>_xlfn.XLOOKUP(UNIVERSO[[#This Row],[Ruta]],'[1]CUOTA RUTA'!A:A,'[1]CUOTA RUTA'!D:D)</f>
        <v>Cargar</v>
      </c>
    </row>
    <row r="1939" spans="1:19" x14ac:dyDescent="0.25">
      <c r="A1939">
        <v>1500702147</v>
      </c>
      <c r="B1939" t="s">
        <v>3971</v>
      </c>
      <c r="C1939" t="s">
        <v>19</v>
      </c>
      <c r="D1939" t="s">
        <v>186</v>
      </c>
      <c r="E1939" t="s">
        <v>21</v>
      </c>
      <c r="F1939" t="s">
        <v>22</v>
      </c>
      <c r="G1939" t="s">
        <v>64</v>
      </c>
      <c r="H1939" t="s">
        <v>187</v>
      </c>
      <c r="I1939" t="s">
        <v>3972</v>
      </c>
      <c r="J1939">
        <v>9.9967050000000004</v>
      </c>
      <c r="K1939">
        <v>-83.069334999999995</v>
      </c>
      <c r="L1939" t="s">
        <v>1225</v>
      </c>
      <c r="M1939" t="s">
        <v>189</v>
      </c>
      <c r="N1939" t="s">
        <v>190</v>
      </c>
      <c r="O1939" t="s">
        <v>191</v>
      </c>
      <c r="P1939">
        <v>23</v>
      </c>
      <c r="Q1939" t="s">
        <v>125</v>
      </c>
      <c r="S1939" t="str">
        <f>_xlfn.XLOOKUP(UNIVERSO[[#This Row],[Ruta]],'[1]CUOTA RUTA'!A:A,'[1]CUOTA RUTA'!D:D)</f>
        <v>Cargar</v>
      </c>
    </row>
    <row r="1940" spans="1:19" x14ac:dyDescent="0.25">
      <c r="A1940">
        <v>1500702250</v>
      </c>
      <c r="B1940" t="s">
        <v>3973</v>
      </c>
      <c r="C1940" t="s">
        <v>19</v>
      </c>
      <c r="D1940" t="s">
        <v>32</v>
      </c>
      <c r="E1940" t="s">
        <v>21</v>
      </c>
      <c r="F1940" t="s">
        <v>22</v>
      </c>
      <c r="G1940" t="s">
        <v>33</v>
      </c>
      <c r="H1940" t="s">
        <v>65</v>
      </c>
      <c r="I1940" t="s">
        <v>3974</v>
      </c>
      <c r="J1940">
        <v>9.9134899999999995</v>
      </c>
      <c r="K1940">
        <v>-83.977900000000005</v>
      </c>
      <c r="L1940" t="s">
        <v>1225</v>
      </c>
      <c r="M1940" t="s">
        <v>36</v>
      </c>
      <c r="N1940" t="s">
        <v>37</v>
      </c>
      <c r="O1940" t="s">
        <v>38</v>
      </c>
      <c r="P1940">
        <v>19</v>
      </c>
      <c r="Q1940" t="s">
        <v>67</v>
      </c>
      <c r="S1940" t="str">
        <f>_xlfn.XLOOKUP(UNIVERSO[[#This Row],[Ruta]],'[1]CUOTA RUTA'!A:A,'[1]CUOTA RUTA'!D:D)</f>
        <v>Cargar</v>
      </c>
    </row>
    <row r="1941" spans="1:19" x14ac:dyDescent="0.25">
      <c r="A1941">
        <v>1500702431</v>
      </c>
      <c r="B1941" t="s">
        <v>3975</v>
      </c>
      <c r="C1941" t="s">
        <v>19</v>
      </c>
      <c r="D1941" t="s">
        <v>32</v>
      </c>
      <c r="E1941" t="s">
        <v>21</v>
      </c>
      <c r="F1941" t="s">
        <v>22</v>
      </c>
      <c r="G1941" t="s">
        <v>33</v>
      </c>
      <c r="H1941" t="s">
        <v>65</v>
      </c>
      <c r="I1941" t="s">
        <v>3976</v>
      </c>
      <c r="J1941">
        <v>9.9001699999999992</v>
      </c>
      <c r="K1941">
        <v>-83.975499999999997</v>
      </c>
      <c r="L1941" t="s">
        <v>1225</v>
      </c>
      <c r="M1941" t="s">
        <v>36</v>
      </c>
      <c r="N1941" t="s">
        <v>37</v>
      </c>
      <c r="O1941" t="s">
        <v>38</v>
      </c>
      <c r="P1941">
        <v>19</v>
      </c>
      <c r="Q1941" t="s">
        <v>67</v>
      </c>
      <c r="S1941" t="str">
        <f>_xlfn.XLOOKUP(UNIVERSO[[#This Row],[Ruta]],'[1]CUOTA RUTA'!A:A,'[1]CUOTA RUTA'!D:D)</f>
        <v>Cargar</v>
      </c>
    </row>
    <row r="1942" spans="1:19" x14ac:dyDescent="0.25">
      <c r="A1942">
        <v>1500702507</v>
      </c>
      <c r="B1942" t="s">
        <v>3977</v>
      </c>
      <c r="C1942" t="s">
        <v>19</v>
      </c>
      <c r="D1942" t="s">
        <v>186</v>
      </c>
      <c r="E1942" t="s">
        <v>62</v>
      </c>
      <c r="F1942" t="s">
        <v>63</v>
      </c>
      <c r="G1942" t="s">
        <v>33</v>
      </c>
      <c r="H1942" t="s">
        <v>868</v>
      </c>
      <c r="I1942" t="s">
        <v>3978</v>
      </c>
      <c r="J1942">
        <v>9.9930470000000007</v>
      </c>
      <c r="K1942">
        <v>-83.032427999999996</v>
      </c>
      <c r="L1942" t="s">
        <v>1225</v>
      </c>
      <c r="M1942" t="s">
        <v>189</v>
      </c>
      <c r="N1942" t="s">
        <v>190</v>
      </c>
      <c r="O1942" t="s">
        <v>191</v>
      </c>
      <c r="P1942">
        <v>12</v>
      </c>
      <c r="Q1942" t="s">
        <v>42</v>
      </c>
      <c r="S1942" t="str">
        <f>_xlfn.XLOOKUP(UNIVERSO[[#This Row],[Ruta]],'[1]CUOTA RUTA'!A:A,'[1]CUOTA RUTA'!D:D)</f>
        <v>Cargar</v>
      </c>
    </row>
    <row r="1943" spans="1:19" x14ac:dyDescent="0.25">
      <c r="A1943">
        <v>1500702561</v>
      </c>
      <c r="B1943" t="s">
        <v>3979</v>
      </c>
      <c r="C1943" t="s">
        <v>19</v>
      </c>
      <c r="D1943" t="s">
        <v>208</v>
      </c>
      <c r="E1943" t="s">
        <v>21</v>
      </c>
      <c r="F1943" t="s">
        <v>22</v>
      </c>
      <c r="G1943" t="s">
        <v>64</v>
      </c>
      <c r="H1943" t="s">
        <v>502</v>
      </c>
      <c r="I1943" t="s">
        <v>3980</v>
      </c>
      <c r="J1943">
        <v>10.470217699999999</v>
      </c>
      <c r="K1943">
        <v>-83.655290399999998</v>
      </c>
      <c r="L1943" t="s">
        <v>1225</v>
      </c>
      <c r="M1943" t="s">
        <v>189</v>
      </c>
      <c r="N1943" t="s">
        <v>211</v>
      </c>
      <c r="O1943" t="s">
        <v>212</v>
      </c>
      <c r="P1943">
        <v>7</v>
      </c>
      <c r="Q1943" t="s">
        <v>39</v>
      </c>
      <c r="S1943" t="str">
        <f>_xlfn.XLOOKUP(UNIVERSO[[#This Row],[Ruta]],'[1]CUOTA RUTA'!A:A,'[1]CUOTA RUTA'!D:D)</f>
        <v>Cargar</v>
      </c>
    </row>
    <row r="1944" spans="1:19" x14ac:dyDescent="0.25">
      <c r="A1944">
        <v>1500702625</v>
      </c>
      <c r="B1944" t="s">
        <v>3981</v>
      </c>
      <c r="C1944" t="s">
        <v>19</v>
      </c>
      <c r="D1944" t="s">
        <v>20</v>
      </c>
      <c r="E1944" t="s">
        <v>21</v>
      </c>
      <c r="F1944" t="s">
        <v>22</v>
      </c>
      <c r="G1944" t="s">
        <v>33</v>
      </c>
      <c r="H1944" t="s">
        <v>250</v>
      </c>
      <c r="I1944" t="s">
        <v>3982</v>
      </c>
      <c r="J1944">
        <v>10.021732399999999</v>
      </c>
      <c r="K1944">
        <v>-84.239380600000004</v>
      </c>
      <c r="L1944" t="s">
        <v>1225</v>
      </c>
      <c r="M1944" t="s">
        <v>46</v>
      </c>
      <c r="N1944" t="s">
        <v>47</v>
      </c>
      <c r="O1944" t="s">
        <v>48</v>
      </c>
      <c r="P1944">
        <v>3</v>
      </c>
      <c r="Q1944" t="s">
        <v>101</v>
      </c>
      <c r="S1944" t="str">
        <f>_xlfn.XLOOKUP(UNIVERSO[[#This Row],[Ruta]],'[1]CUOTA RUTA'!A:A,'[1]CUOTA RUTA'!D:D)</f>
        <v>Cargar</v>
      </c>
    </row>
    <row r="1945" spans="1:19" x14ac:dyDescent="0.25">
      <c r="A1945">
        <v>1500702662</v>
      </c>
      <c r="B1945" t="s">
        <v>3983</v>
      </c>
      <c r="C1945" t="s">
        <v>19</v>
      </c>
      <c r="D1945" t="s">
        <v>324</v>
      </c>
      <c r="E1945" t="s">
        <v>21</v>
      </c>
      <c r="F1945" t="s">
        <v>22</v>
      </c>
      <c r="G1945" t="s">
        <v>64</v>
      </c>
      <c r="H1945" t="s">
        <v>325</v>
      </c>
      <c r="I1945" t="s">
        <v>3984</v>
      </c>
      <c r="J1945">
        <v>10.3849</v>
      </c>
      <c r="K1945">
        <v>-84.573660000000004</v>
      </c>
      <c r="L1945" t="s">
        <v>1225</v>
      </c>
      <c r="M1945" t="s">
        <v>327</v>
      </c>
      <c r="N1945" t="s">
        <v>328</v>
      </c>
      <c r="O1945" t="s">
        <v>329</v>
      </c>
      <c r="P1945">
        <v>13</v>
      </c>
      <c r="Q1945" t="s">
        <v>161</v>
      </c>
      <c r="S1945" t="str">
        <f>_xlfn.XLOOKUP(UNIVERSO[[#This Row],[Ruta]],'[1]CUOTA RUTA'!A:A,'[1]CUOTA RUTA'!D:D)</f>
        <v>Cargar</v>
      </c>
    </row>
    <row r="1946" spans="1:19" x14ac:dyDescent="0.25">
      <c r="A1946">
        <v>1500702680</v>
      </c>
      <c r="B1946" t="s">
        <v>3985</v>
      </c>
      <c r="C1946" t="s">
        <v>19</v>
      </c>
      <c r="D1946" t="s">
        <v>20</v>
      </c>
      <c r="E1946" t="s">
        <v>21</v>
      </c>
      <c r="F1946" t="s">
        <v>22</v>
      </c>
      <c r="G1946" t="s">
        <v>23</v>
      </c>
      <c r="H1946" t="s">
        <v>1021</v>
      </c>
      <c r="I1946" t="s">
        <v>3986</v>
      </c>
      <c r="J1946">
        <v>10.075089</v>
      </c>
      <c r="K1946">
        <v>-84.215649999999997</v>
      </c>
      <c r="L1946" t="s">
        <v>1225</v>
      </c>
      <c r="M1946" t="s">
        <v>46</v>
      </c>
      <c r="N1946" t="s">
        <v>47</v>
      </c>
      <c r="O1946" t="s">
        <v>48</v>
      </c>
      <c r="P1946">
        <v>12</v>
      </c>
      <c r="Q1946" t="s">
        <v>42</v>
      </c>
      <c r="S1946" t="str">
        <f>_xlfn.XLOOKUP(UNIVERSO[[#This Row],[Ruta]],'[1]CUOTA RUTA'!A:A,'[1]CUOTA RUTA'!D:D)</f>
        <v>Cargar</v>
      </c>
    </row>
    <row r="1947" spans="1:19" x14ac:dyDescent="0.25">
      <c r="A1947">
        <v>1500702884</v>
      </c>
      <c r="B1947" t="s">
        <v>3987</v>
      </c>
      <c r="C1947" t="s">
        <v>19</v>
      </c>
      <c r="D1947" t="s">
        <v>20</v>
      </c>
      <c r="E1947" t="s">
        <v>21</v>
      </c>
      <c r="F1947" t="s">
        <v>22</v>
      </c>
      <c r="G1947" t="s">
        <v>64</v>
      </c>
      <c r="H1947" t="s">
        <v>901</v>
      </c>
      <c r="I1947" t="s">
        <v>3988</v>
      </c>
      <c r="J1947">
        <v>10.054</v>
      </c>
      <c r="K1947">
        <v>-84.438199999999995</v>
      </c>
      <c r="L1947" t="s">
        <v>1225</v>
      </c>
      <c r="M1947" t="s">
        <v>46</v>
      </c>
      <c r="N1947" t="s">
        <v>47</v>
      </c>
      <c r="O1947" t="s">
        <v>48</v>
      </c>
      <c r="P1947">
        <v>8</v>
      </c>
      <c r="Q1947" t="s">
        <v>97</v>
      </c>
      <c r="S1947" t="str">
        <f>_xlfn.XLOOKUP(UNIVERSO[[#This Row],[Ruta]],'[1]CUOTA RUTA'!A:A,'[1]CUOTA RUTA'!D:D)</f>
        <v>Cargar</v>
      </c>
    </row>
    <row r="1948" spans="1:19" x14ac:dyDescent="0.25">
      <c r="A1948">
        <v>1500702944</v>
      </c>
      <c r="B1948" t="s">
        <v>1174</v>
      </c>
      <c r="C1948" t="s">
        <v>19</v>
      </c>
      <c r="D1948" t="s">
        <v>324</v>
      </c>
      <c r="E1948" t="s">
        <v>21</v>
      </c>
      <c r="F1948" t="s">
        <v>51</v>
      </c>
      <c r="G1948" t="s">
        <v>23</v>
      </c>
      <c r="H1948" t="s">
        <v>396</v>
      </c>
      <c r="I1948" t="s">
        <v>3989</v>
      </c>
      <c r="J1948">
        <v>10.313905</v>
      </c>
      <c r="K1948">
        <v>-84.182528199999993</v>
      </c>
      <c r="L1948" t="s">
        <v>1225</v>
      </c>
      <c r="M1948" t="s">
        <v>327</v>
      </c>
      <c r="N1948" t="s">
        <v>328</v>
      </c>
      <c r="O1948" t="s">
        <v>329</v>
      </c>
      <c r="P1948">
        <v>23</v>
      </c>
      <c r="Q1948" t="s">
        <v>125</v>
      </c>
      <c r="S1948" t="str">
        <f>_xlfn.XLOOKUP(UNIVERSO[[#This Row],[Ruta]],'[1]CUOTA RUTA'!A:A,'[1]CUOTA RUTA'!D:D)</f>
        <v>Cargar</v>
      </c>
    </row>
    <row r="1949" spans="1:19" x14ac:dyDescent="0.25">
      <c r="A1949">
        <v>1500703264</v>
      </c>
      <c r="B1949" t="s">
        <v>3990</v>
      </c>
      <c r="C1949" t="s">
        <v>19</v>
      </c>
      <c r="D1949" t="s">
        <v>244</v>
      </c>
      <c r="E1949" t="s">
        <v>21</v>
      </c>
      <c r="F1949" t="s">
        <v>22</v>
      </c>
      <c r="G1949" t="s">
        <v>64</v>
      </c>
      <c r="H1949" t="s">
        <v>1233</v>
      </c>
      <c r="I1949" t="s">
        <v>3991</v>
      </c>
      <c r="J1949">
        <v>9.3574319999999993</v>
      </c>
      <c r="K1949">
        <v>-83.700946999999999</v>
      </c>
      <c r="L1949" t="s">
        <v>1225</v>
      </c>
      <c r="M1949" t="s">
        <v>46</v>
      </c>
      <c r="N1949" t="s">
        <v>247</v>
      </c>
      <c r="O1949" t="s">
        <v>248</v>
      </c>
      <c r="P1949">
        <v>14</v>
      </c>
      <c r="Q1949" t="s">
        <v>181</v>
      </c>
      <c r="S1949" t="str">
        <f>_xlfn.XLOOKUP(UNIVERSO[[#This Row],[Ruta]],'[1]CUOTA RUTA'!A:A,'[1]CUOTA RUTA'!D:D)</f>
        <v>Cargar</v>
      </c>
    </row>
    <row r="1950" spans="1:19" x14ac:dyDescent="0.25">
      <c r="A1950">
        <v>1500703362</v>
      </c>
      <c r="B1950" t="s">
        <v>3992</v>
      </c>
      <c r="C1950" t="s">
        <v>19</v>
      </c>
      <c r="D1950" t="s">
        <v>208</v>
      </c>
      <c r="E1950" t="s">
        <v>21</v>
      </c>
      <c r="F1950" t="s">
        <v>22</v>
      </c>
      <c r="G1950" t="s">
        <v>33</v>
      </c>
      <c r="H1950" t="s">
        <v>719</v>
      </c>
      <c r="I1950" t="s">
        <v>3993</v>
      </c>
      <c r="J1950">
        <v>10.40258</v>
      </c>
      <c r="K1950">
        <v>-84.132829999999998</v>
      </c>
      <c r="L1950" t="s">
        <v>1225</v>
      </c>
      <c r="M1950" t="s">
        <v>189</v>
      </c>
      <c r="N1950" t="s">
        <v>211</v>
      </c>
      <c r="O1950" t="s">
        <v>212</v>
      </c>
      <c r="P1950">
        <v>11</v>
      </c>
      <c r="Q1950" t="s">
        <v>108</v>
      </c>
      <c r="S1950" t="str">
        <f>_xlfn.XLOOKUP(UNIVERSO[[#This Row],[Ruta]],'[1]CUOTA RUTA'!A:A,'[1]CUOTA RUTA'!D:D)</f>
        <v>Cargar</v>
      </c>
    </row>
    <row r="1951" spans="1:19" x14ac:dyDescent="0.25">
      <c r="A1951">
        <v>1500703504</v>
      </c>
      <c r="B1951" t="s">
        <v>3994</v>
      </c>
      <c r="C1951" t="s">
        <v>19</v>
      </c>
      <c r="D1951" t="s">
        <v>244</v>
      </c>
      <c r="E1951" t="s">
        <v>21</v>
      </c>
      <c r="F1951" t="s">
        <v>22</v>
      </c>
      <c r="G1951" t="s">
        <v>64</v>
      </c>
      <c r="H1951" t="s">
        <v>767</v>
      </c>
      <c r="I1951" t="s">
        <v>3995</v>
      </c>
      <c r="J1951">
        <v>9.1208361500000006</v>
      </c>
      <c r="K1951">
        <v>-83.527134020000005</v>
      </c>
      <c r="L1951" t="s">
        <v>1225</v>
      </c>
      <c r="M1951" t="s">
        <v>46</v>
      </c>
      <c r="N1951" t="s">
        <v>247</v>
      </c>
      <c r="O1951" t="s">
        <v>248</v>
      </c>
      <c r="P1951">
        <v>19</v>
      </c>
      <c r="Q1951" t="s">
        <v>67</v>
      </c>
      <c r="S1951" t="str">
        <f>_xlfn.XLOOKUP(UNIVERSO[[#This Row],[Ruta]],'[1]CUOTA RUTA'!A:A,'[1]CUOTA RUTA'!D:D)</f>
        <v>Cargar</v>
      </c>
    </row>
    <row r="1952" spans="1:19" x14ac:dyDescent="0.25">
      <c r="A1952">
        <v>1500703563</v>
      </c>
      <c r="B1952" t="s">
        <v>3996</v>
      </c>
      <c r="C1952" t="s">
        <v>19</v>
      </c>
      <c r="D1952" t="s">
        <v>244</v>
      </c>
      <c r="E1952" t="s">
        <v>21</v>
      </c>
      <c r="F1952" t="s">
        <v>22</v>
      </c>
      <c r="G1952" t="s">
        <v>23</v>
      </c>
      <c r="H1952" t="s">
        <v>767</v>
      </c>
      <c r="I1952" t="s">
        <v>3997</v>
      </c>
      <c r="J1952">
        <v>9.1019649999999999</v>
      </c>
      <c r="K1952">
        <v>-83.466823000000005</v>
      </c>
      <c r="L1952" t="s">
        <v>1225</v>
      </c>
      <c r="M1952" t="s">
        <v>46</v>
      </c>
      <c r="N1952" t="s">
        <v>247</v>
      </c>
      <c r="O1952" t="s">
        <v>248</v>
      </c>
      <c r="P1952">
        <v>20</v>
      </c>
      <c r="Q1952" t="s">
        <v>74</v>
      </c>
      <c r="S1952" t="str">
        <f>_xlfn.XLOOKUP(UNIVERSO[[#This Row],[Ruta]],'[1]CUOTA RUTA'!A:A,'[1]CUOTA RUTA'!D:D)</f>
        <v>Cargar</v>
      </c>
    </row>
    <row r="1953" spans="1:19" x14ac:dyDescent="0.25">
      <c r="A1953">
        <v>1500703898</v>
      </c>
      <c r="B1953" t="s">
        <v>3998</v>
      </c>
      <c r="C1953" t="s">
        <v>19</v>
      </c>
      <c r="D1953" t="s">
        <v>324</v>
      </c>
      <c r="E1953" t="s">
        <v>21</v>
      </c>
      <c r="F1953" t="s">
        <v>22</v>
      </c>
      <c r="G1953" t="s">
        <v>33</v>
      </c>
      <c r="H1953" t="s">
        <v>331</v>
      </c>
      <c r="I1953" t="s">
        <v>3999</v>
      </c>
      <c r="J1953">
        <v>10.4583333</v>
      </c>
      <c r="K1953">
        <v>-84.417478900000006</v>
      </c>
      <c r="L1953" t="s">
        <v>1225</v>
      </c>
      <c r="M1953" t="s">
        <v>327</v>
      </c>
      <c r="N1953" t="s">
        <v>328</v>
      </c>
      <c r="O1953" t="s">
        <v>329</v>
      </c>
      <c r="P1953">
        <v>19</v>
      </c>
      <c r="Q1953" t="s">
        <v>67</v>
      </c>
      <c r="S1953" t="str">
        <f>_xlfn.XLOOKUP(UNIVERSO[[#This Row],[Ruta]],'[1]CUOTA RUTA'!A:A,'[1]CUOTA RUTA'!D:D)</f>
        <v>Cargar</v>
      </c>
    </row>
    <row r="1954" spans="1:19" x14ac:dyDescent="0.25">
      <c r="A1954">
        <v>1500703977</v>
      </c>
      <c r="B1954" t="s">
        <v>121</v>
      </c>
      <c r="C1954" t="s">
        <v>19</v>
      </c>
      <c r="D1954" t="s">
        <v>20</v>
      </c>
      <c r="E1954" t="s">
        <v>21</v>
      </c>
      <c r="F1954" t="s">
        <v>22</v>
      </c>
      <c r="G1954" t="s">
        <v>64</v>
      </c>
      <c r="H1954" t="s">
        <v>458</v>
      </c>
      <c r="I1954" t="s">
        <v>4000</v>
      </c>
      <c r="J1954">
        <v>9.9370700000000003</v>
      </c>
      <c r="K1954">
        <v>-84.265320000000003</v>
      </c>
      <c r="L1954" t="s">
        <v>1225</v>
      </c>
      <c r="M1954" t="s">
        <v>54</v>
      </c>
      <c r="N1954" t="s">
        <v>55</v>
      </c>
      <c r="O1954" t="s">
        <v>56</v>
      </c>
      <c r="P1954">
        <v>20</v>
      </c>
      <c r="Q1954" t="s">
        <v>74</v>
      </c>
      <c r="S1954" t="str">
        <f>_xlfn.XLOOKUP(UNIVERSO[[#This Row],[Ruta]],'[1]CUOTA RUTA'!A:A,'[1]CUOTA RUTA'!D:D)</f>
        <v>Cargar</v>
      </c>
    </row>
    <row r="1955" spans="1:19" x14ac:dyDescent="0.25">
      <c r="A1955">
        <v>1500704114</v>
      </c>
      <c r="B1955" t="s">
        <v>4001</v>
      </c>
      <c r="C1955" t="s">
        <v>19</v>
      </c>
      <c r="D1955" t="s">
        <v>32</v>
      </c>
      <c r="E1955" t="s">
        <v>62</v>
      </c>
      <c r="F1955" t="s">
        <v>63</v>
      </c>
      <c r="G1955" t="s">
        <v>64</v>
      </c>
      <c r="H1955" t="s">
        <v>425</v>
      </c>
      <c r="I1955" t="s">
        <v>4002</v>
      </c>
      <c r="J1955">
        <v>9.8575499999999998</v>
      </c>
      <c r="K1955">
        <v>-84.094499999999996</v>
      </c>
      <c r="L1955" t="s">
        <v>1225</v>
      </c>
      <c r="M1955" t="s">
        <v>71</v>
      </c>
      <c r="N1955" t="s">
        <v>72</v>
      </c>
      <c r="O1955" t="s">
        <v>73</v>
      </c>
      <c r="P1955">
        <v>15</v>
      </c>
      <c r="Q1955" t="s">
        <v>231</v>
      </c>
      <c r="S1955" t="str">
        <f>_xlfn.XLOOKUP(UNIVERSO[[#This Row],[Ruta]],'[1]CUOTA RUTA'!A:A,'[1]CUOTA RUTA'!D:D)</f>
        <v>Cargar</v>
      </c>
    </row>
    <row r="1956" spans="1:19" x14ac:dyDescent="0.25">
      <c r="A1956">
        <v>1500704251</v>
      </c>
      <c r="B1956" t="s">
        <v>4003</v>
      </c>
      <c r="C1956" t="s">
        <v>19</v>
      </c>
      <c r="D1956" t="s">
        <v>266</v>
      </c>
      <c r="E1956" t="s">
        <v>21</v>
      </c>
      <c r="F1956" t="s">
        <v>22</v>
      </c>
      <c r="G1956" t="s">
        <v>33</v>
      </c>
      <c r="H1956" t="s">
        <v>267</v>
      </c>
      <c r="I1956" t="s">
        <v>4004</v>
      </c>
      <c r="J1956">
        <v>9.9084547500000006</v>
      </c>
      <c r="K1956">
        <v>-83.684364869999996</v>
      </c>
      <c r="L1956" t="s">
        <v>1225</v>
      </c>
      <c r="M1956" t="s">
        <v>189</v>
      </c>
      <c r="N1956" t="s">
        <v>269</v>
      </c>
      <c r="O1956" t="s">
        <v>270</v>
      </c>
      <c r="P1956">
        <v>21</v>
      </c>
      <c r="Q1956" t="s">
        <v>239</v>
      </c>
      <c r="S1956" t="str">
        <f>_xlfn.XLOOKUP(UNIVERSO[[#This Row],[Ruta]],'[1]CUOTA RUTA'!A:A,'[1]CUOTA RUTA'!D:D)</f>
        <v>Cargar</v>
      </c>
    </row>
    <row r="1957" spans="1:19" x14ac:dyDescent="0.25">
      <c r="A1957">
        <v>1500704270</v>
      </c>
      <c r="B1957" t="s">
        <v>4005</v>
      </c>
      <c r="C1957" t="s">
        <v>19</v>
      </c>
      <c r="D1957" t="s">
        <v>32</v>
      </c>
      <c r="E1957" t="s">
        <v>21</v>
      </c>
      <c r="F1957" t="s">
        <v>22</v>
      </c>
      <c r="G1957" t="s">
        <v>33</v>
      </c>
      <c r="H1957" t="s">
        <v>425</v>
      </c>
      <c r="I1957" t="s">
        <v>4006</v>
      </c>
      <c r="J1957">
        <v>9.8572790000000001</v>
      </c>
      <c r="K1957">
        <v>-84.098122000000004</v>
      </c>
      <c r="L1957" t="s">
        <v>1225</v>
      </c>
      <c r="M1957" t="s">
        <v>71</v>
      </c>
      <c r="N1957" t="s">
        <v>72</v>
      </c>
      <c r="O1957" t="s">
        <v>73</v>
      </c>
      <c r="P1957">
        <v>14</v>
      </c>
      <c r="Q1957" t="s">
        <v>181</v>
      </c>
      <c r="S1957" t="str">
        <f>_xlfn.XLOOKUP(UNIVERSO[[#This Row],[Ruta]],'[1]CUOTA RUTA'!A:A,'[1]CUOTA RUTA'!D:D)</f>
        <v>Cargar</v>
      </c>
    </row>
    <row r="1958" spans="1:19" x14ac:dyDescent="0.25">
      <c r="A1958">
        <v>1500704460</v>
      </c>
      <c r="B1958" t="s">
        <v>4007</v>
      </c>
      <c r="C1958" t="s">
        <v>19</v>
      </c>
      <c r="D1958" t="s">
        <v>349</v>
      </c>
      <c r="E1958" t="s">
        <v>21</v>
      </c>
      <c r="F1958" t="s">
        <v>22</v>
      </c>
      <c r="G1958" t="s">
        <v>33</v>
      </c>
      <c r="H1958" t="s">
        <v>356</v>
      </c>
      <c r="I1958" t="s">
        <v>4008</v>
      </c>
      <c r="J1958">
        <v>10.170299999999999</v>
      </c>
      <c r="K1958">
        <v>-85.263199999999998</v>
      </c>
      <c r="L1958" t="s">
        <v>1225</v>
      </c>
      <c r="M1958" t="s">
        <v>352</v>
      </c>
      <c r="N1958" t="s">
        <v>353</v>
      </c>
      <c r="O1958" t="s">
        <v>354</v>
      </c>
      <c r="P1958">
        <v>16</v>
      </c>
      <c r="Q1958" t="s">
        <v>60</v>
      </c>
      <c r="S1958" t="str">
        <f>_xlfn.XLOOKUP(UNIVERSO[[#This Row],[Ruta]],'[1]CUOTA RUTA'!A:A,'[1]CUOTA RUTA'!D:D)</f>
        <v>Cargar</v>
      </c>
    </row>
    <row r="1959" spans="1:19" x14ac:dyDescent="0.25">
      <c r="A1959">
        <v>1500704855</v>
      </c>
      <c r="B1959" t="s">
        <v>3104</v>
      </c>
      <c r="C1959" t="s">
        <v>19</v>
      </c>
      <c r="D1959" t="s">
        <v>244</v>
      </c>
      <c r="E1959" t="s">
        <v>21</v>
      </c>
      <c r="F1959" t="s">
        <v>22</v>
      </c>
      <c r="G1959" t="s">
        <v>64</v>
      </c>
      <c r="H1959" t="s">
        <v>245</v>
      </c>
      <c r="I1959" t="s">
        <v>4009</v>
      </c>
      <c r="J1959">
        <v>9.3660449999999997</v>
      </c>
      <c r="K1959">
        <v>-83.649777999999998</v>
      </c>
      <c r="L1959" t="s">
        <v>1225</v>
      </c>
      <c r="M1959" t="s">
        <v>46</v>
      </c>
      <c r="N1959" t="s">
        <v>247</v>
      </c>
      <c r="O1959" t="s">
        <v>248</v>
      </c>
      <c r="P1959">
        <v>15</v>
      </c>
      <c r="Q1959" t="s">
        <v>231</v>
      </c>
      <c r="S1959" t="str">
        <f>_xlfn.XLOOKUP(UNIVERSO[[#This Row],[Ruta]],'[1]CUOTA RUTA'!A:A,'[1]CUOTA RUTA'!D:D)</f>
        <v>Cargar</v>
      </c>
    </row>
    <row r="1960" spans="1:19" x14ac:dyDescent="0.25">
      <c r="A1960">
        <v>1500704901</v>
      </c>
      <c r="B1960" t="s">
        <v>4010</v>
      </c>
      <c r="C1960" t="s">
        <v>19</v>
      </c>
      <c r="D1960" t="s">
        <v>20</v>
      </c>
      <c r="E1960" t="s">
        <v>21</v>
      </c>
      <c r="F1960" t="s">
        <v>22</v>
      </c>
      <c r="G1960" t="s">
        <v>23</v>
      </c>
      <c r="H1960" t="s">
        <v>638</v>
      </c>
      <c r="I1960" t="s">
        <v>4011</v>
      </c>
      <c r="J1960">
        <v>10.002219999999999</v>
      </c>
      <c r="K1960">
        <v>-84.215419999999995</v>
      </c>
      <c r="L1960" t="s">
        <v>1225</v>
      </c>
      <c r="M1960" t="s">
        <v>54</v>
      </c>
      <c r="N1960" t="s">
        <v>55</v>
      </c>
      <c r="O1960" t="s">
        <v>56</v>
      </c>
      <c r="P1960">
        <v>3</v>
      </c>
      <c r="Q1960" t="s">
        <v>101</v>
      </c>
      <c r="S1960" t="str">
        <f>_xlfn.XLOOKUP(UNIVERSO[[#This Row],[Ruta]],'[1]CUOTA RUTA'!A:A,'[1]CUOTA RUTA'!D:D)</f>
        <v>Cargar</v>
      </c>
    </row>
    <row r="1961" spans="1:19" x14ac:dyDescent="0.25">
      <c r="A1961">
        <v>1500704920</v>
      </c>
      <c r="B1961" t="s">
        <v>4012</v>
      </c>
      <c r="C1961" t="s">
        <v>19</v>
      </c>
      <c r="D1961" t="s">
        <v>32</v>
      </c>
      <c r="E1961" t="s">
        <v>21</v>
      </c>
      <c r="F1961" t="s">
        <v>22</v>
      </c>
      <c r="G1961" t="s">
        <v>64</v>
      </c>
      <c r="H1961" t="s">
        <v>1383</v>
      </c>
      <c r="I1961" t="s">
        <v>4013</v>
      </c>
      <c r="J1961">
        <v>9.9218589999999995</v>
      </c>
      <c r="K1961">
        <v>-84.092167000000003</v>
      </c>
      <c r="L1961" t="s">
        <v>1225</v>
      </c>
      <c r="M1961" t="s">
        <v>71</v>
      </c>
      <c r="N1961" t="s">
        <v>72</v>
      </c>
      <c r="O1961" t="s">
        <v>73</v>
      </c>
      <c r="P1961">
        <v>4</v>
      </c>
      <c r="Q1961" t="s">
        <v>120</v>
      </c>
      <c r="S1961" t="str">
        <f>_xlfn.XLOOKUP(UNIVERSO[[#This Row],[Ruta]],'[1]CUOTA RUTA'!A:A,'[1]CUOTA RUTA'!D:D)</f>
        <v>Cargar</v>
      </c>
    </row>
    <row r="1962" spans="1:19" x14ac:dyDescent="0.25">
      <c r="A1962">
        <v>1500704989</v>
      </c>
      <c r="B1962" t="s">
        <v>4014</v>
      </c>
      <c r="C1962" t="s">
        <v>19</v>
      </c>
      <c r="D1962" t="s">
        <v>324</v>
      </c>
      <c r="E1962" t="s">
        <v>21</v>
      </c>
      <c r="F1962" t="s">
        <v>51</v>
      </c>
      <c r="G1962" t="s">
        <v>23</v>
      </c>
      <c r="H1962" t="s">
        <v>396</v>
      </c>
      <c r="I1962" t="s">
        <v>4015</v>
      </c>
      <c r="J1962">
        <v>10.422499999999999</v>
      </c>
      <c r="K1962">
        <v>-84.321269999999998</v>
      </c>
      <c r="L1962" t="s">
        <v>1225</v>
      </c>
      <c r="M1962" t="s">
        <v>327</v>
      </c>
      <c r="N1962" t="s">
        <v>328</v>
      </c>
      <c r="O1962" t="s">
        <v>329</v>
      </c>
      <c r="P1962">
        <v>18</v>
      </c>
      <c r="Q1962" t="s">
        <v>84</v>
      </c>
      <c r="S1962" t="str">
        <f>_xlfn.XLOOKUP(UNIVERSO[[#This Row],[Ruta]],'[1]CUOTA RUTA'!A:A,'[1]CUOTA RUTA'!D:D)</f>
        <v>Cargar</v>
      </c>
    </row>
    <row r="1963" spans="1:19" x14ac:dyDescent="0.25">
      <c r="A1963">
        <v>1500705127</v>
      </c>
      <c r="B1963" t="s">
        <v>4016</v>
      </c>
      <c r="C1963" t="s">
        <v>19</v>
      </c>
      <c r="D1963" t="s">
        <v>32</v>
      </c>
      <c r="E1963" t="s">
        <v>21</v>
      </c>
      <c r="F1963" t="s">
        <v>22</v>
      </c>
      <c r="G1963" t="s">
        <v>33</v>
      </c>
      <c r="H1963" t="s">
        <v>69</v>
      </c>
      <c r="I1963" t="s">
        <v>4017</v>
      </c>
      <c r="J1963">
        <v>9.8650280000000006</v>
      </c>
      <c r="K1963">
        <v>-84.048996000000002</v>
      </c>
      <c r="L1963" t="s">
        <v>1225</v>
      </c>
      <c r="M1963" t="s">
        <v>71</v>
      </c>
      <c r="N1963" t="s">
        <v>72</v>
      </c>
      <c r="O1963" t="s">
        <v>73</v>
      </c>
      <c r="P1963">
        <v>21</v>
      </c>
      <c r="Q1963" t="s">
        <v>239</v>
      </c>
      <c r="S1963" t="str">
        <f>_xlfn.XLOOKUP(UNIVERSO[[#This Row],[Ruta]],'[1]CUOTA RUTA'!A:A,'[1]CUOTA RUTA'!D:D)</f>
        <v>Cargar</v>
      </c>
    </row>
    <row r="1964" spans="1:19" x14ac:dyDescent="0.25">
      <c r="A1964">
        <v>1500705163</v>
      </c>
      <c r="B1964" t="s">
        <v>4018</v>
      </c>
      <c r="C1964" t="s">
        <v>19</v>
      </c>
      <c r="D1964" t="s">
        <v>349</v>
      </c>
      <c r="E1964" t="s">
        <v>21</v>
      </c>
      <c r="F1964" t="s">
        <v>22</v>
      </c>
      <c r="G1964" t="s">
        <v>33</v>
      </c>
      <c r="H1964" t="s">
        <v>350</v>
      </c>
      <c r="I1964" t="s">
        <v>4019</v>
      </c>
      <c r="J1964">
        <v>10.255442650000001</v>
      </c>
      <c r="K1964">
        <v>-85.582274159999997</v>
      </c>
      <c r="L1964" t="s">
        <v>1225</v>
      </c>
      <c r="M1964" t="s">
        <v>352</v>
      </c>
      <c r="N1964" t="s">
        <v>353</v>
      </c>
      <c r="O1964" t="s">
        <v>354</v>
      </c>
      <c r="P1964">
        <v>1</v>
      </c>
      <c r="Q1964" t="s">
        <v>155</v>
      </c>
      <c r="S1964" t="str">
        <f>_xlfn.XLOOKUP(UNIVERSO[[#This Row],[Ruta]],'[1]CUOTA RUTA'!A:A,'[1]CUOTA RUTA'!D:D)</f>
        <v>Cargar</v>
      </c>
    </row>
    <row r="1965" spans="1:19" x14ac:dyDescent="0.25">
      <c r="A1965">
        <v>1500705230</v>
      </c>
      <c r="B1965" t="s">
        <v>4020</v>
      </c>
      <c r="C1965" t="s">
        <v>19</v>
      </c>
      <c r="D1965" t="s">
        <v>20</v>
      </c>
      <c r="E1965" t="s">
        <v>21</v>
      </c>
      <c r="F1965" t="s">
        <v>22</v>
      </c>
      <c r="G1965" t="s">
        <v>23</v>
      </c>
      <c r="H1965" t="s">
        <v>277</v>
      </c>
      <c r="I1965" t="s">
        <v>4021</v>
      </c>
      <c r="J1965">
        <v>9.9175199999999997</v>
      </c>
      <c r="K1965">
        <v>-84.139229999999998</v>
      </c>
      <c r="L1965" t="s">
        <v>1225</v>
      </c>
      <c r="M1965" t="s">
        <v>54</v>
      </c>
      <c r="N1965" t="s">
        <v>55</v>
      </c>
      <c r="O1965" t="s">
        <v>56</v>
      </c>
      <c r="P1965">
        <v>12</v>
      </c>
      <c r="Q1965" t="s">
        <v>42</v>
      </c>
      <c r="S1965" t="str">
        <f>_xlfn.XLOOKUP(UNIVERSO[[#This Row],[Ruta]],'[1]CUOTA RUTA'!A:A,'[1]CUOTA RUTA'!D:D)</f>
        <v>Cargar</v>
      </c>
    </row>
    <row r="1966" spans="1:19" x14ac:dyDescent="0.25">
      <c r="A1966">
        <v>1500705261</v>
      </c>
      <c r="B1966" t="s">
        <v>4022</v>
      </c>
      <c r="C1966" t="s">
        <v>19</v>
      </c>
      <c r="D1966" t="s">
        <v>349</v>
      </c>
      <c r="E1966" t="s">
        <v>21</v>
      </c>
      <c r="F1966" t="s">
        <v>22</v>
      </c>
      <c r="G1966" t="s">
        <v>23</v>
      </c>
      <c r="H1966" t="s">
        <v>356</v>
      </c>
      <c r="I1966" t="s">
        <v>4023</v>
      </c>
      <c r="J1966">
        <v>10.262339000000001</v>
      </c>
      <c r="K1966">
        <v>-85.586939000000001</v>
      </c>
      <c r="L1966" t="s">
        <v>1225</v>
      </c>
      <c r="M1966" t="s">
        <v>352</v>
      </c>
      <c r="N1966" t="s">
        <v>353</v>
      </c>
      <c r="O1966" t="s">
        <v>354</v>
      </c>
      <c r="P1966">
        <v>1</v>
      </c>
      <c r="Q1966" t="s">
        <v>155</v>
      </c>
      <c r="S1966" t="str">
        <f>_xlfn.XLOOKUP(UNIVERSO[[#This Row],[Ruta]],'[1]CUOTA RUTA'!A:A,'[1]CUOTA RUTA'!D:D)</f>
        <v>Cargar</v>
      </c>
    </row>
    <row r="1967" spans="1:19" x14ac:dyDescent="0.25">
      <c r="A1967">
        <v>1500705344</v>
      </c>
      <c r="B1967" t="s">
        <v>137</v>
      </c>
      <c r="C1967" t="s">
        <v>19</v>
      </c>
      <c r="D1967" t="s">
        <v>266</v>
      </c>
      <c r="E1967" t="s">
        <v>21</v>
      </c>
      <c r="F1967" t="s">
        <v>22</v>
      </c>
      <c r="G1967" t="s">
        <v>64</v>
      </c>
      <c r="H1967" t="s">
        <v>404</v>
      </c>
      <c r="I1967" t="s">
        <v>4024</v>
      </c>
      <c r="J1967">
        <v>9.864217</v>
      </c>
      <c r="K1967">
        <v>-83.893424999999993</v>
      </c>
      <c r="L1967" t="s">
        <v>1225</v>
      </c>
      <c r="M1967" t="s">
        <v>36</v>
      </c>
      <c r="N1967" t="s">
        <v>316</v>
      </c>
      <c r="O1967" t="s">
        <v>317</v>
      </c>
      <c r="P1967">
        <v>17</v>
      </c>
      <c r="Q1967" t="s">
        <v>287</v>
      </c>
      <c r="S1967" t="str">
        <f>_xlfn.XLOOKUP(UNIVERSO[[#This Row],[Ruta]],'[1]CUOTA RUTA'!A:A,'[1]CUOTA RUTA'!D:D)</f>
        <v>Cargar</v>
      </c>
    </row>
    <row r="1968" spans="1:19" x14ac:dyDescent="0.25">
      <c r="A1968">
        <v>1500705478</v>
      </c>
      <c r="B1968" t="s">
        <v>4025</v>
      </c>
      <c r="C1968" t="s">
        <v>19</v>
      </c>
      <c r="D1968" t="s">
        <v>337</v>
      </c>
      <c r="E1968" t="s">
        <v>21</v>
      </c>
      <c r="F1968" t="s">
        <v>22</v>
      </c>
      <c r="G1968" t="s">
        <v>33</v>
      </c>
      <c r="H1968" t="s">
        <v>1732</v>
      </c>
      <c r="I1968" t="s">
        <v>4026</v>
      </c>
      <c r="J1968">
        <v>10.360997340000001</v>
      </c>
      <c r="K1968">
        <v>-85.458138770000005</v>
      </c>
      <c r="L1968" t="s">
        <v>1225</v>
      </c>
      <c r="M1968" t="s">
        <v>327</v>
      </c>
      <c r="N1968" t="s">
        <v>340</v>
      </c>
      <c r="O1968" t="s">
        <v>341</v>
      </c>
      <c r="P1968">
        <v>16</v>
      </c>
      <c r="Q1968" t="s">
        <v>60</v>
      </c>
      <c r="S1968" t="str">
        <f>_xlfn.XLOOKUP(UNIVERSO[[#This Row],[Ruta]],'[1]CUOTA RUTA'!A:A,'[1]CUOTA RUTA'!D:D)</f>
        <v>Cargar</v>
      </c>
    </row>
    <row r="1969" spans="1:19" x14ac:dyDescent="0.25">
      <c r="A1969">
        <v>1500705519</v>
      </c>
      <c r="B1969" t="s">
        <v>4027</v>
      </c>
      <c r="C1969" t="s">
        <v>19</v>
      </c>
      <c r="D1969" t="s">
        <v>20</v>
      </c>
      <c r="E1969" t="s">
        <v>21</v>
      </c>
      <c r="F1969" t="s">
        <v>22</v>
      </c>
      <c r="G1969" t="s">
        <v>64</v>
      </c>
      <c r="H1969" t="s">
        <v>743</v>
      </c>
      <c r="I1969" t="s">
        <v>4028</v>
      </c>
      <c r="J1969">
        <v>10.0002</v>
      </c>
      <c r="K1969">
        <v>-84.383020000000002</v>
      </c>
      <c r="L1969" t="s">
        <v>1225</v>
      </c>
      <c r="M1969" t="s">
        <v>46</v>
      </c>
      <c r="N1969" t="s">
        <v>47</v>
      </c>
      <c r="O1969" t="s">
        <v>48</v>
      </c>
      <c r="P1969">
        <v>10</v>
      </c>
      <c r="Q1969" t="s">
        <v>136</v>
      </c>
      <c r="S1969" t="str">
        <f>_xlfn.XLOOKUP(UNIVERSO[[#This Row],[Ruta]],'[1]CUOTA RUTA'!A:A,'[1]CUOTA RUTA'!D:D)</f>
        <v>Cargar</v>
      </c>
    </row>
    <row r="1970" spans="1:19" x14ac:dyDescent="0.25">
      <c r="A1970">
        <v>1500705532</v>
      </c>
      <c r="B1970" t="s">
        <v>3236</v>
      </c>
      <c r="C1970" t="s">
        <v>19</v>
      </c>
      <c r="D1970" t="s">
        <v>337</v>
      </c>
      <c r="E1970" t="s">
        <v>21</v>
      </c>
      <c r="F1970" t="s">
        <v>22</v>
      </c>
      <c r="G1970" t="s">
        <v>64</v>
      </c>
      <c r="H1970" t="s">
        <v>451</v>
      </c>
      <c r="I1970" t="s">
        <v>4029</v>
      </c>
      <c r="J1970">
        <v>10.646421999999999</v>
      </c>
      <c r="K1970">
        <v>-85.442773000000003</v>
      </c>
      <c r="L1970" t="s">
        <v>1225</v>
      </c>
      <c r="M1970" t="s">
        <v>327</v>
      </c>
      <c r="N1970" t="s">
        <v>340</v>
      </c>
      <c r="O1970" t="s">
        <v>341</v>
      </c>
      <c r="P1970">
        <v>13</v>
      </c>
      <c r="Q1970" t="s">
        <v>161</v>
      </c>
      <c r="S1970" t="str">
        <f>_xlfn.XLOOKUP(UNIVERSO[[#This Row],[Ruta]],'[1]CUOTA RUTA'!A:A,'[1]CUOTA RUTA'!D:D)</f>
        <v>Cargar</v>
      </c>
    </row>
    <row r="1971" spans="1:19" x14ac:dyDescent="0.25">
      <c r="A1971">
        <v>1500705614</v>
      </c>
      <c r="B1971" t="s">
        <v>4030</v>
      </c>
      <c r="C1971" t="s">
        <v>19</v>
      </c>
      <c r="D1971" t="s">
        <v>32</v>
      </c>
      <c r="E1971" t="s">
        <v>21</v>
      </c>
      <c r="F1971" t="s">
        <v>22</v>
      </c>
      <c r="G1971" t="s">
        <v>33</v>
      </c>
      <c r="H1971" t="s">
        <v>89</v>
      </c>
      <c r="I1971" t="s">
        <v>4031</v>
      </c>
      <c r="J1971">
        <v>9.8848199999999995</v>
      </c>
      <c r="K1971">
        <v>-84.084085999999999</v>
      </c>
      <c r="L1971" t="s">
        <v>1225</v>
      </c>
      <c r="M1971" t="s">
        <v>71</v>
      </c>
      <c r="N1971" t="s">
        <v>72</v>
      </c>
      <c r="O1971" t="s">
        <v>73</v>
      </c>
      <c r="P1971">
        <v>16</v>
      </c>
      <c r="Q1971" t="s">
        <v>60</v>
      </c>
      <c r="S1971" t="str">
        <f>_xlfn.XLOOKUP(UNIVERSO[[#This Row],[Ruta]],'[1]CUOTA RUTA'!A:A,'[1]CUOTA RUTA'!D:D)</f>
        <v>Cargar</v>
      </c>
    </row>
    <row r="1972" spans="1:19" x14ac:dyDescent="0.25">
      <c r="A1972">
        <v>1500705629</v>
      </c>
      <c r="B1972" t="s">
        <v>2326</v>
      </c>
      <c r="C1972" t="s">
        <v>19</v>
      </c>
      <c r="D1972" t="s">
        <v>324</v>
      </c>
      <c r="E1972" t="s">
        <v>21</v>
      </c>
      <c r="F1972" t="s">
        <v>22</v>
      </c>
      <c r="G1972" t="s">
        <v>33</v>
      </c>
      <c r="H1972" t="s">
        <v>393</v>
      </c>
      <c r="I1972" t="s">
        <v>4032</v>
      </c>
      <c r="J1972">
        <v>10.428000000000001</v>
      </c>
      <c r="K1972">
        <v>-84.425640000000001</v>
      </c>
      <c r="L1972" t="s">
        <v>1225</v>
      </c>
      <c r="M1972" t="s">
        <v>327</v>
      </c>
      <c r="N1972" t="s">
        <v>328</v>
      </c>
      <c r="O1972" t="s">
        <v>329</v>
      </c>
      <c r="P1972">
        <v>19</v>
      </c>
      <c r="Q1972" t="s">
        <v>67</v>
      </c>
      <c r="S1972" t="str">
        <f>_xlfn.XLOOKUP(UNIVERSO[[#This Row],[Ruta]],'[1]CUOTA RUTA'!A:A,'[1]CUOTA RUTA'!D:D)</f>
        <v>Cargar</v>
      </c>
    </row>
    <row r="1973" spans="1:19" x14ac:dyDescent="0.25">
      <c r="A1973">
        <v>1500705863</v>
      </c>
      <c r="B1973" t="s">
        <v>4033</v>
      </c>
      <c r="C1973" t="s">
        <v>19</v>
      </c>
      <c r="D1973" t="s">
        <v>201</v>
      </c>
      <c r="E1973" t="s">
        <v>21</v>
      </c>
      <c r="F1973" t="s">
        <v>22</v>
      </c>
      <c r="G1973" t="s">
        <v>23</v>
      </c>
      <c r="H1973" t="s">
        <v>334</v>
      </c>
      <c r="I1973" t="s">
        <v>4034</v>
      </c>
      <c r="J1973">
        <v>9.9446446000000002</v>
      </c>
      <c r="K1973">
        <v>-84.617714500000005</v>
      </c>
      <c r="L1973" t="s">
        <v>1225</v>
      </c>
      <c r="M1973" t="s">
        <v>204</v>
      </c>
      <c r="N1973" t="s">
        <v>205</v>
      </c>
      <c r="O1973" t="s">
        <v>206</v>
      </c>
      <c r="P1973">
        <v>14</v>
      </c>
      <c r="Q1973" t="s">
        <v>181</v>
      </c>
      <c r="S1973" t="str">
        <f>_xlfn.XLOOKUP(UNIVERSO[[#This Row],[Ruta]],'[1]CUOTA RUTA'!A:A,'[1]CUOTA RUTA'!D:D)</f>
        <v>Cargar</v>
      </c>
    </row>
    <row r="1974" spans="1:19" x14ac:dyDescent="0.25">
      <c r="A1974">
        <v>1500706010</v>
      </c>
      <c r="B1974" t="s">
        <v>4035</v>
      </c>
      <c r="C1974" t="s">
        <v>19</v>
      </c>
      <c r="D1974" t="s">
        <v>244</v>
      </c>
      <c r="E1974" t="s">
        <v>21</v>
      </c>
      <c r="F1974" t="s">
        <v>22</v>
      </c>
      <c r="G1974" t="s">
        <v>33</v>
      </c>
      <c r="H1974" t="s">
        <v>525</v>
      </c>
      <c r="I1974" t="s">
        <v>4036</v>
      </c>
      <c r="J1974">
        <v>9.6835819999999995</v>
      </c>
      <c r="K1974">
        <v>-84.334836999999993</v>
      </c>
      <c r="L1974" t="s">
        <v>1225</v>
      </c>
      <c r="M1974" t="s">
        <v>46</v>
      </c>
      <c r="N1974" t="s">
        <v>247</v>
      </c>
      <c r="O1974" t="s">
        <v>248</v>
      </c>
      <c r="P1974">
        <v>23</v>
      </c>
      <c r="Q1974" t="s">
        <v>125</v>
      </c>
      <c r="S1974" t="str">
        <f>_xlfn.XLOOKUP(UNIVERSO[[#This Row],[Ruta]],'[1]CUOTA RUTA'!A:A,'[1]CUOTA RUTA'!D:D)</f>
        <v>Cargar</v>
      </c>
    </row>
    <row r="1975" spans="1:19" x14ac:dyDescent="0.25">
      <c r="A1975">
        <v>1500706073</v>
      </c>
      <c r="B1975" t="s">
        <v>4037</v>
      </c>
      <c r="C1975" t="s">
        <v>19</v>
      </c>
      <c r="D1975" t="s">
        <v>244</v>
      </c>
      <c r="E1975" t="s">
        <v>21</v>
      </c>
      <c r="F1975" t="s">
        <v>22</v>
      </c>
      <c r="G1975" t="s">
        <v>64</v>
      </c>
      <c r="H1975" t="s">
        <v>819</v>
      </c>
      <c r="I1975" t="s">
        <v>4038</v>
      </c>
      <c r="J1975">
        <v>9.5510479999999998</v>
      </c>
      <c r="K1975">
        <v>-84.343868000000001</v>
      </c>
      <c r="L1975" t="s">
        <v>1225</v>
      </c>
      <c r="M1975" t="s">
        <v>46</v>
      </c>
      <c r="N1975" t="s">
        <v>247</v>
      </c>
      <c r="O1975" t="s">
        <v>248</v>
      </c>
      <c r="P1975">
        <v>22</v>
      </c>
      <c r="Q1975" t="s">
        <v>30</v>
      </c>
      <c r="S1975" t="str">
        <f>_xlfn.XLOOKUP(UNIVERSO[[#This Row],[Ruta]],'[1]CUOTA RUTA'!A:A,'[1]CUOTA RUTA'!D:D)</f>
        <v>Cargar</v>
      </c>
    </row>
    <row r="1976" spans="1:19" x14ac:dyDescent="0.25">
      <c r="A1976">
        <v>1500706114</v>
      </c>
      <c r="B1976" t="s">
        <v>4039</v>
      </c>
      <c r="C1976" t="s">
        <v>19</v>
      </c>
      <c r="D1976" t="s">
        <v>244</v>
      </c>
      <c r="E1976" t="s">
        <v>21</v>
      </c>
      <c r="F1976" t="s">
        <v>22</v>
      </c>
      <c r="G1976" t="s">
        <v>33</v>
      </c>
      <c r="H1976" t="s">
        <v>857</v>
      </c>
      <c r="I1976" t="s">
        <v>4040</v>
      </c>
      <c r="J1976">
        <v>9.4082000000000008</v>
      </c>
      <c r="K1976">
        <v>-83.7042</v>
      </c>
      <c r="L1976" t="s">
        <v>1225</v>
      </c>
      <c r="M1976" t="s">
        <v>46</v>
      </c>
      <c r="N1976" t="s">
        <v>247</v>
      </c>
      <c r="O1976" t="s">
        <v>248</v>
      </c>
      <c r="P1976">
        <v>17</v>
      </c>
      <c r="Q1976" t="s">
        <v>287</v>
      </c>
      <c r="S1976" t="str">
        <f>_xlfn.XLOOKUP(UNIVERSO[[#This Row],[Ruta]],'[1]CUOTA RUTA'!A:A,'[1]CUOTA RUTA'!D:D)</f>
        <v>Cargar</v>
      </c>
    </row>
    <row r="1977" spans="1:19" x14ac:dyDescent="0.25">
      <c r="A1977">
        <v>1500706115</v>
      </c>
      <c r="B1977" t="s">
        <v>4041</v>
      </c>
      <c r="C1977" t="s">
        <v>19</v>
      </c>
      <c r="D1977" t="s">
        <v>244</v>
      </c>
      <c r="E1977" t="s">
        <v>21</v>
      </c>
      <c r="F1977" t="s">
        <v>22</v>
      </c>
      <c r="G1977" t="s">
        <v>23</v>
      </c>
      <c r="H1977" t="s">
        <v>767</v>
      </c>
      <c r="I1977" t="s">
        <v>4042</v>
      </c>
      <c r="J1977">
        <v>9.3751569999999997</v>
      </c>
      <c r="K1977">
        <v>-83.723656000000005</v>
      </c>
      <c r="L1977" t="s">
        <v>1225</v>
      </c>
      <c r="M1977" t="s">
        <v>46</v>
      </c>
      <c r="N1977" t="s">
        <v>247</v>
      </c>
      <c r="O1977" t="s">
        <v>248</v>
      </c>
      <c r="P1977">
        <v>15</v>
      </c>
      <c r="Q1977" t="s">
        <v>231</v>
      </c>
      <c r="S1977" t="str">
        <f>_xlfn.XLOOKUP(UNIVERSO[[#This Row],[Ruta]],'[1]CUOTA RUTA'!A:A,'[1]CUOTA RUTA'!D:D)</f>
        <v>Cargar</v>
      </c>
    </row>
    <row r="1978" spans="1:19" x14ac:dyDescent="0.25">
      <c r="A1978">
        <v>1500706127</v>
      </c>
      <c r="B1978" t="s">
        <v>4043</v>
      </c>
      <c r="C1978" t="s">
        <v>19</v>
      </c>
      <c r="D1978" t="s">
        <v>244</v>
      </c>
      <c r="E1978" t="s">
        <v>21</v>
      </c>
      <c r="F1978" t="s">
        <v>22</v>
      </c>
      <c r="G1978" t="s">
        <v>33</v>
      </c>
      <c r="H1978" t="s">
        <v>767</v>
      </c>
      <c r="I1978" t="s">
        <v>4044</v>
      </c>
      <c r="J1978">
        <v>9.0744389999999999</v>
      </c>
      <c r="K1978">
        <v>-83.512822999999997</v>
      </c>
      <c r="L1978" t="s">
        <v>1225</v>
      </c>
      <c r="M1978" t="s">
        <v>46</v>
      </c>
      <c r="N1978" t="s">
        <v>247</v>
      </c>
      <c r="O1978" t="s">
        <v>248</v>
      </c>
      <c r="P1978">
        <v>20</v>
      </c>
      <c r="Q1978" t="s">
        <v>74</v>
      </c>
      <c r="S1978" t="str">
        <f>_xlfn.XLOOKUP(UNIVERSO[[#This Row],[Ruta]],'[1]CUOTA RUTA'!A:A,'[1]CUOTA RUTA'!D:D)</f>
        <v>Cargar</v>
      </c>
    </row>
    <row r="1979" spans="1:19" x14ac:dyDescent="0.25">
      <c r="A1979">
        <v>1500706184</v>
      </c>
      <c r="B1979" t="s">
        <v>4045</v>
      </c>
      <c r="C1979" t="s">
        <v>19</v>
      </c>
      <c r="D1979" t="s">
        <v>201</v>
      </c>
      <c r="E1979" t="s">
        <v>21</v>
      </c>
      <c r="F1979" t="s">
        <v>22</v>
      </c>
      <c r="G1979" t="s">
        <v>23</v>
      </c>
      <c r="H1979" t="s">
        <v>499</v>
      </c>
      <c r="I1979" t="s">
        <v>4046</v>
      </c>
      <c r="J1979">
        <v>9.8426583333330004</v>
      </c>
      <c r="K1979">
        <v>-84.588083333330005</v>
      </c>
      <c r="L1979" t="s">
        <v>1225</v>
      </c>
      <c r="M1979" t="s">
        <v>204</v>
      </c>
      <c r="N1979" t="s">
        <v>205</v>
      </c>
      <c r="O1979" t="s">
        <v>206</v>
      </c>
      <c r="P1979">
        <v>3</v>
      </c>
      <c r="Q1979" t="s">
        <v>101</v>
      </c>
      <c r="S1979" t="str">
        <f>_xlfn.XLOOKUP(UNIVERSO[[#This Row],[Ruta]],'[1]CUOTA RUTA'!A:A,'[1]CUOTA RUTA'!D:D)</f>
        <v>Cargar</v>
      </c>
    </row>
    <row r="1980" spans="1:19" x14ac:dyDescent="0.25">
      <c r="A1980">
        <v>1500706205</v>
      </c>
      <c r="B1980" t="s">
        <v>4047</v>
      </c>
      <c r="C1980" t="s">
        <v>19</v>
      </c>
      <c r="D1980" t="s">
        <v>244</v>
      </c>
      <c r="E1980" t="s">
        <v>62</v>
      </c>
      <c r="F1980" t="s">
        <v>63</v>
      </c>
      <c r="G1980" t="s">
        <v>64</v>
      </c>
      <c r="H1980" t="s">
        <v>436</v>
      </c>
      <c r="I1980" t="s">
        <v>4048</v>
      </c>
      <c r="J1980">
        <v>9.4727060000000005</v>
      </c>
      <c r="K1980">
        <v>-84.094379000000004</v>
      </c>
      <c r="L1980" t="s">
        <v>1225</v>
      </c>
      <c r="M1980" t="s">
        <v>46</v>
      </c>
      <c r="N1980" t="s">
        <v>247</v>
      </c>
      <c r="O1980" t="s">
        <v>248</v>
      </c>
      <c r="P1980">
        <v>20</v>
      </c>
      <c r="Q1980" t="s">
        <v>74</v>
      </c>
      <c r="S1980" t="str">
        <f>_xlfn.XLOOKUP(UNIVERSO[[#This Row],[Ruta]],'[1]CUOTA RUTA'!A:A,'[1]CUOTA RUTA'!D:D)</f>
        <v>Cargar</v>
      </c>
    </row>
    <row r="1981" spans="1:19" x14ac:dyDescent="0.25">
      <c r="A1981">
        <v>1500706245</v>
      </c>
      <c r="B1981" t="s">
        <v>4049</v>
      </c>
      <c r="C1981" t="s">
        <v>19</v>
      </c>
      <c r="D1981" t="s">
        <v>244</v>
      </c>
      <c r="E1981" t="s">
        <v>21</v>
      </c>
      <c r="F1981" t="s">
        <v>22</v>
      </c>
      <c r="G1981" t="s">
        <v>33</v>
      </c>
      <c r="H1981" t="s">
        <v>819</v>
      </c>
      <c r="I1981" t="s">
        <v>4050</v>
      </c>
      <c r="J1981">
        <v>9.5083020000000005</v>
      </c>
      <c r="K1981">
        <v>-84.179299999999998</v>
      </c>
      <c r="L1981" t="s">
        <v>1225</v>
      </c>
      <c r="M1981" t="s">
        <v>46</v>
      </c>
      <c r="N1981" t="s">
        <v>247</v>
      </c>
      <c r="O1981" t="s">
        <v>248</v>
      </c>
      <c r="P1981">
        <v>22</v>
      </c>
      <c r="Q1981" t="s">
        <v>30</v>
      </c>
      <c r="S1981" t="str">
        <f>_xlfn.XLOOKUP(UNIVERSO[[#This Row],[Ruta]],'[1]CUOTA RUTA'!A:A,'[1]CUOTA RUTA'!D:D)</f>
        <v>Cargar</v>
      </c>
    </row>
    <row r="1982" spans="1:19" x14ac:dyDescent="0.25">
      <c r="A1982">
        <v>1500706274</v>
      </c>
      <c r="B1982" t="s">
        <v>4051</v>
      </c>
      <c r="C1982" t="s">
        <v>19</v>
      </c>
      <c r="D1982" t="s">
        <v>349</v>
      </c>
      <c r="E1982" t="s">
        <v>21</v>
      </c>
      <c r="F1982" t="s">
        <v>22</v>
      </c>
      <c r="G1982" t="s">
        <v>33</v>
      </c>
      <c r="H1982" t="s">
        <v>496</v>
      </c>
      <c r="I1982" t="s">
        <v>4052</v>
      </c>
      <c r="J1982">
        <v>9.9606597000000008</v>
      </c>
      <c r="K1982">
        <v>-85.113359799999998</v>
      </c>
      <c r="L1982" t="s">
        <v>1225</v>
      </c>
      <c r="M1982" t="s">
        <v>352</v>
      </c>
      <c r="N1982" t="s">
        <v>353</v>
      </c>
      <c r="O1982" t="s">
        <v>354</v>
      </c>
      <c r="P1982">
        <v>10</v>
      </c>
      <c r="Q1982" t="s">
        <v>136</v>
      </c>
      <c r="S1982" t="str">
        <f>_xlfn.XLOOKUP(UNIVERSO[[#This Row],[Ruta]],'[1]CUOTA RUTA'!A:A,'[1]CUOTA RUTA'!D:D)</f>
        <v>Cargar</v>
      </c>
    </row>
    <row r="1983" spans="1:19" x14ac:dyDescent="0.25">
      <c r="A1983">
        <v>1500706279</v>
      </c>
      <c r="B1983" t="s">
        <v>4053</v>
      </c>
      <c r="C1983" t="s">
        <v>19</v>
      </c>
      <c r="D1983" t="s">
        <v>208</v>
      </c>
      <c r="E1983" t="s">
        <v>21</v>
      </c>
      <c r="F1983" t="s">
        <v>22</v>
      </c>
      <c r="G1983" t="s">
        <v>64</v>
      </c>
      <c r="H1983" t="s">
        <v>221</v>
      </c>
      <c r="I1983" t="s">
        <v>4054</v>
      </c>
      <c r="J1983">
        <v>10.45533</v>
      </c>
      <c r="K1983">
        <v>-84.059299999999993</v>
      </c>
      <c r="L1983" t="s">
        <v>1225</v>
      </c>
      <c r="M1983" t="s">
        <v>189</v>
      </c>
      <c r="N1983" t="s">
        <v>211</v>
      </c>
      <c r="O1983" t="s">
        <v>212</v>
      </c>
      <c r="P1983">
        <v>11</v>
      </c>
      <c r="Q1983" t="s">
        <v>108</v>
      </c>
      <c r="S1983" t="str">
        <f>_xlfn.XLOOKUP(UNIVERSO[[#This Row],[Ruta]],'[1]CUOTA RUTA'!A:A,'[1]CUOTA RUTA'!D:D)</f>
        <v>Cargar</v>
      </c>
    </row>
    <row r="1984" spans="1:19" x14ac:dyDescent="0.25">
      <c r="A1984">
        <v>1500706433</v>
      </c>
      <c r="B1984" t="s">
        <v>4055</v>
      </c>
      <c r="C1984" t="s">
        <v>19</v>
      </c>
      <c r="D1984" t="s">
        <v>208</v>
      </c>
      <c r="E1984" t="s">
        <v>21</v>
      </c>
      <c r="F1984" t="s">
        <v>22</v>
      </c>
      <c r="G1984" t="s">
        <v>33</v>
      </c>
      <c r="H1984" t="s">
        <v>502</v>
      </c>
      <c r="I1984" t="s">
        <v>4056</v>
      </c>
      <c r="J1984">
        <v>10.39273</v>
      </c>
      <c r="K1984">
        <v>-83.723100000000002</v>
      </c>
      <c r="L1984" t="s">
        <v>1225</v>
      </c>
      <c r="M1984" t="s">
        <v>189</v>
      </c>
      <c r="N1984" t="s">
        <v>211</v>
      </c>
      <c r="O1984" t="s">
        <v>212</v>
      </c>
      <c r="P1984">
        <v>2</v>
      </c>
      <c r="Q1984" t="s">
        <v>150</v>
      </c>
      <c r="S1984" t="str">
        <f>_xlfn.XLOOKUP(UNIVERSO[[#This Row],[Ruta]],'[1]CUOTA RUTA'!A:A,'[1]CUOTA RUTA'!D:D)</f>
        <v>Cargar</v>
      </c>
    </row>
    <row r="1985" spans="1:19" x14ac:dyDescent="0.25">
      <c r="A1985">
        <v>1500706632</v>
      </c>
      <c r="B1985" t="s">
        <v>4057</v>
      </c>
      <c r="C1985" t="s">
        <v>19</v>
      </c>
      <c r="D1985" t="s">
        <v>201</v>
      </c>
      <c r="E1985" t="s">
        <v>21</v>
      </c>
      <c r="F1985" t="s">
        <v>22</v>
      </c>
      <c r="G1985" t="s">
        <v>64</v>
      </c>
      <c r="H1985" t="s">
        <v>533</v>
      </c>
      <c r="I1985" t="s">
        <v>4058</v>
      </c>
      <c r="J1985">
        <v>9.9259629999999994</v>
      </c>
      <c r="K1985">
        <v>-84.520992000000007</v>
      </c>
      <c r="L1985" t="s">
        <v>1225</v>
      </c>
      <c r="M1985" t="s">
        <v>204</v>
      </c>
      <c r="N1985" t="s">
        <v>205</v>
      </c>
      <c r="O1985" t="s">
        <v>206</v>
      </c>
      <c r="P1985">
        <v>1</v>
      </c>
      <c r="Q1985" t="s">
        <v>155</v>
      </c>
      <c r="S1985" t="str">
        <f>_xlfn.XLOOKUP(UNIVERSO[[#This Row],[Ruta]],'[1]CUOTA RUTA'!A:A,'[1]CUOTA RUTA'!D:D)</f>
        <v>Cargar</v>
      </c>
    </row>
    <row r="1986" spans="1:19" x14ac:dyDescent="0.25">
      <c r="A1986">
        <v>1500706845</v>
      </c>
      <c r="B1986" t="s">
        <v>4059</v>
      </c>
      <c r="C1986" t="s">
        <v>19</v>
      </c>
      <c r="D1986" t="s">
        <v>186</v>
      </c>
      <c r="E1986" t="s">
        <v>21</v>
      </c>
      <c r="F1986" t="s">
        <v>22</v>
      </c>
      <c r="G1986" t="s">
        <v>64</v>
      </c>
      <c r="H1986" t="s">
        <v>229</v>
      </c>
      <c r="I1986" t="s">
        <v>4060</v>
      </c>
      <c r="J1986">
        <v>9.9772939899999997</v>
      </c>
      <c r="K1986">
        <v>-83.037380429999999</v>
      </c>
      <c r="L1986" t="s">
        <v>1225</v>
      </c>
      <c r="M1986" t="s">
        <v>189</v>
      </c>
      <c r="N1986" t="s">
        <v>190</v>
      </c>
      <c r="O1986" t="s">
        <v>191</v>
      </c>
      <c r="P1986">
        <v>15</v>
      </c>
      <c r="Q1986" t="s">
        <v>231</v>
      </c>
      <c r="S1986" t="str">
        <f>_xlfn.XLOOKUP(UNIVERSO[[#This Row],[Ruta]],'[1]CUOTA RUTA'!A:A,'[1]CUOTA RUTA'!D:D)</f>
        <v>Cargar</v>
      </c>
    </row>
    <row r="1987" spans="1:19" x14ac:dyDescent="0.25">
      <c r="A1987">
        <v>1500706850</v>
      </c>
      <c r="B1987" t="s">
        <v>4061</v>
      </c>
      <c r="C1987" t="s">
        <v>19</v>
      </c>
      <c r="D1987" t="s">
        <v>186</v>
      </c>
      <c r="E1987" t="s">
        <v>21</v>
      </c>
      <c r="F1987" t="s">
        <v>22</v>
      </c>
      <c r="G1987" t="s">
        <v>64</v>
      </c>
      <c r="H1987" t="s">
        <v>187</v>
      </c>
      <c r="I1987" t="s">
        <v>4062</v>
      </c>
      <c r="J1987">
        <v>9.9868129999999997</v>
      </c>
      <c r="K1987">
        <v>-83.057422000000003</v>
      </c>
      <c r="L1987" t="s">
        <v>1225</v>
      </c>
      <c r="M1987" t="s">
        <v>189</v>
      </c>
      <c r="N1987" t="s">
        <v>190</v>
      </c>
      <c r="O1987" t="s">
        <v>191</v>
      </c>
      <c r="P1987">
        <v>14</v>
      </c>
      <c r="Q1987" t="s">
        <v>181</v>
      </c>
      <c r="S1987" t="str">
        <f>_xlfn.XLOOKUP(UNIVERSO[[#This Row],[Ruta]],'[1]CUOTA RUTA'!A:A,'[1]CUOTA RUTA'!D:D)</f>
        <v>Cargar</v>
      </c>
    </row>
    <row r="1988" spans="1:19" x14ac:dyDescent="0.25">
      <c r="A1988">
        <v>1500706903</v>
      </c>
      <c r="B1988" t="s">
        <v>4063</v>
      </c>
      <c r="C1988" t="s">
        <v>19</v>
      </c>
      <c r="D1988" t="s">
        <v>32</v>
      </c>
      <c r="E1988" t="s">
        <v>21</v>
      </c>
      <c r="F1988" t="s">
        <v>22</v>
      </c>
      <c r="G1988" t="s">
        <v>33</v>
      </c>
      <c r="H1988" t="s">
        <v>174</v>
      </c>
      <c r="I1988" t="s">
        <v>4064</v>
      </c>
      <c r="J1988">
        <v>9.9366330000000005</v>
      </c>
      <c r="K1988">
        <v>-84.086371</v>
      </c>
      <c r="L1988" t="s">
        <v>1225</v>
      </c>
      <c r="M1988" t="s">
        <v>71</v>
      </c>
      <c r="N1988" t="s">
        <v>72</v>
      </c>
      <c r="O1988" t="s">
        <v>73</v>
      </c>
      <c r="P1988">
        <v>1</v>
      </c>
      <c r="Q1988" t="s">
        <v>155</v>
      </c>
      <c r="S1988" t="str">
        <f>_xlfn.XLOOKUP(UNIVERSO[[#This Row],[Ruta]],'[1]CUOTA RUTA'!A:A,'[1]CUOTA RUTA'!D:D)</f>
        <v>Cargar</v>
      </c>
    </row>
    <row r="1989" spans="1:19" x14ac:dyDescent="0.25">
      <c r="A1989">
        <v>1500706974</v>
      </c>
      <c r="B1989" t="s">
        <v>4065</v>
      </c>
      <c r="C1989" t="s">
        <v>19</v>
      </c>
      <c r="D1989" t="s">
        <v>20</v>
      </c>
      <c r="E1989" t="s">
        <v>21</v>
      </c>
      <c r="F1989" t="s">
        <v>22</v>
      </c>
      <c r="G1989" t="s">
        <v>64</v>
      </c>
      <c r="H1989" t="s">
        <v>1128</v>
      </c>
      <c r="I1989" t="s">
        <v>4066</v>
      </c>
      <c r="J1989">
        <v>10.08135</v>
      </c>
      <c r="K1989">
        <v>-84.304630000000003</v>
      </c>
      <c r="L1989" t="s">
        <v>1225</v>
      </c>
      <c r="M1989" t="s">
        <v>46</v>
      </c>
      <c r="N1989" t="s">
        <v>47</v>
      </c>
      <c r="O1989" t="s">
        <v>48</v>
      </c>
      <c r="P1989">
        <v>4</v>
      </c>
      <c r="Q1989" t="s">
        <v>120</v>
      </c>
      <c r="S1989" t="str">
        <f>_xlfn.XLOOKUP(UNIVERSO[[#This Row],[Ruta]],'[1]CUOTA RUTA'!A:A,'[1]CUOTA RUTA'!D:D)</f>
        <v>Cargar</v>
      </c>
    </row>
    <row r="1990" spans="1:19" x14ac:dyDescent="0.25">
      <c r="A1990">
        <v>1500707013</v>
      </c>
      <c r="B1990" t="s">
        <v>4067</v>
      </c>
      <c r="C1990" t="s">
        <v>19</v>
      </c>
      <c r="D1990" t="s">
        <v>20</v>
      </c>
      <c r="E1990" t="s">
        <v>62</v>
      </c>
      <c r="F1990" t="s">
        <v>63</v>
      </c>
      <c r="G1990" t="s">
        <v>64</v>
      </c>
      <c r="H1990" t="s">
        <v>638</v>
      </c>
      <c r="I1990" t="s">
        <v>4068</v>
      </c>
      <c r="J1990">
        <v>10.01394129</v>
      </c>
      <c r="K1990">
        <v>-84.230356110000002</v>
      </c>
      <c r="L1990" t="s">
        <v>1225</v>
      </c>
      <c r="M1990" t="s">
        <v>54</v>
      </c>
      <c r="N1990" t="s">
        <v>55</v>
      </c>
      <c r="O1990" t="s">
        <v>56</v>
      </c>
      <c r="P1990">
        <v>2</v>
      </c>
      <c r="Q1990" t="s">
        <v>150</v>
      </c>
      <c r="S1990" t="str">
        <f>_xlfn.XLOOKUP(UNIVERSO[[#This Row],[Ruta]],'[1]CUOTA RUTA'!A:A,'[1]CUOTA RUTA'!D:D)</f>
        <v>Cargar</v>
      </c>
    </row>
    <row r="1991" spans="1:19" x14ac:dyDescent="0.25">
      <c r="A1991">
        <v>1500707029</v>
      </c>
      <c r="B1991" t="s">
        <v>4069</v>
      </c>
      <c r="C1991" t="s">
        <v>19</v>
      </c>
      <c r="D1991" t="s">
        <v>32</v>
      </c>
      <c r="E1991" t="s">
        <v>21</v>
      </c>
      <c r="F1991" t="s">
        <v>22</v>
      </c>
      <c r="G1991" t="s">
        <v>33</v>
      </c>
      <c r="H1991" t="s">
        <v>69</v>
      </c>
      <c r="I1991" t="s">
        <v>4070</v>
      </c>
      <c r="J1991">
        <v>9.8663283333329996</v>
      </c>
      <c r="K1991">
        <v>-84.049368333329994</v>
      </c>
      <c r="L1991" t="s">
        <v>1225</v>
      </c>
      <c r="M1991" t="s">
        <v>71</v>
      </c>
      <c r="N1991" t="s">
        <v>72</v>
      </c>
      <c r="O1991" t="s">
        <v>73</v>
      </c>
      <c r="P1991">
        <v>21</v>
      </c>
      <c r="Q1991" t="s">
        <v>239</v>
      </c>
      <c r="S1991" t="str">
        <f>_xlfn.XLOOKUP(UNIVERSO[[#This Row],[Ruta]],'[1]CUOTA RUTA'!A:A,'[1]CUOTA RUTA'!D:D)</f>
        <v>Cargar</v>
      </c>
    </row>
    <row r="1992" spans="1:19" x14ac:dyDescent="0.25">
      <c r="A1992">
        <v>1500707107</v>
      </c>
      <c r="B1992" t="s">
        <v>4071</v>
      </c>
      <c r="C1992" t="s">
        <v>19</v>
      </c>
      <c r="D1992" t="s">
        <v>208</v>
      </c>
      <c r="E1992" t="s">
        <v>62</v>
      </c>
      <c r="F1992" t="s">
        <v>63</v>
      </c>
      <c r="G1992" t="s">
        <v>64</v>
      </c>
      <c r="H1992" t="s">
        <v>616</v>
      </c>
      <c r="I1992" t="s">
        <v>4072</v>
      </c>
      <c r="J1992">
        <v>10.45641</v>
      </c>
      <c r="K1992">
        <v>-84.007900000000006</v>
      </c>
      <c r="L1992" t="s">
        <v>1225</v>
      </c>
      <c r="M1992" t="s">
        <v>189</v>
      </c>
      <c r="N1992" t="s">
        <v>211</v>
      </c>
      <c r="O1992" t="s">
        <v>212</v>
      </c>
      <c r="P1992">
        <v>10</v>
      </c>
      <c r="Q1992" t="s">
        <v>136</v>
      </c>
      <c r="S1992" t="str">
        <f>_xlfn.XLOOKUP(UNIVERSO[[#This Row],[Ruta]],'[1]CUOTA RUTA'!A:A,'[1]CUOTA RUTA'!D:D)</f>
        <v>Cargar</v>
      </c>
    </row>
    <row r="1993" spans="1:19" x14ac:dyDescent="0.25">
      <c r="A1993">
        <v>1500707213</v>
      </c>
      <c r="B1993" t="s">
        <v>4073</v>
      </c>
      <c r="C1993" t="s">
        <v>19</v>
      </c>
      <c r="D1993" t="s">
        <v>20</v>
      </c>
      <c r="E1993" t="s">
        <v>21</v>
      </c>
      <c r="F1993" t="s">
        <v>22</v>
      </c>
      <c r="G1993" t="s">
        <v>64</v>
      </c>
      <c r="H1993" t="s">
        <v>52</v>
      </c>
      <c r="I1993" t="s">
        <v>4074</v>
      </c>
      <c r="J1993">
        <v>9.8983500000000006</v>
      </c>
      <c r="K1993">
        <v>-84.141620000000003</v>
      </c>
      <c r="L1993" t="s">
        <v>1225</v>
      </c>
      <c r="M1993" t="s">
        <v>54</v>
      </c>
      <c r="N1993" t="s">
        <v>55</v>
      </c>
      <c r="O1993" t="s">
        <v>56</v>
      </c>
      <c r="P1993">
        <v>13</v>
      </c>
      <c r="Q1993" t="s">
        <v>161</v>
      </c>
      <c r="S1993" t="str">
        <f>_xlfn.XLOOKUP(UNIVERSO[[#This Row],[Ruta]],'[1]CUOTA RUTA'!A:A,'[1]CUOTA RUTA'!D:D)</f>
        <v>Cargar</v>
      </c>
    </row>
    <row r="1994" spans="1:19" x14ac:dyDescent="0.25">
      <c r="A1994">
        <v>1500707280</v>
      </c>
      <c r="B1994" t="s">
        <v>4075</v>
      </c>
      <c r="C1994" t="s">
        <v>19</v>
      </c>
      <c r="D1994" t="s">
        <v>32</v>
      </c>
      <c r="E1994" t="s">
        <v>21</v>
      </c>
      <c r="F1994" t="s">
        <v>22</v>
      </c>
      <c r="G1994" t="s">
        <v>33</v>
      </c>
      <c r="H1994" t="s">
        <v>86</v>
      </c>
      <c r="I1994" t="s">
        <v>4076</v>
      </c>
      <c r="J1994">
        <v>9.8841549999999998</v>
      </c>
      <c r="K1994">
        <v>-84.084136999999998</v>
      </c>
      <c r="L1994" t="s">
        <v>1225</v>
      </c>
      <c r="M1994" t="s">
        <v>71</v>
      </c>
      <c r="N1994" t="s">
        <v>72</v>
      </c>
      <c r="O1994" t="s">
        <v>73</v>
      </c>
      <c r="P1994">
        <v>16</v>
      </c>
      <c r="Q1994" t="s">
        <v>60</v>
      </c>
      <c r="S1994" t="str">
        <f>_xlfn.XLOOKUP(UNIVERSO[[#This Row],[Ruta]],'[1]CUOTA RUTA'!A:A,'[1]CUOTA RUTA'!D:D)</f>
        <v>Cargar</v>
      </c>
    </row>
    <row r="1995" spans="1:19" x14ac:dyDescent="0.25">
      <c r="A1995">
        <v>1500707298</v>
      </c>
      <c r="B1995" t="s">
        <v>4077</v>
      </c>
      <c r="C1995" t="s">
        <v>19</v>
      </c>
      <c r="D1995" t="s">
        <v>201</v>
      </c>
      <c r="E1995" t="s">
        <v>21</v>
      </c>
      <c r="F1995" t="s">
        <v>22</v>
      </c>
      <c r="G1995" t="s">
        <v>33</v>
      </c>
      <c r="H1995" t="s">
        <v>491</v>
      </c>
      <c r="I1995" t="s">
        <v>4078</v>
      </c>
      <c r="J1995">
        <v>9.6660132999999995</v>
      </c>
      <c r="K1995">
        <v>-84.642429300000003</v>
      </c>
      <c r="L1995" t="s">
        <v>1225</v>
      </c>
      <c r="M1995" t="s">
        <v>204</v>
      </c>
      <c r="N1995" t="s">
        <v>205</v>
      </c>
      <c r="O1995" t="s">
        <v>206</v>
      </c>
      <c r="P1995">
        <v>4</v>
      </c>
      <c r="Q1995" t="s">
        <v>120</v>
      </c>
      <c r="S1995" t="str">
        <f>_xlfn.XLOOKUP(UNIVERSO[[#This Row],[Ruta]],'[1]CUOTA RUTA'!A:A,'[1]CUOTA RUTA'!D:D)</f>
        <v>Cargar</v>
      </c>
    </row>
    <row r="1996" spans="1:19" x14ac:dyDescent="0.25">
      <c r="A1996">
        <v>1500707315</v>
      </c>
      <c r="B1996" t="s">
        <v>4079</v>
      </c>
      <c r="C1996" t="s">
        <v>19</v>
      </c>
      <c r="D1996" t="s">
        <v>32</v>
      </c>
      <c r="E1996" t="s">
        <v>21</v>
      </c>
      <c r="F1996" t="s">
        <v>22</v>
      </c>
      <c r="G1996" t="s">
        <v>64</v>
      </c>
      <c r="H1996" t="s">
        <v>179</v>
      </c>
      <c r="I1996" t="s">
        <v>4080</v>
      </c>
      <c r="J1996">
        <v>9.8755570000000006</v>
      </c>
      <c r="K1996">
        <v>-84.022501000000005</v>
      </c>
      <c r="L1996" t="s">
        <v>1225</v>
      </c>
      <c r="M1996" t="s">
        <v>36</v>
      </c>
      <c r="N1996" t="s">
        <v>37</v>
      </c>
      <c r="O1996" t="s">
        <v>38</v>
      </c>
      <c r="P1996">
        <v>17</v>
      </c>
      <c r="Q1996" t="s">
        <v>287</v>
      </c>
      <c r="S1996" t="str">
        <f>_xlfn.XLOOKUP(UNIVERSO[[#This Row],[Ruta]],'[1]CUOTA RUTA'!A:A,'[1]CUOTA RUTA'!D:D)</f>
        <v>Cargar</v>
      </c>
    </row>
    <row r="1997" spans="1:19" x14ac:dyDescent="0.25">
      <c r="A1997">
        <v>1500707374</v>
      </c>
      <c r="B1997" t="s">
        <v>4081</v>
      </c>
      <c r="C1997" t="s">
        <v>19</v>
      </c>
      <c r="D1997" t="s">
        <v>32</v>
      </c>
      <c r="E1997" t="s">
        <v>21</v>
      </c>
      <c r="F1997" t="s">
        <v>22</v>
      </c>
      <c r="G1997" t="s">
        <v>33</v>
      </c>
      <c r="H1997" t="s">
        <v>134</v>
      </c>
      <c r="I1997" t="s">
        <v>4082</v>
      </c>
      <c r="J1997">
        <v>9.9463969999999993</v>
      </c>
      <c r="K1997">
        <v>-84.102487999999994</v>
      </c>
      <c r="L1997" t="s">
        <v>1225</v>
      </c>
      <c r="M1997" t="s">
        <v>94</v>
      </c>
      <c r="N1997" t="s">
        <v>95</v>
      </c>
      <c r="O1997" t="s">
        <v>96</v>
      </c>
      <c r="P1997">
        <v>12</v>
      </c>
      <c r="Q1997" t="s">
        <v>42</v>
      </c>
      <c r="S1997" t="str">
        <f>_xlfn.XLOOKUP(UNIVERSO[[#This Row],[Ruta]],'[1]CUOTA RUTA'!A:A,'[1]CUOTA RUTA'!D:D)</f>
        <v>Cargar</v>
      </c>
    </row>
    <row r="1998" spans="1:19" x14ac:dyDescent="0.25">
      <c r="A1998">
        <v>1500707395</v>
      </c>
      <c r="B1998" t="s">
        <v>4083</v>
      </c>
      <c r="C1998" t="s">
        <v>19</v>
      </c>
      <c r="D1998" t="s">
        <v>186</v>
      </c>
      <c r="E1998" t="s">
        <v>62</v>
      </c>
      <c r="F1998" t="s">
        <v>63</v>
      </c>
      <c r="G1998" t="s">
        <v>64</v>
      </c>
      <c r="H1998" t="s">
        <v>241</v>
      </c>
      <c r="I1998" t="s">
        <v>4084</v>
      </c>
      <c r="J1998">
        <v>10.012354</v>
      </c>
      <c r="K1998">
        <v>-83.216869000000003</v>
      </c>
      <c r="L1998" t="s">
        <v>1225</v>
      </c>
      <c r="M1998" t="s">
        <v>189</v>
      </c>
      <c r="N1998" t="s">
        <v>190</v>
      </c>
      <c r="O1998" t="s">
        <v>191</v>
      </c>
      <c r="P1998">
        <v>19</v>
      </c>
      <c r="Q1998" t="s">
        <v>67</v>
      </c>
      <c r="S1998" t="str">
        <f>_xlfn.XLOOKUP(UNIVERSO[[#This Row],[Ruta]],'[1]CUOTA RUTA'!A:A,'[1]CUOTA RUTA'!D:D)</f>
        <v>Cargar</v>
      </c>
    </row>
    <row r="1999" spans="1:19" x14ac:dyDescent="0.25">
      <c r="A1999">
        <v>1500707471</v>
      </c>
      <c r="B1999" t="s">
        <v>4085</v>
      </c>
      <c r="C1999" t="s">
        <v>19</v>
      </c>
      <c r="D1999" t="s">
        <v>244</v>
      </c>
      <c r="E1999" t="s">
        <v>21</v>
      </c>
      <c r="F1999" t="s">
        <v>22</v>
      </c>
      <c r="G1999" t="s">
        <v>64</v>
      </c>
      <c r="H1999" t="s">
        <v>245</v>
      </c>
      <c r="I1999" t="s">
        <v>4086</v>
      </c>
      <c r="J1999">
        <v>9.3537169999999996</v>
      </c>
      <c r="K1999">
        <v>-83.672782999999995</v>
      </c>
      <c r="L1999" t="s">
        <v>1225</v>
      </c>
      <c r="M1999" t="s">
        <v>46</v>
      </c>
      <c r="N1999" t="s">
        <v>247</v>
      </c>
      <c r="O1999" t="s">
        <v>248</v>
      </c>
      <c r="P1999">
        <v>14</v>
      </c>
      <c r="Q1999" t="s">
        <v>181</v>
      </c>
      <c r="S1999" t="str">
        <f>_xlfn.XLOOKUP(UNIVERSO[[#This Row],[Ruta]],'[1]CUOTA RUTA'!A:A,'[1]CUOTA RUTA'!D:D)</f>
        <v>Cargar</v>
      </c>
    </row>
    <row r="2000" spans="1:19" x14ac:dyDescent="0.25">
      <c r="A2000">
        <v>1500707549</v>
      </c>
      <c r="B2000" t="s">
        <v>4087</v>
      </c>
      <c r="C2000" t="s">
        <v>19</v>
      </c>
      <c r="D2000" t="s">
        <v>20</v>
      </c>
      <c r="E2000" t="s">
        <v>21</v>
      </c>
      <c r="F2000" t="s">
        <v>51</v>
      </c>
      <c r="G2000" t="s">
        <v>23</v>
      </c>
      <c r="H2000" t="s">
        <v>277</v>
      </c>
      <c r="I2000" t="s">
        <v>4088</v>
      </c>
      <c r="J2000">
        <v>9.9924461000000004</v>
      </c>
      <c r="K2000">
        <v>-84.180261000000002</v>
      </c>
      <c r="L2000" t="s">
        <v>1225</v>
      </c>
      <c r="M2000" t="s">
        <v>54</v>
      </c>
      <c r="N2000" t="s">
        <v>55</v>
      </c>
      <c r="O2000" t="s">
        <v>56</v>
      </c>
      <c r="P2000">
        <v>15</v>
      </c>
      <c r="Q2000" t="s">
        <v>231</v>
      </c>
      <c r="S2000" t="str">
        <f>_xlfn.XLOOKUP(UNIVERSO[[#This Row],[Ruta]],'[1]CUOTA RUTA'!A:A,'[1]CUOTA RUTA'!D:D)</f>
        <v>Cargar</v>
      </c>
    </row>
    <row r="2001" spans="1:19" x14ac:dyDescent="0.25">
      <c r="A2001">
        <v>1500707555</v>
      </c>
      <c r="B2001" t="s">
        <v>4089</v>
      </c>
      <c r="C2001" t="s">
        <v>19</v>
      </c>
      <c r="D2001" t="s">
        <v>337</v>
      </c>
      <c r="E2001" t="s">
        <v>21</v>
      </c>
      <c r="F2001" t="s">
        <v>22</v>
      </c>
      <c r="G2001" t="s">
        <v>23</v>
      </c>
      <c r="H2001" t="s">
        <v>343</v>
      </c>
      <c r="I2001" t="s">
        <v>4090</v>
      </c>
      <c r="J2001">
        <v>10.66086413</v>
      </c>
      <c r="K2001">
        <v>-85.456279010000003</v>
      </c>
      <c r="L2001" t="s">
        <v>1225</v>
      </c>
      <c r="M2001" t="s">
        <v>327</v>
      </c>
      <c r="N2001" t="s">
        <v>340</v>
      </c>
      <c r="O2001" t="s">
        <v>341</v>
      </c>
      <c r="P2001">
        <v>15</v>
      </c>
      <c r="Q2001" t="s">
        <v>231</v>
      </c>
      <c r="S2001" t="str">
        <f>_xlfn.XLOOKUP(UNIVERSO[[#This Row],[Ruta]],'[1]CUOTA RUTA'!A:A,'[1]CUOTA RUTA'!D:D)</f>
        <v>Cargar</v>
      </c>
    </row>
    <row r="2002" spans="1:19" x14ac:dyDescent="0.25">
      <c r="A2002">
        <v>1500707564</v>
      </c>
      <c r="B2002" t="s">
        <v>4091</v>
      </c>
      <c r="C2002" t="s">
        <v>19</v>
      </c>
      <c r="D2002" t="s">
        <v>186</v>
      </c>
      <c r="E2002" t="s">
        <v>21</v>
      </c>
      <c r="F2002" t="s">
        <v>22</v>
      </c>
      <c r="G2002" t="s">
        <v>33</v>
      </c>
      <c r="H2002" t="s">
        <v>420</v>
      </c>
      <c r="I2002" t="s">
        <v>4092</v>
      </c>
      <c r="J2002">
        <v>9.7697129999999994</v>
      </c>
      <c r="K2002">
        <v>-82.904976000000005</v>
      </c>
      <c r="L2002" t="s">
        <v>1225</v>
      </c>
      <c r="M2002" t="s">
        <v>189</v>
      </c>
      <c r="N2002" t="s">
        <v>190</v>
      </c>
      <c r="O2002" t="s">
        <v>191</v>
      </c>
      <c r="P2002">
        <v>17</v>
      </c>
      <c r="Q2002" t="s">
        <v>287</v>
      </c>
      <c r="S2002" t="str">
        <f>_xlfn.XLOOKUP(UNIVERSO[[#This Row],[Ruta]],'[1]CUOTA RUTA'!A:A,'[1]CUOTA RUTA'!D:D)</f>
        <v>Cargar</v>
      </c>
    </row>
    <row r="2003" spans="1:19" x14ac:dyDescent="0.25">
      <c r="A2003">
        <v>1500707633</v>
      </c>
      <c r="B2003" t="s">
        <v>4093</v>
      </c>
      <c r="C2003" t="s">
        <v>19</v>
      </c>
      <c r="D2003" t="s">
        <v>186</v>
      </c>
      <c r="E2003" t="s">
        <v>21</v>
      </c>
      <c r="F2003" t="s">
        <v>22</v>
      </c>
      <c r="G2003" t="s">
        <v>23</v>
      </c>
      <c r="H2003" t="s">
        <v>868</v>
      </c>
      <c r="I2003" t="s">
        <v>4094</v>
      </c>
      <c r="J2003">
        <v>9.9949080000000006</v>
      </c>
      <c r="K2003">
        <v>-83.031809999999993</v>
      </c>
      <c r="L2003" t="s">
        <v>1225</v>
      </c>
      <c r="M2003" t="s">
        <v>189</v>
      </c>
      <c r="N2003" t="s">
        <v>190</v>
      </c>
      <c r="O2003" t="s">
        <v>191</v>
      </c>
      <c r="P2003">
        <v>12</v>
      </c>
      <c r="Q2003" t="s">
        <v>42</v>
      </c>
      <c r="S2003" t="str">
        <f>_xlfn.XLOOKUP(UNIVERSO[[#This Row],[Ruta]],'[1]CUOTA RUTA'!A:A,'[1]CUOTA RUTA'!D:D)</f>
        <v>Cargar</v>
      </c>
    </row>
    <row r="2004" spans="1:19" x14ac:dyDescent="0.25">
      <c r="A2004">
        <v>1500707749</v>
      </c>
      <c r="B2004" t="s">
        <v>3518</v>
      </c>
      <c r="C2004" t="s">
        <v>19</v>
      </c>
      <c r="D2004" t="s">
        <v>208</v>
      </c>
      <c r="E2004" t="s">
        <v>21</v>
      </c>
      <c r="F2004" t="s">
        <v>22</v>
      </c>
      <c r="G2004" t="s">
        <v>33</v>
      </c>
      <c r="H2004" t="s">
        <v>719</v>
      </c>
      <c r="I2004" t="s">
        <v>4095</v>
      </c>
      <c r="J2004">
        <v>10.42754994</v>
      </c>
      <c r="K2004">
        <v>-84.122376450000004</v>
      </c>
      <c r="L2004" t="s">
        <v>1225</v>
      </c>
      <c r="M2004" t="s">
        <v>189</v>
      </c>
      <c r="N2004" t="s">
        <v>211</v>
      </c>
      <c r="O2004" t="s">
        <v>212</v>
      </c>
      <c r="P2004">
        <v>11</v>
      </c>
      <c r="Q2004" t="s">
        <v>108</v>
      </c>
      <c r="S2004" t="str">
        <f>_xlfn.XLOOKUP(UNIVERSO[[#This Row],[Ruta]],'[1]CUOTA RUTA'!A:A,'[1]CUOTA RUTA'!D:D)</f>
        <v>Cargar</v>
      </c>
    </row>
    <row r="2005" spans="1:19" x14ac:dyDescent="0.25">
      <c r="A2005">
        <v>1500707894</v>
      </c>
      <c r="B2005" t="s">
        <v>4096</v>
      </c>
      <c r="C2005" t="s">
        <v>19</v>
      </c>
      <c r="D2005" t="s">
        <v>32</v>
      </c>
      <c r="E2005" t="s">
        <v>21</v>
      </c>
      <c r="F2005" t="s">
        <v>22</v>
      </c>
      <c r="G2005" t="s">
        <v>64</v>
      </c>
      <c r="H2005" t="s">
        <v>69</v>
      </c>
      <c r="I2005" t="s">
        <v>4097</v>
      </c>
      <c r="J2005">
        <v>9.8633133333330001</v>
      </c>
      <c r="K2005">
        <v>-84.062653333330005</v>
      </c>
      <c r="L2005" t="s">
        <v>1225</v>
      </c>
      <c r="M2005" t="s">
        <v>71</v>
      </c>
      <c r="N2005" t="s">
        <v>72</v>
      </c>
      <c r="O2005" t="s">
        <v>73</v>
      </c>
      <c r="P2005">
        <v>22</v>
      </c>
      <c r="Q2005" t="s">
        <v>30</v>
      </c>
      <c r="S2005" t="str">
        <f>_xlfn.XLOOKUP(UNIVERSO[[#This Row],[Ruta]],'[1]CUOTA RUTA'!A:A,'[1]CUOTA RUTA'!D:D)</f>
        <v>Cargar</v>
      </c>
    </row>
    <row r="2006" spans="1:19" x14ac:dyDescent="0.25">
      <c r="A2006">
        <v>1500707915</v>
      </c>
      <c r="B2006" t="s">
        <v>4098</v>
      </c>
      <c r="C2006" t="s">
        <v>19</v>
      </c>
      <c r="D2006" t="s">
        <v>32</v>
      </c>
      <c r="E2006" t="s">
        <v>21</v>
      </c>
      <c r="F2006" t="s">
        <v>22</v>
      </c>
      <c r="G2006" t="s">
        <v>64</v>
      </c>
      <c r="H2006" t="s">
        <v>683</v>
      </c>
      <c r="I2006" t="s">
        <v>4099</v>
      </c>
      <c r="J2006">
        <v>9.9357199999999999</v>
      </c>
      <c r="K2006">
        <v>-84.096647000000004</v>
      </c>
      <c r="L2006" t="s">
        <v>1225</v>
      </c>
      <c r="M2006" t="s">
        <v>71</v>
      </c>
      <c r="N2006" t="s">
        <v>72</v>
      </c>
      <c r="O2006" t="s">
        <v>73</v>
      </c>
      <c r="P2006">
        <v>4</v>
      </c>
      <c r="Q2006" t="s">
        <v>120</v>
      </c>
      <c r="S2006" t="str">
        <f>_xlfn.XLOOKUP(UNIVERSO[[#This Row],[Ruta]],'[1]CUOTA RUTA'!A:A,'[1]CUOTA RUTA'!D:D)</f>
        <v>Cargar</v>
      </c>
    </row>
    <row r="2007" spans="1:19" x14ac:dyDescent="0.25">
      <c r="A2007">
        <v>1500707949</v>
      </c>
      <c r="B2007" t="s">
        <v>4100</v>
      </c>
      <c r="C2007" t="s">
        <v>19</v>
      </c>
      <c r="D2007" t="s">
        <v>208</v>
      </c>
      <c r="E2007" t="s">
        <v>21</v>
      </c>
      <c r="F2007" t="s">
        <v>22</v>
      </c>
      <c r="G2007" t="s">
        <v>23</v>
      </c>
      <c r="H2007" t="s">
        <v>224</v>
      </c>
      <c r="I2007" t="s">
        <v>4101</v>
      </c>
      <c r="J2007">
        <v>10.363939999999999</v>
      </c>
      <c r="K2007">
        <v>-83.733189999999993</v>
      </c>
      <c r="L2007" t="s">
        <v>1225</v>
      </c>
      <c r="M2007" t="s">
        <v>189</v>
      </c>
      <c r="N2007" t="s">
        <v>211</v>
      </c>
      <c r="O2007" t="s">
        <v>212</v>
      </c>
      <c r="P2007">
        <v>1</v>
      </c>
      <c r="Q2007" t="s">
        <v>155</v>
      </c>
      <c r="S2007" t="str">
        <f>_xlfn.XLOOKUP(UNIVERSO[[#This Row],[Ruta]],'[1]CUOTA RUTA'!A:A,'[1]CUOTA RUTA'!D:D)</f>
        <v>Cargar</v>
      </c>
    </row>
    <row r="2008" spans="1:19" x14ac:dyDescent="0.25">
      <c r="A2008">
        <v>1500707953</v>
      </c>
      <c r="B2008" t="s">
        <v>4102</v>
      </c>
      <c r="C2008" t="s">
        <v>19</v>
      </c>
      <c r="D2008" t="s">
        <v>208</v>
      </c>
      <c r="E2008" t="s">
        <v>21</v>
      </c>
      <c r="F2008" t="s">
        <v>22</v>
      </c>
      <c r="G2008" t="s">
        <v>33</v>
      </c>
      <c r="H2008" t="s">
        <v>1794</v>
      </c>
      <c r="I2008" t="s">
        <v>4103</v>
      </c>
      <c r="J2008">
        <v>10.10012</v>
      </c>
      <c r="K2008">
        <v>-83.584500000000006</v>
      </c>
      <c r="L2008" t="s">
        <v>1225</v>
      </c>
      <c r="M2008" t="s">
        <v>189</v>
      </c>
      <c r="N2008" t="s">
        <v>211</v>
      </c>
      <c r="O2008" t="s">
        <v>212</v>
      </c>
      <c r="P2008">
        <v>9</v>
      </c>
      <c r="Q2008" t="s">
        <v>80</v>
      </c>
      <c r="S2008" t="str">
        <f>_xlfn.XLOOKUP(UNIVERSO[[#This Row],[Ruta]],'[1]CUOTA RUTA'!A:A,'[1]CUOTA RUTA'!D:D)</f>
        <v>Cargar</v>
      </c>
    </row>
    <row r="2009" spans="1:19" x14ac:dyDescent="0.25">
      <c r="A2009">
        <v>1500707972</v>
      </c>
      <c r="B2009" t="s">
        <v>3845</v>
      </c>
      <c r="C2009" t="s">
        <v>19</v>
      </c>
      <c r="D2009" t="s">
        <v>32</v>
      </c>
      <c r="E2009" t="s">
        <v>21</v>
      </c>
      <c r="F2009" t="s">
        <v>22</v>
      </c>
      <c r="G2009" t="s">
        <v>33</v>
      </c>
      <c r="H2009" t="s">
        <v>179</v>
      </c>
      <c r="I2009" t="s">
        <v>4104</v>
      </c>
      <c r="J2009">
        <v>9.8991498999999994</v>
      </c>
      <c r="K2009">
        <v>-83.998085200000006</v>
      </c>
      <c r="L2009" t="s">
        <v>1225</v>
      </c>
      <c r="M2009" t="s">
        <v>36</v>
      </c>
      <c r="N2009" t="s">
        <v>37</v>
      </c>
      <c r="O2009" t="s">
        <v>38</v>
      </c>
      <c r="P2009">
        <v>18</v>
      </c>
      <c r="Q2009" t="s">
        <v>84</v>
      </c>
      <c r="S2009" t="str">
        <f>_xlfn.XLOOKUP(UNIVERSO[[#This Row],[Ruta]],'[1]CUOTA RUTA'!A:A,'[1]CUOTA RUTA'!D:D)</f>
        <v>Cargar</v>
      </c>
    </row>
    <row r="2010" spans="1:19" x14ac:dyDescent="0.25">
      <c r="A2010">
        <v>1500707978</v>
      </c>
      <c r="B2010" t="s">
        <v>1802</v>
      </c>
      <c r="C2010" t="s">
        <v>19</v>
      </c>
      <c r="D2010" t="s">
        <v>20</v>
      </c>
      <c r="E2010" t="s">
        <v>21</v>
      </c>
      <c r="F2010" t="s">
        <v>22</v>
      </c>
      <c r="G2010" t="s">
        <v>33</v>
      </c>
      <c r="H2010" t="s">
        <v>910</v>
      </c>
      <c r="I2010" t="s">
        <v>4105</v>
      </c>
      <c r="J2010">
        <v>10.001573759999999</v>
      </c>
      <c r="K2010">
        <v>-84.135745529999994</v>
      </c>
      <c r="L2010" t="s">
        <v>1225</v>
      </c>
      <c r="M2010" t="s">
        <v>27</v>
      </c>
      <c r="N2010" t="s">
        <v>28</v>
      </c>
      <c r="O2010" t="s">
        <v>29</v>
      </c>
      <c r="P2010">
        <v>12</v>
      </c>
      <c r="Q2010" t="s">
        <v>42</v>
      </c>
      <c r="S2010" t="str">
        <f>_xlfn.XLOOKUP(UNIVERSO[[#This Row],[Ruta]],'[1]CUOTA RUTA'!A:A,'[1]CUOTA RUTA'!D:D)</f>
        <v>Cargar</v>
      </c>
    </row>
    <row r="2011" spans="1:19" x14ac:dyDescent="0.25">
      <c r="A2011">
        <v>1500708030</v>
      </c>
      <c r="B2011" t="s">
        <v>4106</v>
      </c>
      <c r="C2011" t="s">
        <v>19</v>
      </c>
      <c r="D2011" t="s">
        <v>266</v>
      </c>
      <c r="E2011" t="s">
        <v>21</v>
      </c>
      <c r="F2011" t="s">
        <v>22</v>
      </c>
      <c r="G2011" t="s">
        <v>64</v>
      </c>
      <c r="H2011" t="s">
        <v>703</v>
      </c>
      <c r="I2011" t="s">
        <v>4107</v>
      </c>
      <c r="J2011">
        <v>9.8292166000000005</v>
      </c>
      <c r="K2011">
        <v>-83.954381799999993</v>
      </c>
      <c r="L2011" t="s">
        <v>1225</v>
      </c>
      <c r="M2011" t="s">
        <v>36</v>
      </c>
      <c r="N2011" t="s">
        <v>316</v>
      </c>
      <c r="O2011" t="s">
        <v>317</v>
      </c>
      <c r="P2011">
        <v>20</v>
      </c>
      <c r="Q2011" t="s">
        <v>74</v>
      </c>
      <c r="S2011" t="str">
        <f>_xlfn.XLOOKUP(UNIVERSO[[#This Row],[Ruta]],'[1]CUOTA RUTA'!A:A,'[1]CUOTA RUTA'!D:D)</f>
        <v>Cargar</v>
      </c>
    </row>
    <row r="2012" spans="1:19" x14ac:dyDescent="0.25">
      <c r="A2012">
        <v>1500708031</v>
      </c>
      <c r="B2012" t="s">
        <v>4108</v>
      </c>
      <c r="C2012" t="s">
        <v>19</v>
      </c>
      <c r="D2012" t="s">
        <v>266</v>
      </c>
      <c r="E2012" t="s">
        <v>21</v>
      </c>
      <c r="F2012" t="s">
        <v>22</v>
      </c>
      <c r="G2012" t="s">
        <v>33</v>
      </c>
      <c r="H2012" t="s">
        <v>703</v>
      </c>
      <c r="I2012" t="s">
        <v>4109</v>
      </c>
      <c r="J2012">
        <v>9.8417999999999992</v>
      </c>
      <c r="K2012">
        <v>-83.940200000000004</v>
      </c>
      <c r="L2012" t="s">
        <v>1225</v>
      </c>
      <c r="M2012" t="s">
        <v>36</v>
      </c>
      <c r="N2012" t="s">
        <v>316</v>
      </c>
      <c r="O2012" t="s">
        <v>317</v>
      </c>
      <c r="P2012">
        <v>19</v>
      </c>
      <c r="Q2012" t="s">
        <v>67</v>
      </c>
      <c r="S2012" t="str">
        <f>_xlfn.XLOOKUP(UNIVERSO[[#This Row],[Ruta]],'[1]CUOTA RUTA'!A:A,'[1]CUOTA RUTA'!D:D)</f>
        <v>Cargar</v>
      </c>
    </row>
    <row r="2013" spans="1:19" x14ac:dyDescent="0.25">
      <c r="A2013">
        <v>1500708318</v>
      </c>
      <c r="B2013" t="s">
        <v>4110</v>
      </c>
      <c r="C2013" t="s">
        <v>19</v>
      </c>
      <c r="D2013" t="s">
        <v>208</v>
      </c>
      <c r="E2013" t="s">
        <v>21</v>
      </c>
      <c r="F2013" t="s">
        <v>22</v>
      </c>
      <c r="G2013" t="s">
        <v>23</v>
      </c>
      <c r="H2013" t="s">
        <v>209</v>
      </c>
      <c r="I2013" t="s">
        <v>4111</v>
      </c>
      <c r="J2013">
        <v>10.221901000000001</v>
      </c>
      <c r="K2013">
        <v>-83.786515870000002</v>
      </c>
      <c r="L2013" t="s">
        <v>1225</v>
      </c>
      <c r="M2013" t="s">
        <v>189</v>
      </c>
      <c r="N2013" t="s">
        <v>211</v>
      </c>
      <c r="O2013" t="s">
        <v>212</v>
      </c>
      <c r="P2013">
        <v>5</v>
      </c>
      <c r="Q2013" t="s">
        <v>117</v>
      </c>
      <c r="S2013" t="str">
        <f>_xlfn.XLOOKUP(UNIVERSO[[#This Row],[Ruta]],'[1]CUOTA RUTA'!A:A,'[1]CUOTA RUTA'!D:D)</f>
        <v>Cargar</v>
      </c>
    </row>
    <row r="2014" spans="1:19" x14ac:dyDescent="0.25">
      <c r="A2014">
        <v>1500708333</v>
      </c>
      <c r="B2014" t="s">
        <v>4112</v>
      </c>
      <c r="C2014" t="s">
        <v>19</v>
      </c>
      <c r="D2014" t="s">
        <v>266</v>
      </c>
      <c r="E2014" t="s">
        <v>21</v>
      </c>
      <c r="F2014" t="s">
        <v>22</v>
      </c>
      <c r="G2014" t="s">
        <v>33</v>
      </c>
      <c r="H2014" t="s">
        <v>1011</v>
      </c>
      <c r="I2014" t="s">
        <v>4113</v>
      </c>
      <c r="J2014">
        <v>9.8280499999999993</v>
      </c>
      <c r="K2014">
        <v>-83.826381666659998</v>
      </c>
      <c r="L2014" t="s">
        <v>1225</v>
      </c>
      <c r="M2014" t="s">
        <v>54</v>
      </c>
      <c r="N2014" t="s">
        <v>274</v>
      </c>
      <c r="O2014" t="s">
        <v>275</v>
      </c>
      <c r="P2014">
        <v>21</v>
      </c>
      <c r="Q2014" t="s">
        <v>239</v>
      </c>
      <c r="S2014" t="str">
        <f>_xlfn.XLOOKUP(UNIVERSO[[#This Row],[Ruta]],'[1]CUOTA RUTA'!A:A,'[1]CUOTA RUTA'!D:D)</f>
        <v>Cargar</v>
      </c>
    </row>
    <row r="2015" spans="1:19" x14ac:dyDescent="0.25">
      <c r="A2015">
        <v>1500708421</v>
      </c>
      <c r="B2015" t="s">
        <v>4114</v>
      </c>
      <c r="C2015" t="s">
        <v>19</v>
      </c>
      <c r="D2015" t="s">
        <v>324</v>
      </c>
      <c r="E2015" t="s">
        <v>21</v>
      </c>
      <c r="F2015" t="s">
        <v>22</v>
      </c>
      <c r="G2015" t="s">
        <v>33</v>
      </c>
      <c r="H2015" t="s">
        <v>331</v>
      </c>
      <c r="I2015" t="s">
        <v>4115</v>
      </c>
      <c r="J2015">
        <v>10.484400000000001</v>
      </c>
      <c r="K2015">
        <v>-84.457679999999996</v>
      </c>
      <c r="L2015" t="s">
        <v>1225</v>
      </c>
      <c r="M2015" t="s">
        <v>327</v>
      </c>
      <c r="N2015" t="s">
        <v>328</v>
      </c>
      <c r="O2015" t="s">
        <v>329</v>
      </c>
      <c r="P2015">
        <v>22</v>
      </c>
      <c r="Q2015" t="s">
        <v>30</v>
      </c>
      <c r="S2015" t="str">
        <f>_xlfn.XLOOKUP(UNIVERSO[[#This Row],[Ruta]],'[1]CUOTA RUTA'!A:A,'[1]CUOTA RUTA'!D:D)</f>
        <v>Cargar</v>
      </c>
    </row>
    <row r="2016" spans="1:19" x14ac:dyDescent="0.25">
      <c r="A2016">
        <v>1500708427</v>
      </c>
      <c r="B2016" t="s">
        <v>4116</v>
      </c>
      <c r="C2016" t="s">
        <v>19</v>
      </c>
      <c r="D2016" t="s">
        <v>186</v>
      </c>
      <c r="E2016" t="s">
        <v>21</v>
      </c>
      <c r="F2016" t="s">
        <v>51</v>
      </c>
      <c r="G2016" t="s">
        <v>23</v>
      </c>
      <c r="H2016" t="s">
        <v>241</v>
      </c>
      <c r="I2016" t="s">
        <v>4117</v>
      </c>
      <c r="J2016">
        <v>10.023548999999999</v>
      </c>
      <c r="K2016">
        <v>-83.270662000000002</v>
      </c>
      <c r="L2016" t="s">
        <v>1225</v>
      </c>
      <c r="M2016" t="s">
        <v>189</v>
      </c>
      <c r="N2016" t="s">
        <v>190</v>
      </c>
      <c r="O2016" t="s">
        <v>191</v>
      </c>
      <c r="P2016">
        <v>20</v>
      </c>
      <c r="Q2016" t="s">
        <v>74</v>
      </c>
      <c r="S2016" t="str">
        <f>_xlfn.XLOOKUP(UNIVERSO[[#This Row],[Ruta]],'[1]CUOTA RUTA'!A:A,'[1]CUOTA RUTA'!D:D)</f>
        <v>Cargar</v>
      </c>
    </row>
    <row r="2017" spans="1:19" x14ac:dyDescent="0.25">
      <c r="A2017">
        <v>1500708432</v>
      </c>
      <c r="B2017" t="s">
        <v>4118</v>
      </c>
      <c r="C2017" t="s">
        <v>19</v>
      </c>
      <c r="D2017" t="s">
        <v>244</v>
      </c>
      <c r="E2017" t="s">
        <v>21</v>
      </c>
      <c r="F2017" t="s">
        <v>22</v>
      </c>
      <c r="G2017" t="s">
        <v>23</v>
      </c>
      <c r="H2017" t="s">
        <v>1233</v>
      </c>
      <c r="I2017" t="s">
        <v>4119</v>
      </c>
      <c r="J2017">
        <v>9.2327460000000006</v>
      </c>
      <c r="K2017">
        <v>-83.838504</v>
      </c>
      <c r="L2017" t="s">
        <v>1225</v>
      </c>
      <c r="M2017" t="s">
        <v>46</v>
      </c>
      <c r="N2017" t="s">
        <v>247</v>
      </c>
      <c r="O2017" t="s">
        <v>248</v>
      </c>
      <c r="P2017">
        <v>16</v>
      </c>
      <c r="Q2017" t="s">
        <v>60</v>
      </c>
      <c r="S2017" t="str">
        <f>_xlfn.XLOOKUP(UNIVERSO[[#This Row],[Ruta]],'[1]CUOTA RUTA'!A:A,'[1]CUOTA RUTA'!D:D)</f>
        <v>Cargar</v>
      </c>
    </row>
    <row r="2018" spans="1:19" x14ac:dyDescent="0.25">
      <c r="A2018">
        <v>1500708504</v>
      </c>
      <c r="B2018" t="s">
        <v>4120</v>
      </c>
      <c r="C2018" t="s">
        <v>19</v>
      </c>
      <c r="D2018" t="s">
        <v>32</v>
      </c>
      <c r="E2018" t="s">
        <v>21</v>
      </c>
      <c r="F2018" t="s">
        <v>22</v>
      </c>
      <c r="G2018" t="s">
        <v>33</v>
      </c>
      <c r="H2018" t="s">
        <v>103</v>
      </c>
      <c r="I2018" t="s">
        <v>4121</v>
      </c>
      <c r="J2018">
        <v>9.9166419999999995</v>
      </c>
      <c r="K2018">
        <v>-84.101500999999999</v>
      </c>
      <c r="L2018" t="s">
        <v>1225</v>
      </c>
      <c r="M2018" t="s">
        <v>71</v>
      </c>
      <c r="N2018" t="s">
        <v>72</v>
      </c>
      <c r="O2018" t="s">
        <v>73</v>
      </c>
      <c r="P2018">
        <v>10</v>
      </c>
      <c r="Q2018" t="s">
        <v>136</v>
      </c>
      <c r="S2018" t="str">
        <f>_xlfn.XLOOKUP(UNIVERSO[[#This Row],[Ruta]],'[1]CUOTA RUTA'!A:A,'[1]CUOTA RUTA'!D:D)</f>
        <v>Cargar</v>
      </c>
    </row>
    <row r="2019" spans="1:19" x14ac:dyDescent="0.25">
      <c r="A2019">
        <v>1500708538</v>
      </c>
      <c r="B2019" t="s">
        <v>4122</v>
      </c>
      <c r="C2019" t="s">
        <v>19</v>
      </c>
      <c r="D2019" t="s">
        <v>208</v>
      </c>
      <c r="E2019" t="s">
        <v>21</v>
      </c>
      <c r="F2019" t="s">
        <v>22</v>
      </c>
      <c r="G2019" t="s">
        <v>33</v>
      </c>
      <c r="H2019" t="s">
        <v>218</v>
      </c>
      <c r="I2019" t="s">
        <v>4123</v>
      </c>
      <c r="J2019">
        <v>10.20969234</v>
      </c>
      <c r="K2019">
        <v>-83.810976679999996</v>
      </c>
      <c r="L2019" t="s">
        <v>1225</v>
      </c>
      <c r="M2019" t="s">
        <v>189</v>
      </c>
      <c r="N2019" t="s">
        <v>211</v>
      </c>
      <c r="O2019" t="s">
        <v>212</v>
      </c>
      <c r="P2019">
        <v>4</v>
      </c>
      <c r="Q2019" t="s">
        <v>120</v>
      </c>
      <c r="S2019" t="str">
        <f>_xlfn.XLOOKUP(UNIVERSO[[#This Row],[Ruta]],'[1]CUOTA RUTA'!A:A,'[1]CUOTA RUTA'!D:D)</f>
        <v>Cargar</v>
      </c>
    </row>
    <row r="2020" spans="1:19" x14ac:dyDescent="0.25">
      <c r="A2020">
        <v>1500708545</v>
      </c>
      <c r="B2020" t="s">
        <v>4124</v>
      </c>
      <c r="C2020" t="s">
        <v>19</v>
      </c>
      <c r="D2020" t="s">
        <v>337</v>
      </c>
      <c r="E2020" t="s">
        <v>21</v>
      </c>
      <c r="F2020" t="s">
        <v>22</v>
      </c>
      <c r="G2020" t="s">
        <v>23</v>
      </c>
      <c r="H2020" t="s">
        <v>451</v>
      </c>
      <c r="I2020" t="s">
        <v>4125</v>
      </c>
      <c r="J2020">
        <v>10.64532412</v>
      </c>
      <c r="K2020">
        <v>-85.432245929999993</v>
      </c>
      <c r="L2020" t="s">
        <v>1225</v>
      </c>
      <c r="M2020" t="s">
        <v>327</v>
      </c>
      <c r="N2020" t="s">
        <v>340</v>
      </c>
      <c r="O2020" t="s">
        <v>341</v>
      </c>
      <c r="P2020">
        <v>12</v>
      </c>
      <c r="Q2020" t="s">
        <v>42</v>
      </c>
      <c r="S2020" t="str">
        <f>_xlfn.XLOOKUP(UNIVERSO[[#This Row],[Ruta]],'[1]CUOTA RUTA'!A:A,'[1]CUOTA RUTA'!D:D)</f>
        <v>Cargar</v>
      </c>
    </row>
    <row r="2021" spans="1:19" x14ac:dyDescent="0.25">
      <c r="A2021">
        <v>1500708710</v>
      </c>
      <c r="B2021" t="s">
        <v>4126</v>
      </c>
      <c r="C2021" t="s">
        <v>19</v>
      </c>
      <c r="D2021" t="s">
        <v>20</v>
      </c>
      <c r="E2021" t="s">
        <v>21</v>
      </c>
      <c r="F2021" t="s">
        <v>22</v>
      </c>
      <c r="G2021" t="s">
        <v>33</v>
      </c>
      <c r="H2021" t="s">
        <v>1021</v>
      </c>
      <c r="I2021" t="s">
        <v>4127</v>
      </c>
      <c r="J2021">
        <v>10.08029</v>
      </c>
      <c r="K2021">
        <v>-84.244844000000001</v>
      </c>
      <c r="L2021" t="s">
        <v>1225</v>
      </c>
      <c r="M2021" t="s">
        <v>46</v>
      </c>
      <c r="N2021" t="s">
        <v>47</v>
      </c>
      <c r="O2021" t="s">
        <v>48</v>
      </c>
      <c r="P2021">
        <v>2</v>
      </c>
      <c r="Q2021" t="s">
        <v>150</v>
      </c>
      <c r="S2021" t="str">
        <f>_xlfn.XLOOKUP(UNIVERSO[[#This Row],[Ruta]],'[1]CUOTA RUTA'!A:A,'[1]CUOTA RUTA'!D:D)</f>
        <v>Cargar</v>
      </c>
    </row>
    <row r="2022" spans="1:19" x14ac:dyDescent="0.25">
      <c r="A2022">
        <v>1500708721</v>
      </c>
      <c r="B2022" t="s">
        <v>1753</v>
      </c>
      <c r="C2022" t="s">
        <v>19</v>
      </c>
      <c r="D2022" t="s">
        <v>32</v>
      </c>
      <c r="E2022" t="s">
        <v>21</v>
      </c>
      <c r="F2022" t="s">
        <v>22</v>
      </c>
      <c r="G2022" t="s">
        <v>64</v>
      </c>
      <c r="H2022" t="s">
        <v>76</v>
      </c>
      <c r="I2022" t="s">
        <v>4128</v>
      </c>
      <c r="J2022">
        <v>9.9483420000000002</v>
      </c>
      <c r="K2022">
        <v>-84.011336999999997</v>
      </c>
      <c r="L2022" t="s">
        <v>1225</v>
      </c>
      <c r="M2022" t="s">
        <v>36</v>
      </c>
      <c r="N2022" t="s">
        <v>37</v>
      </c>
      <c r="O2022" t="s">
        <v>38</v>
      </c>
      <c r="P2022">
        <v>21</v>
      </c>
      <c r="Q2022" t="s">
        <v>239</v>
      </c>
      <c r="S2022" t="str">
        <f>_xlfn.XLOOKUP(UNIVERSO[[#This Row],[Ruta]],'[1]CUOTA RUTA'!A:A,'[1]CUOTA RUTA'!D:D)</f>
        <v>Cargar</v>
      </c>
    </row>
    <row r="2023" spans="1:19" x14ac:dyDescent="0.25">
      <c r="A2023">
        <v>1500708774</v>
      </c>
      <c r="B2023" t="s">
        <v>4129</v>
      </c>
      <c r="C2023" t="s">
        <v>19</v>
      </c>
      <c r="D2023" t="s">
        <v>201</v>
      </c>
      <c r="E2023" t="s">
        <v>62</v>
      </c>
      <c r="F2023" t="s">
        <v>63</v>
      </c>
      <c r="G2023" t="s">
        <v>33</v>
      </c>
      <c r="H2023" t="s">
        <v>785</v>
      </c>
      <c r="I2023" t="s">
        <v>4130</v>
      </c>
      <c r="J2023">
        <v>10.0211614</v>
      </c>
      <c r="K2023">
        <v>-84.774505399999995</v>
      </c>
      <c r="L2023" t="s">
        <v>1225</v>
      </c>
      <c r="M2023" t="s">
        <v>204</v>
      </c>
      <c r="N2023" t="s">
        <v>205</v>
      </c>
      <c r="O2023" t="s">
        <v>206</v>
      </c>
      <c r="P2023">
        <v>11</v>
      </c>
      <c r="Q2023" t="s">
        <v>108</v>
      </c>
      <c r="S2023" t="str">
        <f>_xlfn.XLOOKUP(UNIVERSO[[#This Row],[Ruta]],'[1]CUOTA RUTA'!A:A,'[1]CUOTA RUTA'!D:D)</f>
        <v>Cargar</v>
      </c>
    </row>
    <row r="2024" spans="1:19" x14ac:dyDescent="0.25">
      <c r="A2024">
        <v>1500708847</v>
      </c>
      <c r="B2024" t="s">
        <v>4131</v>
      </c>
      <c r="C2024" t="s">
        <v>19</v>
      </c>
      <c r="D2024" t="s">
        <v>324</v>
      </c>
      <c r="E2024" t="s">
        <v>21</v>
      </c>
      <c r="F2024" t="s">
        <v>22</v>
      </c>
      <c r="G2024" t="s">
        <v>64</v>
      </c>
      <c r="H2024" t="s">
        <v>511</v>
      </c>
      <c r="I2024" t="s">
        <v>4132</v>
      </c>
      <c r="J2024">
        <v>10.406148</v>
      </c>
      <c r="K2024">
        <v>-84.603673999999998</v>
      </c>
      <c r="L2024" t="s">
        <v>1225</v>
      </c>
      <c r="M2024" t="s">
        <v>327</v>
      </c>
      <c r="N2024" t="s">
        <v>328</v>
      </c>
      <c r="O2024" t="s">
        <v>329</v>
      </c>
      <c r="P2024">
        <v>12</v>
      </c>
      <c r="Q2024" t="s">
        <v>42</v>
      </c>
      <c r="S2024" t="str">
        <f>_xlfn.XLOOKUP(UNIVERSO[[#This Row],[Ruta]],'[1]CUOTA RUTA'!A:A,'[1]CUOTA RUTA'!D:D)</f>
        <v>Cargar</v>
      </c>
    </row>
    <row r="2025" spans="1:19" x14ac:dyDescent="0.25">
      <c r="A2025">
        <v>1500708861</v>
      </c>
      <c r="B2025" t="s">
        <v>4133</v>
      </c>
      <c r="C2025" t="s">
        <v>19</v>
      </c>
      <c r="D2025" t="s">
        <v>20</v>
      </c>
      <c r="E2025" t="s">
        <v>21</v>
      </c>
      <c r="F2025" t="s">
        <v>22</v>
      </c>
      <c r="G2025" t="s">
        <v>33</v>
      </c>
      <c r="H2025" t="s">
        <v>638</v>
      </c>
      <c r="I2025" t="s">
        <v>4134</v>
      </c>
      <c r="J2025">
        <v>10.00967</v>
      </c>
      <c r="K2025">
        <v>-84.225170000000006</v>
      </c>
      <c r="L2025" t="s">
        <v>1225</v>
      </c>
      <c r="M2025" t="s">
        <v>54</v>
      </c>
      <c r="N2025" t="s">
        <v>55</v>
      </c>
      <c r="O2025" t="s">
        <v>56</v>
      </c>
      <c r="P2025">
        <v>2</v>
      </c>
      <c r="Q2025" t="s">
        <v>150</v>
      </c>
      <c r="S2025" t="str">
        <f>_xlfn.XLOOKUP(UNIVERSO[[#This Row],[Ruta]],'[1]CUOTA RUTA'!A:A,'[1]CUOTA RUTA'!D:D)</f>
        <v>Cargar</v>
      </c>
    </row>
    <row r="2026" spans="1:19" x14ac:dyDescent="0.25">
      <c r="A2026">
        <v>1500708872</v>
      </c>
      <c r="B2026" t="s">
        <v>1094</v>
      </c>
      <c r="C2026" t="s">
        <v>19</v>
      </c>
      <c r="D2026" t="s">
        <v>266</v>
      </c>
      <c r="E2026" t="s">
        <v>21</v>
      </c>
      <c r="F2026" t="s">
        <v>22</v>
      </c>
      <c r="G2026" t="s">
        <v>64</v>
      </c>
      <c r="H2026" t="s">
        <v>372</v>
      </c>
      <c r="I2026" t="s">
        <v>4135</v>
      </c>
      <c r="J2026">
        <v>9.9117238200000006</v>
      </c>
      <c r="K2026">
        <v>-83.619213880000004</v>
      </c>
      <c r="L2026" t="s">
        <v>1225</v>
      </c>
      <c r="M2026" t="s">
        <v>189</v>
      </c>
      <c r="N2026" t="s">
        <v>269</v>
      </c>
      <c r="O2026" t="s">
        <v>270</v>
      </c>
      <c r="P2026">
        <v>23</v>
      </c>
      <c r="Q2026" t="s">
        <v>125</v>
      </c>
      <c r="S2026" t="str">
        <f>_xlfn.XLOOKUP(UNIVERSO[[#This Row],[Ruta]],'[1]CUOTA RUTA'!A:A,'[1]CUOTA RUTA'!D:D)</f>
        <v>Cargar</v>
      </c>
    </row>
    <row r="2027" spans="1:19" x14ac:dyDescent="0.25">
      <c r="A2027">
        <v>1500708885</v>
      </c>
      <c r="B2027" t="s">
        <v>4136</v>
      </c>
      <c r="C2027" t="s">
        <v>19</v>
      </c>
      <c r="D2027" t="s">
        <v>208</v>
      </c>
      <c r="E2027" t="s">
        <v>21</v>
      </c>
      <c r="F2027" t="s">
        <v>22</v>
      </c>
      <c r="G2027" t="s">
        <v>64</v>
      </c>
      <c r="H2027" t="s">
        <v>1794</v>
      </c>
      <c r="I2027" t="s">
        <v>4137</v>
      </c>
      <c r="J2027">
        <v>10.338168400000001</v>
      </c>
      <c r="K2027">
        <v>-83.951354800000004</v>
      </c>
      <c r="L2027" t="s">
        <v>1225</v>
      </c>
      <c r="M2027" t="s">
        <v>189</v>
      </c>
      <c r="N2027" t="s">
        <v>211</v>
      </c>
      <c r="O2027" t="s">
        <v>212</v>
      </c>
      <c r="P2027">
        <v>3</v>
      </c>
      <c r="Q2027" t="s">
        <v>101</v>
      </c>
      <c r="S2027" t="str">
        <f>_xlfn.XLOOKUP(UNIVERSO[[#This Row],[Ruta]],'[1]CUOTA RUTA'!A:A,'[1]CUOTA RUTA'!D:D)</f>
        <v>Cargar</v>
      </c>
    </row>
    <row r="2028" spans="1:19" x14ac:dyDescent="0.25">
      <c r="A2028">
        <v>1500708887</v>
      </c>
      <c r="B2028" t="s">
        <v>4138</v>
      </c>
      <c r="C2028" t="s">
        <v>19</v>
      </c>
      <c r="D2028" t="s">
        <v>20</v>
      </c>
      <c r="E2028" t="s">
        <v>21</v>
      </c>
      <c r="F2028" t="s">
        <v>22</v>
      </c>
      <c r="G2028" t="s">
        <v>33</v>
      </c>
      <c r="H2028" t="s">
        <v>901</v>
      </c>
      <c r="I2028" t="s">
        <v>4139</v>
      </c>
      <c r="J2028">
        <v>10.0493466</v>
      </c>
      <c r="K2028">
        <v>-84.361043300000006</v>
      </c>
      <c r="L2028" t="s">
        <v>1225</v>
      </c>
      <c r="M2028" t="s">
        <v>46</v>
      </c>
      <c r="N2028" t="s">
        <v>47</v>
      </c>
      <c r="O2028" t="s">
        <v>48</v>
      </c>
      <c r="P2028">
        <v>5</v>
      </c>
      <c r="Q2028" t="s">
        <v>117</v>
      </c>
      <c r="S2028" t="str">
        <f>_xlfn.XLOOKUP(UNIVERSO[[#This Row],[Ruta]],'[1]CUOTA RUTA'!A:A,'[1]CUOTA RUTA'!D:D)</f>
        <v>Cargar</v>
      </c>
    </row>
    <row r="2029" spans="1:19" x14ac:dyDescent="0.25">
      <c r="A2029">
        <v>1500708914</v>
      </c>
      <c r="B2029" t="s">
        <v>4140</v>
      </c>
      <c r="C2029" t="s">
        <v>19</v>
      </c>
      <c r="D2029" t="s">
        <v>201</v>
      </c>
      <c r="E2029" t="s">
        <v>21</v>
      </c>
      <c r="F2029" t="s">
        <v>22</v>
      </c>
      <c r="G2029" t="s">
        <v>33</v>
      </c>
      <c r="H2029" t="s">
        <v>593</v>
      </c>
      <c r="I2029" t="s">
        <v>4141</v>
      </c>
      <c r="J2029">
        <v>9.9877284999999993</v>
      </c>
      <c r="K2029">
        <v>-84.7707975</v>
      </c>
      <c r="L2029" t="s">
        <v>1225</v>
      </c>
      <c r="M2029" t="s">
        <v>204</v>
      </c>
      <c r="N2029" t="s">
        <v>205</v>
      </c>
      <c r="O2029" t="s">
        <v>206</v>
      </c>
      <c r="P2029">
        <v>10</v>
      </c>
      <c r="Q2029" t="s">
        <v>136</v>
      </c>
      <c r="S2029" t="str">
        <f>_xlfn.XLOOKUP(UNIVERSO[[#This Row],[Ruta]],'[1]CUOTA RUTA'!A:A,'[1]CUOTA RUTA'!D:D)</f>
        <v>Cargar</v>
      </c>
    </row>
    <row r="2030" spans="1:19" x14ac:dyDescent="0.25">
      <c r="A2030">
        <v>1500708942</v>
      </c>
      <c r="B2030" t="s">
        <v>4142</v>
      </c>
      <c r="C2030" t="s">
        <v>19</v>
      </c>
      <c r="D2030" t="s">
        <v>32</v>
      </c>
      <c r="E2030" t="s">
        <v>21</v>
      </c>
      <c r="F2030" t="s">
        <v>51</v>
      </c>
      <c r="G2030" t="s">
        <v>23</v>
      </c>
      <c r="H2030" t="s">
        <v>134</v>
      </c>
      <c r="I2030" t="s">
        <v>4143</v>
      </c>
      <c r="J2030">
        <v>9.9808889999999995</v>
      </c>
      <c r="K2030">
        <v>-83.995827000000006</v>
      </c>
      <c r="L2030" t="s">
        <v>1225</v>
      </c>
      <c r="M2030" t="s">
        <v>94</v>
      </c>
      <c r="N2030" t="s">
        <v>95</v>
      </c>
      <c r="O2030" t="s">
        <v>96</v>
      </c>
      <c r="P2030">
        <v>4</v>
      </c>
      <c r="Q2030" t="s">
        <v>120</v>
      </c>
      <c r="S2030" t="str">
        <f>_xlfn.XLOOKUP(UNIVERSO[[#This Row],[Ruta]],'[1]CUOTA RUTA'!A:A,'[1]CUOTA RUTA'!D:D)</f>
        <v>Cargar</v>
      </c>
    </row>
    <row r="2031" spans="1:19" x14ac:dyDescent="0.25">
      <c r="A2031">
        <v>1500709173</v>
      </c>
      <c r="B2031" t="s">
        <v>4144</v>
      </c>
      <c r="C2031" t="s">
        <v>19</v>
      </c>
      <c r="D2031" t="s">
        <v>266</v>
      </c>
      <c r="E2031" t="s">
        <v>21</v>
      </c>
      <c r="F2031" t="s">
        <v>22</v>
      </c>
      <c r="G2031" t="s">
        <v>33</v>
      </c>
      <c r="H2031" t="s">
        <v>321</v>
      </c>
      <c r="I2031" t="s">
        <v>4145</v>
      </c>
      <c r="J2031">
        <v>9.8942890000000006</v>
      </c>
      <c r="K2031">
        <v>-83.746043499999999</v>
      </c>
      <c r="L2031" t="s">
        <v>1225</v>
      </c>
      <c r="M2031" t="s">
        <v>54</v>
      </c>
      <c r="N2031" t="s">
        <v>274</v>
      </c>
      <c r="O2031" t="s">
        <v>275</v>
      </c>
      <c r="P2031">
        <v>24</v>
      </c>
      <c r="Q2031" t="s">
        <v>947</v>
      </c>
      <c r="S2031" t="str">
        <f>_xlfn.XLOOKUP(UNIVERSO[[#This Row],[Ruta]],'[1]CUOTA RUTA'!A:A,'[1]CUOTA RUTA'!D:D)</f>
        <v>Cargar</v>
      </c>
    </row>
    <row r="2032" spans="1:19" x14ac:dyDescent="0.25">
      <c r="A2032">
        <v>1500709175</v>
      </c>
      <c r="B2032" t="s">
        <v>4146</v>
      </c>
      <c r="C2032" t="s">
        <v>19</v>
      </c>
      <c r="D2032" t="s">
        <v>266</v>
      </c>
      <c r="E2032" t="s">
        <v>21</v>
      </c>
      <c r="F2032" t="s">
        <v>22</v>
      </c>
      <c r="G2032" t="s">
        <v>33</v>
      </c>
      <c r="H2032" t="s">
        <v>404</v>
      </c>
      <c r="I2032" t="s">
        <v>4147</v>
      </c>
      <c r="J2032">
        <v>9.8651040000000005</v>
      </c>
      <c r="K2032">
        <v>-83.902063999999996</v>
      </c>
      <c r="L2032" t="s">
        <v>1225</v>
      </c>
      <c r="M2032" t="s">
        <v>36</v>
      </c>
      <c r="N2032" t="s">
        <v>316</v>
      </c>
      <c r="O2032" t="s">
        <v>317</v>
      </c>
      <c r="P2032">
        <v>16</v>
      </c>
      <c r="Q2032" t="s">
        <v>60</v>
      </c>
      <c r="S2032" t="str">
        <f>_xlfn.XLOOKUP(UNIVERSO[[#This Row],[Ruta]],'[1]CUOTA RUTA'!A:A,'[1]CUOTA RUTA'!D:D)</f>
        <v>Cargar</v>
      </c>
    </row>
    <row r="2033" spans="1:19" x14ac:dyDescent="0.25">
      <c r="A2033">
        <v>1500709189</v>
      </c>
      <c r="B2033" t="s">
        <v>4148</v>
      </c>
      <c r="C2033" t="s">
        <v>19</v>
      </c>
      <c r="D2033" t="s">
        <v>337</v>
      </c>
      <c r="E2033" t="s">
        <v>21</v>
      </c>
      <c r="F2033" t="s">
        <v>22</v>
      </c>
      <c r="G2033" t="s">
        <v>33</v>
      </c>
      <c r="H2033" t="s">
        <v>1732</v>
      </c>
      <c r="I2033" t="s">
        <v>4149</v>
      </c>
      <c r="J2033">
        <v>10.47109556</v>
      </c>
      <c r="K2033">
        <v>-84.968470069999995</v>
      </c>
      <c r="L2033" t="s">
        <v>1225</v>
      </c>
      <c r="M2033" t="s">
        <v>327</v>
      </c>
      <c r="N2033" t="s">
        <v>340</v>
      </c>
      <c r="O2033" t="s">
        <v>341</v>
      </c>
      <c r="P2033">
        <v>23</v>
      </c>
      <c r="Q2033" t="s">
        <v>125</v>
      </c>
      <c r="S2033" t="str">
        <f>_xlfn.XLOOKUP(UNIVERSO[[#This Row],[Ruta]],'[1]CUOTA RUTA'!A:A,'[1]CUOTA RUTA'!D:D)</f>
        <v>Cargar</v>
      </c>
    </row>
    <row r="2034" spans="1:19" x14ac:dyDescent="0.25">
      <c r="A2034">
        <v>1500709292</v>
      </c>
      <c r="B2034" t="s">
        <v>4150</v>
      </c>
      <c r="C2034" t="s">
        <v>19</v>
      </c>
      <c r="D2034" t="s">
        <v>244</v>
      </c>
      <c r="E2034" t="s">
        <v>21</v>
      </c>
      <c r="F2034" t="s">
        <v>22</v>
      </c>
      <c r="G2034" t="s">
        <v>64</v>
      </c>
      <c r="H2034" t="s">
        <v>767</v>
      </c>
      <c r="I2034" t="s">
        <v>4151</v>
      </c>
      <c r="J2034">
        <v>9.4220743999999996</v>
      </c>
      <c r="K2034">
        <v>-83.658809300000001</v>
      </c>
      <c r="L2034" t="s">
        <v>1225</v>
      </c>
      <c r="M2034" t="s">
        <v>46</v>
      </c>
      <c r="N2034" t="s">
        <v>247</v>
      </c>
      <c r="O2034" t="s">
        <v>248</v>
      </c>
      <c r="P2034">
        <v>18</v>
      </c>
      <c r="Q2034" t="s">
        <v>84</v>
      </c>
      <c r="S2034" t="str">
        <f>_xlfn.XLOOKUP(UNIVERSO[[#This Row],[Ruta]],'[1]CUOTA RUTA'!A:A,'[1]CUOTA RUTA'!D:D)</f>
        <v>Cargar</v>
      </c>
    </row>
    <row r="2035" spans="1:19" x14ac:dyDescent="0.25">
      <c r="A2035">
        <v>1500709339</v>
      </c>
      <c r="B2035" t="s">
        <v>3534</v>
      </c>
      <c r="C2035" t="s">
        <v>19</v>
      </c>
      <c r="D2035" t="s">
        <v>349</v>
      </c>
      <c r="E2035" t="s">
        <v>21</v>
      </c>
      <c r="F2035" t="s">
        <v>22</v>
      </c>
      <c r="G2035" t="s">
        <v>33</v>
      </c>
      <c r="H2035" t="s">
        <v>359</v>
      </c>
      <c r="I2035" t="s">
        <v>4152</v>
      </c>
      <c r="J2035">
        <v>10.048890999999999</v>
      </c>
      <c r="K2035">
        <v>-85.286958999999996</v>
      </c>
      <c r="L2035" t="s">
        <v>1225</v>
      </c>
      <c r="M2035" t="s">
        <v>352</v>
      </c>
      <c r="N2035" t="s">
        <v>353</v>
      </c>
      <c r="O2035" t="s">
        <v>354</v>
      </c>
      <c r="P2035">
        <v>11</v>
      </c>
      <c r="Q2035" t="s">
        <v>108</v>
      </c>
      <c r="S2035" t="str">
        <f>_xlfn.XLOOKUP(UNIVERSO[[#This Row],[Ruta]],'[1]CUOTA RUTA'!A:A,'[1]CUOTA RUTA'!D:D)</f>
        <v>Cargar</v>
      </c>
    </row>
    <row r="2036" spans="1:19" x14ac:dyDescent="0.25">
      <c r="A2036">
        <v>1500709344</v>
      </c>
      <c r="B2036" t="s">
        <v>4153</v>
      </c>
      <c r="C2036" t="s">
        <v>19</v>
      </c>
      <c r="D2036" t="s">
        <v>208</v>
      </c>
      <c r="E2036" t="s">
        <v>21</v>
      </c>
      <c r="F2036" t="s">
        <v>22</v>
      </c>
      <c r="G2036" t="s">
        <v>33</v>
      </c>
      <c r="H2036" t="s">
        <v>218</v>
      </c>
      <c r="I2036" t="s">
        <v>4154</v>
      </c>
      <c r="J2036">
        <v>10.21026</v>
      </c>
      <c r="K2036">
        <v>-83.796000000000006</v>
      </c>
      <c r="L2036" t="s">
        <v>1225</v>
      </c>
      <c r="M2036" t="s">
        <v>189</v>
      </c>
      <c r="N2036" t="s">
        <v>211</v>
      </c>
      <c r="O2036" t="s">
        <v>212</v>
      </c>
      <c r="P2036">
        <v>4</v>
      </c>
      <c r="Q2036" t="s">
        <v>120</v>
      </c>
      <c r="S2036" t="str">
        <f>_xlfn.XLOOKUP(UNIVERSO[[#This Row],[Ruta]],'[1]CUOTA RUTA'!A:A,'[1]CUOTA RUTA'!D:D)</f>
        <v>Cargar</v>
      </c>
    </row>
    <row r="2037" spans="1:19" x14ac:dyDescent="0.25">
      <c r="A2037">
        <v>1500709383</v>
      </c>
      <c r="B2037" t="s">
        <v>3154</v>
      </c>
      <c r="C2037" t="s">
        <v>19</v>
      </c>
      <c r="D2037" t="s">
        <v>32</v>
      </c>
      <c r="E2037" t="s">
        <v>21</v>
      </c>
      <c r="F2037" t="s">
        <v>22</v>
      </c>
      <c r="G2037" t="s">
        <v>33</v>
      </c>
      <c r="H2037" t="s">
        <v>69</v>
      </c>
      <c r="I2037" t="s">
        <v>4155</v>
      </c>
      <c r="J2037">
        <v>9.8734616666669996</v>
      </c>
      <c r="K2037">
        <v>-84.063085000000001</v>
      </c>
      <c r="L2037" t="s">
        <v>1225</v>
      </c>
      <c r="M2037" t="s">
        <v>71</v>
      </c>
      <c r="N2037" t="s">
        <v>72</v>
      </c>
      <c r="O2037" t="s">
        <v>73</v>
      </c>
      <c r="P2037">
        <v>19</v>
      </c>
      <c r="Q2037" t="s">
        <v>67</v>
      </c>
      <c r="S2037" t="str">
        <f>_xlfn.XLOOKUP(UNIVERSO[[#This Row],[Ruta]],'[1]CUOTA RUTA'!A:A,'[1]CUOTA RUTA'!D:D)</f>
        <v>Cargar</v>
      </c>
    </row>
    <row r="2038" spans="1:19" x14ac:dyDescent="0.25">
      <c r="A2038">
        <v>1500709395</v>
      </c>
      <c r="B2038" t="s">
        <v>4156</v>
      </c>
      <c r="C2038" t="s">
        <v>19</v>
      </c>
      <c r="D2038" t="s">
        <v>32</v>
      </c>
      <c r="E2038" t="s">
        <v>21</v>
      </c>
      <c r="F2038" t="s">
        <v>22</v>
      </c>
      <c r="G2038" t="s">
        <v>23</v>
      </c>
      <c r="H2038" t="s">
        <v>86</v>
      </c>
      <c r="I2038" t="s">
        <v>4157</v>
      </c>
      <c r="J2038">
        <v>9.9150690000000008</v>
      </c>
      <c r="K2038">
        <v>-84.091266000000005</v>
      </c>
      <c r="L2038" t="s">
        <v>1225</v>
      </c>
      <c r="M2038" t="s">
        <v>71</v>
      </c>
      <c r="N2038" t="s">
        <v>72</v>
      </c>
      <c r="O2038" t="s">
        <v>73</v>
      </c>
      <c r="P2038">
        <v>3</v>
      </c>
      <c r="Q2038" t="s">
        <v>101</v>
      </c>
      <c r="S2038" t="str">
        <f>_xlfn.XLOOKUP(UNIVERSO[[#This Row],[Ruta]],'[1]CUOTA RUTA'!A:A,'[1]CUOTA RUTA'!D:D)</f>
        <v>Cargar</v>
      </c>
    </row>
    <row r="2039" spans="1:19" x14ac:dyDescent="0.25">
      <c r="A2039">
        <v>1500709425</v>
      </c>
      <c r="B2039" t="s">
        <v>2498</v>
      </c>
      <c r="C2039" t="s">
        <v>19</v>
      </c>
      <c r="D2039" t="s">
        <v>324</v>
      </c>
      <c r="E2039" t="s">
        <v>21</v>
      </c>
      <c r="F2039" t="s">
        <v>22</v>
      </c>
      <c r="G2039" t="s">
        <v>64</v>
      </c>
      <c r="H2039" t="s">
        <v>393</v>
      </c>
      <c r="I2039" t="s">
        <v>4158</v>
      </c>
      <c r="J2039">
        <v>10.3432</v>
      </c>
      <c r="K2039">
        <v>-84.404600000000002</v>
      </c>
      <c r="L2039" t="s">
        <v>1225</v>
      </c>
      <c r="M2039" t="s">
        <v>327</v>
      </c>
      <c r="N2039" t="s">
        <v>328</v>
      </c>
      <c r="O2039" t="s">
        <v>329</v>
      </c>
      <c r="P2039">
        <v>15</v>
      </c>
      <c r="Q2039" t="s">
        <v>231</v>
      </c>
      <c r="S2039" t="str">
        <f>_xlfn.XLOOKUP(UNIVERSO[[#This Row],[Ruta]],'[1]CUOTA RUTA'!A:A,'[1]CUOTA RUTA'!D:D)</f>
        <v>Cargar</v>
      </c>
    </row>
    <row r="2040" spans="1:19" x14ac:dyDescent="0.25">
      <c r="A2040">
        <v>1500709455</v>
      </c>
      <c r="B2040" t="s">
        <v>595</v>
      </c>
      <c r="C2040" t="s">
        <v>19</v>
      </c>
      <c r="D2040" t="s">
        <v>208</v>
      </c>
      <c r="E2040" t="s">
        <v>21</v>
      </c>
      <c r="F2040" t="s">
        <v>51</v>
      </c>
      <c r="G2040" t="s">
        <v>23</v>
      </c>
      <c r="H2040" t="s">
        <v>224</v>
      </c>
      <c r="I2040" t="s">
        <v>4159</v>
      </c>
      <c r="J2040">
        <v>10.21292</v>
      </c>
      <c r="K2040">
        <v>-83.809790000000007</v>
      </c>
      <c r="L2040" t="s">
        <v>1225</v>
      </c>
      <c r="M2040" t="s">
        <v>189</v>
      </c>
      <c r="N2040" t="s">
        <v>211</v>
      </c>
      <c r="O2040" t="s">
        <v>212</v>
      </c>
      <c r="P2040">
        <v>4</v>
      </c>
      <c r="Q2040" t="s">
        <v>120</v>
      </c>
      <c r="S2040" t="str">
        <f>_xlfn.XLOOKUP(UNIVERSO[[#This Row],[Ruta]],'[1]CUOTA RUTA'!A:A,'[1]CUOTA RUTA'!D:D)</f>
        <v>Cargar</v>
      </c>
    </row>
    <row r="2041" spans="1:19" x14ac:dyDescent="0.25">
      <c r="A2041">
        <v>1500709491</v>
      </c>
      <c r="B2041" t="s">
        <v>4160</v>
      </c>
      <c r="C2041" t="s">
        <v>19</v>
      </c>
      <c r="D2041" t="s">
        <v>20</v>
      </c>
      <c r="E2041" t="s">
        <v>21</v>
      </c>
      <c r="F2041" t="s">
        <v>51</v>
      </c>
      <c r="G2041" t="s">
        <v>23</v>
      </c>
      <c r="H2041" t="s">
        <v>255</v>
      </c>
      <c r="I2041" t="s">
        <v>4161</v>
      </c>
      <c r="J2041">
        <v>10.033507800000001</v>
      </c>
      <c r="K2041">
        <v>-84.228493</v>
      </c>
      <c r="L2041" t="s">
        <v>1225</v>
      </c>
      <c r="M2041" t="s">
        <v>46</v>
      </c>
      <c r="N2041" t="s">
        <v>47</v>
      </c>
      <c r="O2041" t="s">
        <v>48</v>
      </c>
      <c r="P2041">
        <v>3</v>
      </c>
      <c r="Q2041" t="s">
        <v>101</v>
      </c>
      <c r="S2041" t="str">
        <f>_xlfn.XLOOKUP(UNIVERSO[[#This Row],[Ruta]],'[1]CUOTA RUTA'!A:A,'[1]CUOTA RUTA'!D:D)</f>
        <v>Cargar</v>
      </c>
    </row>
    <row r="2042" spans="1:19" x14ac:dyDescent="0.25">
      <c r="A2042">
        <v>1500709569</v>
      </c>
      <c r="B2042" t="s">
        <v>4162</v>
      </c>
      <c r="C2042" t="s">
        <v>19</v>
      </c>
      <c r="D2042" t="s">
        <v>201</v>
      </c>
      <c r="E2042" t="s">
        <v>21</v>
      </c>
      <c r="F2042" t="s">
        <v>22</v>
      </c>
      <c r="G2042" t="s">
        <v>33</v>
      </c>
      <c r="H2042" t="s">
        <v>533</v>
      </c>
      <c r="I2042" t="s">
        <v>4163</v>
      </c>
      <c r="J2042">
        <v>9.9121620969159991</v>
      </c>
      <c r="K2042">
        <v>-84.523147746800007</v>
      </c>
      <c r="L2042" t="s">
        <v>1225</v>
      </c>
      <c r="M2042" t="s">
        <v>204</v>
      </c>
      <c r="N2042" t="s">
        <v>205</v>
      </c>
      <c r="O2042" t="s">
        <v>206</v>
      </c>
      <c r="P2042">
        <v>2</v>
      </c>
      <c r="Q2042" t="s">
        <v>150</v>
      </c>
      <c r="S2042" t="str">
        <f>_xlfn.XLOOKUP(UNIVERSO[[#This Row],[Ruta]],'[1]CUOTA RUTA'!A:A,'[1]CUOTA RUTA'!D:D)</f>
        <v>Cargar</v>
      </c>
    </row>
    <row r="2043" spans="1:19" x14ac:dyDescent="0.25">
      <c r="A2043">
        <v>1500709571</v>
      </c>
      <c r="B2043" t="s">
        <v>4164</v>
      </c>
      <c r="C2043" t="s">
        <v>19</v>
      </c>
      <c r="D2043" t="s">
        <v>186</v>
      </c>
      <c r="E2043" t="s">
        <v>21</v>
      </c>
      <c r="F2043" t="s">
        <v>22</v>
      </c>
      <c r="G2043" t="s">
        <v>33</v>
      </c>
      <c r="H2043" t="s">
        <v>229</v>
      </c>
      <c r="I2043" t="s">
        <v>4165</v>
      </c>
      <c r="J2043">
        <v>9.9837469999999993</v>
      </c>
      <c r="K2043">
        <v>-83.035443000000001</v>
      </c>
      <c r="L2043" t="s">
        <v>1225</v>
      </c>
      <c r="M2043" t="s">
        <v>189</v>
      </c>
      <c r="N2043" t="s">
        <v>190</v>
      </c>
      <c r="O2043" t="s">
        <v>191</v>
      </c>
      <c r="P2043">
        <v>15</v>
      </c>
      <c r="Q2043" t="s">
        <v>231</v>
      </c>
      <c r="S2043" t="str">
        <f>_xlfn.XLOOKUP(UNIVERSO[[#This Row],[Ruta]],'[1]CUOTA RUTA'!A:A,'[1]CUOTA RUTA'!D:D)</f>
        <v>Cargar</v>
      </c>
    </row>
    <row r="2044" spans="1:19" x14ac:dyDescent="0.25">
      <c r="A2044">
        <v>1500709728</v>
      </c>
      <c r="B2044" t="s">
        <v>4166</v>
      </c>
      <c r="C2044" t="s">
        <v>19</v>
      </c>
      <c r="D2044" t="s">
        <v>324</v>
      </c>
      <c r="E2044" t="s">
        <v>21</v>
      </c>
      <c r="F2044" t="s">
        <v>22</v>
      </c>
      <c r="G2044" t="s">
        <v>33</v>
      </c>
      <c r="H2044" t="s">
        <v>511</v>
      </c>
      <c r="I2044" t="s">
        <v>4167</v>
      </c>
      <c r="J2044">
        <v>10.4504149</v>
      </c>
      <c r="K2044">
        <v>-84.638024599999994</v>
      </c>
      <c r="L2044" t="s">
        <v>1225</v>
      </c>
      <c r="M2044" t="s">
        <v>327</v>
      </c>
      <c r="N2044" t="s">
        <v>328</v>
      </c>
      <c r="O2044" t="s">
        <v>329</v>
      </c>
      <c r="P2044">
        <v>20</v>
      </c>
      <c r="Q2044" t="s">
        <v>74</v>
      </c>
      <c r="S2044" t="str">
        <f>_xlfn.XLOOKUP(UNIVERSO[[#This Row],[Ruta]],'[1]CUOTA RUTA'!A:A,'[1]CUOTA RUTA'!D:D)</f>
        <v>Cargar</v>
      </c>
    </row>
    <row r="2045" spans="1:19" x14ac:dyDescent="0.25">
      <c r="A2045">
        <v>1500709892</v>
      </c>
      <c r="B2045" t="s">
        <v>4168</v>
      </c>
      <c r="C2045" t="s">
        <v>19</v>
      </c>
      <c r="D2045" t="s">
        <v>20</v>
      </c>
      <c r="E2045" t="s">
        <v>21</v>
      </c>
      <c r="F2045" t="s">
        <v>22</v>
      </c>
      <c r="G2045" t="s">
        <v>33</v>
      </c>
      <c r="H2045" t="s">
        <v>198</v>
      </c>
      <c r="I2045" t="s">
        <v>4169</v>
      </c>
      <c r="J2045">
        <v>9.9398</v>
      </c>
      <c r="K2045">
        <v>-84.185680000000005</v>
      </c>
      <c r="L2045" t="s">
        <v>1225</v>
      </c>
      <c r="M2045" t="s">
        <v>54</v>
      </c>
      <c r="N2045" t="s">
        <v>55</v>
      </c>
      <c r="O2045" t="s">
        <v>56</v>
      </c>
      <c r="P2045">
        <v>13</v>
      </c>
      <c r="Q2045" t="s">
        <v>161</v>
      </c>
      <c r="S2045" t="str">
        <f>_xlfn.XLOOKUP(UNIVERSO[[#This Row],[Ruta]],'[1]CUOTA RUTA'!A:A,'[1]CUOTA RUTA'!D:D)</f>
        <v>Cargar</v>
      </c>
    </row>
    <row r="2046" spans="1:19" x14ac:dyDescent="0.25">
      <c r="A2046">
        <v>1500709895</v>
      </c>
      <c r="B2046" t="s">
        <v>4170</v>
      </c>
      <c r="C2046" t="s">
        <v>19</v>
      </c>
      <c r="D2046" t="s">
        <v>20</v>
      </c>
      <c r="E2046" t="s">
        <v>21</v>
      </c>
      <c r="F2046" t="s">
        <v>51</v>
      </c>
      <c r="G2046" t="s">
        <v>23</v>
      </c>
      <c r="H2046" t="s">
        <v>277</v>
      </c>
      <c r="I2046" t="s">
        <v>4171</v>
      </c>
      <c r="J2046">
        <v>9.9716059999999995</v>
      </c>
      <c r="K2046">
        <v>-84.215046400000006</v>
      </c>
      <c r="L2046" t="s">
        <v>1225</v>
      </c>
      <c r="M2046" t="s">
        <v>54</v>
      </c>
      <c r="N2046" t="s">
        <v>55</v>
      </c>
      <c r="O2046" t="s">
        <v>56</v>
      </c>
      <c r="P2046">
        <v>19</v>
      </c>
      <c r="Q2046" t="s">
        <v>67</v>
      </c>
      <c r="S2046" t="str">
        <f>_xlfn.XLOOKUP(UNIVERSO[[#This Row],[Ruta]],'[1]CUOTA RUTA'!A:A,'[1]CUOTA RUTA'!D:D)</f>
        <v>Cargar</v>
      </c>
    </row>
    <row r="2047" spans="1:19" x14ac:dyDescent="0.25">
      <c r="A2047">
        <v>1500709903</v>
      </c>
      <c r="B2047" t="s">
        <v>4172</v>
      </c>
      <c r="C2047" t="s">
        <v>19</v>
      </c>
      <c r="D2047" t="s">
        <v>266</v>
      </c>
      <c r="E2047" t="s">
        <v>21</v>
      </c>
      <c r="F2047" t="s">
        <v>22</v>
      </c>
      <c r="G2047" t="s">
        <v>33</v>
      </c>
      <c r="H2047" t="s">
        <v>404</v>
      </c>
      <c r="I2047" t="s">
        <v>4173</v>
      </c>
      <c r="J2047">
        <v>9.867896</v>
      </c>
      <c r="K2047">
        <v>-83.893147999999997</v>
      </c>
      <c r="L2047" t="s">
        <v>1225</v>
      </c>
      <c r="M2047" t="s">
        <v>36</v>
      </c>
      <c r="N2047" t="s">
        <v>316</v>
      </c>
      <c r="O2047" t="s">
        <v>317</v>
      </c>
      <c r="P2047">
        <v>17</v>
      </c>
      <c r="Q2047" t="s">
        <v>287</v>
      </c>
      <c r="S2047" t="str">
        <f>_xlfn.XLOOKUP(UNIVERSO[[#This Row],[Ruta]],'[1]CUOTA RUTA'!A:A,'[1]CUOTA RUTA'!D:D)</f>
        <v>Cargar</v>
      </c>
    </row>
    <row r="2048" spans="1:19" x14ac:dyDescent="0.25">
      <c r="A2048">
        <v>1500709934</v>
      </c>
      <c r="B2048" t="s">
        <v>4174</v>
      </c>
      <c r="C2048" t="s">
        <v>19</v>
      </c>
      <c r="D2048" t="s">
        <v>20</v>
      </c>
      <c r="E2048" t="s">
        <v>21</v>
      </c>
      <c r="F2048" t="s">
        <v>22</v>
      </c>
      <c r="G2048" t="s">
        <v>33</v>
      </c>
      <c r="H2048" t="s">
        <v>1021</v>
      </c>
      <c r="I2048" t="s">
        <v>4175</v>
      </c>
      <c r="J2048">
        <v>10.053884999999999</v>
      </c>
      <c r="K2048">
        <v>-84.266069000000002</v>
      </c>
      <c r="L2048" t="s">
        <v>1225</v>
      </c>
      <c r="M2048" t="s">
        <v>46</v>
      </c>
      <c r="N2048" t="s">
        <v>47</v>
      </c>
      <c r="O2048" t="s">
        <v>48</v>
      </c>
      <c r="P2048">
        <v>4</v>
      </c>
      <c r="Q2048" t="s">
        <v>120</v>
      </c>
      <c r="S2048" t="str">
        <f>_xlfn.XLOOKUP(UNIVERSO[[#This Row],[Ruta]],'[1]CUOTA RUTA'!A:A,'[1]CUOTA RUTA'!D:D)</f>
        <v>Cargar</v>
      </c>
    </row>
    <row r="2049" spans="1:19" x14ac:dyDescent="0.25">
      <c r="A2049">
        <v>1500709940</v>
      </c>
      <c r="B2049" t="s">
        <v>4176</v>
      </c>
      <c r="C2049" t="s">
        <v>19</v>
      </c>
      <c r="D2049" t="s">
        <v>208</v>
      </c>
      <c r="E2049" t="s">
        <v>21</v>
      </c>
      <c r="F2049" t="s">
        <v>22</v>
      </c>
      <c r="G2049" t="s">
        <v>33</v>
      </c>
      <c r="H2049" t="s">
        <v>502</v>
      </c>
      <c r="I2049" t="s">
        <v>4177</v>
      </c>
      <c r="J2049">
        <v>10.379080999999999</v>
      </c>
      <c r="K2049">
        <v>-83.649842000000007</v>
      </c>
      <c r="L2049" t="s">
        <v>1225</v>
      </c>
      <c r="M2049" t="s">
        <v>189</v>
      </c>
      <c r="N2049" t="s">
        <v>211</v>
      </c>
      <c r="O2049" t="s">
        <v>212</v>
      </c>
      <c r="P2049">
        <v>7</v>
      </c>
      <c r="Q2049" t="s">
        <v>39</v>
      </c>
      <c r="S2049" t="str">
        <f>_xlfn.XLOOKUP(UNIVERSO[[#This Row],[Ruta]],'[1]CUOTA RUTA'!A:A,'[1]CUOTA RUTA'!D:D)</f>
        <v>Cargar</v>
      </c>
    </row>
    <row r="2050" spans="1:19" x14ac:dyDescent="0.25">
      <c r="A2050">
        <v>1500709972</v>
      </c>
      <c r="B2050" t="s">
        <v>595</v>
      </c>
      <c r="C2050" t="s">
        <v>19</v>
      </c>
      <c r="D2050" t="s">
        <v>208</v>
      </c>
      <c r="E2050" t="s">
        <v>21</v>
      </c>
      <c r="F2050" t="s">
        <v>22</v>
      </c>
      <c r="G2050" t="s">
        <v>33</v>
      </c>
      <c r="H2050" t="s">
        <v>719</v>
      </c>
      <c r="I2050" t="s">
        <v>4178</v>
      </c>
      <c r="J2050">
        <v>10.39384503</v>
      </c>
      <c r="K2050">
        <v>-84.137512400000006</v>
      </c>
      <c r="L2050" t="s">
        <v>1225</v>
      </c>
      <c r="M2050" t="s">
        <v>189</v>
      </c>
      <c r="N2050" t="s">
        <v>211</v>
      </c>
      <c r="O2050" t="s">
        <v>212</v>
      </c>
      <c r="P2050">
        <v>11</v>
      </c>
      <c r="Q2050" t="s">
        <v>108</v>
      </c>
      <c r="S2050" t="str">
        <f>_xlfn.XLOOKUP(UNIVERSO[[#This Row],[Ruta]],'[1]CUOTA RUTA'!A:A,'[1]CUOTA RUTA'!D:D)</f>
        <v>Cargar</v>
      </c>
    </row>
    <row r="2051" spans="1:19" x14ac:dyDescent="0.25">
      <c r="A2051">
        <v>1500709996</v>
      </c>
      <c r="B2051" t="s">
        <v>4179</v>
      </c>
      <c r="C2051" t="s">
        <v>19</v>
      </c>
      <c r="D2051" t="s">
        <v>32</v>
      </c>
      <c r="E2051" t="s">
        <v>21</v>
      </c>
      <c r="F2051" t="s">
        <v>22</v>
      </c>
      <c r="G2051" t="s">
        <v>64</v>
      </c>
      <c r="H2051" t="s">
        <v>625</v>
      </c>
      <c r="I2051" t="s">
        <v>4180</v>
      </c>
      <c r="J2051">
        <v>10.001833333333</v>
      </c>
      <c r="K2051">
        <v>-84.060698333329995</v>
      </c>
      <c r="L2051" t="s">
        <v>1225</v>
      </c>
      <c r="M2051" t="s">
        <v>94</v>
      </c>
      <c r="N2051" t="s">
        <v>95</v>
      </c>
      <c r="O2051" t="s">
        <v>96</v>
      </c>
      <c r="P2051">
        <v>6</v>
      </c>
      <c r="Q2051" t="s">
        <v>49</v>
      </c>
      <c r="S2051" t="str">
        <f>_xlfn.XLOOKUP(UNIVERSO[[#This Row],[Ruta]],'[1]CUOTA RUTA'!A:A,'[1]CUOTA RUTA'!D:D)</f>
        <v>Cargar</v>
      </c>
    </row>
    <row r="2052" spans="1:19" x14ac:dyDescent="0.25">
      <c r="A2052">
        <v>1500710001</v>
      </c>
      <c r="B2052" t="s">
        <v>4181</v>
      </c>
      <c r="C2052" t="s">
        <v>19</v>
      </c>
      <c r="D2052" t="s">
        <v>186</v>
      </c>
      <c r="E2052" t="s">
        <v>21</v>
      </c>
      <c r="F2052" t="s">
        <v>22</v>
      </c>
      <c r="G2052" t="s">
        <v>33</v>
      </c>
      <c r="H2052" t="s">
        <v>187</v>
      </c>
      <c r="I2052" t="s">
        <v>4182</v>
      </c>
      <c r="J2052">
        <v>9.9877000000000002</v>
      </c>
      <c r="K2052">
        <v>-83.048277999999996</v>
      </c>
      <c r="L2052" t="s">
        <v>1225</v>
      </c>
      <c r="M2052" t="s">
        <v>189</v>
      </c>
      <c r="N2052" t="s">
        <v>190</v>
      </c>
      <c r="O2052" t="s">
        <v>191</v>
      </c>
      <c r="P2052">
        <v>14</v>
      </c>
      <c r="Q2052" t="s">
        <v>181</v>
      </c>
      <c r="S2052" t="str">
        <f>_xlfn.XLOOKUP(UNIVERSO[[#This Row],[Ruta]],'[1]CUOTA RUTA'!A:A,'[1]CUOTA RUTA'!D:D)</f>
        <v>Cargar</v>
      </c>
    </row>
    <row r="2053" spans="1:19" x14ac:dyDescent="0.25">
      <c r="A2053">
        <v>1500710033</v>
      </c>
      <c r="B2053" t="s">
        <v>4183</v>
      </c>
      <c r="C2053" t="s">
        <v>19</v>
      </c>
      <c r="D2053" t="s">
        <v>20</v>
      </c>
      <c r="E2053" t="s">
        <v>21</v>
      </c>
      <c r="F2053" t="s">
        <v>22</v>
      </c>
      <c r="G2053" t="s">
        <v>33</v>
      </c>
      <c r="H2053" t="s">
        <v>554</v>
      </c>
      <c r="I2053" t="s">
        <v>4184</v>
      </c>
      <c r="J2053">
        <v>10.003584999999999</v>
      </c>
      <c r="K2053">
        <v>-84.141756000000001</v>
      </c>
      <c r="L2053" t="s">
        <v>1225</v>
      </c>
      <c r="M2053" t="s">
        <v>27</v>
      </c>
      <c r="N2053" t="s">
        <v>28</v>
      </c>
      <c r="O2053" t="s">
        <v>29</v>
      </c>
      <c r="P2053">
        <v>19</v>
      </c>
      <c r="Q2053" t="s">
        <v>67</v>
      </c>
      <c r="S2053" t="str">
        <f>_xlfn.XLOOKUP(UNIVERSO[[#This Row],[Ruta]],'[1]CUOTA RUTA'!A:A,'[1]CUOTA RUTA'!D:D)</f>
        <v>Cargar</v>
      </c>
    </row>
    <row r="2054" spans="1:19" x14ac:dyDescent="0.25">
      <c r="A2054">
        <v>1500710042</v>
      </c>
      <c r="B2054" t="s">
        <v>4185</v>
      </c>
      <c r="C2054" t="s">
        <v>19</v>
      </c>
      <c r="D2054" t="s">
        <v>20</v>
      </c>
      <c r="E2054" t="s">
        <v>21</v>
      </c>
      <c r="F2054" t="s">
        <v>22</v>
      </c>
      <c r="G2054" t="s">
        <v>33</v>
      </c>
      <c r="H2054" t="s">
        <v>674</v>
      </c>
      <c r="I2054" t="s">
        <v>4186</v>
      </c>
      <c r="J2054">
        <v>10.1844264</v>
      </c>
      <c r="K2054">
        <v>-84.392238300000002</v>
      </c>
      <c r="L2054" t="s">
        <v>1225</v>
      </c>
      <c r="M2054" t="s">
        <v>46</v>
      </c>
      <c r="N2054" t="s">
        <v>47</v>
      </c>
      <c r="O2054" t="s">
        <v>48</v>
      </c>
      <c r="P2054">
        <v>1</v>
      </c>
      <c r="Q2054" t="s">
        <v>155</v>
      </c>
      <c r="S2054" t="str">
        <f>_xlfn.XLOOKUP(UNIVERSO[[#This Row],[Ruta]],'[1]CUOTA RUTA'!A:A,'[1]CUOTA RUTA'!D:D)</f>
        <v>Cargar</v>
      </c>
    </row>
    <row r="2055" spans="1:19" x14ac:dyDescent="0.25">
      <c r="A2055">
        <v>1500710066</v>
      </c>
      <c r="B2055" t="s">
        <v>4187</v>
      </c>
      <c r="C2055" t="s">
        <v>19</v>
      </c>
      <c r="D2055" t="s">
        <v>266</v>
      </c>
      <c r="E2055" t="s">
        <v>21</v>
      </c>
      <c r="F2055" t="s">
        <v>22</v>
      </c>
      <c r="G2055" t="s">
        <v>23</v>
      </c>
      <c r="H2055" t="s">
        <v>703</v>
      </c>
      <c r="I2055" t="s">
        <v>4188</v>
      </c>
      <c r="J2055">
        <v>9.8412699999999997</v>
      </c>
      <c r="K2055">
        <v>-83.988919999999993</v>
      </c>
      <c r="L2055" t="s">
        <v>1225</v>
      </c>
      <c r="M2055" t="s">
        <v>36</v>
      </c>
      <c r="N2055" t="s">
        <v>316</v>
      </c>
      <c r="O2055" t="s">
        <v>317</v>
      </c>
      <c r="P2055">
        <v>20</v>
      </c>
      <c r="Q2055" t="s">
        <v>74</v>
      </c>
      <c r="S2055" t="str">
        <f>_xlfn.XLOOKUP(UNIVERSO[[#This Row],[Ruta]],'[1]CUOTA RUTA'!A:A,'[1]CUOTA RUTA'!D:D)</f>
        <v>Cargar</v>
      </c>
    </row>
    <row r="2056" spans="1:19" x14ac:dyDescent="0.25">
      <c r="A2056">
        <v>1500710111</v>
      </c>
      <c r="B2056" t="s">
        <v>4189</v>
      </c>
      <c r="C2056" t="s">
        <v>19</v>
      </c>
      <c r="D2056" t="s">
        <v>208</v>
      </c>
      <c r="E2056" t="s">
        <v>21</v>
      </c>
      <c r="F2056" t="s">
        <v>22</v>
      </c>
      <c r="G2056" t="s">
        <v>64</v>
      </c>
      <c r="H2056" t="s">
        <v>417</v>
      </c>
      <c r="I2056" t="s">
        <v>4190</v>
      </c>
      <c r="J2056">
        <v>10.304930000000001</v>
      </c>
      <c r="K2056">
        <v>-83.898700000000005</v>
      </c>
      <c r="L2056" t="s">
        <v>1225</v>
      </c>
      <c r="M2056" t="s">
        <v>189</v>
      </c>
      <c r="N2056" t="s">
        <v>211</v>
      </c>
      <c r="O2056" t="s">
        <v>212</v>
      </c>
      <c r="P2056">
        <v>11</v>
      </c>
      <c r="Q2056" t="s">
        <v>108</v>
      </c>
      <c r="S2056" t="str">
        <f>_xlfn.XLOOKUP(UNIVERSO[[#This Row],[Ruta]],'[1]CUOTA RUTA'!A:A,'[1]CUOTA RUTA'!D:D)</f>
        <v>Cargar</v>
      </c>
    </row>
    <row r="2057" spans="1:19" x14ac:dyDescent="0.25">
      <c r="A2057">
        <v>1500710206</v>
      </c>
      <c r="B2057" t="s">
        <v>4191</v>
      </c>
      <c r="C2057" t="s">
        <v>19</v>
      </c>
      <c r="D2057" t="s">
        <v>20</v>
      </c>
      <c r="E2057" t="s">
        <v>21</v>
      </c>
      <c r="F2057" t="s">
        <v>22</v>
      </c>
      <c r="G2057" t="s">
        <v>64</v>
      </c>
      <c r="H2057" t="s">
        <v>44</v>
      </c>
      <c r="I2057" t="s">
        <v>4192</v>
      </c>
      <c r="J2057">
        <v>10.0293867</v>
      </c>
      <c r="K2057">
        <v>-84.514548300000001</v>
      </c>
      <c r="L2057" t="s">
        <v>1225</v>
      </c>
      <c r="M2057" t="s">
        <v>46</v>
      </c>
      <c r="N2057" t="s">
        <v>47</v>
      </c>
      <c r="O2057" t="s">
        <v>48</v>
      </c>
      <c r="P2057">
        <v>7</v>
      </c>
      <c r="Q2057" t="s">
        <v>39</v>
      </c>
      <c r="S2057" t="str">
        <f>_xlfn.XLOOKUP(UNIVERSO[[#This Row],[Ruta]],'[1]CUOTA RUTA'!A:A,'[1]CUOTA RUTA'!D:D)</f>
        <v>Cargar</v>
      </c>
    </row>
    <row r="2058" spans="1:19" x14ac:dyDescent="0.25">
      <c r="A2058">
        <v>1500710254</v>
      </c>
      <c r="B2058" t="s">
        <v>4193</v>
      </c>
      <c r="C2058" t="s">
        <v>19</v>
      </c>
      <c r="D2058" t="s">
        <v>201</v>
      </c>
      <c r="E2058" t="s">
        <v>21</v>
      </c>
      <c r="F2058" t="s">
        <v>22</v>
      </c>
      <c r="G2058" t="s">
        <v>33</v>
      </c>
      <c r="H2058" t="s">
        <v>334</v>
      </c>
      <c r="I2058" t="s">
        <v>4194</v>
      </c>
      <c r="J2058">
        <v>10.009610500000001</v>
      </c>
      <c r="K2058">
        <v>-84.644116100000005</v>
      </c>
      <c r="L2058" t="s">
        <v>1225</v>
      </c>
      <c r="M2058" t="s">
        <v>204</v>
      </c>
      <c r="N2058" t="s">
        <v>205</v>
      </c>
      <c r="O2058" t="s">
        <v>206</v>
      </c>
      <c r="P2058">
        <v>14</v>
      </c>
      <c r="Q2058" t="s">
        <v>181</v>
      </c>
      <c r="S2058" t="str">
        <f>_xlfn.XLOOKUP(UNIVERSO[[#This Row],[Ruta]],'[1]CUOTA RUTA'!A:A,'[1]CUOTA RUTA'!D:D)</f>
        <v>Cargar</v>
      </c>
    </row>
    <row r="2059" spans="1:19" x14ac:dyDescent="0.25">
      <c r="A2059">
        <v>1500710297</v>
      </c>
      <c r="B2059" t="s">
        <v>4195</v>
      </c>
      <c r="C2059" t="s">
        <v>19</v>
      </c>
      <c r="D2059" t="s">
        <v>324</v>
      </c>
      <c r="E2059" t="s">
        <v>21</v>
      </c>
      <c r="F2059" t="s">
        <v>22</v>
      </c>
      <c r="G2059" t="s">
        <v>33</v>
      </c>
      <c r="H2059" t="s">
        <v>393</v>
      </c>
      <c r="I2059" t="s">
        <v>4196</v>
      </c>
      <c r="J2059">
        <v>10.3770796</v>
      </c>
      <c r="K2059">
        <v>-84.415931499999999</v>
      </c>
      <c r="L2059" t="s">
        <v>1225</v>
      </c>
      <c r="M2059" t="s">
        <v>327</v>
      </c>
      <c r="N2059" t="s">
        <v>328</v>
      </c>
      <c r="O2059" t="s">
        <v>329</v>
      </c>
      <c r="P2059">
        <v>19</v>
      </c>
      <c r="Q2059" t="s">
        <v>67</v>
      </c>
      <c r="S2059" t="str">
        <f>_xlfn.XLOOKUP(UNIVERSO[[#This Row],[Ruta]],'[1]CUOTA RUTA'!A:A,'[1]CUOTA RUTA'!D:D)</f>
        <v>Cargar</v>
      </c>
    </row>
    <row r="2060" spans="1:19" x14ac:dyDescent="0.25">
      <c r="A2060">
        <v>1500710319</v>
      </c>
      <c r="B2060" t="s">
        <v>4197</v>
      </c>
      <c r="C2060" t="s">
        <v>19</v>
      </c>
      <c r="D2060" t="s">
        <v>20</v>
      </c>
      <c r="E2060" t="s">
        <v>21</v>
      </c>
      <c r="F2060" t="s">
        <v>51</v>
      </c>
      <c r="G2060" t="s">
        <v>23</v>
      </c>
      <c r="H2060" t="s">
        <v>554</v>
      </c>
      <c r="I2060" t="s">
        <v>4198</v>
      </c>
      <c r="J2060">
        <v>10.009869999999999</v>
      </c>
      <c r="K2060">
        <v>-84.126279999999994</v>
      </c>
      <c r="L2060" t="s">
        <v>1225</v>
      </c>
      <c r="M2060" t="s">
        <v>27</v>
      </c>
      <c r="N2060" t="s">
        <v>28</v>
      </c>
      <c r="O2060" t="s">
        <v>29</v>
      </c>
      <c r="P2060">
        <v>16</v>
      </c>
      <c r="Q2060" t="s">
        <v>60</v>
      </c>
      <c r="S2060" t="str">
        <f>_xlfn.XLOOKUP(UNIVERSO[[#This Row],[Ruta]],'[1]CUOTA RUTA'!A:A,'[1]CUOTA RUTA'!D:D)</f>
        <v>Cargar</v>
      </c>
    </row>
    <row r="2061" spans="1:19" x14ac:dyDescent="0.25">
      <c r="A2061">
        <v>1500710332</v>
      </c>
      <c r="B2061" t="s">
        <v>4199</v>
      </c>
      <c r="C2061" t="s">
        <v>19</v>
      </c>
      <c r="D2061" t="s">
        <v>201</v>
      </c>
      <c r="E2061" t="s">
        <v>21</v>
      </c>
      <c r="F2061" t="s">
        <v>22</v>
      </c>
      <c r="G2061" t="s">
        <v>23</v>
      </c>
      <c r="H2061" t="s">
        <v>785</v>
      </c>
      <c r="I2061" t="s">
        <v>4200</v>
      </c>
      <c r="J2061">
        <v>9.9748800000000006</v>
      </c>
      <c r="K2061">
        <v>-84.751220000000004</v>
      </c>
      <c r="L2061" t="s">
        <v>1225</v>
      </c>
      <c r="M2061" t="s">
        <v>204</v>
      </c>
      <c r="N2061" t="s">
        <v>205</v>
      </c>
      <c r="O2061" t="s">
        <v>206</v>
      </c>
      <c r="P2061">
        <v>10</v>
      </c>
      <c r="Q2061" t="s">
        <v>136</v>
      </c>
      <c r="S2061" t="str">
        <f>_xlfn.XLOOKUP(UNIVERSO[[#This Row],[Ruta]],'[1]CUOTA RUTA'!A:A,'[1]CUOTA RUTA'!D:D)</f>
        <v>Cargar</v>
      </c>
    </row>
    <row r="2062" spans="1:19" x14ac:dyDescent="0.25">
      <c r="A2062">
        <v>1500710577</v>
      </c>
      <c r="B2062" t="s">
        <v>1863</v>
      </c>
      <c r="C2062" t="s">
        <v>19</v>
      </c>
      <c r="D2062" t="s">
        <v>32</v>
      </c>
      <c r="E2062" t="s">
        <v>21</v>
      </c>
      <c r="F2062" t="s">
        <v>22</v>
      </c>
      <c r="G2062" t="s">
        <v>33</v>
      </c>
      <c r="H2062" t="s">
        <v>1383</v>
      </c>
      <c r="I2062" t="s">
        <v>4201</v>
      </c>
      <c r="J2062">
        <v>9.9175199999999997</v>
      </c>
      <c r="K2062">
        <v>-84.094099999999997</v>
      </c>
      <c r="L2062" t="s">
        <v>1225</v>
      </c>
      <c r="M2062" t="s">
        <v>71</v>
      </c>
      <c r="N2062" t="s">
        <v>72</v>
      </c>
      <c r="O2062" t="s">
        <v>73</v>
      </c>
      <c r="P2062">
        <v>3</v>
      </c>
      <c r="Q2062" t="s">
        <v>101</v>
      </c>
      <c r="S2062" t="str">
        <f>_xlfn.XLOOKUP(UNIVERSO[[#This Row],[Ruta]],'[1]CUOTA RUTA'!A:A,'[1]CUOTA RUTA'!D:D)</f>
        <v>Cargar</v>
      </c>
    </row>
    <row r="2063" spans="1:19" x14ac:dyDescent="0.25">
      <c r="A2063">
        <v>1500710661</v>
      </c>
      <c r="B2063" t="s">
        <v>4202</v>
      </c>
      <c r="C2063" t="s">
        <v>19</v>
      </c>
      <c r="D2063" t="s">
        <v>208</v>
      </c>
      <c r="E2063" t="s">
        <v>21</v>
      </c>
      <c r="F2063" t="s">
        <v>22</v>
      </c>
      <c r="G2063" t="s">
        <v>33</v>
      </c>
      <c r="H2063" t="s">
        <v>631</v>
      </c>
      <c r="I2063" t="s">
        <v>4203</v>
      </c>
      <c r="J2063">
        <v>10.2211</v>
      </c>
      <c r="K2063">
        <v>-83.450699999999998</v>
      </c>
      <c r="L2063" t="s">
        <v>1225</v>
      </c>
      <c r="M2063" t="s">
        <v>189</v>
      </c>
      <c r="N2063" t="s">
        <v>211</v>
      </c>
      <c r="O2063" t="s">
        <v>212</v>
      </c>
      <c r="P2063">
        <v>9</v>
      </c>
      <c r="Q2063" t="s">
        <v>80</v>
      </c>
      <c r="S2063" t="str">
        <f>_xlfn.XLOOKUP(UNIVERSO[[#This Row],[Ruta]],'[1]CUOTA RUTA'!A:A,'[1]CUOTA RUTA'!D:D)</f>
        <v>Cargar</v>
      </c>
    </row>
    <row r="2064" spans="1:19" x14ac:dyDescent="0.25">
      <c r="A2064">
        <v>1500710663</v>
      </c>
      <c r="B2064" t="s">
        <v>4204</v>
      </c>
      <c r="C2064" t="s">
        <v>19</v>
      </c>
      <c r="D2064" t="s">
        <v>208</v>
      </c>
      <c r="E2064" t="s">
        <v>21</v>
      </c>
      <c r="F2064" t="s">
        <v>22</v>
      </c>
      <c r="G2064" t="s">
        <v>33</v>
      </c>
      <c r="H2064" t="s">
        <v>502</v>
      </c>
      <c r="I2064" t="s">
        <v>4205</v>
      </c>
      <c r="J2064">
        <v>10.458372499999999</v>
      </c>
      <c r="K2064">
        <v>-83.670281900000006</v>
      </c>
      <c r="L2064" t="s">
        <v>1225</v>
      </c>
      <c r="M2064" t="s">
        <v>189</v>
      </c>
      <c r="N2064" t="s">
        <v>211</v>
      </c>
      <c r="O2064" t="s">
        <v>212</v>
      </c>
      <c r="P2064">
        <v>7</v>
      </c>
      <c r="Q2064" t="s">
        <v>39</v>
      </c>
      <c r="S2064" t="str">
        <f>_xlfn.XLOOKUP(UNIVERSO[[#This Row],[Ruta]],'[1]CUOTA RUTA'!A:A,'[1]CUOTA RUTA'!D:D)</f>
        <v>Cargar</v>
      </c>
    </row>
    <row r="2065" spans="1:19" x14ac:dyDescent="0.25">
      <c r="A2065">
        <v>1500711045</v>
      </c>
      <c r="B2065" t="s">
        <v>4206</v>
      </c>
      <c r="C2065" t="s">
        <v>19</v>
      </c>
      <c r="D2065" t="s">
        <v>201</v>
      </c>
      <c r="E2065" t="s">
        <v>21</v>
      </c>
      <c r="F2065" t="s">
        <v>22</v>
      </c>
      <c r="G2065" t="s">
        <v>64</v>
      </c>
      <c r="H2065" t="s">
        <v>491</v>
      </c>
      <c r="I2065" t="s">
        <v>4207</v>
      </c>
      <c r="J2065">
        <v>9.6652515999999995</v>
      </c>
      <c r="K2065">
        <v>-84.6421043</v>
      </c>
      <c r="L2065" t="s">
        <v>1225</v>
      </c>
      <c r="M2065" t="s">
        <v>204</v>
      </c>
      <c r="N2065" t="s">
        <v>205</v>
      </c>
      <c r="O2065" t="s">
        <v>206</v>
      </c>
      <c r="P2065">
        <v>4</v>
      </c>
      <c r="Q2065" t="s">
        <v>120</v>
      </c>
      <c r="S2065" t="str">
        <f>_xlfn.XLOOKUP(UNIVERSO[[#This Row],[Ruta]],'[1]CUOTA RUTA'!A:A,'[1]CUOTA RUTA'!D:D)</f>
        <v>Cargar</v>
      </c>
    </row>
    <row r="2066" spans="1:19" x14ac:dyDescent="0.25">
      <c r="A2066">
        <v>1500711164</v>
      </c>
      <c r="B2066" t="s">
        <v>4208</v>
      </c>
      <c r="C2066" t="s">
        <v>19</v>
      </c>
      <c r="D2066" t="s">
        <v>201</v>
      </c>
      <c r="E2066" t="s">
        <v>21</v>
      </c>
      <c r="F2066" t="s">
        <v>22</v>
      </c>
      <c r="G2066" t="s">
        <v>33</v>
      </c>
      <c r="H2066" t="s">
        <v>528</v>
      </c>
      <c r="I2066" t="s">
        <v>4209</v>
      </c>
      <c r="J2066">
        <v>10.281029999999999</v>
      </c>
      <c r="K2066">
        <v>-84.952839999999995</v>
      </c>
      <c r="L2066" t="s">
        <v>1225</v>
      </c>
      <c r="M2066" t="s">
        <v>327</v>
      </c>
      <c r="N2066" t="s">
        <v>530</v>
      </c>
      <c r="O2066" t="s">
        <v>531</v>
      </c>
      <c r="P2066">
        <v>1</v>
      </c>
      <c r="Q2066" t="s">
        <v>155</v>
      </c>
      <c r="S2066" t="str">
        <f>_xlfn.XLOOKUP(UNIVERSO[[#This Row],[Ruta]],'[1]CUOTA RUTA'!A:A,'[1]CUOTA RUTA'!D:D)</f>
        <v>Cargar</v>
      </c>
    </row>
    <row r="2067" spans="1:19" x14ac:dyDescent="0.25">
      <c r="A2067">
        <v>1500711245</v>
      </c>
      <c r="B2067" t="s">
        <v>4210</v>
      </c>
      <c r="C2067" t="s">
        <v>19</v>
      </c>
      <c r="D2067" t="s">
        <v>208</v>
      </c>
      <c r="E2067" t="s">
        <v>21</v>
      </c>
      <c r="F2067" t="s">
        <v>22</v>
      </c>
      <c r="G2067" t="s">
        <v>33</v>
      </c>
      <c r="H2067" t="s">
        <v>221</v>
      </c>
      <c r="I2067" t="s">
        <v>4211</v>
      </c>
      <c r="J2067">
        <v>10.112819999999999</v>
      </c>
      <c r="K2067">
        <v>-83.509969999999996</v>
      </c>
      <c r="L2067" t="s">
        <v>1225</v>
      </c>
      <c r="M2067" t="s">
        <v>189</v>
      </c>
      <c r="N2067" t="s">
        <v>211</v>
      </c>
      <c r="O2067" t="s">
        <v>212</v>
      </c>
      <c r="P2067">
        <v>8</v>
      </c>
      <c r="Q2067" t="s">
        <v>97</v>
      </c>
      <c r="S2067" t="str">
        <f>_xlfn.XLOOKUP(UNIVERSO[[#This Row],[Ruta]],'[1]CUOTA RUTA'!A:A,'[1]CUOTA RUTA'!D:D)</f>
        <v>Cargar</v>
      </c>
    </row>
    <row r="2068" spans="1:19" x14ac:dyDescent="0.25">
      <c r="A2068">
        <v>1500711274</v>
      </c>
      <c r="B2068" t="s">
        <v>2931</v>
      </c>
      <c r="C2068" t="s">
        <v>19</v>
      </c>
      <c r="D2068" t="s">
        <v>266</v>
      </c>
      <c r="E2068" t="s">
        <v>21</v>
      </c>
      <c r="F2068" t="s">
        <v>22</v>
      </c>
      <c r="G2068" t="s">
        <v>33</v>
      </c>
      <c r="H2068" t="s">
        <v>321</v>
      </c>
      <c r="I2068" t="s">
        <v>4212</v>
      </c>
      <c r="J2068">
        <v>9.7790952999999998</v>
      </c>
      <c r="K2068">
        <v>-84.053155200000006</v>
      </c>
      <c r="L2068" t="s">
        <v>1225</v>
      </c>
      <c r="M2068" t="s">
        <v>54</v>
      </c>
      <c r="N2068" t="s">
        <v>274</v>
      </c>
      <c r="O2068" t="s">
        <v>275</v>
      </c>
      <c r="P2068">
        <v>23</v>
      </c>
      <c r="Q2068" t="s">
        <v>125</v>
      </c>
      <c r="S2068" t="str">
        <f>_xlfn.XLOOKUP(UNIVERSO[[#This Row],[Ruta]],'[1]CUOTA RUTA'!A:A,'[1]CUOTA RUTA'!D:D)</f>
        <v>Cargar</v>
      </c>
    </row>
    <row r="2069" spans="1:19" x14ac:dyDescent="0.25">
      <c r="A2069">
        <v>1500711345</v>
      </c>
      <c r="B2069" t="s">
        <v>4213</v>
      </c>
      <c r="C2069" t="s">
        <v>19</v>
      </c>
      <c r="D2069" t="s">
        <v>20</v>
      </c>
      <c r="E2069" t="s">
        <v>21</v>
      </c>
      <c r="F2069" t="s">
        <v>51</v>
      </c>
      <c r="G2069" t="s">
        <v>23</v>
      </c>
      <c r="H2069" t="s">
        <v>193</v>
      </c>
      <c r="I2069" t="s">
        <v>4214</v>
      </c>
      <c r="J2069">
        <v>9.97912</v>
      </c>
      <c r="K2069">
        <v>-84.241281700000002</v>
      </c>
      <c r="L2069" t="s">
        <v>1225</v>
      </c>
      <c r="M2069" t="s">
        <v>54</v>
      </c>
      <c r="N2069" t="s">
        <v>55</v>
      </c>
      <c r="O2069" t="s">
        <v>56</v>
      </c>
      <c r="P2069">
        <v>8</v>
      </c>
      <c r="Q2069" t="s">
        <v>97</v>
      </c>
      <c r="S2069" t="str">
        <f>_xlfn.XLOOKUP(UNIVERSO[[#This Row],[Ruta]],'[1]CUOTA RUTA'!A:A,'[1]CUOTA RUTA'!D:D)</f>
        <v>Cargar</v>
      </c>
    </row>
    <row r="2070" spans="1:19" x14ac:dyDescent="0.25">
      <c r="A2070">
        <v>1500711366</v>
      </c>
      <c r="B2070" t="s">
        <v>4215</v>
      </c>
      <c r="C2070" t="s">
        <v>19</v>
      </c>
      <c r="D2070" t="s">
        <v>20</v>
      </c>
      <c r="E2070" t="s">
        <v>21</v>
      </c>
      <c r="F2070" t="s">
        <v>22</v>
      </c>
      <c r="G2070" t="s">
        <v>64</v>
      </c>
      <c r="H2070" t="s">
        <v>44</v>
      </c>
      <c r="I2070" t="s">
        <v>4216</v>
      </c>
      <c r="J2070">
        <v>10.066689999999999</v>
      </c>
      <c r="K2070">
        <v>-84.500671699999998</v>
      </c>
      <c r="L2070" t="s">
        <v>1225</v>
      </c>
      <c r="M2070" t="s">
        <v>46</v>
      </c>
      <c r="N2070" t="s">
        <v>47</v>
      </c>
      <c r="O2070" t="s">
        <v>48</v>
      </c>
      <c r="P2070">
        <v>7</v>
      </c>
      <c r="Q2070" t="s">
        <v>39</v>
      </c>
      <c r="S2070" t="str">
        <f>_xlfn.XLOOKUP(UNIVERSO[[#This Row],[Ruta]],'[1]CUOTA RUTA'!A:A,'[1]CUOTA RUTA'!D:D)</f>
        <v>Cargar</v>
      </c>
    </row>
    <row r="2071" spans="1:19" x14ac:dyDescent="0.25">
      <c r="A2071">
        <v>1500711405</v>
      </c>
      <c r="B2071" t="s">
        <v>4217</v>
      </c>
      <c r="C2071" t="s">
        <v>19</v>
      </c>
      <c r="D2071" t="s">
        <v>324</v>
      </c>
      <c r="E2071" t="s">
        <v>21</v>
      </c>
      <c r="F2071" t="s">
        <v>22</v>
      </c>
      <c r="G2071" t="s">
        <v>23</v>
      </c>
      <c r="H2071" t="s">
        <v>511</v>
      </c>
      <c r="I2071" t="s">
        <v>4218</v>
      </c>
      <c r="J2071">
        <v>10.455476768804999</v>
      </c>
      <c r="K2071">
        <v>-84.590558503880004</v>
      </c>
      <c r="L2071" t="s">
        <v>1225</v>
      </c>
      <c r="M2071" t="s">
        <v>327</v>
      </c>
      <c r="N2071" t="s">
        <v>328</v>
      </c>
      <c r="O2071" t="s">
        <v>329</v>
      </c>
      <c r="P2071">
        <v>13</v>
      </c>
      <c r="Q2071" t="s">
        <v>161</v>
      </c>
      <c r="S2071" t="str">
        <f>_xlfn.XLOOKUP(UNIVERSO[[#This Row],[Ruta]],'[1]CUOTA RUTA'!A:A,'[1]CUOTA RUTA'!D:D)</f>
        <v>Cargar</v>
      </c>
    </row>
    <row r="2072" spans="1:19" x14ac:dyDescent="0.25">
      <c r="A2072">
        <v>1500711417</v>
      </c>
      <c r="B2072" t="s">
        <v>4219</v>
      </c>
      <c r="C2072" t="s">
        <v>19</v>
      </c>
      <c r="D2072" t="s">
        <v>20</v>
      </c>
      <c r="E2072" t="s">
        <v>21</v>
      </c>
      <c r="F2072" t="s">
        <v>22</v>
      </c>
      <c r="G2072" t="s">
        <v>33</v>
      </c>
      <c r="H2072" t="s">
        <v>303</v>
      </c>
      <c r="I2072" t="s">
        <v>4220</v>
      </c>
      <c r="J2072">
        <v>9.9861079999999998</v>
      </c>
      <c r="K2072">
        <v>-84.219589999999997</v>
      </c>
      <c r="L2072" t="s">
        <v>1225</v>
      </c>
      <c r="M2072" t="s">
        <v>54</v>
      </c>
      <c r="N2072" t="s">
        <v>55</v>
      </c>
      <c r="O2072" t="s">
        <v>56</v>
      </c>
      <c r="P2072">
        <v>8</v>
      </c>
      <c r="Q2072" t="s">
        <v>97</v>
      </c>
      <c r="S2072" t="str">
        <f>_xlfn.XLOOKUP(UNIVERSO[[#This Row],[Ruta]],'[1]CUOTA RUTA'!A:A,'[1]CUOTA RUTA'!D:D)</f>
        <v>Cargar</v>
      </c>
    </row>
    <row r="2073" spans="1:19" x14ac:dyDescent="0.25">
      <c r="A2073">
        <v>1500711478</v>
      </c>
      <c r="B2073" t="s">
        <v>4221</v>
      </c>
      <c r="C2073" t="s">
        <v>19</v>
      </c>
      <c r="D2073" t="s">
        <v>208</v>
      </c>
      <c r="E2073" t="s">
        <v>21</v>
      </c>
      <c r="F2073" t="s">
        <v>22</v>
      </c>
      <c r="G2073" t="s">
        <v>64</v>
      </c>
      <c r="H2073" t="s">
        <v>221</v>
      </c>
      <c r="I2073" t="s">
        <v>4222</v>
      </c>
      <c r="J2073">
        <v>10.3249</v>
      </c>
      <c r="K2073">
        <v>-83.759039999999999</v>
      </c>
      <c r="L2073" t="s">
        <v>1225</v>
      </c>
      <c r="M2073" t="s">
        <v>189</v>
      </c>
      <c r="N2073" t="s">
        <v>211</v>
      </c>
      <c r="O2073" t="s">
        <v>212</v>
      </c>
      <c r="P2073">
        <v>1</v>
      </c>
      <c r="Q2073" t="s">
        <v>155</v>
      </c>
      <c r="S2073" t="str">
        <f>_xlfn.XLOOKUP(UNIVERSO[[#This Row],[Ruta]],'[1]CUOTA RUTA'!A:A,'[1]CUOTA RUTA'!D:D)</f>
        <v>Cargar</v>
      </c>
    </row>
    <row r="2074" spans="1:19" x14ac:dyDescent="0.25">
      <c r="A2074">
        <v>1500711584</v>
      </c>
      <c r="B2074" t="s">
        <v>4223</v>
      </c>
      <c r="C2074" t="s">
        <v>19</v>
      </c>
      <c r="D2074" t="s">
        <v>266</v>
      </c>
      <c r="E2074" t="s">
        <v>21</v>
      </c>
      <c r="F2074" t="s">
        <v>22</v>
      </c>
      <c r="G2074" t="s">
        <v>33</v>
      </c>
      <c r="H2074" t="s">
        <v>366</v>
      </c>
      <c r="I2074" t="s">
        <v>4224</v>
      </c>
      <c r="J2074">
        <v>9.8576599999999992</v>
      </c>
      <c r="K2074">
        <v>-83.919955000000002</v>
      </c>
      <c r="L2074" t="s">
        <v>1225</v>
      </c>
      <c r="M2074" t="s">
        <v>36</v>
      </c>
      <c r="N2074" t="s">
        <v>316</v>
      </c>
      <c r="O2074" t="s">
        <v>317</v>
      </c>
      <c r="P2074">
        <v>18</v>
      </c>
      <c r="Q2074" t="s">
        <v>84</v>
      </c>
      <c r="S2074" t="str">
        <f>_xlfn.XLOOKUP(UNIVERSO[[#This Row],[Ruta]],'[1]CUOTA RUTA'!A:A,'[1]CUOTA RUTA'!D:D)</f>
        <v>Cargar</v>
      </c>
    </row>
    <row r="2075" spans="1:19" x14ac:dyDescent="0.25">
      <c r="A2075">
        <v>1500711648</v>
      </c>
      <c r="B2075" t="s">
        <v>4225</v>
      </c>
      <c r="C2075" t="s">
        <v>19</v>
      </c>
      <c r="D2075" t="s">
        <v>324</v>
      </c>
      <c r="E2075" t="s">
        <v>21</v>
      </c>
      <c r="F2075" t="s">
        <v>22</v>
      </c>
      <c r="G2075" t="s">
        <v>33</v>
      </c>
      <c r="H2075" t="s">
        <v>557</v>
      </c>
      <c r="I2075" t="s">
        <v>4226</v>
      </c>
      <c r="J2075">
        <v>10.426777700000001</v>
      </c>
      <c r="K2075">
        <v>-84.750670200000002</v>
      </c>
      <c r="L2075" t="s">
        <v>1225</v>
      </c>
      <c r="M2075" t="s">
        <v>327</v>
      </c>
      <c r="N2075" t="s">
        <v>328</v>
      </c>
      <c r="O2075" t="s">
        <v>329</v>
      </c>
      <c r="P2075">
        <v>22</v>
      </c>
      <c r="Q2075" t="s">
        <v>30</v>
      </c>
      <c r="S2075" t="str">
        <f>_xlfn.XLOOKUP(UNIVERSO[[#This Row],[Ruta]],'[1]CUOTA RUTA'!A:A,'[1]CUOTA RUTA'!D:D)</f>
        <v>Cargar</v>
      </c>
    </row>
    <row r="2076" spans="1:19" x14ac:dyDescent="0.25">
      <c r="A2076">
        <v>1500711657</v>
      </c>
      <c r="B2076" t="s">
        <v>4227</v>
      </c>
      <c r="C2076" t="s">
        <v>19</v>
      </c>
      <c r="D2076" t="s">
        <v>20</v>
      </c>
      <c r="E2076" t="s">
        <v>21</v>
      </c>
      <c r="F2076" t="s">
        <v>22</v>
      </c>
      <c r="G2076" t="s">
        <v>64</v>
      </c>
      <c r="H2076" t="s">
        <v>1128</v>
      </c>
      <c r="I2076" t="s">
        <v>4228</v>
      </c>
      <c r="J2076">
        <v>10.094702</v>
      </c>
      <c r="K2076">
        <v>-84.304528000000005</v>
      </c>
      <c r="L2076" t="s">
        <v>1225</v>
      </c>
      <c r="M2076" t="s">
        <v>46</v>
      </c>
      <c r="N2076" t="s">
        <v>47</v>
      </c>
      <c r="O2076" t="s">
        <v>48</v>
      </c>
      <c r="P2076">
        <v>4</v>
      </c>
      <c r="Q2076" t="s">
        <v>120</v>
      </c>
      <c r="S2076" t="str">
        <f>_xlfn.XLOOKUP(UNIVERSO[[#This Row],[Ruta]],'[1]CUOTA RUTA'!A:A,'[1]CUOTA RUTA'!D:D)</f>
        <v>Cargar</v>
      </c>
    </row>
    <row r="2077" spans="1:19" x14ac:dyDescent="0.25">
      <c r="A2077">
        <v>1500711663</v>
      </c>
      <c r="B2077" t="s">
        <v>4229</v>
      </c>
      <c r="C2077" t="s">
        <v>19</v>
      </c>
      <c r="D2077" t="s">
        <v>20</v>
      </c>
      <c r="E2077" t="s">
        <v>62</v>
      </c>
      <c r="F2077" t="s">
        <v>63</v>
      </c>
      <c r="G2077" t="s">
        <v>64</v>
      </c>
      <c r="H2077" t="s">
        <v>280</v>
      </c>
      <c r="I2077" t="s">
        <v>4230</v>
      </c>
      <c r="J2077">
        <v>10.01802</v>
      </c>
      <c r="K2077">
        <v>-84.219250000000002</v>
      </c>
      <c r="L2077" t="s">
        <v>1225</v>
      </c>
      <c r="M2077" t="s">
        <v>54</v>
      </c>
      <c r="N2077" t="s">
        <v>55</v>
      </c>
      <c r="O2077" t="s">
        <v>56</v>
      </c>
      <c r="P2077">
        <v>1</v>
      </c>
      <c r="Q2077" t="s">
        <v>155</v>
      </c>
      <c r="S2077" t="str">
        <f>_xlfn.XLOOKUP(UNIVERSO[[#This Row],[Ruta]],'[1]CUOTA RUTA'!A:A,'[1]CUOTA RUTA'!D:D)</f>
        <v>Cargar</v>
      </c>
    </row>
    <row r="2078" spans="1:19" x14ac:dyDescent="0.25">
      <c r="A2078">
        <v>1500711844</v>
      </c>
      <c r="B2078" t="s">
        <v>4231</v>
      </c>
      <c r="C2078" t="s">
        <v>19</v>
      </c>
      <c r="D2078" t="s">
        <v>20</v>
      </c>
      <c r="E2078" t="s">
        <v>21</v>
      </c>
      <c r="F2078" t="s">
        <v>22</v>
      </c>
      <c r="G2078" t="s">
        <v>64</v>
      </c>
      <c r="H2078" t="s">
        <v>1021</v>
      </c>
      <c r="I2078" t="s">
        <v>4232</v>
      </c>
      <c r="J2078">
        <v>10.064080000000001</v>
      </c>
      <c r="K2078">
        <v>-84.227130000000002</v>
      </c>
      <c r="L2078" t="s">
        <v>1225</v>
      </c>
      <c r="M2078" t="s">
        <v>46</v>
      </c>
      <c r="N2078" t="s">
        <v>47</v>
      </c>
      <c r="O2078" t="s">
        <v>48</v>
      </c>
      <c r="P2078">
        <v>12</v>
      </c>
      <c r="Q2078" t="s">
        <v>42</v>
      </c>
      <c r="S2078" t="str">
        <f>_xlfn.XLOOKUP(UNIVERSO[[#This Row],[Ruta]],'[1]CUOTA RUTA'!A:A,'[1]CUOTA RUTA'!D:D)</f>
        <v>Cargar</v>
      </c>
    </row>
    <row r="2079" spans="1:19" x14ac:dyDescent="0.25">
      <c r="A2079">
        <v>1500711946</v>
      </c>
      <c r="B2079" t="s">
        <v>4233</v>
      </c>
      <c r="C2079" t="s">
        <v>19</v>
      </c>
      <c r="D2079" t="s">
        <v>266</v>
      </c>
      <c r="E2079" t="s">
        <v>21</v>
      </c>
      <c r="F2079" t="s">
        <v>22</v>
      </c>
      <c r="G2079" t="s">
        <v>23</v>
      </c>
      <c r="H2079" t="s">
        <v>703</v>
      </c>
      <c r="I2079" t="s">
        <v>4234</v>
      </c>
      <c r="J2079">
        <v>9.8419399999999992</v>
      </c>
      <c r="K2079">
        <v>-83.990156666659999</v>
      </c>
      <c r="L2079" t="s">
        <v>1225</v>
      </c>
      <c r="M2079" t="s">
        <v>36</v>
      </c>
      <c r="N2079" t="s">
        <v>316</v>
      </c>
      <c r="O2079" t="s">
        <v>317</v>
      </c>
      <c r="P2079">
        <v>20</v>
      </c>
      <c r="Q2079" t="s">
        <v>74</v>
      </c>
      <c r="S2079" t="str">
        <f>_xlfn.XLOOKUP(UNIVERSO[[#This Row],[Ruta]],'[1]CUOTA RUTA'!A:A,'[1]CUOTA RUTA'!D:D)</f>
        <v>Cargar</v>
      </c>
    </row>
    <row r="2080" spans="1:19" x14ac:dyDescent="0.25">
      <c r="A2080">
        <v>1500711966</v>
      </c>
      <c r="B2080" t="s">
        <v>4235</v>
      </c>
      <c r="C2080" t="s">
        <v>19</v>
      </c>
      <c r="D2080" t="s">
        <v>20</v>
      </c>
      <c r="E2080" t="s">
        <v>21</v>
      </c>
      <c r="F2080" t="s">
        <v>22</v>
      </c>
      <c r="G2080" t="s">
        <v>23</v>
      </c>
      <c r="H2080" t="s">
        <v>255</v>
      </c>
      <c r="I2080" t="s">
        <v>4236</v>
      </c>
      <c r="J2080">
        <v>10.016428299999999</v>
      </c>
      <c r="K2080">
        <v>-84.341021699999999</v>
      </c>
      <c r="L2080" t="s">
        <v>1225</v>
      </c>
      <c r="M2080" t="s">
        <v>46</v>
      </c>
      <c r="N2080" t="s">
        <v>47</v>
      </c>
      <c r="O2080" t="s">
        <v>48</v>
      </c>
      <c r="P2080">
        <v>11</v>
      </c>
      <c r="Q2080" t="s">
        <v>108</v>
      </c>
      <c r="S2080" t="str">
        <f>_xlfn.XLOOKUP(UNIVERSO[[#This Row],[Ruta]],'[1]CUOTA RUTA'!A:A,'[1]CUOTA RUTA'!D:D)</f>
        <v>Cargar</v>
      </c>
    </row>
    <row r="2081" spans="1:19" x14ac:dyDescent="0.25">
      <c r="A2081">
        <v>1500712079</v>
      </c>
      <c r="B2081" t="s">
        <v>4237</v>
      </c>
      <c r="C2081" t="s">
        <v>19</v>
      </c>
      <c r="D2081" t="s">
        <v>201</v>
      </c>
      <c r="E2081" t="s">
        <v>21</v>
      </c>
      <c r="F2081" t="s">
        <v>22</v>
      </c>
      <c r="G2081" t="s">
        <v>33</v>
      </c>
      <c r="H2081" t="s">
        <v>491</v>
      </c>
      <c r="I2081" t="s">
        <v>4238</v>
      </c>
      <c r="J2081">
        <v>9.7192021999999998</v>
      </c>
      <c r="K2081">
        <v>-84.623294599999994</v>
      </c>
      <c r="L2081" t="s">
        <v>1225</v>
      </c>
      <c r="M2081" t="s">
        <v>204</v>
      </c>
      <c r="N2081" t="s">
        <v>205</v>
      </c>
      <c r="O2081" t="s">
        <v>206</v>
      </c>
      <c r="P2081">
        <v>4</v>
      </c>
      <c r="Q2081" t="s">
        <v>120</v>
      </c>
      <c r="S2081" t="str">
        <f>_xlfn.XLOOKUP(UNIVERSO[[#This Row],[Ruta]],'[1]CUOTA RUTA'!A:A,'[1]CUOTA RUTA'!D:D)</f>
        <v>Cargar</v>
      </c>
    </row>
    <row r="2082" spans="1:19" x14ac:dyDescent="0.25">
      <c r="A2082">
        <v>1500712210</v>
      </c>
      <c r="B2082" t="s">
        <v>4239</v>
      </c>
      <c r="C2082" t="s">
        <v>19</v>
      </c>
      <c r="D2082" t="s">
        <v>337</v>
      </c>
      <c r="E2082" t="s">
        <v>21</v>
      </c>
      <c r="F2082" t="s">
        <v>22</v>
      </c>
      <c r="G2082" t="s">
        <v>33</v>
      </c>
      <c r="H2082" t="s">
        <v>343</v>
      </c>
      <c r="I2082" t="s">
        <v>4240</v>
      </c>
      <c r="J2082">
        <v>10.412715</v>
      </c>
      <c r="K2082">
        <v>-85.719474000000005</v>
      </c>
      <c r="L2082" t="s">
        <v>1225</v>
      </c>
      <c r="M2082" t="s">
        <v>327</v>
      </c>
      <c r="N2082" t="s">
        <v>340</v>
      </c>
      <c r="O2082" t="s">
        <v>341</v>
      </c>
      <c r="P2082">
        <v>19</v>
      </c>
      <c r="Q2082" t="s">
        <v>67</v>
      </c>
      <c r="S2082" t="str">
        <f>_xlfn.XLOOKUP(UNIVERSO[[#This Row],[Ruta]],'[1]CUOTA RUTA'!A:A,'[1]CUOTA RUTA'!D:D)</f>
        <v>Cargar</v>
      </c>
    </row>
    <row r="2083" spans="1:19" x14ac:dyDescent="0.25">
      <c r="A2083">
        <v>1500712326</v>
      </c>
      <c r="B2083" t="s">
        <v>4241</v>
      </c>
      <c r="C2083" t="s">
        <v>19</v>
      </c>
      <c r="D2083" t="s">
        <v>32</v>
      </c>
      <c r="E2083" t="s">
        <v>21</v>
      </c>
      <c r="F2083" t="s">
        <v>22</v>
      </c>
      <c r="G2083" t="s">
        <v>33</v>
      </c>
      <c r="H2083" t="s">
        <v>92</v>
      </c>
      <c r="I2083" t="s">
        <v>4242</v>
      </c>
      <c r="J2083">
        <v>9.9767189999999992</v>
      </c>
      <c r="K2083">
        <v>-84.008942000000005</v>
      </c>
      <c r="L2083" t="s">
        <v>1225</v>
      </c>
      <c r="M2083" t="s">
        <v>94</v>
      </c>
      <c r="N2083" t="s">
        <v>95</v>
      </c>
      <c r="O2083" t="s">
        <v>96</v>
      </c>
      <c r="P2083">
        <v>1</v>
      </c>
      <c r="Q2083" t="s">
        <v>155</v>
      </c>
      <c r="S2083" t="str">
        <f>_xlfn.XLOOKUP(UNIVERSO[[#This Row],[Ruta]],'[1]CUOTA RUTA'!A:A,'[1]CUOTA RUTA'!D:D)</f>
        <v>Cargar</v>
      </c>
    </row>
    <row r="2084" spans="1:19" x14ac:dyDescent="0.25">
      <c r="A2084">
        <v>1500712353</v>
      </c>
      <c r="B2084" t="s">
        <v>4243</v>
      </c>
      <c r="C2084" t="s">
        <v>19</v>
      </c>
      <c r="D2084" t="s">
        <v>266</v>
      </c>
      <c r="E2084" t="s">
        <v>21</v>
      </c>
      <c r="F2084" t="s">
        <v>22</v>
      </c>
      <c r="G2084" t="s">
        <v>23</v>
      </c>
      <c r="H2084" t="s">
        <v>404</v>
      </c>
      <c r="I2084" t="s">
        <v>4244</v>
      </c>
      <c r="J2084">
        <v>9.8673133333329996</v>
      </c>
      <c r="K2084">
        <v>-83.900615000000002</v>
      </c>
      <c r="L2084" t="s">
        <v>1225</v>
      </c>
      <c r="M2084" t="s">
        <v>36</v>
      </c>
      <c r="N2084" t="s">
        <v>316</v>
      </c>
      <c r="O2084" t="s">
        <v>317</v>
      </c>
      <c r="P2084">
        <v>16</v>
      </c>
      <c r="Q2084" t="s">
        <v>60</v>
      </c>
      <c r="S2084" t="str">
        <f>_xlfn.XLOOKUP(UNIVERSO[[#This Row],[Ruta]],'[1]CUOTA RUTA'!A:A,'[1]CUOTA RUTA'!D:D)</f>
        <v>Cargar</v>
      </c>
    </row>
    <row r="2085" spans="1:19" x14ac:dyDescent="0.25">
      <c r="A2085">
        <v>1500712438</v>
      </c>
      <c r="B2085" t="s">
        <v>4245</v>
      </c>
      <c r="C2085" t="s">
        <v>19</v>
      </c>
      <c r="D2085" t="s">
        <v>349</v>
      </c>
      <c r="E2085" t="s">
        <v>21</v>
      </c>
      <c r="F2085" t="s">
        <v>22</v>
      </c>
      <c r="G2085" t="s">
        <v>33</v>
      </c>
      <c r="H2085" t="s">
        <v>496</v>
      </c>
      <c r="I2085" t="s">
        <v>4246</v>
      </c>
      <c r="J2085">
        <v>9.9543049999999997</v>
      </c>
      <c r="K2085">
        <v>-85.032988000000003</v>
      </c>
      <c r="L2085" t="s">
        <v>1225</v>
      </c>
      <c r="M2085" t="s">
        <v>352</v>
      </c>
      <c r="N2085" t="s">
        <v>353</v>
      </c>
      <c r="O2085" t="s">
        <v>354</v>
      </c>
      <c r="P2085">
        <v>15</v>
      </c>
      <c r="Q2085" t="s">
        <v>231</v>
      </c>
      <c r="S2085" t="str">
        <f>_xlfn.XLOOKUP(UNIVERSO[[#This Row],[Ruta]],'[1]CUOTA RUTA'!A:A,'[1]CUOTA RUTA'!D:D)</f>
        <v>Cargar</v>
      </c>
    </row>
    <row r="2086" spans="1:19" x14ac:dyDescent="0.25">
      <c r="A2086">
        <v>1500712467</v>
      </c>
      <c r="B2086" t="s">
        <v>4247</v>
      </c>
      <c r="C2086" t="s">
        <v>19</v>
      </c>
      <c r="D2086" t="s">
        <v>32</v>
      </c>
      <c r="E2086" t="s">
        <v>21</v>
      </c>
      <c r="F2086" t="s">
        <v>22</v>
      </c>
      <c r="G2086" t="s">
        <v>64</v>
      </c>
      <c r="H2086" t="s">
        <v>69</v>
      </c>
      <c r="I2086" t="s">
        <v>4248</v>
      </c>
      <c r="J2086">
        <v>9.8491983333329998</v>
      </c>
      <c r="K2086">
        <v>-84.068963333330004</v>
      </c>
      <c r="L2086" t="s">
        <v>1225</v>
      </c>
      <c r="M2086" t="s">
        <v>71</v>
      </c>
      <c r="N2086" t="s">
        <v>72</v>
      </c>
      <c r="O2086" t="s">
        <v>73</v>
      </c>
      <c r="P2086">
        <v>22</v>
      </c>
      <c r="Q2086" t="s">
        <v>30</v>
      </c>
      <c r="S2086" t="str">
        <f>_xlfn.XLOOKUP(UNIVERSO[[#This Row],[Ruta]],'[1]CUOTA RUTA'!A:A,'[1]CUOTA RUTA'!D:D)</f>
        <v>Cargar</v>
      </c>
    </row>
    <row r="2087" spans="1:19" x14ac:dyDescent="0.25">
      <c r="A2087">
        <v>1500712652</v>
      </c>
      <c r="B2087" t="s">
        <v>4249</v>
      </c>
      <c r="C2087" t="s">
        <v>19</v>
      </c>
      <c r="D2087" t="s">
        <v>324</v>
      </c>
      <c r="E2087" t="s">
        <v>21</v>
      </c>
      <c r="F2087" t="s">
        <v>22</v>
      </c>
      <c r="G2087" t="s">
        <v>64</v>
      </c>
      <c r="H2087" t="s">
        <v>390</v>
      </c>
      <c r="I2087" t="s">
        <v>4250</v>
      </c>
      <c r="J2087">
        <v>10.284092761329999</v>
      </c>
      <c r="K2087">
        <v>-84.430201265969998</v>
      </c>
      <c r="L2087" t="s">
        <v>1225</v>
      </c>
      <c r="M2087" t="s">
        <v>327</v>
      </c>
      <c r="N2087" t="s">
        <v>328</v>
      </c>
      <c r="O2087" t="s">
        <v>329</v>
      </c>
      <c r="P2087">
        <v>23</v>
      </c>
      <c r="Q2087" t="s">
        <v>125</v>
      </c>
      <c r="S2087" t="str">
        <f>_xlfn.XLOOKUP(UNIVERSO[[#This Row],[Ruta]],'[1]CUOTA RUTA'!A:A,'[1]CUOTA RUTA'!D:D)</f>
        <v>Cargar</v>
      </c>
    </row>
    <row r="2088" spans="1:19" x14ac:dyDescent="0.25">
      <c r="A2088">
        <v>1500712724</v>
      </c>
      <c r="B2088" t="s">
        <v>4251</v>
      </c>
      <c r="C2088" t="s">
        <v>19</v>
      </c>
      <c r="D2088" t="s">
        <v>20</v>
      </c>
      <c r="E2088" t="s">
        <v>21</v>
      </c>
      <c r="F2088" t="s">
        <v>22</v>
      </c>
      <c r="G2088" t="s">
        <v>23</v>
      </c>
      <c r="H2088" t="s">
        <v>58</v>
      </c>
      <c r="I2088" t="s">
        <v>4252</v>
      </c>
      <c r="J2088">
        <v>10.016069999999999</v>
      </c>
      <c r="K2088">
        <v>-84.20872</v>
      </c>
      <c r="L2088" t="s">
        <v>1225</v>
      </c>
      <c r="M2088" t="s">
        <v>54</v>
      </c>
      <c r="N2088" t="s">
        <v>55</v>
      </c>
      <c r="O2088" t="s">
        <v>56</v>
      </c>
      <c r="P2088">
        <v>1</v>
      </c>
      <c r="Q2088" t="s">
        <v>155</v>
      </c>
      <c r="S2088" t="str">
        <f>_xlfn.XLOOKUP(UNIVERSO[[#This Row],[Ruta]],'[1]CUOTA RUTA'!A:A,'[1]CUOTA RUTA'!D:D)</f>
        <v>Cargar</v>
      </c>
    </row>
    <row r="2089" spans="1:19" x14ac:dyDescent="0.25">
      <c r="A2089">
        <v>1500712829</v>
      </c>
      <c r="B2089" t="s">
        <v>4253</v>
      </c>
      <c r="C2089" t="s">
        <v>19</v>
      </c>
      <c r="D2089" t="s">
        <v>32</v>
      </c>
      <c r="E2089" t="s">
        <v>21</v>
      </c>
      <c r="F2089" t="s">
        <v>22</v>
      </c>
      <c r="G2089" t="s">
        <v>33</v>
      </c>
      <c r="H2089" t="s">
        <v>34</v>
      </c>
      <c r="I2089" t="s">
        <v>4254</v>
      </c>
      <c r="J2089">
        <v>9.8996169999999992</v>
      </c>
      <c r="K2089">
        <v>-84.042491999999996</v>
      </c>
      <c r="L2089" t="s">
        <v>1225</v>
      </c>
      <c r="M2089" t="s">
        <v>36</v>
      </c>
      <c r="N2089" t="s">
        <v>37</v>
      </c>
      <c r="O2089" t="s">
        <v>38</v>
      </c>
      <c r="P2089">
        <v>14</v>
      </c>
      <c r="Q2089" t="s">
        <v>181</v>
      </c>
      <c r="S2089" t="str">
        <f>_xlfn.XLOOKUP(UNIVERSO[[#This Row],[Ruta]],'[1]CUOTA RUTA'!A:A,'[1]CUOTA RUTA'!D:D)</f>
        <v>Cargar</v>
      </c>
    </row>
    <row r="2090" spans="1:19" x14ac:dyDescent="0.25">
      <c r="A2090">
        <v>1500712982</v>
      </c>
      <c r="B2090" t="s">
        <v>4255</v>
      </c>
      <c r="C2090" t="s">
        <v>19</v>
      </c>
      <c r="D2090" t="s">
        <v>20</v>
      </c>
      <c r="E2090" t="s">
        <v>21</v>
      </c>
      <c r="F2090" t="s">
        <v>22</v>
      </c>
      <c r="G2090" t="s">
        <v>33</v>
      </c>
      <c r="H2090" t="s">
        <v>198</v>
      </c>
      <c r="I2090" t="s">
        <v>4256</v>
      </c>
      <c r="J2090">
        <v>9.9309999999999992</v>
      </c>
      <c r="K2090">
        <v>-84.178830000000005</v>
      </c>
      <c r="L2090" t="s">
        <v>1225</v>
      </c>
      <c r="M2090" t="s">
        <v>54</v>
      </c>
      <c r="N2090" t="s">
        <v>55</v>
      </c>
      <c r="O2090" t="s">
        <v>56</v>
      </c>
      <c r="P2090">
        <v>11</v>
      </c>
      <c r="Q2090" t="s">
        <v>108</v>
      </c>
      <c r="S2090" t="str">
        <f>_xlfn.XLOOKUP(UNIVERSO[[#This Row],[Ruta]],'[1]CUOTA RUTA'!A:A,'[1]CUOTA RUTA'!D:D)</f>
        <v>Cargar</v>
      </c>
    </row>
    <row r="2091" spans="1:19" x14ac:dyDescent="0.25">
      <c r="A2091">
        <v>1500712990</v>
      </c>
      <c r="B2091" t="s">
        <v>4257</v>
      </c>
      <c r="C2091" t="s">
        <v>19</v>
      </c>
      <c r="D2091" t="s">
        <v>20</v>
      </c>
      <c r="E2091" t="s">
        <v>21</v>
      </c>
      <c r="F2091" t="s">
        <v>22</v>
      </c>
      <c r="G2091" t="s">
        <v>64</v>
      </c>
      <c r="H2091" t="s">
        <v>674</v>
      </c>
      <c r="I2091" t="s">
        <v>4258</v>
      </c>
      <c r="J2091">
        <v>10.210229999999999</v>
      </c>
      <c r="K2091">
        <v>-84.401070000000004</v>
      </c>
      <c r="L2091" t="s">
        <v>1225</v>
      </c>
      <c r="M2091" t="s">
        <v>46</v>
      </c>
      <c r="N2091" t="s">
        <v>47</v>
      </c>
      <c r="O2091" t="s">
        <v>48</v>
      </c>
      <c r="P2091">
        <v>1</v>
      </c>
      <c r="Q2091" t="s">
        <v>155</v>
      </c>
      <c r="S2091" t="str">
        <f>_xlfn.XLOOKUP(UNIVERSO[[#This Row],[Ruta]],'[1]CUOTA RUTA'!A:A,'[1]CUOTA RUTA'!D:D)</f>
        <v>Cargar</v>
      </c>
    </row>
    <row r="2092" spans="1:19" x14ac:dyDescent="0.25">
      <c r="A2092">
        <v>1500713000</v>
      </c>
      <c r="B2092" t="s">
        <v>4259</v>
      </c>
      <c r="C2092" t="s">
        <v>19</v>
      </c>
      <c r="D2092" t="s">
        <v>266</v>
      </c>
      <c r="E2092" t="s">
        <v>21</v>
      </c>
      <c r="F2092" t="s">
        <v>22</v>
      </c>
      <c r="G2092" t="s">
        <v>64</v>
      </c>
      <c r="H2092" t="s">
        <v>372</v>
      </c>
      <c r="I2092" t="s">
        <v>4260</v>
      </c>
      <c r="J2092">
        <v>9.8983749099999994</v>
      </c>
      <c r="K2092">
        <v>-83.674900480000005</v>
      </c>
      <c r="L2092" t="s">
        <v>1225</v>
      </c>
      <c r="M2092" t="s">
        <v>189</v>
      </c>
      <c r="N2092" t="s">
        <v>269</v>
      </c>
      <c r="O2092" t="s">
        <v>270</v>
      </c>
      <c r="P2092">
        <v>20</v>
      </c>
      <c r="Q2092" t="s">
        <v>74</v>
      </c>
      <c r="S2092" t="str">
        <f>_xlfn.XLOOKUP(UNIVERSO[[#This Row],[Ruta]],'[1]CUOTA RUTA'!A:A,'[1]CUOTA RUTA'!D:D)</f>
        <v>Cargar</v>
      </c>
    </row>
    <row r="2093" spans="1:19" x14ac:dyDescent="0.25">
      <c r="A2093">
        <v>1500713179</v>
      </c>
      <c r="B2093" t="s">
        <v>4261</v>
      </c>
      <c r="C2093" t="s">
        <v>19</v>
      </c>
      <c r="D2093" t="s">
        <v>20</v>
      </c>
      <c r="E2093" t="s">
        <v>21</v>
      </c>
      <c r="F2093" t="s">
        <v>22</v>
      </c>
      <c r="G2093" t="s">
        <v>33</v>
      </c>
      <c r="H2093" t="s">
        <v>1021</v>
      </c>
      <c r="I2093" t="s">
        <v>4262</v>
      </c>
      <c r="J2093">
        <v>10.08792</v>
      </c>
      <c r="K2093">
        <v>-84.221080000000001</v>
      </c>
      <c r="L2093" t="s">
        <v>1225</v>
      </c>
      <c r="M2093" t="s">
        <v>46</v>
      </c>
      <c r="N2093" t="s">
        <v>47</v>
      </c>
      <c r="O2093" t="s">
        <v>48</v>
      </c>
      <c r="P2093">
        <v>12</v>
      </c>
      <c r="Q2093" t="s">
        <v>42</v>
      </c>
      <c r="S2093" t="str">
        <f>_xlfn.XLOOKUP(UNIVERSO[[#This Row],[Ruta]],'[1]CUOTA RUTA'!A:A,'[1]CUOTA RUTA'!D:D)</f>
        <v>Cargar</v>
      </c>
    </row>
    <row r="2094" spans="1:19" x14ac:dyDescent="0.25">
      <c r="A2094">
        <v>1500713196</v>
      </c>
      <c r="B2094" t="s">
        <v>4263</v>
      </c>
      <c r="C2094" t="s">
        <v>19</v>
      </c>
      <c r="D2094" t="s">
        <v>244</v>
      </c>
      <c r="E2094" t="s">
        <v>21</v>
      </c>
      <c r="F2094" t="s">
        <v>22</v>
      </c>
      <c r="G2094" t="s">
        <v>33</v>
      </c>
      <c r="H2094" t="s">
        <v>245</v>
      </c>
      <c r="I2094" t="s">
        <v>4264</v>
      </c>
      <c r="J2094">
        <v>9.1561416666670006</v>
      </c>
      <c r="K2094">
        <v>-83.747874999999993</v>
      </c>
      <c r="L2094" t="s">
        <v>1225</v>
      </c>
      <c r="M2094" t="s">
        <v>46</v>
      </c>
      <c r="N2094" t="s">
        <v>247</v>
      </c>
      <c r="O2094" t="s">
        <v>248</v>
      </c>
      <c r="P2094">
        <v>19</v>
      </c>
      <c r="Q2094" t="s">
        <v>67</v>
      </c>
      <c r="S2094" t="str">
        <f>_xlfn.XLOOKUP(UNIVERSO[[#This Row],[Ruta]],'[1]CUOTA RUTA'!A:A,'[1]CUOTA RUTA'!D:D)</f>
        <v>Cargar</v>
      </c>
    </row>
    <row r="2095" spans="1:19" x14ac:dyDescent="0.25">
      <c r="A2095">
        <v>1500713201</v>
      </c>
      <c r="B2095" t="s">
        <v>2239</v>
      </c>
      <c r="C2095" t="s">
        <v>19</v>
      </c>
      <c r="D2095" t="s">
        <v>266</v>
      </c>
      <c r="E2095" t="s">
        <v>21</v>
      </c>
      <c r="F2095" t="s">
        <v>22</v>
      </c>
      <c r="G2095" t="s">
        <v>64</v>
      </c>
      <c r="H2095" t="s">
        <v>267</v>
      </c>
      <c r="I2095" t="s">
        <v>4265</v>
      </c>
      <c r="J2095">
        <v>9.8516708000000008</v>
      </c>
      <c r="K2095">
        <v>-83.6103351</v>
      </c>
      <c r="L2095" t="s">
        <v>1225</v>
      </c>
      <c r="M2095" t="s">
        <v>189</v>
      </c>
      <c r="N2095" t="s">
        <v>269</v>
      </c>
      <c r="O2095" t="s">
        <v>270</v>
      </c>
      <c r="P2095">
        <v>20</v>
      </c>
      <c r="Q2095" t="s">
        <v>74</v>
      </c>
      <c r="S2095" t="str">
        <f>_xlfn.XLOOKUP(UNIVERSO[[#This Row],[Ruta]],'[1]CUOTA RUTA'!A:A,'[1]CUOTA RUTA'!D:D)</f>
        <v>Cargar</v>
      </c>
    </row>
    <row r="2096" spans="1:19" x14ac:dyDescent="0.25">
      <c r="A2096">
        <v>1500713208</v>
      </c>
      <c r="B2096" t="s">
        <v>4266</v>
      </c>
      <c r="C2096" t="s">
        <v>19</v>
      </c>
      <c r="D2096" t="s">
        <v>266</v>
      </c>
      <c r="E2096" t="s">
        <v>21</v>
      </c>
      <c r="F2096" t="s">
        <v>22</v>
      </c>
      <c r="G2096" t="s">
        <v>33</v>
      </c>
      <c r="H2096" t="s">
        <v>372</v>
      </c>
      <c r="I2096" t="s">
        <v>4267</v>
      </c>
      <c r="J2096">
        <v>9.96653871</v>
      </c>
      <c r="K2096">
        <v>-83.731376960000006</v>
      </c>
      <c r="L2096" t="s">
        <v>1225</v>
      </c>
      <c r="M2096" t="s">
        <v>189</v>
      </c>
      <c r="N2096" t="s">
        <v>269</v>
      </c>
      <c r="O2096" t="s">
        <v>270</v>
      </c>
      <c r="P2096">
        <v>23</v>
      </c>
      <c r="Q2096" t="s">
        <v>125</v>
      </c>
      <c r="S2096" t="str">
        <f>_xlfn.XLOOKUP(UNIVERSO[[#This Row],[Ruta]],'[1]CUOTA RUTA'!A:A,'[1]CUOTA RUTA'!D:D)</f>
        <v>Cargar</v>
      </c>
    </row>
    <row r="2097" spans="1:19" x14ac:dyDescent="0.25">
      <c r="A2097">
        <v>1500713275</v>
      </c>
      <c r="B2097" t="s">
        <v>4268</v>
      </c>
      <c r="C2097" t="s">
        <v>19</v>
      </c>
      <c r="D2097" t="s">
        <v>20</v>
      </c>
      <c r="E2097" t="s">
        <v>21</v>
      </c>
      <c r="F2097" t="s">
        <v>22</v>
      </c>
      <c r="G2097" t="s">
        <v>64</v>
      </c>
      <c r="H2097" t="s">
        <v>250</v>
      </c>
      <c r="I2097" t="s">
        <v>4269</v>
      </c>
      <c r="J2097">
        <v>10.0213956</v>
      </c>
      <c r="K2097">
        <v>-84.245824900000002</v>
      </c>
      <c r="L2097" t="s">
        <v>1225</v>
      </c>
      <c r="M2097" t="s">
        <v>46</v>
      </c>
      <c r="N2097" t="s">
        <v>47</v>
      </c>
      <c r="O2097" t="s">
        <v>48</v>
      </c>
      <c r="P2097">
        <v>3</v>
      </c>
      <c r="Q2097" t="s">
        <v>101</v>
      </c>
      <c r="S2097" t="str">
        <f>_xlfn.XLOOKUP(UNIVERSO[[#This Row],[Ruta]],'[1]CUOTA RUTA'!A:A,'[1]CUOTA RUTA'!D:D)</f>
        <v>Cargar</v>
      </c>
    </row>
    <row r="2098" spans="1:19" x14ac:dyDescent="0.25">
      <c r="A2098">
        <v>1500713512</v>
      </c>
      <c r="B2098" t="s">
        <v>4270</v>
      </c>
      <c r="C2098" t="s">
        <v>19</v>
      </c>
      <c r="D2098" t="s">
        <v>324</v>
      </c>
      <c r="E2098" t="s">
        <v>21</v>
      </c>
      <c r="F2098" t="s">
        <v>22</v>
      </c>
      <c r="G2098" t="s">
        <v>23</v>
      </c>
      <c r="H2098" t="s">
        <v>393</v>
      </c>
      <c r="I2098" t="s">
        <v>4271</v>
      </c>
      <c r="J2098">
        <v>10.416218199999999</v>
      </c>
      <c r="K2098">
        <v>-84.470725299999998</v>
      </c>
      <c r="L2098" t="s">
        <v>1225</v>
      </c>
      <c r="M2098" t="s">
        <v>327</v>
      </c>
      <c r="N2098" t="s">
        <v>328</v>
      </c>
      <c r="O2098" t="s">
        <v>329</v>
      </c>
      <c r="P2098">
        <v>19</v>
      </c>
      <c r="Q2098" t="s">
        <v>67</v>
      </c>
      <c r="S2098" t="str">
        <f>_xlfn.XLOOKUP(UNIVERSO[[#This Row],[Ruta]],'[1]CUOTA RUTA'!A:A,'[1]CUOTA RUTA'!D:D)</f>
        <v>Cargar</v>
      </c>
    </row>
    <row r="2099" spans="1:19" x14ac:dyDescent="0.25">
      <c r="A2099">
        <v>1500713640</v>
      </c>
      <c r="B2099" t="s">
        <v>4272</v>
      </c>
      <c r="C2099" t="s">
        <v>19</v>
      </c>
      <c r="D2099" t="s">
        <v>201</v>
      </c>
      <c r="E2099" t="s">
        <v>21</v>
      </c>
      <c r="F2099" t="s">
        <v>22</v>
      </c>
      <c r="G2099" t="s">
        <v>33</v>
      </c>
      <c r="H2099" t="s">
        <v>202</v>
      </c>
      <c r="I2099" t="s">
        <v>4273</v>
      </c>
      <c r="J2099">
        <v>9.9848619999999997</v>
      </c>
      <c r="K2099">
        <v>-84.736870999999994</v>
      </c>
      <c r="L2099" t="s">
        <v>1225</v>
      </c>
      <c r="M2099" t="s">
        <v>204</v>
      </c>
      <c r="N2099" t="s">
        <v>205</v>
      </c>
      <c r="O2099" t="s">
        <v>206</v>
      </c>
      <c r="P2099">
        <v>9</v>
      </c>
      <c r="Q2099" t="s">
        <v>80</v>
      </c>
      <c r="S2099" t="str">
        <f>_xlfn.XLOOKUP(UNIVERSO[[#This Row],[Ruta]],'[1]CUOTA RUTA'!A:A,'[1]CUOTA RUTA'!D:D)</f>
        <v>Cargar</v>
      </c>
    </row>
    <row r="2100" spans="1:19" x14ac:dyDescent="0.25">
      <c r="A2100">
        <v>1500713715</v>
      </c>
      <c r="B2100" t="s">
        <v>3923</v>
      </c>
      <c r="C2100" t="s">
        <v>19</v>
      </c>
      <c r="D2100" t="s">
        <v>32</v>
      </c>
      <c r="E2100" t="s">
        <v>21</v>
      </c>
      <c r="F2100" t="s">
        <v>22</v>
      </c>
      <c r="G2100" t="s">
        <v>64</v>
      </c>
      <c r="H2100" t="s">
        <v>159</v>
      </c>
      <c r="I2100" t="s">
        <v>4274</v>
      </c>
      <c r="J2100">
        <v>9.9051950000000009</v>
      </c>
      <c r="K2100">
        <v>-84.111664000000005</v>
      </c>
      <c r="L2100" t="s">
        <v>1225</v>
      </c>
      <c r="M2100" t="s">
        <v>71</v>
      </c>
      <c r="N2100" t="s">
        <v>72</v>
      </c>
      <c r="O2100" t="s">
        <v>73</v>
      </c>
      <c r="P2100">
        <v>12</v>
      </c>
      <c r="Q2100" t="s">
        <v>42</v>
      </c>
      <c r="S2100" t="str">
        <f>_xlfn.XLOOKUP(UNIVERSO[[#This Row],[Ruta]],'[1]CUOTA RUTA'!A:A,'[1]CUOTA RUTA'!D:D)</f>
        <v>Cargar</v>
      </c>
    </row>
    <row r="2101" spans="1:19" x14ac:dyDescent="0.25">
      <c r="A2101">
        <v>1500713752</v>
      </c>
      <c r="B2101" t="s">
        <v>4275</v>
      </c>
      <c r="C2101" t="s">
        <v>19</v>
      </c>
      <c r="D2101" t="s">
        <v>32</v>
      </c>
      <c r="E2101" t="s">
        <v>21</v>
      </c>
      <c r="F2101" t="s">
        <v>22</v>
      </c>
      <c r="G2101" t="s">
        <v>33</v>
      </c>
      <c r="H2101" t="s">
        <v>1191</v>
      </c>
      <c r="I2101" t="s">
        <v>4276</v>
      </c>
      <c r="J2101">
        <v>9.9035600000000006</v>
      </c>
      <c r="K2101">
        <v>-83.997050000000002</v>
      </c>
      <c r="L2101" t="s">
        <v>1225</v>
      </c>
      <c r="M2101" t="s">
        <v>36</v>
      </c>
      <c r="N2101" t="s">
        <v>37</v>
      </c>
      <c r="O2101" t="s">
        <v>38</v>
      </c>
      <c r="P2101">
        <v>18</v>
      </c>
      <c r="Q2101" t="s">
        <v>84</v>
      </c>
      <c r="S2101" t="str">
        <f>_xlfn.XLOOKUP(UNIVERSO[[#This Row],[Ruta]],'[1]CUOTA RUTA'!A:A,'[1]CUOTA RUTA'!D:D)</f>
        <v>Cargar</v>
      </c>
    </row>
    <row r="2102" spans="1:19" x14ac:dyDescent="0.25">
      <c r="A2102">
        <v>1500713754</v>
      </c>
      <c r="B2102" t="s">
        <v>4277</v>
      </c>
      <c r="C2102" t="s">
        <v>19</v>
      </c>
      <c r="D2102" t="s">
        <v>349</v>
      </c>
      <c r="E2102" t="s">
        <v>21</v>
      </c>
      <c r="F2102" t="s">
        <v>22</v>
      </c>
      <c r="G2102" t="s">
        <v>33</v>
      </c>
      <c r="H2102" t="s">
        <v>356</v>
      </c>
      <c r="I2102" t="s">
        <v>4278</v>
      </c>
      <c r="J2102">
        <v>10.149983000000001</v>
      </c>
      <c r="K2102">
        <v>-85.448631000000006</v>
      </c>
      <c r="L2102" t="s">
        <v>1225</v>
      </c>
      <c r="M2102" t="s">
        <v>352</v>
      </c>
      <c r="N2102" t="s">
        <v>353</v>
      </c>
      <c r="O2102" t="s">
        <v>354</v>
      </c>
      <c r="P2102">
        <v>14</v>
      </c>
      <c r="Q2102" t="s">
        <v>181</v>
      </c>
      <c r="S2102" t="str">
        <f>_xlfn.XLOOKUP(UNIVERSO[[#This Row],[Ruta]],'[1]CUOTA RUTA'!A:A,'[1]CUOTA RUTA'!D:D)</f>
        <v>Cargar</v>
      </c>
    </row>
    <row r="2103" spans="1:19" x14ac:dyDescent="0.25">
      <c r="A2103">
        <v>1500713918</v>
      </c>
      <c r="B2103" t="s">
        <v>4279</v>
      </c>
      <c r="C2103" t="s">
        <v>19</v>
      </c>
      <c r="D2103" t="s">
        <v>20</v>
      </c>
      <c r="E2103" t="s">
        <v>21</v>
      </c>
      <c r="F2103" t="s">
        <v>22</v>
      </c>
      <c r="G2103" t="s">
        <v>33</v>
      </c>
      <c r="H2103" t="s">
        <v>280</v>
      </c>
      <c r="I2103" t="s">
        <v>4280</v>
      </c>
      <c r="J2103">
        <v>10.016299999999999</v>
      </c>
      <c r="K2103">
        <v>-84.211529999999996</v>
      </c>
      <c r="L2103" t="s">
        <v>1225</v>
      </c>
      <c r="M2103" t="s">
        <v>54</v>
      </c>
      <c r="N2103" t="s">
        <v>55</v>
      </c>
      <c r="O2103" t="s">
        <v>56</v>
      </c>
      <c r="P2103">
        <v>1</v>
      </c>
      <c r="Q2103" t="s">
        <v>155</v>
      </c>
      <c r="S2103" t="str">
        <f>_xlfn.XLOOKUP(UNIVERSO[[#This Row],[Ruta]],'[1]CUOTA RUTA'!A:A,'[1]CUOTA RUTA'!D:D)</f>
        <v>Cargar</v>
      </c>
    </row>
    <row r="2104" spans="1:19" x14ac:dyDescent="0.25">
      <c r="A2104">
        <v>1500713960</v>
      </c>
      <c r="B2104" t="s">
        <v>4281</v>
      </c>
      <c r="C2104" t="s">
        <v>19</v>
      </c>
      <c r="D2104" t="s">
        <v>20</v>
      </c>
      <c r="E2104" t="s">
        <v>21</v>
      </c>
      <c r="F2104" t="s">
        <v>51</v>
      </c>
      <c r="G2104" t="s">
        <v>23</v>
      </c>
      <c r="H2104" t="s">
        <v>58</v>
      </c>
      <c r="I2104" t="s">
        <v>4282</v>
      </c>
      <c r="J2104">
        <v>10.011256599999999</v>
      </c>
      <c r="K2104">
        <v>-84.194947499999998</v>
      </c>
      <c r="L2104" t="s">
        <v>1225</v>
      </c>
      <c r="M2104" t="s">
        <v>54</v>
      </c>
      <c r="N2104" t="s">
        <v>55</v>
      </c>
      <c r="O2104" t="s">
        <v>56</v>
      </c>
      <c r="P2104">
        <v>17</v>
      </c>
      <c r="Q2104" t="s">
        <v>287</v>
      </c>
      <c r="S2104" t="str">
        <f>_xlfn.XLOOKUP(UNIVERSO[[#This Row],[Ruta]],'[1]CUOTA RUTA'!A:A,'[1]CUOTA RUTA'!D:D)</f>
        <v>Cargar</v>
      </c>
    </row>
    <row r="2105" spans="1:19" x14ac:dyDescent="0.25">
      <c r="A2105">
        <v>1500714052</v>
      </c>
      <c r="B2105" t="s">
        <v>4283</v>
      </c>
      <c r="C2105" t="s">
        <v>19</v>
      </c>
      <c r="D2105" t="s">
        <v>20</v>
      </c>
      <c r="E2105" t="s">
        <v>21</v>
      </c>
      <c r="F2105" t="s">
        <v>22</v>
      </c>
      <c r="G2105" t="s">
        <v>33</v>
      </c>
      <c r="H2105" t="s">
        <v>1128</v>
      </c>
      <c r="I2105" t="s">
        <v>4284</v>
      </c>
      <c r="J2105">
        <v>10.084199999999999</v>
      </c>
      <c r="K2105">
        <v>-84.275300000000001</v>
      </c>
      <c r="L2105" t="s">
        <v>1225</v>
      </c>
      <c r="M2105" t="s">
        <v>46</v>
      </c>
      <c r="N2105" t="s">
        <v>47</v>
      </c>
      <c r="O2105" t="s">
        <v>48</v>
      </c>
      <c r="P2105">
        <v>4</v>
      </c>
      <c r="Q2105" t="s">
        <v>120</v>
      </c>
      <c r="S2105" t="str">
        <f>_xlfn.XLOOKUP(UNIVERSO[[#This Row],[Ruta]],'[1]CUOTA RUTA'!A:A,'[1]CUOTA RUTA'!D:D)</f>
        <v>Cargar</v>
      </c>
    </row>
    <row r="2106" spans="1:19" x14ac:dyDescent="0.25">
      <c r="A2106">
        <v>1500714365</v>
      </c>
      <c r="B2106" t="s">
        <v>4285</v>
      </c>
      <c r="C2106" t="s">
        <v>19</v>
      </c>
      <c r="D2106" t="s">
        <v>20</v>
      </c>
      <c r="E2106" t="s">
        <v>21</v>
      </c>
      <c r="F2106" t="s">
        <v>22</v>
      </c>
      <c r="G2106" t="s">
        <v>33</v>
      </c>
      <c r="H2106" t="s">
        <v>263</v>
      </c>
      <c r="I2106" t="s">
        <v>4286</v>
      </c>
      <c r="J2106">
        <v>10.097479999999999</v>
      </c>
      <c r="K2106">
        <v>-84.379750000000001</v>
      </c>
      <c r="L2106" t="s">
        <v>1225</v>
      </c>
      <c r="M2106" t="s">
        <v>46</v>
      </c>
      <c r="N2106" t="s">
        <v>47</v>
      </c>
      <c r="O2106" t="s">
        <v>48</v>
      </c>
      <c r="P2106">
        <v>2</v>
      </c>
      <c r="Q2106" t="s">
        <v>150</v>
      </c>
      <c r="S2106" t="str">
        <f>_xlfn.XLOOKUP(UNIVERSO[[#This Row],[Ruta]],'[1]CUOTA RUTA'!A:A,'[1]CUOTA RUTA'!D:D)</f>
        <v>Cargar</v>
      </c>
    </row>
    <row r="2107" spans="1:19" x14ac:dyDescent="0.25">
      <c r="A2107">
        <v>1500714390</v>
      </c>
      <c r="B2107" t="s">
        <v>4287</v>
      </c>
      <c r="C2107" t="s">
        <v>19</v>
      </c>
      <c r="D2107" t="s">
        <v>32</v>
      </c>
      <c r="E2107" t="s">
        <v>21</v>
      </c>
      <c r="F2107" t="s">
        <v>22</v>
      </c>
      <c r="G2107" t="s">
        <v>23</v>
      </c>
      <c r="H2107" t="s">
        <v>183</v>
      </c>
      <c r="I2107" t="s">
        <v>4288</v>
      </c>
      <c r="J2107">
        <v>9.9620099999999994</v>
      </c>
      <c r="K2107">
        <v>-84.046599999999998</v>
      </c>
      <c r="L2107" t="s">
        <v>1225</v>
      </c>
      <c r="M2107" t="s">
        <v>36</v>
      </c>
      <c r="N2107" t="s">
        <v>37</v>
      </c>
      <c r="O2107" t="s">
        <v>38</v>
      </c>
      <c r="P2107">
        <v>22</v>
      </c>
      <c r="Q2107" t="s">
        <v>30</v>
      </c>
      <c r="S2107" t="str">
        <f>_xlfn.XLOOKUP(UNIVERSO[[#This Row],[Ruta]],'[1]CUOTA RUTA'!A:A,'[1]CUOTA RUTA'!D:D)</f>
        <v>Cargar</v>
      </c>
    </row>
    <row r="2108" spans="1:19" x14ac:dyDescent="0.25">
      <c r="A2108">
        <v>1500714400</v>
      </c>
      <c r="B2108" t="s">
        <v>4289</v>
      </c>
      <c r="C2108" t="s">
        <v>19</v>
      </c>
      <c r="D2108" t="s">
        <v>20</v>
      </c>
      <c r="E2108" t="s">
        <v>21</v>
      </c>
      <c r="F2108" t="s">
        <v>22</v>
      </c>
      <c r="G2108" t="s">
        <v>33</v>
      </c>
      <c r="H2108" t="s">
        <v>901</v>
      </c>
      <c r="I2108" t="s">
        <v>4290</v>
      </c>
      <c r="J2108">
        <v>10.041980000000001</v>
      </c>
      <c r="K2108">
        <v>-84.429349999999999</v>
      </c>
      <c r="L2108" t="s">
        <v>1225</v>
      </c>
      <c r="M2108" t="s">
        <v>46</v>
      </c>
      <c r="N2108" t="s">
        <v>47</v>
      </c>
      <c r="O2108" t="s">
        <v>48</v>
      </c>
      <c r="P2108">
        <v>7</v>
      </c>
      <c r="Q2108" t="s">
        <v>39</v>
      </c>
      <c r="S2108" t="str">
        <f>_xlfn.XLOOKUP(UNIVERSO[[#This Row],[Ruta]],'[1]CUOTA RUTA'!A:A,'[1]CUOTA RUTA'!D:D)</f>
        <v>Cargar</v>
      </c>
    </row>
    <row r="2109" spans="1:19" x14ac:dyDescent="0.25">
      <c r="A2109">
        <v>1500714537</v>
      </c>
      <c r="B2109" t="s">
        <v>4291</v>
      </c>
      <c r="C2109" t="s">
        <v>19</v>
      </c>
      <c r="D2109" t="s">
        <v>20</v>
      </c>
      <c r="E2109" t="s">
        <v>21</v>
      </c>
      <c r="F2109" t="s">
        <v>22</v>
      </c>
      <c r="G2109" t="s">
        <v>64</v>
      </c>
      <c r="H2109" t="s">
        <v>874</v>
      </c>
      <c r="I2109" t="s">
        <v>4292</v>
      </c>
      <c r="J2109">
        <v>9.9943000000000008</v>
      </c>
      <c r="K2109">
        <v>-84.123549999999994</v>
      </c>
      <c r="L2109" t="s">
        <v>1225</v>
      </c>
      <c r="M2109" t="s">
        <v>27</v>
      </c>
      <c r="N2109" t="s">
        <v>28</v>
      </c>
      <c r="O2109" t="s">
        <v>29</v>
      </c>
      <c r="P2109">
        <v>5</v>
      </c>
      <c r="Q2109" t="s">
        <v>117</v>
      </c>
      <c r="S2109" t="str">
        <f>_xlfn.XLOOKUP(UNIVERSO[[#This Row],[Ruta]],'[1]CUOTA RUTA'!A:A,'[1]CUOTA RUTA'!D:D)</f>
        <v>Cargar</v>
      </c>
    </row>
    <row r="2110" spans="1:19" x14ac:dyDescent="0.25">
      <c r="A2110">
        <v>1500714628</v>
      </c>
      <c r="B2110" t="s">
        <v>595</v>
      </c>
      <c r="C2110" t="s">
        <v>19</v>
      </c>
      <c r="D2110" t="s">
        <v>20</v>
      </c>
      <c r="E2110" t="s">
        <v>21</v>
      </c>
      <c r="F2110" t="s">
        <v>22</v>
      </c>
      <c r="G2110" t="s">
        <v>23</v>
      </c>
      <c r="H2110" t="s">
        <v>58</v>
      </c>
      <c r="I2110" t="s">
        <v>4293</v>
      </c>
      <c r="J2110">
        <v>10.0192683</v>
      </c>
      <c r="K2110">
        <v>-84.224724899999998</v>
      </c>
      <c r="L2110" t="s">
        <v>1225</v>
      </c>
      <c r="M2110" t="s">
        <v>54</v>
      </c>
      <c r="N2110" t="s">
        <v>55</v>
      </c>
      <c r="O2110" t="s">
        <v>56</v>
      </c>
      <c r="P2110">
        <v>2</v>
      </c>
      <c r="Q2110" t="s">
        <v>150</v>
      </c>
      <c r="S2110" t="str">
        <f>_xlfn.XLOOKUP(UNIVERSO[[#This Row],[Ruta]],'[1]CUOTA RUTA'!A:A,'[1]CUOTA RUTA'!D:D)</f>
        <v>Cargar</v>
      </c>
    </row>
    <row r="2111" spans="1:19" x14ac:dyDescent="0.25">
      <c r="A2111">
        <v>1500714637</v>
      </c>
      <c r="B2111" t="s">
        <v>4294</v>
      </c>
      <c r="C2111" t="s">
        <v>19</v>
      </c>
      <c r="D2111" t="s">
        <v>186</v>
      </c>
      <c r="E2111" t="s">
        <v>21</v>
      </c>
      <c r="F2111" t="s">
        <v>51</v>
      </c>
      <c r="G2111" t="s">
        <v>23</v>
      </c>
      <c r="H2111" t="s">
        <v>237</v>
      </c>
      <c r="I2111" t="s">
        <v>4295</v>
      </c>
      <c r="J2111">
        <v>10.069739999999999</v>
      </c>
      <c r="K2111">
        <v>-83.247169</v>
      </c>
      <c r="L2111" t="s">
        <v>1225</v>
      </c>
      <c r="M2111" t="s">
        <v>189</v>
      </c>
      <c r="N2111" t="s">
        <v>190</v>
      </c>
      <c r="O2111" t="s">
        <v>191</v>
      </c>
      <c r="P2111">
        <v>22</v>
      </c>
      <c r="Q2111" t="s">
        <v>30</v>
      </c>
      <c r="S2111" t="str">
        <f>_xlfn.XLOOKUP(UNIVERSO[[#This Row],[Ruta]],'[1]CUOTA RUTA'!A:A,'[1]CUOTA RUTA'!D:D)</f>
        <v>Cargar</v>
      </c>
    </row>
    <row r="2112" spans="1:19" x14ac:dyDescent="0.25">
      <c r="A2112">
        <v>1500714861</v>
      </c>
      <c r="B2112" t="s">
        <v>4296</v>
      </c>
      <c r="C2112" t="s">
        <v>19</v>
      </c>
      <c r="D2112" t="s">
        <v>20</v>
      </c>
      <c r="E2112" t="s">
        <v>21</v>
      </c>
      <c r="F2112" t="s">
        <v>22</v>
      </c>
      <c r="G2112" t="s">
        <v>33</v>
      </c>
      <c r="H2112" t="s">
        <v>263</v>
      </c>
      <c r="I2112" t="s">
        <v>4297</v>
      </c>
      <c r="J2112">
        <v>10.089930000000001</v>
      </c>
      <c r="K2112">
        <v>-84.349100000000007</v>
      </c>
      <c r="L2112" t="s">
        <v>1225</v>
      </c>
      <c r="M2112" t="s">
        <v>46</v>
      </c>
      <c r="N2112" t="s">
        <v>47</v>
      </c>
      <c r="O2112" t="s">
        <v>48</v>
      </c>
      <c r="P2112">
        <v>5</v>
      </c>
      <c r="Q2112" t="s">
        <v>117</v>
      </c>
      <c r="S2112" t="str">
        <f>_xlfn.XLOOKUP(UNIVERSO[[#This Row],[Ruta]],'[1]CUOTA RUTA'!A:A,'[1]CUOTA RUTA'!D:D)</f>
        <v>Cargar</v>
      </c>
    </row>
    <row r="2113" spans="1:19" x14ac:dyDescent="0.25">
      <c r="A2113">
        <v>1500715074</v>
      </c>
      <c r="B2113" t="s">
        <v>4298</v>
      </c>
      <c r="C2113" t="s">
        <v>19</v>
      </c>
      <c r="D2113" t="s">
        <v>266</v>
      </c>
      <c r="E2113" t="s">
        <v>21</v>
      </c>
      <c r="F2113" t="s">
        <v>22</v>
      </c>
      <c r="G2113" t="s">
        <v>23</v>
      </c>
      <c r="H2113" t="s">
        <v>321</v>
      </c>
      <c r="I2113" t="s">
        <v>4299</v>
      </c>
      <c r="J2113">
        <v>9.7966885999999995</v>
      </c>
      <c r="K2113">
        <v>-83.854536300000007</v>
      </c>
      <c r="L2113" t="s">
        <v>1225</v>
      </c>
      <c r="M2113" t="s">
        <v>54</v>
      </c>
      <c r="N2113" t="s">
        <v>274</v>
      </c>
      <c r="O2113" t="s">
        <v>275</v>
      </c>
      <c r="P2113">
        <v>23</v>
      </c>
      <c r="Q2113" t="s">
        <v>125</v>
      </c>
      <c r="S2113" t="str">
        <f>_xlfn.XLOOKUP(UNIVERSO[[#This Row],[Ruta]],'[1]CUOTA RUTA'!A:A,'[1]CUOTA RUTA'!D:D)</f>
        <v>Cargar</v>
      </c>
    </row>
    <row r="2114" spans="1:19" x14ac:dyDescent="0.25">
      <c r="A2114">
        <v>1500715152</v>
      </c>
      <c r="B2114" t="s">
        <v>4300</v>
      </c>
      <c r="C2114" t="s">
        <v>19</v>
      </c>
      <c r="D2114" t="s">
        <v>20</v>
      </c>
      <c r="E2114" t="s">
        <v>21</v>
      </c>
      <c r="F2114" t="s">
        <v>22</v>
      </c>
      <c r="G2114" t="s">
        <v>64</v>
      </c>
      <c r="H2114" t="s">
        <v>901</v>
      </c>
      <c r="I2114" t="s">
        <v>4301</v>
      </c>
      <c r="J2114">
        <v>10.04414173</v>
      </c>
      <c r="K2114">
        <v>-84.436212960000006</v>
      </c>
      <c r="L2114" t="s">
        <v>1225</v>
      </c>
      <c r="M2114" t="s">
        <v>46</v>
      </c>
      <c r="N2114" t="s">
        <v>47</v>
      </c>
      <c r="O2114" t="s">
        <v>48</v>
      </c>
      <c r="P2114">
        <v>7</v>
      </c>
      <c r="Q2114" t="s">
        <v>39</v>
      </c>
      <c r="S2114" t="str">
        <f>_xlfn.XLOOKUP(UNIVERSO[[#This Row],[Ruta]],'[1]CUOTA RUTA'!A:A,'[1]CUOTA RUTA'!D:D)</f>
        <v>Cargar</v>
      </c>
    </row>
    <row r="2115" spans="1:19" x14ac:dyDescent="0.25">
      <c r="A2115">
        <v>1500715615</v>
      </c>
      <c r="B2115" t="s">
        <v>1145</v>
      </c>
      <c r="C2115" t="s">
        <v>19</v>
      </c>
      <c r="D2115" t="s">
        <v>32</v>
      </c>
      <c r="E2115" t="s">
        <v>21</v>
      </c>
      <c r="F2115" t="s">
        <v>22</v>
      </c>
      <c r="G2115" t="s">
        <v>23</v>
      </c>
      <c r="H2115" t="s">
        <v>34</v>
      </c>
      <c r="I2115" t="s">
        <v>4302</v>
      </c>
      <c r="J2115">
        <v>9.9058960000000003</v>
      </c>
      <c r="K2115">
        <v>-83.982581999999994</v>
      </c>
      <c r="L2115" t="s">
        <v>1225</v>
      </c>
      <c r="M2115" t="s">
        <v>36</v>
      </c>
      <c r="N2115" t="s">
        <v>37</v>
      </c>
      <c r="O2115" t="s">
        <v>38</v>
      </c>
      <c r="P2115">
        <v>19</v>
      </c>
      <c r="Q2115" t="s">
        <v>67</v>
      </c>
      <c r="S2115" t="str">
        <f>_xlfn.XLOOKUP(UNIVERSO[[#This Row],[Ruta]],'[1]CUOTA RUTA'!A:A,'[1]CUOTA RUTA'!D:D)</f>
        <v>Cargar</v>
      </c>
    </row>
    <row r="2116" spans="1:19" x14ac:dyDescent="0.25">
      <c r="A2116">
        <v>1500715626</v>
      </c>
      <c r="B2116" t="s">
        <v>4303</v>
      </c>
      <c r="C2116" t="s">
        <v>19</v>
      </c>
      <c r="D2116" t="s">
        <v>208</v>
      </c>
      <c r="E2116" t="s">
        <v>21</v>
      </c>
      <c r="F2116" t="s">
        <v>22</v>
      </c>
      <c r="G2116" t="s">
        <v>23</v>
      </c>
      <c r="H2116" t="s">
        <v>218</v>
      </c>
      <c r="I2116" t="s">
        <v>4304</v>
      </c>
      <c r="J2116">
        <v>10.21515</v>
      </c>
      <c r="K2116">
        <v>-83.8001</v>
      </c>
      <c r="L2116" t="s">
        <v>1225</v>
      </c>
      <c r="M2116" t="s">
        <v>189</v>
      </c>
      <c r="N2116" t="s">
        <v>211</v>
      </c>
      <c r="O2116" t="s">
        <v>212</v>
      </c>
      <c r="P2116">
        <v>4</v>
      </c>
      <c r="Q2116" t="s">
        <v>120</v>
      </c>
      <c r="S2116" t="str">
        <f>_xlfn.XLOOKUP(UNIVERSO[[#This Row],[Ruta]],'[1]CUOTA RUTA'!A:A,'[1]CUOTA RUTA'!D:D)</f>
        <v>Cargar</v>
      </c>
    </row>
    <row r="2117" spans="1:19" x14ac:dyDescent="0.25">
      <c r="A2117">
        <v>1500715822</v>
      </c>
      <c r="B2117" t="s">
        <v>4305</v>
      </c>
      <c r="C2117" t="s">
        <v>19</v>
      </c>
      <c r="D2117" t="s">
        <v>20</v>
      </c>
      <c r="E2117" t="s">
        <v>21</v>
      </c>
      <c r="F2117" t="s">
        <v>22</v>
      </c>
      <c r="G2117" t="s">
        <v>33</v>
      </c>
      <c r="H2117" t="s">
        <v>308</v>
      </c>
      <c r="I2117" t="s">
        <v>4306</v>
      </c>
      <c r="J2117">
        <v>9.8585999999999991</v>
      </c>
      <c r="K2117">
        <v>-84.349530000000001</v>
      </c>
      <c r="L2117" t="s">
        <v>1225</v>
      </c>
      <c r="M2117" t="s">
        <v>54</v>
      </c>
      <c r="N2117" t="s">
        <v>55</v>
      </c>
      <c r="O2117" t="s">
        <v>56</v>
      </c>
      <c r="P2117">
        <v>21</v>
      </c>
      <c r="Q2117" t="s">
        <v>239</v>
      </c>
      <c r="S2117" t="str">
        <f>_xlfn.XLOOKUP(UNIVERSO[[#This Row],[Ruta]],'[1]CUOTA RUTA'!A:A,'[1]CUOTA RUTA'!D:D)</f>
        <v>Cargar</v>
      </c>
    </row>
    <row r="2118" spans="1:19" x14ac:dyDescent="0.25">
      <c r="A2118">
        <v>1500715847</v>
      </c>
      <c r="B2118" t="s">
        <v>4307</v>
      </c>
      <c r="C2118" t="s">
        <v>19</v>
      </c>
      <c r="D2118" t="s">
        <v>201</v>
      </c>
      <c r="E2118" t="s">
        <v>21</v>
      </c>
      <c r="F2118" t="s">
        <v>22</v>
      </c>
      <c r="G2118" t="s">
        <v>33</v>
      </c>
      <c r="H2118" t="s">
        <v>491</v>
      </c>
      <c r="I2118" t="s">
        <v>4308</v>
      </c>
      <c r="J2118">
        <v>9.7551802999999992</v>
      </c>
      <c r="K2118">
        <v>-84.624645599999994</v>
      </c>
      <c r="L2118" t="s">
        <v>1225</v>
      </c>
      <c r="M2118" t="s">
        <v>204</v>
      </c>
      <c r="N2118" t="s">
        <v>205</v>
      </c>
      <c r="O2118" t="s">
        <v>206</v>
      </c>
      <c r="P2118">
        <v>4</v>
      </c>
      <c r="Q2118" t="s">
        <v>120</v>
      </c>
      <c r="S2118" t="str">
        <f>_xlfn.XLOOKUP(UNIVERSO[[#This Row],[Ruta]],'[1]CUOTA RUTA'!A:A,'[1]CUOTA RUTA'!D:D)</f>
        <v>Cargar</v>
      </c>
    </row>
    <row r="2119" spans="1:19" x14ac:dyDescent="0.25">
      <c r="A2119">
        <v>1500715868</v>
      </c>
      <c r="B2119" t="s">
        <v>4309</v>
      </c>
      <c r="C2119" t="s">
        <v>19</v>
      </c>
      <c r="D2119" t="s">
        <v>20</v>
      </c>
      <c r="E2119" t="s">
        <v>62</v>
      </c>
      <c r="F2119" t="s">
        <v>63</v>
      </c>
      <c r="G2119" t="s">
        <v>23</v>
      </c>
      <c r="H2119" t="s">
        <v>722</v>
      </c>
      <c r="I2119" t="s">
        <v>4310</v>
      </c>
      <c r="J2119">
        <v>9.9363472000000002</v>
      </c>
      <c r="K2119">
        <v>-84.1209779</v>
      </c>
      <c r="L2119" t="s">
        <v>1225</v>
      </c>
      <c r="M2119" t="s">
        <v>27</v>
      </c>
      <c r="N2119" t="s">
        <v>28</v>
      </c>
      <c r="O2119" t="s">
        <v>29</v>
      </c>
      <c r="P2119">
        <v>9</v>
      </c>
      <c r="Q2119" t="s">
        <v>80</v>
      </c>
      <c r="S2119" t="str">
        <f>_xlfn.XLOOKUP(UNIVERSO[[#This Row],[Ruta]],'[1]CUOTA RUTA'!A:A,'[1]CUOTA RUTA'!D:D)</f>
        <v>Cargar</v>
      </c>
    </row>
    <row r="2120" spans="1:19" x14ac:dyDescent="0.25">
      <c r="A2120">
        <v>1500715874</v>
      </c>
      <c r="B2120" t="s">
        <v>4311</v>
      </c>
      <c r="C2120" t="s">
        <v>19</v>
      </c>
      <c r="D2120" t="s">
        <v>244</v>
      </c>
      <c r="E2120" t="s">
        <v>21</v>
      </c>
      <c r="F2120" t="s">
        <v>22</v>
      </c>
      <c r="G2120" t="s">
        <v>33</v>
      </c>
      <c r="H2120" t="s">
        <v>245</v>
      </c>
      <c r="I2120" t="s">
        <v>4312</v>
      </c>
      <c r="J2120">
        <v>9.3412000000000006</v>
      </c>
      <c r="K2120">
        <v>-83.669300000000007</v>
      </c>
      <c r="L2120" t="s">
        <v>1225</v>
      </c>
      <c r="M2120" t="s">
        <v>46</v>
      </c>
      <c r="N2120" t="s">
        <v>247</v>
      </c>
      <c r="O2120" t="s">
        <v>248</v>
      </c>
      <c r="P2120">
        <v>15</v>
      </c>
      <c r="Q2120" t="s">
        <v>231</v>
      </c>
      <c r="S2120" t="str">
        <f>_xlfn.XLOOKUP(UNIVERSO[[#This Row],[Ruta]],'[1]CUOTA RUTA'!A:A,'[1]CUOTA RUTA'!D:D)</f>
        <v>Cargar</v>
      </c>
    </row>
    <row r="2121" spans="1:19" x14ac:dyDescent="0.25">
      <c r="A2121">
        <v>1500715915</v>
      </c>
      <c r="B2121" t="s">
        <v>4313</v>
      </c>
      <c r="C2121" t="s">
        <v>19</v>
      </c>
      <c r="D2121" t="s">
        <v>266</v>
      </c>
      <c r="E2121" t="s">
        <v>21</v>
      </c>
      <c r="F2121" t="s">
        <v>22</v>
      </c>
      <c r="G2121" t="s">
        <v>33</v>
      </c>
      <c r="H2121" t="s">
        <v>404</v>
      </c>
      <c r="I2121" t="s">
        <v>4314</v>
      </c>
      <c r="J2121">
        <v>9.8396299999999997</v>
      </c>
      <c r="K2121">
        <v>-83.879332000000005</v>
      </c>
      <c r="L2121" t="s">
        <v>1225</v>
      </c>
      <c r="M2121" t="s">
        <v>36</v>
      </c>
      <c r="N2121" t="s">
        <v>316</v>
      </c>
      <c r="O2121" t="s">
        <v>317</v>
      </c>
      <c r="P2121">
        <v>22</v>
      </c>
      <c r="Q2121" t="s">
        <v>30</v>
      </c>
      <c r="S2121" t="str">
        <f>_xlfn.XLOOKUP(UNIVERSO[[#This Row],[Ruta]],'[1]CUOTA RUTA'!A:A,'[1]CUOTA RUTA'!D:D)</f>
        <v>Cargar</v>
      </c>
    </row>
    <row r="2122" spans="1:19" x14ac:dyDescent="0.25">
      <c r="A2122">
        <v>1500715932</v>
      </c>
      <c r="B2122" t="s">
        <v>4315</v>
      </c>
      <c r="C2122" t="s">
        <v>19</v>
      </c>
      <c r="D2122" t="s">
        <v>324</v>
      </c>
      <c r="E2122" t="s">
        <v>21</v>
      </c>
      <c r="F2122" t="s">
        <v>22</v>
      </c>
      <c r="G2122" t="s">
        <v>64</v>
      </c>
      <c r="H2122" t="s">
        <v>331</v>
      </c>
      <c r="I2122" t="s">
        <v>4316</v>
      </c>
      <c r="J2122">
        <v>10.4484601</v>
      </c>
      <c r="K2122">
        <v>-84.402925300000007</v>
      </c>
      <c r="L2122" t="s">
        <v>1225</v>
      </c>
      <c r="M2122" t="s">
        <v>327</v>
      </c>
      <c r="N2122" t="s">
        <v>328</v>
      </c>
      <c r="O2122" t="s">
        <v>329</v>
      </c>
      <c r="P2122">
        <v>19</v>
      </c>
      <c r="Q2122" t="s">
        <v>67</v>
      </c>
      <c r="S2122" t="str">
        <f>_xlfn.XLOOKUP(UNIVERSO[[#This Row],[Ruta]],'[1]CUOTA RUTA'!A:A,'[1]CUOTA RUTA'!D:D)</f>
        <v>Cargar</v>
      </c>
    </row>
    <row r="2123" spans="1:19" x14ac:dyDescent="0.25">
      <c r="A2123">
        <v>1500715982</v>
      </c>
      <c r="B2123" t="s">
        <v>4317</v>
      </c>
      <c r="C2123" t="s">
        <v>19</v>
      </c>
      <c r="D2123" t="s">
        <v>266</v>
      </c>
      <c r="E2123" t="s">
        <v>21</v>
      </c>
      <c r="F2123" t="s">
        <v>22</v>
      </c>
      <c r="G2123" t="s">
        <v>33</v>
      </c>
      <c r="H2123" t="s">
        <v>1011</v>
      </c>
      <c r="I2123" t="s">
        <v>4318</v>
      </c>
      <c r="J2123">
        <v>9.8941429999999997</v>
      </c>
      <c r="K2123">
        <v>-83.873382800000002</v>
      </c>
      <c r="L2123" t="s">
        <v>1225</v>
      </c>
      <c r="M2123" t="s">
        <v>54</v>
      </c>
      <c r="N2123" t="s">
        <v>274</v>
      </c>
      <c r="O2123" t="s">
        <v>275</v>
      </c>
      <c r="P2123">
        <v>20</v>
      </c>
      <c r="Q2123" t="s">
        <v>74</v>
      </c>
      <c r="S2123" t="str">
        <f>_xlfn.XLOOKUP(UNIVERSO[[#This Row],[Ruta]],'[1]CUOTA RUTA'!A:A,'[1]CUOTA RUTA'!D:D)</f>
        <v>Cargar</v>
      </c>
    </row>
    <row r="2124" spans="1:19" x14ac:dyDescent="0.25">
      <c r="A2124">
        <v>1500716028</v>
      </c>
      <c r="B2124" t="s">
        <v>3303</v>
      </c>
      <c r="C2124" t="s">
        <v>19</v>
      </c>
      <c r="D2124" t="s">
        <v>208</v>
      </c>
      <c r="E2124" t="s">
        <v>21</v>
      </c>
      <c r="F2124" t="s">
        <v>22</v>
      </c>
      <c r="G2124" t="s">
        <v>33</v>
      </c>
      <c r="H2124" t="s">
        <v>1794</v>
      </c>
      <c r="I2124" t="s">
        <v>4319</v>
      </c>
      <c r="J2124">
        <v>10.354380000000001</v>
      </c>
      <c r="K2124">
        <v>-83.880499999999998</v>
      </c>
      <c r="L2124" t="s">
        <v>1225</v>
      </c>
      <c r="M2124" t="s">
        <v>189</v>
      </c>
      <c r="N2124" t="s">
        <v>211</v>
      </c>
      <c r="O2124" t="s">
        <v>212</v>
      </c>
      <c r="P2124">
        <v>3</v>
      </c>
      <c r="Q2124" t="s">
        <v>101</v>
      </c>
      <c r="S2124" t="str">
        <f>_xlfn.XLOOKUP(UNIVERSO[[#This Row],[Ruta]],'[1]CUOTA RUTA'!A:A,'[1]CUOTA RUTA'!D:D)</f>
        <v>Cargar</v>
      </c>
    </row>
    <row r="2125" spans="1:19" x14ac:dyDescent="0.25">
      <c r="A2125">
        <v>1500716100</v>
      </c>
      <c r="B2125" t="s">
        <v>4320</v>
      </c>
      <c r="C2125" t="s">
        <v>19</v>
      </c>
      <c r="D2125" t="s">
        <v>201</v>
      </c>
      <c r="E2125" t="s">
        <v>21</v>
      </c>
      <c r="F2125" t="s">
        <v>22</v>
      </c>
      <c r="G2125" t="s">
        <v>33</v>
      </c>
      <c r="H2125" t="s">
        <v>499</v>
      </c>
      <c r="I2125" t="s">
        <v>4321</v>
      </c>
      <c r="J2125">
        <v>9.9118090999999993</v>
      </c>
      <c r="K2125">
        <v>-84.536434400000005</v>
      </c>
      <c r="L2125" t="s">
        <v>1225</v>
      </c>
      <c r="M2125" t="s">
        <v>204</v>
      </c>
      <c r="N2125" t="s">
        <v>205</v>
      </c>
      <c r="O2125" t="s">
        <v>206</v>
      </c>
      <c r="P2125">
        <v>3</v>
      </c>
      <c r="Q2125" t="s">
        <v>101</v>
      </c>
      <c r="S2125" t="str">
        <f>_xlfn.XLOOKUP(UNIVERSO[[#This Row],[Ruta]],'[1]CUOTA RUTA'!A:A,'[1]CUOTA RUTA'!D:D)</f>
        <v>Cargar</v>
      </c>
    </row>
    <row r="2126" spans="1:19" x14ac:dyDescent="0.25">
      <c r="A2126">
        <v>1500716106</v>
      </c>
      <c r="B2126" t="s">
        <v>4322</v>
      </c>
      <c r="C2126" t="s">
        <v>19</v>
      </c>
      <c r="D2126" t="s">
        <v>186</v>
      </c>
      <c r="E2126" t="s">
        <v>21</v>
      </c>
      <c r="F2126" t="s">
        <v>22</v>
      </c>
      <c r="G2126" t="s">
        <v>33</v>
      </c>
      <c r="H2126" t="s">
        <v>187</v>
      </c>
      <c r="I2126" t="s">
        <v>4323</v>
      </c>
      <c r="J2126">
        <v>9.9893680000000007</v>
      </c>
      <c r="K2126">
        <v>-83.078339999999997</v>
      </c>
      <c r="L2126" t="s">
        <v>1225</v>
      </c>
      <c r="M2126" t="s">
        <v>189</v>
      </c>
      <c r="N2126" t="s">
        <v>190</v>
      </c>
      <c r="O2126" t="s">
        <v>191</v>
      </c>
      <c r="P2126">
        <v>23</v>
      </c>
      <c r="Q2126" t="s">
        <v>125</v>
      </c>
      <c r="S2126" t="str">
        <f>_xlfn.XLOOKUP(UNIVERSO[[#This Row],[Ruta]],'[1]CUOTA RUTA'!A:A,'[1]CUOTA RUTA'!D:D)</f>
        <v>Cargar</v>
      </c>
    </row>
    <row r="2127" spans="1:19" x14ac:dyDescent="0.25">
      <c r="A2127">
        <v>1500716109</v>
      </c>
      <c r="B2127" t="s">
        <v>4324</v>
      </c>
      <c r="C2127" t="s">
        <v>19</v>
      </c>
      <c r="D2127" t="s">
        <v>32</v>
      </c>
      <c r="E2127" t="s">
        <v>21</v>
      </c>
      <c r="F2127" t="s">
        <v>22</v>
      </c>
      <c r="G2127" t="s">
        <v>64</v>
      </c>
      <c r="H2127" t="s">
        <v>69</v>
      </c>
      <c r="I2127" t="s">
        <v>4325</v>
      </c>
      <c r="J2127">
        <v>9.867362</v>
      </c>
      <c r="K2127">
        <v>-84.061997000000005</v>
      </c>
      <c r="L2127" t="s">
        <v>1225</v>
      </c>
      <c r="M2127" t="s">
        <v>71</v>
      </c>
      <c r="N2127" t="s">
        <v>72</v>
      </c>
      <c r="O2127" t="s">
        <v>73</v>
      </c>
      <c r="P2127">
        <v>20</v>
      </c>
      <c r="Q2127" t="s">
        <v>74</v>
      </c>
      <c r="S2127" t="str">
        <f>_xlfn.XLOOKUP(UNIVERSO[[#This Row],[Ruta]],'[1]CUOTA RUTA'!A:A,'[1]CUOTA RUTA'!D:D)</f>
        <v>Cargar</v>
      </c>
    </row>
    <row r="2128" spans="1:19" x14ac:dyDescent="0.25">
      <c r="A2128">
        <v>1500716254</v>
      </c>
      <c r="B2128" t="s">
        <v>4326</v>
      </c>
      <c r="C2128" t="s">
        <v>19</v>
      </c>
      <c r="D2128" t="s">
        <v>349</v>
      </c>
      <c r="E2128" t="s">
        <v>21</v>
      </c>
      <c r="F2128" t="s">
        <v>22</v>
      </c>
      <c r="G2128" t="s">
        <v>64</v>
      </c>
      <c r="H2128" t="s">
        <v>359</v>
      </c>
      <c r="I2128" t="s">
        <v>4327</v>
      </c>
      <c r="J2128">
        <v>9.9610489999999992</v>
      </c>
      <c r="K2128">
        <v>-85.126327000000003</v>
      </c>
      <c r="L2128" t="s">
        <v>1225</v>
      </c>
      <c r="M2128" t="s">
        <v>352</v>
      </c>
      <c r="N2128" t="s">
        <v>353</v>
      </c>
      <c r="O2128" t="s">
        <v>354</v>
      </c>
      <c r="P2128">
        <v>10</v>
      </c>
      <c r="Q2128" t="s">
        <v>136</v>
      </c>
      <c r="S2128" t="str">
        <f>_xlfn.XLOOKUP(UNIVERSO[[#This Row],[Ruta]],'[1]CUOTA RUTA'!A:A,'[1]CUOTA RUTA'!D:D)</f>
        <v>Cargar</v>
      </c>
    </row>
    <row r="2129" spans="1:19" x14ac:dyDescent="0.25">
      <c r="A2129">
        <v>1500716428</v>
      </c>
      <c r="B2129" t="s">
        <v>2851</v>
      </c>
      <c r="C2129" t="s">
        <v>19</v>
      </c>
      <c r="D2129" t="s">
        <v>32</v>
      </c>
      <c r="E2129" t="s">
        <v>21</v>
      </c>
      <c r="F2129" t="s">
        <v>22</v>
      </c>
      <c r="G2129" t="s">
        <v>33</v>
      </c>
      <c r="H2129" t="s">
        <v>127</v>
      </c>
      <c r="I2129" t="s">
        <v>4328</v>
      </c>
      <c r="J2129">
        <v>9.8499333333330004</v>
      </c>
      <c r="K2129">
        <v>-84.090003333330003</v>
      </c>
      <c r="L2129" t="s">
        <v>1225</v>
      </c>
      <c r="M2129" t="s">
        <v>54</v>
      </c>
      <c r="N2129" t="s">
        <v>129</v>
      </c>
      <c r="O2129" t="s">
        <v>130</v>
      </c>
      <c r="P2129">
        <v>23</v>
      </c>
      <c r="Q2129" t="s">
        <v>125</v>
      </c>
      <c r="S2129" t="str">
        <f>_xlfn.XLOOKUP(UNIVERSO[[#This Row],[Ruta]],'[1]CUOTA RUTA'!A:A,'[1]CUOTA RUTA'!D:D)</f>
        <v>Cargar</v>
      </c>
    </row>
    <row r="2130" spans="1:19" x14ac:dyDescent="0.25">
      <c r="A2130">
        <v>1500716471</v>
      </c>
      <c r="B2130" t="s">
        <v>4329</v>
      </c>
      <c r="C2130" t="s">
        <v>19</v>
      </c>
      <c r="D2130" t="s">
        <v>349</v>
      </c>
      <c r="E2130" t="s">
        <v>21</v>
      </c>
      <c r="F2130" t="s">
        <v>22</v>
      </c>
      <c r="G2130" t="s">
        <v>33</v>
      </c>
      <c r="H2130" t="s">
        <v>359</v>
      </c>
      <c r="I2130" t="s">
        <v>4330</v>
      </c>
      <c r="J2130">
        <v>9.9964440000000003</v>
      </c>
      <c r="K2130">
        <v>-85.205545999999998</v>
      </c>
      <c r="L2130" t="s">
        <v>1225</v>
      </c>
      <c r="M2130" t="s">
        <v>352</v>
      </c>
      <c r="N2130" t="s">
        <v>353</v>
      </c>
      <c r="O2130" t="s">
        <v>354</v>
      </c>
      <c r="P2130">
        <v>11</v>
      </c>
      <c r="Q2130" t="s">
        <v>108</v>
      </c>
      <c r="S2130" t="str">
        <f>_xlfn.XLOOKUP(UNIVERSO[[#This Row],[Ruta]],'[1]CUOTA RUTA'!A:A,'[1]CUOTA RUTA'!D:D)</f>
        <v>Cargar</v>
      </c>
    </row>
    <row r="2131" spans="1:19" x14ac:dyDescent="0.25">
      <c r="A2131">
        <v>1500716524</v>
      </c>
      <c r="B2131" t="s">
        <v>4331</v>
      </c>
      <c r="C2131" t="s">
        <v>19</v>
      </c>
      <c r="D2131" t="s">
        <v>20</v>
      </c>
      <c r="E2131" t="s">
        <v>21</v>
      </c>
      <c r="F2131" t="s">
        <v>22</v>
      </c>
      <c r="G2131" t="s">
        <v>23</v>
      </c>
      <c r="H2131" t="s">
        <v>263</v>
      </c>
      <c r="I2131" t="s">
        <v>4332</v>
      </c>
      <c r="J2131">
        <v>10.100479999999999</v>
      </c>
      <c r="K2131">
        <v>-84.379720000000006</v>
      </c>
      <c r="L2131" t="s">
        <v>1225</v>
      </c>
      <c r="M2131" t="s">
        <v>46</v>
      </c>
      <c r="N2131" t="s">
        <v>47</v>
      </c>
      <c r="O2131" t="s">
        <v>48</v>
      </c>
      <c r="P2131">
        <v>2</v>
      </c>
      <c r="Q2131" t="s">
        <v>150</v>
      </c>
      <c r="S2131" t="str">
        <f>_xlfn.XLOOKUP(UNIVERSO[[#This Row],[Ruta]],'[1]CUOTA RUTA'!A:A,'[1]CUOTA RUTA'!D:D)</f>
        <v>Cargar</v>
      </c>
    </row>
    <row r="2132" spans="1:19" x14ac:dyDescent="0.25">
      <c r="A2132">
        <v>1500716544</v>
      </c>
      <c r="B2132" t="s">
        <v>4333</v>
      </c>
      <c r="C2132" t="s">
        <v>19</v>
      </c>
      <c r="D2132" t="s">
        <v>20</v>
      </c>
      <c r="E2132" t="s">
        <v>21</v>
      </c>
      <c r="F2132" t="s">
        <v>22</v>
      </c>
      <c r="G2132" t="s">
        <v>23</v>
      </c>
      <c r="H2132" t="s">
        <v>52</v>
      </c>
      <c r="I2132" t="s">
        <v>4334</v>
      </c>
      <c r="J2132">
        <v>9.9126408000000001</v>
      </c>
      <c r="K2132">
        <v>-84.138217499999996</v>
      </c>
      <c r="L2132" t="s">
        <v>1225</v>
      </c>
      <c r="M2132" t="s">
        <v>54</v>
      </c>
      <c r="N2132" t="s">
        <v>55</v>
      </c>
      <c r="O2132" t="s">
        <v>56</v>
      </c>
      <c r="P2132">
        <v>12</v>
      </c>
      <c r="Q2132" t="s">
        <v>42</v>
      </c>
      <c r="S2132" t="str">
        <f>_xlfn.XLOOKUP(UNIVERSO[[#This Row],[Ruta]],'[1]CUOTA RUTA'!A:A,'[1]CUOTA RUTA'!D:D)</f>
        <v>Cargar</v>
      </c>
    </row>
    <row r="2133" spans="1:19" x14ac:dyDescent="0.25">
      <c r="A2133">
        <v>1500716583</v>
      </c>
      <c r="B2133" t="s">
        <v>4335</v>
      </c>
      <c r="C2133" t="s">
        <v>19</v>
      </c>
      <c r="D2133" t="s">
        <v>337</v>
      </c>
      <c r="E2133" t="s">
        <v>21</v>
      </c>
      <c r="F2133" t="s">
        <v>22</v>
      </c>
      <c r="G2133" t="s">
        <v>23</v>
      </c>
      <c r="H2133" t="s">
        <v>824</v>
      </c>
      <c r="I2133" t="s">
        <v>4336</v>
      </c>
      <c r="J2133">
        <v>10.9354</v>
      </c>
      <c r="K2133">
        <v>-85.682299999999998</v>
      </c>
      <c r="L2133" t="s">
        <v>1225</v>
      </c>
      <c r="M2133" t="s">
        <v>327</v>
      </c>
      <c r="N2133" t="s">
        <v>340</v>
      </c>
      <c r="O2133" t="s">
        <v>341</v>
      </c>
      <c r="P2133">
        <v>15</v>
      </c>
      <c r="Q2133" t="s">
        <v>231</v>
      </c>
      <c r="S2133" t="str">
        <f>_xlfn.XLOOKUP(UNIVERSO[[#This Row],[Ruta]],'[1]CUOTA RUTA'!A:A,'[1]CUOTA RUTA'!D:D)</f>
        <v>Cargar</v>
      </c>
    </row>
    <row r="2134" spans="1:19" x14ac:dyDescent="0.25">
      <c r="A2134">
        <v>1500716587</v>
      </c>
      <c r="B2134" t="s">
        <v>4337</v>
      </c>
      <c r="C2134" t="s">
        <v>19</v>
      </c>
      <c r="D2134" t="s">
        <v>32</v>
      </c>
      <c r="E2134" t="s">
        <v>62</v>
      </c>
      <c r="F2134" t="s">
        <v>63</v>
      </c>
      <c r="G2134" t="s">
        <v>33</v>
      </c>
      <c r="H2134" t="s">
        <v>879</v>
      </c>
      <c r="I2134" t="s">
        <v>4338</v>
      </c>
      <c r="J2134">
        <v>9.9311500000000006</v>
      </c>
      <c r="K2134">
        <v>-84.075900000000004</v>
      </c>
      <c r="L2134" t="s">
        <v>1225</v>
      </c>
      <c r="M2134" t="s">
        <v>71</v>
      </c>
      <c r="N2134" t="s">
        <v>72</v>
      </c>
      <c r="O2134" t="s">
        <v>73</v>
      </c>
      <c r="P2134">
        <v>5</v>
      </c>
      <c r="Q2134" t="s">
        <v>117</v>
      </c>
      <c r="S2134" t="str">
        <f>_xlfn.XLOOKUP(UNIVERSO[[#This Row],[Ruta]],'[1]CUOTA RUTA'!A:A,'[1]CUOTA RUTA'!D:D)</f>
        <v>Cargar</v>
      </c>
    </row>
    <row r="2135" spans="1:19" x14ac:dyDescent="0.25">
      <c r="A2135">
        <v>1500716654</v>
      </c>
      <c r="B2135" t="s">
        <v>4339</v>
      </c>
      <c r="C2135" t="s">
        <v>19</v>
      </c>
      <c r="D2135" t="s">
        <v>244</v>
      </c>
      <c r="E2135" t="s">
        <v>21</v>
      </c>
      <c r="F2135" t="s">
        <v>22</v>
      </c>
      <c r="G2135" t="s">
        <v>33</v>
      </c>
      <c r="H2135" t="s">
        <v>1294</v>
      </c>
      <c r="I2135" t="s">
        <v>4340</v>
      </c>
      <c r="J2135">
        <v>9.3214939999999995</v>
      </c>
      <c r="K2135">
        <v>-83.669359</v>
      </c>
      <c r="L2135" t="s">
        <v>1225</v>
      </c>
      <c r="M2135" t="s">
        <v>46</v>
      </c>
      <c r="N2135" t="s">
        <v>247</v>
      </c>
      <c r="O2135" t="s">
        <v>248</v>
      </c>
      <c r="P2135">
        <v>13</v>
      </c>
      <c r="Q2135" t="s">
        <v>161</v>
      </c>
      <c r="S2135" t="str">
        <f>_xlfn.XLOOKUP(UNIVERSO[[#This Row],[Ruta]],'[1]CUOTA RUTA'!A:A,'[1]CUOTA RUTA'!D:D)</f>
        <v>Cargar</v>
      </c>
    </row>
    <row r="2136" spans="1:19" x14ac:dyDescent="0.25">
      <c r="A2136">
        <v>1500716756</v>
      </c>
      <c r="B2136" t="s">
        <v>4341</v>
      </c>
      <c r="C2136" t="s">
        <v>19</v>
      </c>
      <c r="D2136" t="s">
        <v>324</v>
      </c>
      <c r="E2136" t="s">
        <v>21</v>
      </c>
      <c r="F2136" t="s">
        <v>22</v>
      </c>
      <c r="G2136" t="s">
        <v>64</v>
      </c>
      <c r="H2136" t="s">
        <v>511</v>
      </c>
      <c r="I2136" t="s">
        <v>4342</v>
      </c>
      <c r="J2136">
        <v>10.443685</v>
      </c>
      <c r="K2136">
        <v>-84.563573000000005</v>
      </c>
      <c r="L2136" t="s">
        <v>1225</v>
      </c>
      <c r="M2136" t="s">
        <v>327</v>
      </c>
      <c r="N2136" t="s">
        <v>328</v>
      </c>
      <c r="O2136" t="s">
        <v>329</v>
      </c>
      <c r="P2136">
        <v>12</v>
      </c>
      <c r="Q2136" t="s">
        <v>42</v>
      </c>
      <c r="S2136" t="str">
        <f>_xlfn.XLOOKUP(UNIVERSO[[#This Row],[Ruta]],'[1]CUOTA RUTA'!A:A,'[1]CUOTA RUTA'!D:D)</f>
        <v>Cargar</v>
      </c>
    </row>
    <row r="2137" spans="1:19" x14ac:dyDescent="0.25">
      <c r="A2137">
        <v>1500716785</v>
      </c>
      <c r="B2137" t="s">
        <v>1600</v>
      </c>
      <c r="C2137" t="s">
        <v>19</v>
      </c>
      <c r="D2137" t="s">
        <v>32</v>
      </c>
      <c r="E2137" t="s">
        <v>21</v>
      </c>
      <c r="F2137" t="s">
        <v>22</v>
      </c>
      <c r="G2137" t="s">
        <v>64</v>
      </c>
      <c r="H2137" t="s">
        <v>127</v>
      </c>
      <c r="I2137" t="s">
        <v>4343</v>
      </c>
      <c r="J2137">
        <v>9.8536766666670008</v>
      </c>
      <c r="K2137">
        <v>-84.095906666659999</v>
      </c>
      <c r="L2137" t="s">
        <v>1225</v>
      </c>
      <c r="M2137" t="s">
        <v>54</v>
      </c>
      <c r="N2137" t="s">
        <v>129</v>
      </c>
      <c r="O2137" t="s">
        <v>130</v>
      </c>
      <c r="P2137">
        <v>23</v>
      </c>
      <c r="Q2137" t="s">
        <v>125</v>
      </c>
      <c r="S2137" t="str">
        <f>_xlfn.XLOOKUP(UNIVERSO[[#This Row],[Ruta]],'[1]CUOTA RUTA'!A:A,'[1]CUOTA RUTA'!D:D)</f>
        <v>Cargar</v>
      </c>
    </row>
    <row r="2138" spans="1:19" x14ac:dyDescent="0.25">
      <c r="A2138">
        <v>1500716789</v>
      </c>
      <c r="B2138" t="s">
        <v>4344</v>
      </c>
      <c r="C2138" t="s">
        <v>19</v>
      </c>
      <c r="D2138" t="s">
        <v>349</v>
      </c>
      <c r="E2138" t="s">
        <v>21</v>
      </c>
      <c r="F2138" t="s">
        <v>22</v>
      </c>
      <c r="G2138" t="s">
        <v>64</v>
      </c>
      <c r="H2138" t="s">
        <v>359</v>
      </c>
      <c r="I2138" t="s">
        <v>4345</v>
      </c>
      <c r="J2138">
        <v>10.07912</v>
      </c>
      <c r="K2138">
        <v>-85.272675000000007</v>
      </c>
      <c r="L2138" t="s">
        <v>1225</v>
      </c>
      <c r="M2138" t="s">
        <v>352</v>
      </c>
      <c r="N2138" t="s">
        <v>353</v>
      </c>
      <c r="O2138" t="s">
        <v>354</v>
      </c>
      <c r="P2138">
        <v>11</v>
      </c>
      <c r="Q2138" t="s">
        <v>108</v>
      </c>
      <c r="S2138" t="str">
        <f>_xlfn.XLOOKUP(UNIVERSO[[#This Row],[Ruta]],'[1]CUOTA RUTA'!A:A,'[1]CUOTA RUTA'!D:D)</f>
        <v>Cargar</v>
      </c>
    </row>
    <row r="2139" spans="1:19" x14ac:dyDescent="0.25">
      <c r="A2139">
        <v>1500716861</v>
      </c>
      <c r="B2139" t="s">
        <v>4346</v>
      </c>
      <c r="C2139" t="s">
        <v>19</v>
      </c>
      <c r="D2139" t="s">
        <v>324</v>
      </c>
      <c r="E2139" t="s">
        <v>21</v>
      </c>
      <c r="F2139" t="s">
        <v>22</v>
      </c>
      <c r="G2139" t="s">
        <v>33</v>
      </c>
      <c r="H2139" t="s">
        <v>325</v>
      </c>
      <c r="I2139" t="s">
        <v>4347</v>
      </c>
      <c r="J2139">
        <v>10.394852999999999</v>
      </c>
      <c r="K2139">
        <v>-84.565575999999993</v>
      </c>
      <c r="L2139" t="s">
        <v>1225</v>
      </c>
      <c r="M2139" t="s">
        <v>327</v>
      </c>
      <c r="N2139" t="s">
        <v>328</v>
      </c>
      <c r="O2139" t="s">
        <v>329</v>
      </c>
      <c r="P2139">
        <v>13</v>
      </c>
      <c r="Q2139" t="s">
        <v>161</v>
      </c>
      <c r="S2139" t="str">
        <f>_xlfn.XLOOKUP(UNIVERSO[[#This Row],[Ruta]],'[1]CUOTA RUTA'!A:A,'[1]CUOTA RUTA'!D:D)</f>
        <v>Cargar</v>
      </c>
    </row>
    <row r="2140" spans="1:19" x14ac:dyDescent="0.25">
      <c r="A2140">
        <v>1500716938</v>
      </c>
      <c r="B2140" t="s">
        <v>4348</v>
      </c>
      <c r="C2140" t="s">
        <v>19</v>
      </c>
      <c r="D2140" t="s">
        <v>32</v>
      </c>
      <c r="E2140" t="s">
        <v>21</v>
      </c>
      <c r="F2140" t="s">
        <v>22</v>
      </c>
      <c r="G2140" t="s">
        <v>23</v>
      </c>
      <c r="H2140" t="s">
        <v>625</v>
      </c>
      <c r="I2140" t="s">
        <v>4349</v>
      </c>
      <c r="J2140">
        <v>9.9725366666670006</v>
      </c>
      <c r="K2140">
        <v>-84.049895000000006</v>
      </c>
      <c r="L2140" t="s">
        <v>1225</v>
      </c>
      <c r="M2140" t="s">
        <v>94</v>
      </c>
      <c r="N2140" t="s">
        <v>95</v>
      </c>
      <c r="O2140" t="s">
        <v>96</v>
      </c>
      <c r="P2140">
        <v>7</v>
      </c>
      <c r="Q2140" t="s">
        <v>39</v>
      </c>
      <c r="S2140" t="str">
        <f>_xlfn.XLOOKUP(UNIVERSO[[#This Row],[Ruta]],'[1]CUOTA RUTA'!A:A,'[1]CUOTA RUTA'!D:D)</f>
        <v>Cargar</v>
      </c>
    </row>
    <row r="2141" spans="1:19" x14ac:dyDescent="0.25">
      <c r="A2141">
        <v>1500716994</v>
      </c>
      <c r="B2141" t="s">
        <v>4350</v>
      </c>
      <c r="C2141" t="s">
        <v>19</v>
      </c>
      <c r="D2141" t="s">
        <v>337</v>
      </c>
      <c r="E2141" t="s">
        <v>21</v>
      </c>
      <c r="F2141" t="s">
        <v>22</v>
      </c>
      <c r="G2141" t="s">
        <v>33</v>
      </c>
      <c r="H2141" t="s">
        <v>824</v>
      </c>
      <c r="I2141" t="s">
        <v>4351</v>
      </c>
      <c r="J2141">
        <v>10.5476071</v>
      </c>
      <c r="K2141">
        <v>-85.70638855</v>
      </c>
      <c r="L2141" t="s">
        <v>1225</v>
      </c>
      <c r="M2141" t="s">
        <v>327</v>
      </c>
      <c r="N2141" t="s">
        <v>340</v>
      </c>
      <c r="O2141" t="s">
        <v>341</v>
      </c>
      <c r="P2141">
        <v>19</v>
      </c>
      <c r="Q2141" t="s">
        <v>67</v>
      </c>
      <c r="S2141" t="str">
        <f>_xlfn.XLOOKUP(UNIVERSO[[#This Row],[Ruta]],'[1]CUOTA RUTA'!A:A,'[1]CUOTA RUTA'!D:D)</f>
        <v>Cargar</v>
      </c>
    </row>
    <row r="2142" spans="1:19" x14ac:dyDescent="0.25">
      <c r="A2142">
        <v>1500717150</v>
      </c>
      <c r="B2142" t="s">
        <v>4352</v>
      </c>
      <c r="C2142" t="s">
        <v>19</v>
      </c>
      <c r="D2142" t="s">
        <v>337</v>
      </c>
      <c r="E2142" t="s">
        <v>21</v>
      </c>
      <c r="F2142" t="s">
        <v>22</v>
      </c>
      <c r="G2142" t="s">
        <v>23</v>
      </c>
      <c r="H2142" t="s">
        <v>346</v>
      </c>
      <c r="I2142" t="s">
        <v>4353</v>
      </c>
      <c r="J2142">
        <v>10.605332130000001</v>
      </c>
      <c r="K2142">
        <v>-85.447528610000006</v>
      </c>
      <c r="L2142" t="s">
        <v>1225</v>
      </c>
      <c r="M2142" t="s">
        <v>327</v>
      </c>
      <c r="N2142" t="s">
        <v>340</v>
      </c>
      <c r="O2142" t="s">
        <v>341</v>
      </c>
      <c r="P2142">
        <v>14</v>
      </c>
      <c r="Q2142" t="s">
        <v>181</v>
      </c>
      <c r="S2142" t="str">
        <f>_xlfn.XLOOKUP(UNIVERSO[[#This Row],[Ruta]],'[1]CUOTA RUTA'!A:A,'[1]CUOTA RUTA'!D:D)</f>
        <v>Cargar</v>
      </c>
    </row>
    <row r="2143" spans="1:19" x14ac:dyDescent="0.25">
      <c r="A2143">
        <v>1500717201</v>
      </c>
      <c r="B2143" t="s">
        <v>4354</v>
      </c>
      <c r="C2143" t="s">
        <v>19</v>
      </c>
      <c r="D2143" t="s">
        <v>20</v>
      </c>
      <c r="E2143" t="s">
        <v>21</v>
      </c>
      <c r="F2143" t="s">
        <v>22</v>
      </c>
      <c r="G2143" t="s">
        <v>64</v>
      </c>
      <c r="H2143" t="s">
        <v>1128</v>
      </c>
      <c r="I2143" t="s">
        <v>4355</v>
      </c>
      <c r="J2143">
        <v>10.088937</v>
      </c>
      <c r="K2143">
        <v>-84.293548000000001</v>
      </c>
      <c r="L2143" t="s">
        <v>1225</v>
      </c>
      <c r="M2143" t="s">
        <v>46</v>
      </c>
      <c r="N2143" t="s">
        <v>47</v>
      </c>
      <c r="O2143" t="s">
        <v>48</v>
      </c>
      <c r="P2143">
        <v>4</v>
      </c>
      <c r="Q2143" t="s">
        <v>120</v>
      </c>
      <c r="S2143" t="str">
        <f>_xlfn.XLOOKUP(UNIVERSO[[#This Row],[Ruta]],'[1]CUOTA RUTA'!A:A,'[1]CUOTA RUTA'!D:D)</f>
        <v>Cargar</v>
      </c>
    </row>
    <row r="2144" spans="1:19" x14ac:dyDescent="0.25">
      <c r="A2144">
        <v>1500717224</v>
      </c>
      <c r="B2144" t="s">
        <v>3187</v>
      </c>
      <c r="C2144" t="s">
        <v>19</v>
      </c>
      <c r="D2144" t="s">
        <v>201</v>
      </c>
      <c r="E2144" t="s">
        <v>21</v>
      </c>
      <c r="F2144" t="s">
        <v>51</v>
      </c>
      <c r="G2144" t="s">
        <v>23</v>
      </c>
      <c r="H2144" t="s">
        <v>785</v>
      </c>
      <c r="I2144" t="s">
        <v>4356</v>
      </c>
      <c r="J2144">
        <v>10.1131689</v>
      </c>
      <c r="K2144">
        <v>-84.896337900000006</v>
      </c>
      <c r="L2144" t="s">
        <v>1225</v>
      </c>
      <c r="M2144" t="s">
        <v>204</v>
      </c>
      <c r="N2144" t="s">
        <v>205</v>
      </c>
      <c r="O2144" t="s">
        <v>206</v>
      </c>
      <c r="P2144">
        <v>12</v>
      </c>
      <c r="Q2144" t="s">
        <v>42</v>
      </c>
      <c r="S2144" t="str">
        <f>_xlfn.XLOOKUP(UNIVERSO[[#This Row],[Ruta]],'[1]CUOTA RUTA'!A:A,'[1]CUOTA RUTA'!D:D)</f>
        <v>Cargar</v>
      </c>
    </row>
    <row r="2145" spans="1:19" x14ac:dyDescent="0.25">
      <c r="A2145">
        <v>1500717407</v>
      </c>
      <c r="B2145" t="s">
        <v>4357</v>
      </c>
      <c r="C2145" t="s">
        <v>19</v>
      </c>
      <c r="D2145" t="s">
        <v>32</v>
      </c>
      <c r="E2145" t="s">
        <v>21</v>
      </c>
      <c r="F2145" t="s">
        <v>22</v>
      </c>
      <c r="G2145" t="s">
        <v>33</v>
      </c>
      <c r="H2145" t="s">
        <v>148</v>
      </c>
      <c r="I2145" t="s">
        <v>4358</v>
      </c>
      <c r="J2145">
        <v>9.9860330000000008</v>
      </c>
      <c r="K2145">
        <v>-83.999527</v>
      </c>
      <c r="L2145" t="s">
        <v>1225</v>
      </c>
      <c r="M2145" t="s">
        <v>94</v>
      </c>
      <c r="N2145" t="s">
        <v>95</v>
      </c>
      <c r="O2145" t="s">
        <v>96</v>
      </c>
      <c r="P2145">
        <v>4</v>
      </c>
      <c r="Q2145" t="s">
        <v>120</v>
      </c>
      <c r="S2145" t="str">
        <f>_xlfn.XLOOKUP(UNIVERSO[[#This Row],[Ruta]],'[1]CUOTA RUTA'!A:A,'[1]CUOTA RUTA'!D:D)</f>
        <v>Cargar</v>
      </c>
    </row>
    <row r="2146" spans="1:19" x14ac:dyDescent="0.25">
      <c r="A2146">
        <v>1500717477</v>
      </c>
      <c r="B2146" t="s">
        <v>4359</v>
      </c>
      <c r="C2146" t="s">
        <v>19</v>
      </c>
      <c r="D2146" t="s">
        <v>32</v>
      </c>
      <c r="E2146" t="s">
        <v>21</v>
      </c>
      <c r="F2146" t="s">
        <v>22</v>
      </c>
      <c r="G2146" t="s">
        <v>33</v>
      </c>
      <c r="H2146" t="s">
        <v>69</v>
      </c>
      <c r="I2146" t="s">
        <v>4360</v>
      </c>
      <c r="J2146">
        <v>9.8744309999999995</v>
      </c>
      <c r="K2146">
        <v>-84.063502999999997</v>
      </c>
      <c r="L2146" t="s">
        <v>1225</v>
      </c>
      <c r="M2146" t="s">
        <v>71</v>
      </c>
      <c r="N2146" t="s">
        <v>72</v>
      </c>
      <c r="O2146" t="s">
        <v>73</v>
      </c>
      <c r="P2146">
        <v>19</v>
      </c>
      <c r="Q2146" t="s">
        <v>67</v>
      </c>
      <c r="S2146" t="str">
        <f>_xlfn.XLOOKUP(UNIVERSO[[#This Row],[Ruta]],'[1]CUOTA RUTA'!A:A,'[1]CUOTA RUTA'!D:D)</f>
        <v>Cargar</v>
      </c>
    </row>
    <row r="2147" spans="1:19" x14ac:dyDescent="0.25">
      <c r="A2147">
        <v>1500717496</v>
      </c>
      <c r="B2147" t="s">
        <v>4361</v>
      </c>
      <c r="C2147" t="s">
        <v>19</v>
      </c>
      <c r="D2147" t="s">
        <v>266</v>
      </c>
      <c r="E2147" t="s">
        <v>21</v>
      </c>
      <c r="F2147" t="s">
        <v>22</v>
      </c>
      <c r="G2147" t="s">
        <v>64</v>
      </c>
      <c r="H2147" t="s">
        <v>314</v>
      </c>
      <c r="I2147" t="s">
        <v>4362</v>
      </c>
      <c r="J2147">
        <v>9.8747939999999996</v>
      </c>
      <c r="K2147">
        <v>-83.894710000000003</v>
      </c>
      <c r="L2147" t="s">
        <v>1225</v>
      </c>
      <c r="M2147" t="s">
        <v>36</v>
      </c>
      <c r="N2147" t="s">
        <v>316</v>
      </c>
      <c r="O2147" t="s">
        <v>317</v>
      </c>
      <c r="P2147">
        <v>17</v>
      </c>
      <c r="Q2147" t="s">
        <v>287</v>
      </c>
      <c r="S2147" t="str">
        <f>_xlfn.XLOOKUP(UNIVERSO[[#This Row],[Ruta]],'[1]CUOTA RUTA'!A:A,'[1]CUOTA RUTA'!D:D)</f>
        <v>Cargar</v>
      </c>
    </row>
    <row r="2148" spans="1:19" x14ac:dyDescent="0.25">
      <c r="A2148">
        <v>1500717511</v>
      </c>
      <c r="B2148" t="s">
        <v>4363</v>
      </c>
      <c r="C2148" t="s">
        <v>19</v>
      </c>
      <c r="D2148" t="s">
        <v>20</v>
      </c>
      <c r="E2148" t="s">
        <v>21</v>
      </c>
      <c r="F2148" t="s">
        <v>22</v>
      </c>
      <c r="G2148" t="s">
        <v>33</v>
      </c>
      <c r="H2148" t="s">
        <v>250</v>
      </c>
      <c r="I2148" t="s">
        <v>4364</v>
      </c>
      <c r="J2148">
        <v>10.02997075</v>
      </c>
      <c r="K2148">
        <v>-84.226723759999999</v>
      </c>
      <c r="L2148" t="s">
        <v>1225</v>
      </c>
      <c r="M2148" t="s">
        <v>46</v>
      </c>
      <c r="N2148" t="s">
        <v>47</v>
      </c>
      <c r="O2148" t="s">
        <v>48</v>
      </c>
      <c r="P2148">
        <v>3</v>
      </c>
      <c r="Q2148" t="s">
        <v>101</v>
      </c>
      <c r="S2148" t="str">
        <f>_xlfn.XLOOKUP(UNIVERSO[[#This Row],[Ruta]],'[1]CUOTA RUTA'!A:A,'[1]CUOTA RUTA'!D:D)</f>
        <v>Cargar</v>
      </c>
    </row>
    <row r="2149" spans="1:19" x14ac:dyDescent="0.25">
      <c r="A2149">
        <v>1500717542</v>
      </c>
      <c r="B2149" t="s">
        <v>4365</v>
      </c>
      <c r="C2149" t="s">
        <v>19</v>
      </c>
      <c r="D2149" t="s">
        <v>208</v>
      </c>
      <c r="E2149" t="s">
        <v>21</v>
      </c>
      <c r="F2149" t="s">
        <v>22</v>
      </c>
      <c r="G2149" t="s">
        <v>33</v>
      </c>
      <c r="H2149" t="s">
        <v>221</v>
      </c>
      <c r="I2149" t="s">
        <v>4366</v>
      </c>
      <c r="J2149">
        <v>10.271380000000001</v>
      </c>
      <c r="K2149">
        <v>-83.774140000000003</v>
      </c>
      <c r="L2149" t="s">
        <v>1225</v>
      </c>
      <c r="M2149" t="s">
        <v>189</v>
      </c>
      <c r="N2149" t="s">
        <v>211</v>
      </c>
      <c r="O2149" t="s">
        <v>212</v>
      </c>
      <c r="P2149">
        <v>2</v>
      </c>
      <c r="Q2149" t="s">
        <v>150</v>
      </c>
      <c r="S2149" t="str">
        <f>_xlfn.XLOOKUP(UNIVERSO[[#This Row],[Ruta]],'[1]CUOTA RUTA'!A:A,'[1]CUOTA RUTA'!D:D)</f>
        <v>Cargar</v>
      </c>
    </row>
    <row r="2150" spans="1:19" x14ac:dyDescent="0.25">
      <c r="A2150">
        <v>1500717546</v>
      </c>
      <c r="B2150" t="s">
        <v>4367</v>
      </c>
      <c r="C2150" t="s">
        <v>19</v>
      </c>
      <c r="D2150" t="s">
        <v>208</v>
      </c>
      <c r="E2150" t="s">
        <v>21</v>
      </c>
      <c r="F2150" t="s">
        <v>22</v>
      </c>
      <c r="G2150" t="s">
        <v>33</v>
      </c>
      <c r="H2150" t="s">
        <v>218</v>
      </c>
      <c r="I2150" t="s">
        <v>4368</v>
      </c>
      <c r="J2150">
        <v>10.278651</v>
      </c>
      <c r="K2150">
        <v>-83.787655099999995</v>
      </c>
      <c r="L2150" t="s">
        <v>1225</v>
      </c>
      <c r="M2150" t="s">
        <v>189</v>
      </c>
      <c r="N2150" t="s">
        <v>211</v>
      </c>
      <c r="O2150" t="s">
        <v>212</v>
      </c>
      <c r="P2150">
        <v>2</v>
      </c>
      <c r="Q2150" t="s">
        <v>150</v>
      </c>
      <c r="S2150" t="str">
        <f>_xlfn.XLOOKUP(UNIVERSO[[#This Row],[Ruta]],'[1]CUOTA RUTA'!A:A,'[1]CUOTA RUTA'!D:D)</f>
        <v>Cargar</v>
      </c>
    </row>
    <row r="2151" spans="1:19" x14ac:dyDescent="0.25">
      <c r="A2151">
        <v>1500717597</v>
      </c>
      <c r="B2151" t="s">
        <v>4369</v>
      </c>
      <c r="C2151" t="s">
        <v>19</v>
      </c>
      <c r="D2151" t="s">
        <v>349</v>
      </c>
      <c r="E2151" t="s">
        <v>21</v>
      </c>
      <c r="F2151" t="s">
        <v>22</v>
      </c>
      <c r="G2151" t="s">
        <v>64</v>
      </c>
      <c r="H2151" t="s">
        <v>350</v>
      </c>
      <c r="I2151" t="s">
        <v>4370</v>
      </c>
      <c r="J2151">
        <v>10.26569153</v>
      </c>
      <c r="K2151">
        <v>-85.578776120000001</v>
      </c>
      <c r="L2151" t="s">
        <v>1225</v>
      </c>
      <c r="M2151" t="s">
        <v>352</v>
      </c>
      <c r="N2151" t="s">
        <v>353</v>
      </c>
      <c r="O2151" t="s">
        <v>354</v>
      </c>
      <c r="P2151">
        <v>2</v>
      </c>
      <c r="Q2151" t="s">
        <v>150</v>
      </c>
      <c r="S2151" t="str">
        <f>_xlfn.XLOOKUP(UNIVERSO[[#This Row],[Ruta]],'[1]CUOTA RUTA'!A:A,'[1]CUOTA RUTA'!D:D)</f>
        <v>Cargar</v>
      </c>
    </row>
    <row r="2152" spans="1:19" x14ac:dyDescent="0.25">
      <c r="A2152">
        <v>1500717705</v>
      </c>
      <c r="B2152" t="s">
        <v>4371</v>
      </c>
      <c r="C2152" t="s">
        <v>19</v>
      </c>
      <c r="D2152" t="s">
        <v>208</v>
      </c>
      <c r="E2152" t="s">
        <v>21</v>
      </c>
      <c r="F2152" t="s">
        <v>22</v>
      </c>
      <c r="G2152" t="s">
        <v>64</v>
      </c>
      <c r="H2152" t="s">
        <v>218</v>
      </c>
      <c r="I2152" t="s">
        <v>4372</v>
      </c>
      <c r="J2152">
        <v>10.252606</v>
      </c>
      <c r="K2152">
        <v>-83.795328999999995</v>
      </c>
      <c r="L2152" t="s">
        <v>1225</v>
      </c>
      <c r="M2152" t="s">
        <v>189</v>
      </c>
      <c r="N2152" t="s">
        <v>211</v>
      </c>
      <c r="O2152" t="s">
        <v>212</v>
      </c>
      <c r="P2152">
        <v>5</v>
      </c>
      <c r="Q2152" t="s">
        <v>117</v>
      </c>
      <c r="S2152" t="str">
        <f>_xlfn.XLOOKUP(UNIVERSO[[#This Row],[Ruta]],'[1]CUOTA RUTA'!A:A,'[1]CUOTA RUTA'!D:D)</f>
        <v>Cargar</v>
      </c>
    </row>
    <row r="2153" spans="1:19" x14ac:dyDescent="0.25">
      <c r="A2153">
        <v>1500717749</v>
      </c>
      <c r="B2153" t="s">
        <v>4373</v>
      </c>
      <c r="C2153" t="s">
        <v>19</v>
      </c>
      <c r="D2153" t="s">
        <v>20</v>
      </c>
      <c r="E2153" t="s">
        <v>21</v>
      </c>
      <c r="F2153" t="s">
        <v>22</v>
      </c>
      <c r="G2153" t="s">
        <v>33</v>
      </c>
      <c r="H2153" t="s">
        <v>674</v>
      </c>
      <c r="I2153" t="s">
        <v>4374</v>
      </c>
      <c r="J2153">
        <v>10.105119999999999</v>
      </c>
      <c r="K2153">
        <v>-84.470320000000001</v>
      </c>
      <c r="L2153" t="s">
        <v>1225</v>
      </c>
      <c r="M2153" t="s">
        <v>46</v>
      </c>
      <c r="N2153" t="s">
        <v>47</v>
      </c>
      <c r="O2153" t="s">
        <v>48</v>
      </c>
      <c r="P2153">
        <v>6</v>
      </c>
      <c r="Q2153" t="s">
        <v>49</v>
      </c>
      <c r="S2153" t="str">
        <f>_xlfn.XLOOKUP(UNIVERSO[[#This Row],[Ruta]],'[1]CUOTA RUTA'!A:A,'[1]CUOTA RUTA'!D:D)</f>
        <v>Cargar</v>
      </c>
    </row>
    <row r="2154" spans="1:19" x14ac:dyDescent="0.25">
      <c r="A2154">
        <v>1500718000</v>
      </c>
      <c r="B2154" t="s">
        <v>4375</v>
      </c>
      <c r="C2154" t="s">
        <v>19</v>
      </c>
      <c r="D2154" t="s">
        <v>208</v>
      </c>
      <c r="E2154" t="s">
        <v>62</v>
      </c>
      <c r="F2154" t="s">
        <v>63</v>
      </c>
      <c r="G2154" t="s">
        <v>64</v>
      </c>
      <c r="H2154" t="s">
        <v>631</v>
      </c>
      <c r="I2154" t="s">
        <v>4376</v>
      </c>
      <c r="J2154">
        <v>10.349294</v>
      </c>
      <c r="K2154">
        <v>-83.622973000000002</v>
      </c>
      <c r="L2154" t="s">
        <v>1225</v>
      </c>
      <c r="M2154" t="s">
        <v>189</v>
      </c>
      <c r="N2154" t="s">
        <v>211</v>
      </c>
      <c r="O2154" t="s">
        <v>212</v>
      </c>
      <c r="P2154">
        <v>6</v>
      </c>
      <c r="Q2154" t="s">
        <v>49</v>
      </c>
      <c r="S2154" t="str">
        <f>_xlfn.XLOOKUP(UNIVERSO[[#This Row],[Ruta]],'[1]CUOTA RUTA'!A:A,'[1]CUOTA RUTA'!D:D)</f>
        <v>Cargar</v>
      </c>
    </row>
    <row r="2155" spans="1:19" x14ac:dyDescent="0.25">
      <c r="A2155">
        <v>1500718062</v>
      </c>
      <c r="B2155" t="s">
        <v>4377</v>
      </c>
      <c r="C2155" t="s">
        <v>19</v>
      </c>
      <c r="D2155" t="s">
        <v>32</v>
      </c>
      <c r="E2155" t="s">
        <v>62</v>
      </c>
      <c r="F2155" t="s">
        <v>63</v>
      </c>
      <c r="G2155" t="s">
        <v>33</v>
      </c>
      <c r="H2155" t="s">
        <v>115</v>
      </c>
      <c r="I2155" t="s">
        <v>4378</v>
      </c>
      <c r="J2155">
        <v>9.9592080000000003</v>
      </c>
      <c r="K2155">
        <v>-84.085554000000002</v>
      </c>
      <c r="L2155" t="s">
        <v>1225</v>
      </c>
      <c r="M2155" t="s">
        <v>36</v>
      </c>
      <c r="N2155" t="s">
        <v>37</v>
      </c>
      <c r="O2155" t="s">
        <v>38</v>
      </c>
      <c r="P2155">
        <v>2</v>
      </c>
      <c r="Q2155" t="s">
        <v>150</v>
      </c>
      <c r="S2155" t="str">
        <f>_xlfn.XLOOKUP(UNIVERSO[[#This Row],[Ruta]],'[1]CUOTA RUTA'!A:A,'[1]CUOTA RUTA'!D:D)</f>
        <v>Cargar</v>
      </c>
    </row>
    <row r="2156" spans="1:19" x14ac:dyDescent="0.25">
      <c r="A2156">
        <v>1500718084</v>
      </c>
      <c r="B2156" t="s">
        <v>4379</v>
      </c>
      <c r="C2156" t="s">
        <v>19</v>
      </c>
      <c r="D2156" t="s">
        <v>266</v>
      </c>
      <c r="E2156" t="s">
        <v>21</v>
      </c>
      <c r="F2156" t="s">
        <v>22</v>
      </c>
      <c r="G2156" t="s">
        <v>33</v>
      </c>
      <c r="H2156" t="s">
        <v>272</v>
      </c>
      <c r="I2156" t="s">
        <v>4380</v>
      </c>
      <c r="J2156">
        <v>9.8856199999999994</v>
      </c>
      <c r="K2156">
        <v>-83.808245299999996</v>
      </c>
      <c r="L2156" t="s">
        <v>1225</v>
      </c>
      <c r="M2156" t="s">
        <v>54</v>
      </c>
      <c r="N2156" t="s">
        <v>274</v>
      </c>
      <c r="O2156" t="s">
        <v>275</v>
      </c>
      <c r="P2156">
        <v>21</v>
      </c>
      <c r="Q2156" t="s">
        <v>239</v>
      </c>
      <c r="S2156" t="str">
        <f>_xlfn.XLOOKUP(UNIVERSO[[#This Row],[Ruta]],'[1]CUOTA RUTA'!A:A,'[1]CUOTA RUTA'!D:D)</f>
        <v>Cargar</v>
      </c>
    </row>
    <row r="2157" spans="1:19" x14ac:dyDescent="0.25">
      <c r="A2157">
        <v>1500718255</v>
      </c>
      <c r="B2157" t="s">
        <v>4381</v>
      </c>
      <c r="C2157" t="s">
        <v>19</v>
      </c>
      <c r="D2157" t="s">
        <v>186</v>
      </c>
      <c r="E2157" t="s">
        <v>21</v>
      </c>
      <c r="F2157" t="s">
        <v>22</v>
      </c>
      <c r="G2157" t="s">
        <v>33</v>
      </c>
      <c r="H2157" t="s">
        <v>420</v>
      </c>
      <c r="I2157" t="s">
        <v>4382</v>
      </c>
      <c r="J2157">
        <v>9.8794640000000005</v>
      </c>
      <c r="K2157">
        <v>-83.007823000000002</v>
      </c>
      <c r="L2157" t="s">
        <v>1225</v>
      </c>
      <c r="M2157" t="s">
        <v>189</v>
      </c>
      <c r="N2157" t="s">
        <v>190</v>
      </c>
      <c r="O2157" t="s">
        <v>191</v>
      </c>
      <c r="P2157">
        <v>16</v>
      </c>
      <c r="Q2157" t="s">
        <v>60</v>
      </c>
      <c r="S2157" t="str">
        <f>_xlfn.XLOOKUP(UNIVERSO[[#This Row],[Ruta]],'[1]CUOTA RUTA'!A:A,'[1]CUOTA RUTA'!D:D)</f>
        <v>Cargar</v>
      </c>
    </row>
    <row r="2158" spans="1:19" x14ac:dyDescent="0.25">
      <c r="A2158">
        <v>1500718271</v>
      </c>
      <c r="B2158" t="s">
        <v>4383</v>
      </c>
      <c r="C2158" t="s">
        <v>19</v>
      </c>
      <c r="D2158" t="s">
        <v>20</v>
      </c>
      <c r="E2158" t="s">
        <v>21</v>
      </c>
      <c r="F2158" t="s">
        <v>22</v>
      </c>
      <c r="G2158" t="s">
        <v>23</v>
      </c>
      <c r="H2158" t="s">
        <v>554</v>
      </c>
      <c r="I2158" t="s">
        <v>4384</v>
      </c>
      <c r="J2158">
        <v>10.022656</v>
      </c>
      <c r="K2158">
        <v>-84.131879999999995</v>
      </c>
      <c r="L2158" t="s">
        <v>1225</v>
      </c>
      <c r="M2158" t="s">
        <v>27</v>
      </c>
      <c r="N2158" t="s">
        <v>28</v>
      </c>
      <c r="O2158" t="s">
        <v>29</v>
      </c>
      <c r="P2158">
        <v>15</v>
      </c>
      <c r="Q2158" t="s">
        <v>231</v>
      </c>
      <c r="S2158" t="str">
        <f>_xlfn.XLOOKUP(UNIVERSO[[#This Row],[Ruta]],'[1]CUOTA RUTA'!A:A,'[1]CUOTA RUTA'!D:D)</f>
        <v>Cargar</v>
      </c>
    </row>
    <row r="2159" spans="1:19" x14ac:dyDescent="0.25">
      <c r="A2159">
        <v>1500718282</v>
      </c>
      <c r="B2159" t="s">
        <v>4385</v>
      </c>
      <c r="C2159" t="s">
        <v>19</v>
      </c>
      <c r="D2159" t="s">
        <v>266</v>
      </c>
      <c r="E2159" t="s">
        <v>21</v>
      </c>
      <c r="F2159" t="s">
        <v>22</v>
      </c>
      <c r="G2159" t="s">
        <v>64</v>
      </c>
      <c r="H2159" t="s">
        <v>267</v>
      </c>
      <c r="I2159" t="s">
        <v>4386</v>
      </c>
      <c r="J2159">
        <v>9.9175880799999998</v>
      </c>
      <c r="K2159">
        <v>-83.676749950000001</v>
      </c>
      <c r="L2159" t="s">
        <v>1225</v>
      </c>
      <c r="M2159" t="s">
        <v>189</v>
      </c>
      <c r="N2159" t="s">
        <v>269</v>
      </c>
      <c r="O2159" t="s">
        <v>270</v>
      </c>
      <c r="P2159">
        <v>22</v>
      </c>
      <c r="Q2159" t="s">
        <v>30</v>
      </c>
      <c r="S2159" t="str">
        <f>_xlfn.XLOOKUP(UNIVERSO[[#This Row],[Ruta]],'[1]CUOTA RUTA'!A:A,'[1]CUOTA RUTA'!D:D)</f>
        <v>Cargar</v>
      </c>
    </row>
    <row r="2160" spans="1:19" x14ac:dyDescent="0.25">
      <c r="A2160">
        <v>1500718366</v>
      </c>
      <c r="B2160" t="s">
        <v>4387</v>
      </c>
      <c r="C2160" t="s">
        <v>19</v>
      </c>
      <c r="D2160" t="s">
        <v>32</v>
      </c>
      <c r="E2160" t="s">
        <v>21</v>
      </c>
      <c r="F2160" t="s">
        <v>51</v>
      </c>
      <c r="G2160" t="s">
        <v>23</v>
      </c>
      <c r="H2160" t="s">
        <v>127</v>
      </c>
      <c r="I2160" t="s">
        <v>4388</v>
      </c>
      <c r="J2160">
        <v>9.7777766666670001</v>
      </c>
      <c r="K2160">
        <v>-84.075251666659994</v>
      </c>
      <c r="L2160" t="s">
        <v>1225</v>
      </c>
      <c r="M2160" t="s">
        <v>54</v>
      </c>
      <c r="N2160" t="s">
        <v>129</v>
      </c>
      <c r="O2160" t="s">
        <v>130</v>
      </c>
      <c r="P2160">
        <v>23</v>
      </c>
      <c r="Q2160" t="s">
        <v>125</v>
      </c>
      <c r="S2160" t="str">
        <f>_xlfn.XLOOKUP(UNIVERSO[[#This Row],[Ruta]],'[1]CUOTA RUTA'!A:A,'[1]CUOTA RUTA'!D:D)</f>
        <v>Cargar</v>
      </c>
    </row>
    <row r="2161" spans="1:19" x14ac:dyDescent="0.25">
      <c r="A2161">
        <v>1500718425</v>
      </c>
      <c r="B2161" t="s">
        <v>4389</v>
      </c>
      <c r="C2161" t="s">
        <v>19</v>
      </c>
      <c r="D2161" t="s">
        <v>266</v>
      </c>
      <c r="E2161" t="s">
        <v>21</v>
      </c>
      <c r="F2161" t="s">
        <v>22</v>
      </c>
      <c r="G2161" t="s">
        <v>33</v>
      </c>
      <c r="H2161" t="s">
        <v>314</v>
      </c>
      <c r="I2161" t="s">
        <v>4390</v>
      </c>
      <c r="J2161">
        <v>9.8743271000000004</v>
      </c>
      <c r="K2161">
        <v>-83.9221735</v>
      </c>
      <c r="L2161" t="s">
        <v>1225</v>
      </c>
      <c r="M2161" t="s">
        <v>36</v>
      </c>
      <c r="N2161" t="s">
        <v>316</v>
      </c>
      <c r="O2161" t="s">
        <v>317</v>
      </c>
      <c r="P2161">
        <v>16</v>
      </c>
      <c r="Q2161" t="s">
        <v>60</v>
      </c>
      <c r="S2161" t="str">
        <f>_xlfn.XLOOKUP(UNIVERSO[[#This Row],[Ruta]],'[1]CUOTA RUTA'!A:A,'[1]CUOTA RUTA'!D:D)</f>
        <v>Cargar</v>
      </c>
    </row>
    <row r="2162" spans="1:19" x14ac:dyDescent="0.25">
      <c r="A2162">
        <v>1500718433</v>
      </c>
      <c r="B2162" t="s">
        <v>3043</v>
      </c>
      <c r="C2162" t="s">
        <v>19</v>
      </c>
      <c r="D2162" t="s">
        <v>32</v>
      </c>
      <c r="E2162" t="s">
        <v>21</v>
      </c>
      <c r="F2162" t="s">
        <v>22</v>
      </c>
      <c r="G2162" t="s">
        <v>64</v>
      </c>
      <c r="H2162" t="s">
        <v>76</v>
      </c>
      <c r="I2162" t="s">
        <v>4391</v>
      </c>
      <c r="J2162">
        <v>9.9651049999999994</v>
      </c>
      <c r="K2162">
        <v>-83.993110999999999</v>
      </c>
      <c r="L2162" t="s">
        <v>1225</v>
      </c>
      <c r="M2162" t="s">
        <v>36</v>
      </c>
      <c r="N2162" t="s">
        <v>37</v>
      </c>
      <c r="O2162" t="s">
        <v>38</v>
      </c>
      <c r="P2162">
        <v>21</v>
      </c>
      <c r="Q2162" t="s">
        <v>239</v>
      </c>
      <c r="S2162" t="str">
        <f>_xlfn.XLOOKUP(UNIVERSO[[#This Row],[Ruta]],'[1]CUOTA RUTA'!A:A,'[1]CUOTA RUTA'!D:D)</f>
        <v>Cargar</v>
      </c>
    </row>
    <row r="2163" spans="1:19" x14ac:dyDescent="0.25">
      <c r="A2163">
        <v>1500718769</v>
      </c>
      <c r="B2163" t="s">
        <v>4392</v>
      </c>
      <c r="C2163" t="s">
        <v>19</v>
      </c>
      <c r="D2163" t="s">
        <v>20</v>
      </c>
      <c r="E2163" t="s">
        <v>21</v>
      </c>
      <c r="F2163" t="s">
        <v>22</v>
      </c>
      <c r="G2163" t="s">
        <v>33</v>
      </c>
      <c r="H2163" t="s">
        <v>901</v>
      </c>
      <c r="I2163" t="s">
        <v>4393</v>
      </c>
      <c r="J2163">
        <v>10.047470000000001</v>
      </c>
      <c r="K2163">
        <v>-84.438730000000007</v>
      </c>
      <c r="L2163" t="s">
        <v>1225</v>
      </c>
      <c r="M2163" t="s">
        <v>46</v>
      </c>
      <c r="N2163" t="s">
        <v>47</v>
      </c>
      <c r="O2163" t="s">
        <v>48</v>
      </c>
      <c r="P2163">
        <v>7</v>
      </c>
      <c r="Q2163" t="s">
        <v>39</v>
      </c>
      <c r="S2163" t="str">
        <f>_xlfn.XLOOKUP(UNIVERSO[[#This Row],[Ruta]],'[1]CUOTA RUTA'!A:A,'[1]CUOTA RUTA'!D:D)</f>
        <v>Cargar</v>
      </c>
    </row>
    <row r="2164" spans="1:19" x14ac:dyDescent="0.25">
      <c r="A2164">
        <v>1500718803</v>
      </c>
      <c r="B2164" t="s">
        <v>4394</v>
      </c>
      <c r="C2164" t="s">
        <v>19</v>
      </c>
      <c r="D2164" t="s">
        <v>201</v>
      </c>
      <c r="E2164" t="s">
        <v>21</v>
      </c>
      <c r="F2164" t="s">
        <v>22</v>
      </c>
      <c r="G2164" t="s">
        <v>23</v>
      </c>
      <c r="H2164" t="s">
        <v>785</v>
      </c>
      <c r="I2164" t="s">
        <v>4395</v>
      </c>
      <c r="J2164">
        <v>10.0445364</v>
      </c>
      <c r="K2164">
        <v>-84.908833000000001</v>
      </c>
      <c r="L2164" t="s">
        <v>1225</v>
      </c>
      <c r="M2164" t="s">
        <v>204</v>
      </c>
      <c r="N2164" t="s">
        <v>205</v>
      </c>
      <c r="O2164" t="s">
        <v>206</v>
      </c>
      <c r="P2164">
        <v>12</v>
      </c>
      <c r="Q2164" t="s">
        <v>42</v>
      </c>
      <c r="S2164" t="str">
        <f>_xlfn.XLOOKUP(UNIVERSO[[#This Row],[Ruta]],'[1]CUOTA RUTA'!A:A,'[1]CUOTA RUTA'!D:D)</f>
        <v>Cargar</v>
      </c>
    </row>
    <row r="2165" spans="1:19" x14ac:dyDescent="0.25">
      <c r="A2165">
        <v>1500719068</v>
      </c>
      <c r="B2165" t="s">
        <v>4396</v>
      </c>
      <c r="C2165" t="s">
        <v>19</v>
      </c>
      <c r="D2165" t="s">
        <v>266</v>
      </c>
      <c r="E2165" t="s">
        <v>21</v>
      </c>
      <c r="F2165" t="s">
        <v>51</v>
      </c>
      <c r="G2165" t="s">
        <v>23</v>
      </c>
      <c r="H2165" t="s">
        <v>272</v>
      </c>
      <c r="I2165" t="s">
        <v>4397</v>
      </c>
      <c r="J2165">
        <v>9.8536990000000007</v>
      </c>
      <c r="K2165">
        <v>-83.846804300000002</v>
      </c>
      <c r="L2165" t="s">
        <v>1225</v>
      </c>
      <c r="M2165" t="s">
        <v>54</v>
      </c>
      <c r="N2165" t="s">
        <v>274</v>
      </c>
      <c r="O2165" t="s">
        <v>275</v>
      </c>
      <c r="P2165">
        <v>21</v>
      </c>
      <c r="Q2165" t="s">
        <v>239</v>
      </c>
      <c r="S2165" t="str">
        <f>_xlfn.XLOOKUP(UNIVERSO[[#This Row],[Ruta]],'[1]CUOTA RUTA'!A:A,'[1]CUOTA RUTA'!D:D)</f>
        <v>Cargar</v>
      </c>
    </row>
    <row r="2166" spans="1:19" x14ac:dyDescent="0.25">
      <c r="A2166">
        <v>1500719093</v>
      </c>
      <c r="B2166" t="s">
        <v>4398</v>
      </c>
      <c r="C2166" t="s">
        <v>19</v>
      </c>
      <c r="D2166" t="s">
        <v>244</v>
      </c>
      <c r="E2166" t="s">
        <v>21</v>
      </c>
      <c r="F2166" t="s">
        <v>22</v>
      </c>
      <c r="G2166" t="s">
        <v>33</v>
      </c>
      <c r="H2166" t="s">
        <v>1294</v>
      </c>
      <c r="I2166" t="s">
        <v>4399</v>
      </c>
      <c r="J2166">
        <v>9.1658139999999992</v>
      </c>
      <c r="K2166">
        <v>-83.407246999999998</v>
      </c>
      <c r="L2166" t="s">
        <v>1225</v>
      </c>
      <c r="M2166" t="s">
        <v>46</v>
      </c>
      <c r="N2166" t="s">
        <v>247</v>
      </c>
      <c r="O2166" t="s">
        <v>248</v>
      </c>
      <c r="P2166">
        <v>12</v>
      </c>
      <c r="Q2166" t="s">
        <v>42</v>
      </c>
      <c r="S2166" t="str">
        <f>_xlfn.XLOOKUP(UNIVERSO[[#This Row],[Ruta]],'[1]CUOTA RUTA'!A:A,'[1]CUOTA RUTA'!D:D)</f>
        <v>Cargar</v>
      </c>
    </row>
    <row r="2167" spans="1:19" x14ac:dyDescent="0.25">
      <c r="A2167">
        <v>1500719102</v>
      </c>
      <c r="B2167" t="s">
        <v>4400</v>
      </c>
      <c r="C2167" t="s">
        <v>19</v>
      </c>
      <c r="D2167" t="s">
        <v>20</v>
      </c>
      <c r="E2167" t="s">
        <v>21</v>
      </c>
      <c r="F2167" t="s">
        <v>51</v>
      </c>
      <c r="G2167" t="s">
        <v>23</v>
      </c>
      <c r="H2167" t="s">
        <v>277</v>
      </c>
      <c r="I2167" t="s">
        <v>4401</v>
      </c>
      <c r="J2167">
        <v>9.9461200000000005</v>
      </c>
      <c r="K2167">
        <v>-84.26276</v>
      </c>
      <c r="L2167" t="s">
        <v>1225</v>
      </c>
      <c r="M2167" t="s">
        <v>54</v>
      </c>
      <c r="N2167" t="s">
        <v>55</v>
      </c>
      <c r="O2167" t="s">
        <v>56</v>
      </c>
      <c r="P2167">
        <v>20</v>
      </c>
      <c r="Q2167" t="s">
        <v>74</v>
      </c>
      <c r="S2167" t="str">
        <f>_xlfn.XLOOKUP(UNIVERSO[[#This Row],[Ruta]],'[1]CUOTA RUTA'!A:A,'[1]CUOTA RUTA'!D:D)</f>
        <v>Cargar</v>
      </c>
    </row>
    <row r="2168" spans="1:19" x14ac:dyDescent="0.25">
      <c r="A2168">
        <v>1500719143</v>
      </c>
      <c r="B2168" t="s">
        <v>4402</v>
      </c>
      <c r="C2168" t="s">
        <v>19</v>
      </c>
      <c r="D2168" t="s">
        <v>266</v>
      </c>
      <c r="E2168" t="s">
        <v>21</v>
      </c>
      <c r="F2168" t="s">
        <v>22</v>
      </c>
      <c r="G2168" t="s">
        <v>23</v>
      </c>
      <c r="H2168" t="s">
        <v>404</v>
      </c>
      <c r="I2168" t="s">
        <v>4403</v>
      </c>
      <c r="J2168">
        <v>9.8399266666670009</v>
      </c>
      <c r="K2168">
        <v>-83.86725833333</v>
      </c>
      <c r="L2168" t="s">
        <v>1225</v>
      </c>
      <c r="M2168" t="s">
        <v>36</v>
      </c>
      <c r="N2168" t="s">
        <v>316</v>
      </c>
      <c r="O2168" t="s">
        <v>317</v>
      </c>
      <c r="P2168">
        <v>23</v>
      </c>
      <c r="Q2168" t="s">
        <v>125</v>
      </c>
      <c r="S2168" t="str">
        <f>_xlfn.XLOOKUP(UNIVERSO[[#This Row],[Ruta]],'[1]CUOTA RUTA'!A:A,'[1]CUOTA RUTA'!D:D)</f>
        <v>Cargar</v>
      </c>
    </row>
    <row r="2169" spans="1:19" x14ac:dyDescent="0.25">
      <c r="A2169">
        <v>1500719153</v>
      </c>
      <c r="B2169" t="s">
        <v>4404</v>
      </c>
      <c r="C2169" t="s">
        <v>19</v>
      </c>
      <c r="D2169" t="s">
        <v>324</v>
      </c>
      <c r="E2169" t="s">
        <v>21</v>
      </c>
      <c r="F2169" t="s">
        <v>22</v>
      </c>
      <c r="G2169" t="s">
        <v>33</v>
      </c>
      <c r="H2169" t="s">
        <v>393</v>
      </c>
      <c r="I2169" t="s">
        <v>4405</v>
      </c>
      <c r="J2169">
        <v>10.420500000000001</v>
      </c>
      <c r="K2169">
        <v>-84.382810000000006</v>
      </c>
      <c r="L2169" t="s">
        <v>1225</v>
      </c>
      <c r="M2169" t="s">
        <v>327</v>
      </c>
      <c r="N2169" t="s">
        <v>328</v>
      </c>
      <c r="O2169" t="s">
        <v>329</v>
      </c>
      <c r="P2169">
        <v>18</v>
      </c>
      <c r="Q2169" t="s">
        <v>84</v>
      </c>
      <c r="S2169" t="str">
        <f>_xlfn.XLOOKUP(UNIVERSO[[#This Row],[Ruta]],'[1]CUOTA RUTA'!A:A,'[1]CUOTA RUTA'!D:D)</f>
        <v>Cargar</v>
      </c>
    </row>
    <row r="2170" spans="1:19" x14ac:dyDescent="0.25">
      <c r="A2170">
        <v>1500719182</v>
      </c>
      <c r="B2170" t="s">
        <v>4406</v>
      </c>
      <c r="C2170" t="s">
        <v>19</v>
      </c>
      <c r="D2170" t="s">
        <v>349</v>
      </c>
      <c r="E2170" t="s">
        <v>21</v>
      </c>
      <c r="F2170" t="s">
        <v>22</v>
      </c>
      <c r="G2170" t="s">
        <v>33</v>
      </c>
      <c r="H2170" t="s">
        <v>350</v>
      </c>
      <c r="I2170" t="s">
        <v>4407</v>
      </c>
      <c r="J2170">
        <v>9.8797907499999997</v>
      </c>
      <c r="K2170">
        <v>-85.51029355</v>
      </c>
      <c r="L2170" t="s">
        <v>1225</v>
      </c>
      <c r="M2170" t="s">
        <v>352</v>
      </c>
      <c r="N2170" t="s">
        <v>353</v>
      </c>
      <c r="O2170" t="s">
        <v>354</v>
      </c>
      <c r="P2170">
        <v>8</v>
      </c>
      <c r="Q2170" t="s">
        <v>97</v>
      </c>
      <c r="S2170" t="str">
        <f>_xlfn.XLOOKUP(UNIVERSO[[#This Row],[Ruta]],'[1]CUOTA RUTA'!A:A,'[1]CUOTA RUTA'!D:D)</f>
        <v>Cargar</v>
      </c>
    </row>
    <row r="2171" spans="1:19" x14ac:dyDescent="0.25">
      <c r="A2171">
        <v>1500719194</v>
      </c>
      <c r="B2171" t="s">
        <v>4408</v>
      </c>
      <c r="C2171" t="s">
        <v>19</v>
      </c>
      <c r="D2171" t="s">
        <v>186</v>
      </c>
      <c r="E2171" t="s">
        <v>21</v>
      </c>
      <c r="F2171" t="s">
        <v>51</v>
      </c>
      <c r="G2171" t="s">
        <v>23</v>
      </c>
      <c r="H2171" t="s">
        <v>241</v>
      </c>
      <c r="I2171" t="s">
        <v>4409</v>
      </c>
      <c r="J2171">
        <v>9.9922959999999996</v>
      </c>
      <c r="K2171">
        <v>-83.128200000000007</v>
      </c>
      <c r="L2171" t="s">
        <v>1225</v>
      </c>
      <c r="M2171" t="s">
        <v>189</v>
      </c>
      <c r="N2171" t="s">
        <v>190</v>
      </c>
      <c r="O2171" t="s">
        <v>191</v>
      </c>
      <c r="P2171">
        <v>23</v>
      </c>
      <c r="Q2171" t="s">
        <v>125</v>
      </c>
      <c r="S2171" t="str">
        <f>_xlfn.XLOOKUP(UNIVERSO[[#This Row],[Ruta]],'[1]CUOTA RUTA'!A:A,'[1]CUOTA RUTA'!D:D)</f>
        <v>Cargar</v>
      </c>
    </row>
    <row r="2172" spans="1:19" x14ac:dyDescent="0.25">
      <c r="A2172">
        <v>1500719213</v>
      </c>
      <c r="B2172" t="s">
        <v>4410</v>
      </c>
      <c r="C2172" t="s">
        <v>19</v>
      </c>
      <c r="D2172" t="s">
        <v>266</v>
      </c>
      <c r="E2172" t="s">
        <v>21</v>
      </c>
      <c r="F2172" t="s">
        <v>22</v>
      </c>
      <c r="G2172" t="s">
        <v>33</v>
      </c>
      <c r="H2172" t="s">
        <v>706</v>
      </c>
      <c r="I2172" t="s">
        <v>4411</v>
      </c>
      <c r="J2172">
        <v>9.8738060000000001</v>
      </c>
      <c r="K2172">
        <v>-83.940179999999998</v>
      </c>
      <c r="L2172" t="s">
        <v>1225</v>
      </c>
      <c r="M2172" t="s">
        <v>36</v>
      </c>
      <c r="N2172" t="s">
        <v>316</v>
      </c>
      <c r="O2172" t="s">
        <v>317</v>
      </c>
      <c r="P2172">
        <v>21</v>
      </c>
      <c r="Q2172" t="s">
        <v>239</v>
      </c>
      <c r="S2172" t="str">
        <f>_xlfn.XLOOKUP(UNIVERSO[[#This Row],[Ruta]],'[1]CUOTA RUTA'!A:A,'[1]CUOTA RUTA'!D:D)</f>
        <v>Cargar</v>
      </c>
    </row>
    <row r="2173" spans="1:19" x14ac:dyDescent="0.25">
      <c r="A2173">
        <v>1500719333</v>
      </c>
      <c r="B2173" t="s">
        <v>4100</v>
      </c>
      <c r="C2173" t="s">
        <v>19</v>
      </c>
      <c r="D2173" t="s">
        <v>266</v>
      </c>
      <c r="E2173" t="s">
        <v>21</v>
      </c>
      <c r="F2173" t="s">
        <v>22</v>
      </c>
      <c r="G2173" t="s">
        <v>33</v>
      </c>
      <c r="H2173" t="s">
        <v>314</v>
      </c>
      <c r="I2173" t="s">
        <v>4412</v>
      </c>
      <c r="J2173">
        <v>9.8696416666670004</v>
      </c>
      <c r="K2173">
        <v>-83.908420000000007</v>
      </c>
      <c r="L2173" t="s">
        <v>1225</v>
      </c>
      <c r="M2173" t="s">
        <v>36</v>
      </c>
      <c r="N2173" t="s">
        <v>316</v>
      </c>
      <c r="O2173" t="s">
        <v>317</v>
      </c>
      <c r="P2173">
        <v>16</v>
      </c>
      <c r="Q2173" t="s">
        <v>60</v>
      </c>
      <c r="S2173" t="str">
        <f>_xlfn.XLOOKUP(UNIVERSO[[#This Row],[Ruta]],'[1]CUOTA RUTA'!A:A,'[1]CUOTA RUTA'!D:D)</f>
        <v>Cargar</v>
      </c>
    </row>
    <row r="2174" spans="1:19" x14ac:dyDescent="0.25">
      <c r="A2174">
        <v>1500719359</v>
      </c>
      <c r="B2174" t="s">
        <v>4413</v>
      </c>
      <c r="C2174" t="s">
        <v>19</v>
      </c>
      <c r="D2174" t="s">
        <v>266</v>
      </c>
      <c r="E2174" t="s">
        <v>21</v>
      </c>
      <c r="F2174" t="s">
        <v>22</v>
      </c>
      <c r="G2174" t="s">
        <v>23</v>
      </c>
      <c r="H2174" t="s">
        <v>314</v>
      </c>
      <c r="I2174" t="s">
        <v>4414</v>
      </c>
      <c r="J2174">
        <v>9.8660390000000007</v>
      </c>
      <c r="K2174">
        <v>-83.906734999999998</v>
      </c>
      <c r="L2174" t="s">
        <v>1225</v>
      </c>
      <c r="M2174" t="s">
        <v>36</v>
      </c>
      <c r="N2174" t="s">
        <v>316</v>
      </c>
      <c r="O2174" t="s">
        <v>317</v>
      </c>
      <c r="P2174">
        <v>16</v>
      </c>
      <c r="Q2174" t="s">
        <v>60</v>
      </c>
      <c r="S2174" t="str">
        <f>_xlfn.XLOOKUP(UNIVERSO[[#This Row],[Ruta]],'[1]CUOTA RUTA'!A:A,'[1]CUOTA RUTA'!D:D)</f>
        <v>Cargar</v>
      </c>
    </row>
    <row r="2175" spans="1:19" x14ac:dyDescent="0.25">
      <c r="A2175">
        <v>1500719395</v>
      </c>
      <c r="B2175" t="s">
        <v>4415</v>
      </c>
      <c r="C2175" t="s">
        <v>19</v>
      </c>
      <c r="D2175" t="s">
        <v>266</v>
      </c>
      <c r="E2175" t="s">
        <v>21</v>
      </c>
      <c r="F2175" t="s">
        <v>22</v>
      </c>
      <c r="G2175" t="s">
        <v>33</v>
      </c>
      <c r="H2175" t="s">
        <v>404</v>
      </c>
      <c r="I2175" t="s">
        <v>4416</v>
      </c>
      <c r="J2175">
        <v>9.8630849999999999</v>
      </c>
      <c r="K2175">
        <v>-83.892285000000001</v>
      </c>
      <c r="L2175" t="s">
        <v>1225</v>
      </c>
      <c r="M2175" t="s">
        <v>36</v>
      </c>
      <c r="N2175" t="s">
        <v>316</v>
      </c>
      <c r="O2175" t="s">
        <v>317</v>
      </c>
      <c r="P2175">
        <v>17</v>
      </c>
      <c r="Q2175" t="s">
        <v>287</v>
      </c>
      <c r="S2175" t="str">
        <f>_xlfn.XLOOKUP(UNIVERSO[[#This Row],[Ruta]],'[1]CUOTA RUTA'!A:A,'[1]CUOTA RUTA'!D:D)</f>
        <v>Cargar</v>
      </c>
    </row>
    <row r="2176" spans="1:19" x14ac:dyDescent="0.25">
      <c r="A2176">
        <v>1500719403</v>
      </c>
      <c r="B2176" t="s">
        <v>4417</v>
      </c>
      <c r="C2176" t="s">
        <v>19</v>
      </c>
      <c r="D2176" t="s">
        <v>32</v>
      </c>
      <c r="E2176" t="s">
        <v>21</v>
      </c>
      <c r="F2176" t="s">
        <v>22</v>
      </c>
      <c r="G2176" t="s">
        <v>23</v>
      </c>
      <c r="H2176" t="s">
        <v>879</v>
      </c>
      <c r="I2176" t="s">
        <v>4418</v>
      </c>
      <c r="J2176">
        <v>9.93248</v>
      </c>
      <c r="K2176">
        <v>-84.076499999999996</v>
      </c>
      <c r="L2176" t="s">
        <v>1225</v>
      </c>
      <c r="M2176" t="s">
        <v>71</v>
      </c>
      <c r="N2176" t="s">
        <v>72</v>
      </c>
      <c r="O2176" t="s">
        <v>73</v>
      </c>
      <c r="P2176">
        <v>6</v>
      </c>
      <c r="Q2176" t="s">
        <v>49</v>
      </c>
      <c r="S2176" t="str">
        <f>_xlfn.XLOOKUP(UNIVERSO[[#This Row],[Ruta]],'[1]CUOTA RUTA'!A:A,'[1]CUOTA RUTA'!D:D)</f>
        <v>Cargar</v>
      </c>
    </row>
    <row r="2177" spans="1:19" x14ac:dyDescent="0.25">
      <c r="A2177">
        <v>1500719532</v>
      </c>
      <c r="B2177" t="s">
        <v>4419</v>
      </c>
      <c r="C2177" t="s">
        <v>19</v>
      </c>
      <c r="D2177" t="s">
        <v>208</v>
      </c>
      <c r="E2177" t="s">
        <v>21</v>
      </c>
      <c r="F2177" t="s">
        <v>22</v>
      </c>
      <c r="G2177" t="s">
        <v>33</v>
      </c>
      <c r="H2177" t="s">
        <v>209</v>
      </c>
      <c r="I2177" t="s">
        <v>4420</v>
      </c>
      <c r="J2177">
        <v>10.22143</v>
      </c>
      <c r="K2177">
        <v>-83.788290000000003</v>
      </c>
      <c r="L2177" t="s">
        <v>1225</v>
      </c>
      <c r="M2177" t="s">
        <v>189</v>
      </c>
      <c r="N2177" t="s">
        <v>211</v>
      </c>
      <c r="O2177" t="s">
        <v>212</v>
      </c>
      <c r="P2177">
        <v>5</v>
      </c>
      <c r="Q2177" t="s">
        <v>117</v>
      </c>
      <c r="S2177" t="str">
        <f>_xlfn.XLOOKUP(UNIVERSO[[#This Row],[Ruta]],'[1]CUOTA RUTA'!A:A,'[1]CUOTA RUTA'!D:D)</f>
        <v>Cargar</v>
      </c>
    </row>
    <row r="2178" spans="1:19" x14ac:dyDescent="0.25">
      <c r="A2178">
        <v>1500719741</v>
      </c>
      <c r="B2178" t="s">
        <v>4421</v>
      </c>
      <c r="C2178" t="s">
        <v>19</v>
      </c>
      <c r="D2178" t="s">
        <v>186</v>
      </c>
      <c r="E2178" t="s">
        <v>21</v>
      </c>
      <c r="F2178" t="s">
        <v>22</v>
      </c>
      <c r="G2178" t="s">
        <v>23</v>
      </c>
      <c r="H2178" t="s">
        <v>237</v>
      </c>
      <c r="I2178" t="s">
        <v>4422</v>
      </c>
      <c r="J2178">
        <v>10.090138</v>
      </c>
      <c r="K2178">
        <v>-83.375354000000002</v>
      </c>
      <c r="L2178" t="s">
        <v>1225</v>
      </c>
      <c r="M2178" t="s">
        <v>189</v>
      </c>
      <c r="N2178" t="s">
        <v>190</v>
      </c>
      <c r="O2178" t="s">
        <v>191</v>
      </c>
      <c r="P2178">
        <v>22</v>
      </c>
      <c r="Q2178" t="s">
        <v>30</v>
      </c>
      <c r="S2178" t="str">
        <f>_xlfn.XLOOKUP(UNIVERSO[[#This Row],[Ruta]],'[1]CUOTA RUTA'!A:A,'[1]CUOTA RUTA'!D:D)</f>
        <v>Cargar</v>
      </c>
    </row>
    <row r="2179" spans="1:19" x14ac:dyDescent="0.25">
      <c r="A2179">
        <v>1500719923</v>
      </c>
      <c r="B2179" t="s">
        <v>4423</v>
      </c>
      <c r="C2179" t="s">
        <v>19</v>
      </c>
      <c r="D2179" t="s">
        <v>32</v>
      </c>
      <c r="E2179" t="s">
        <v>21</v>
      </c>
      <c r="F2179" t="s">
        <v>22</v>
      </c>
      <c r="G2179" t="s">
        <v>64</v>
      </c>
      <c r="H2179" t="s">
        <v>879</v>
      </c>
      <c r="I2179" t="s">
        <v>4424</v>
      </c>
      <c r="J2179">
        <v>9.9314699999999991</v>
      </c>
      <c r="K2179">
        <v>-84.08</v>
      </c>
      <c r="L2179" t="s">
        <v>1225</v>
      </c>
      <c r="M2179" t="s">
        <v>71</v>
      </c>
      <c r="N2179" t="s">
        <v>72</v>
      </c>
      <c r="O2179" t="s">
        <v>73</v>
      </c>
      <c r="P2179">
        <v>2</v>
      </c>
      <c r="Q2179" t="s">
        <v>150</v>
      </c>
      <c r="S2179" t="str">
        <f>_xlfn.XLOOKUP(UNIVERSO[[#This Row],[Ruta]],'[1]CUOTA RUTA'!A:A,'[1]CUOTA RUTA'!D:D)</f>
        <v>Cargar</v>
      </c>
    </row>
    <row r="2180" spans="1:19" x14ac:dyDescent="0.25">
      <c r="A2180">
        <v>1500719957</v>
      </c>
      <c r="B2180" t="s">
        <v>1906</v>
      </c>
      <c r="C2180" t="s">
        <v>19</v>
      </c>
      <c r="D2180" t="s">
        <v>208</v>
      </c>
      <c r="E2180" t="s">
        <v>21</v>
      </c>
      <c r="F2180" t="s">
        <v>22</v>
      </c>
      <c r="G2180" t="s">
        <v>23</v>
      </c>
      <c r="H2180" t="s">
        <v>502</v>
      </c>
      <c r="I2180" t="s">
        <v>4425</v>
      </c>
      <c r="J2180">
        <v>10.45621</v>
      </c>
      <c r="K2180">
        <v>-83.704400000000007</v>
      </c>
      <c r="L2180" t="s">
        <v>1225</v>
      </c>
      <c r="M2180" t="s">
        <v>189</v>
      </c>
      <c r="N2180" t="s">
        <v>211</v>
      </c>
      <c r="O2180" t="s">
        <v>212</v>
      </c>
      <c r="P2180">
        <v>7</v>
      </c>
      <c r="Q2180" t="s">
        <v>39</v>
      </c>
      <c r="S2180" t="str">
        <f>_xlfn.XLOOKUP(UNIVERSO[[#This Row],[Ruta]],'[1]CUOTA RUTA'!A:A,'[1]CUOTA RUTA'!D:D)</f>
        <v>Cargar</v>
      </c>
    </row>
    <row r="2181" spans="1:19" x14ac:dyDescent="0.25">
      <c r="A2181">
        <v>1500720211</v>
      </c>
      <c r="B2181" t="s">
        <v>4426</v>
      </c>
      <c r="C2181" t="s">
        <v>19</v>
      </c>
      <c r="D2181" t="s">
        <v>349</v>
      </c>
      <c r="E2181" t="s">
        <v>21</v>
      </c>
      <c r="F2181" t="s">
        <v>22</v>
      </c>
      <c r="G2181" t="s">
        <v>33</v>
      </c>
      <c r="H2181" t="s">
        <v>350</v>
      </c>
      <c r="I2181" t="s">
        <v>4427</v>
      </c>
      <c r="J2181">
        <v>10.24791675</v>
      </c>
      <c r="K2181">
        <v>-85.590321779999996</v>
      </c>
      <c r="L2181" t="s">
        <v>1225</v>
      </c>
      <c r="M2181" t="s">
        <v>352</v>
      </c>
      <c r="N2181" t="s">
        <v>353</v>
      </c>
      <c r="O2181" t="s">
        <v>354</v>
      </c>
      <c r="P2181">
        <v>2</v>
      </c>
      <c r="Q2181" t="s">
        <v>150</v>
      </c>
      <c r="S2181" t="str">
        <f>_xlfn.XLOOKUP(UNIVERSO[[#This Row],[Ruta]],'[1]CUOTA RUTA'!A:A,'[1]CUOTA RUTA'!D:D)</f>
        <v>Cargar</v>
      </c>
    </row>
    <row r="2182" spans="1:19" x14ac:dyDescent="0.25">
      <c r="A2182">
        <v>1500720214</v>
      </c>
      <c r="B2182" t="s">
        <v>1193</v>
      </c>
      <c r="C2182" t="s">
        <v>19</v>
      </c>
      <c r="D2182" t="s">
        <v>201</v>
      </c>
      <c r="E2182" t="s">
        <v>21</v>
      </c>
      <c r="F2182" t="s">
        <v>51</v>
      </c>
      <c r="G2182" t="s">
        <v>23</v>
      </c>
      <c r="H2182" t="s">
        <v>383</v>
      </c>
      <c r="I2182" t="s">
        <v>4428</v>
      </c>
      <c r="J2182">
        <v>9.9916660999999998</v>
      </c>
      <c r="K2182">
        <v>-84.720877999999999</v>
      </c>
      <c r="L2182" t="s">
        <v>1225</v>
      </c>
      <c r="M2182" t="s">
        <v>204</v>
      </c>
      <c r="N2182" t="s">
        <v>205</v>
      </c>
      <c r="O2182" t="s">
        <v>206</v>
      </c>
      <c r="P2182">
        <v>8</v>
      </c>
      <c r="Q2182" t="s">
        <v>97</v>
      </c>
      <c r="S2182" t="str">
        <f>_xlfn.XLOOKUP(UNIVERSO[[#This Row],[Ruta]],'[1]CUOTA RUTA'!A:A,'[1]CUOTA RUTA'!D:D)</f>
        <v>Cargar</v>
      </c>
    </row>
    <row r="2183" spans="1:19" x14ac:dyDescent="0.25">
      <c r="A2183">
        <v>1500720451</v>
      </c>
      <c r="B2183" t="s">
        <v>4429</v>
      </c>
      <c r="C2183" t="s">
        <v>19</v>
      </c>
      <c r="D2183" t="s">
        <v>32</v>
      </c>
      <c r="E2183" t="s">
        <v>21</v>
      </c>
      <c r="F2183" t="s">
        <v>51</v>
      </c>
      <c r="G2183" t="s">
        <v>23</v>
      </c>
      <c r="H2183" t="s">
        <v>683</v>
      </c>
      <c r="I2183" t="s">
        <v>4430</v>
      </c>
      <c r="J2183">
        <v>9.9293300000000002</v>
      </c>
      <c r="K2183">
        <v>-84.101299999999995</v>
      </c>
      <c r="L2183" t="s">
        <v>1225</v>
      </c>
      <c r="M2183" t="s">
        <v>71</v>
      </c>
      <c r="N2183" t="s">
        <v>72</v>
      </c>
      <c r="O2183" t="s">
        <v>73</v>
      </c>
      <c r="P2183">
        <v>4</v>
      </c>
      <c r="Q2183" t="s">
        <v>120</v>
      </c>
      <c r="S2183" t="str">
        <f>_xlfn.XLOOKUP(UNIVERSO[[#This Row],[Ruta]],'[1]CUOTA RUTA'!A:A,'[1]CUOTA RUTA'!D:D)</f>
        <v>Cargar</v>
      </c>
    </row>
    <row r="2184" spans="1:19" x14ac:dyDescent="0.25">
      <c r="A2184">
        <v>1500720550</v>
      </c>
      <c r="B2184" t="s">
        <v>4431</v>
      </c>
      <c r="C2184" t="s">
        <v>19</v>
      </c>
      <c r="D2184" t="s">
        <v>208</v>
      </c>
      <c r="E2184" t="s">
        <v>21</v>
      </c>
      <c r="F2184" t="s">
        <v>22</v>
      </c>
      <c r="G2184" t="s">
        <v>33</v>
      </c>
      <c r="H2184" t="s">
        <v>1794</v>
      </c>
      <c r="I2184" t="s">
        <v>4432</v>
      </c>
      <c r="J2184">
        <v>10.325111100000001</v>
      </c>
      <c r="K2184">
        <v>-83.946335700000006</v>
      </c>
      <c r="L2184" t="s">
        <v>1225</v>
      </c>
      <c r="M2184" t="s">
        <v>189</v>
      </c>
      <c r="N2184" t="s">
        <v>211</v>
      </c>
      <c r="O2184" t="s">
        <v>212</v>
      </c>
      <c r="P2184">
        <v>3</v>
      </c>
      <c r="Q2184" t="s">
        <v>101</v>
      </c>
      <c r="S2184" t="str">
        <f>_xlfn.XLOOKUP(UNIVERSO[[#This Row],[Ruta]],'[1]CUOTA RUTA'!A:A,'[1]CUOTA RUTA'!D:D)</f>
        <v>Cargar</v>
      </c>
    </row>
    <row r="2185" spans="1:19" x14ac:dyDescent="0.25">
      <c r="A2185">
        <v>1500720653</v>
      </c>
      <c r="B2185" t="s">
        <v>4433</v>
      </c>
      <c r="C2185" t="s">
        <v>19</v>
      </c>
      <c r="D2185" t="s">
        <v>201</v>
      </c>
      <c r="E2185" t="s">
        <v>21</v>
      </c>
      <c r="F2185" t="s">
        <v>22</v>
      </c>
      <c r="G2185" t="s">
        <v>33</v>
      </c>
      <c r="H2185" t="s">
        <v>528</v>
      </c>
      <c r="I2185" t="s">
        <v>4434</v>
      </c>
      <c r="J2185">
        <v>10.28074</v>
      </c>
      <c r="K2185">
        <v>-84.943849999999998</v>
      </c>
      <c r="L2185" t="s">
        <v>1225</v>
      </c>
      <c r="M2185" t="s">
        <v>327</v>
      </c>
      <c r="N2185" t="s">
        <v>530</v>
      </c>
      <c r="O2185" t="s">
        <v>531</v>
      </c>
      <c r="P2185">
        <v>1</v>
      </c>
      <c r="Q2185" t="s">
        <v>155</v>
      </c>
      <c r="S2185" t="str">
        <f>_xlfn.XLOOKUP(UNIVERSO[[#This Row],[Ruta]],'[1]CUOTA RUTA'!A:A,'[1]CUOTA RUTA'!D:D)</f>
        <v>Cargar</v>
      </c>
    </row>
    <row r="2186" spans="1:19" x14ac:dyDescent="0.25">
      <c r="A2186">
        <v>1500720695</v>
      </c>
      <c r="B2186" t="s">
        <v>4435</v>
      </c>
      <c r="C2186" t="s">
        <v>19</v>
      </c>
      <c r="D2186" t="s">
        <v>208</v>
      </c>
      <c r="E2186" t="s">
        <v>21</v>
      </c>
      <c r="F2186" t="s">
        <v>22</v>
      </c>
      <c r="G2186" t="s">
        <v>64</v>
      </c>
      <c r="H2186" t="s">
        <v>209</v>
      </c>
      <c r="I2186" t="s">
        <v>4436</v>
      </c>
      <c r="J2186">
        <v>10.21918</v>
      </c>
      <c r="K2186">
        <v>-83.797160000000005</v>
      </c>
      <c r="L2186" t="s">
        <v>1225</v>
      </c>
      <c r="M2186" t="s">
        <v>189</v>
      </c>
      <c r="N2186" t="s">
        <v>211</v>
      </c>
      <c r="O2186" t="s">
        <v>212</v>
      </c>
      <c r="P2186">
        <v>5</v>
      </c>
      <c r="Q2186" t="s">
        <v>117</v>
      </c>
      <c r="S2186" t="str">
        <f>_xlfn.XLOOKUP(UNIVERSO[[#This Row],[Ruta]],'[1]CUOTA RUTA'!A:A,'[1]CUOTA RUTA'!D:D)</f>
        <v>Cargar</v>
      </c>
    </row>
    <row r="2187" spans="1:19" x14ac:dyDescent="0.25">
      <c r="A2187">
        <v>1500720704</v>
      </c>
      <c r="B2187" t="s">
        <v>4437</v>
      </c>
      <c r="C2187" t="s">
        <v>19</v>
      </c>
      <c r="D2187" t="s">
        <v>266</v>
      </c>
      <c r="E2187" t="s">
        <v>21</v>
      </c>
      <c r="F2187" t="s">
        <v>22</v>
      </c>
      <c r="G2187" t="s">
        <v>23</v>
      </c>
      <c r="H2187" t="s">
        <v>404</v>
      </c>
      <c r="I2187" t="s">
        <v>4438</v>
      </c>
      <c r="J2187">
        <v>9.8343600000000002</v>
      </c>
      <c r="K2187">
        <v>-83.869399999999999</v>
      </c>
      <c r="L2187" t="s">
        <v>1225</v>
      </c>
      <c r="M2187" t="s">
        <v>36</v>
      </c>
      <c r="N2187" t="s">
        <v>316</v>
      </c>
      <c r="O2187" t="s">
        <v>317</v>
      </c>
      <c r="P2187">
        <v>23</v>
      </c>
      <c r="Q2187" t="s">
        <v>125</v>
      </c>
      <c r="S2187" t="str">
        <f>_xlfn.XLOOKUP(UNIVERSO[[#This Row],[Ruta]],'[1]CUOTA RUTA'!A:A,'[1]CUOTA RUTA'!D:D)</f>
        <v>Cargar</v>
      </c>
    </row>
    <row r="2188" spans="1:19" x14ac:dyDescent="0.25">
      <c r="A2188">
        <v>1500720746</v>
      </c>
      <c r="B2188" t="s">
        <v>4439</v>
      </c>
      <c r="C2188" t="s">
        <v>19</v>
      </c>
      <c r="D2188" t="s">
        <v>20</v>
      </c>
      <c r="E2188" t="s">
        <v>21</v>
      </c>
      <c r="F2188" t="s">
        <v>22</v>
      </c>
      <c r="G2188" t="s">
        <v>64</v>
      </c>
      <c r="H2188" t="s">
        <v>518</v>
      </c>
      <c r="I2188" t="s">
        <v>4440</v>
      </c>
      <c r="J2188">
        <v>10.00698</v>
      </c>
      <c r="K2188">
        <v>-84.089401300000006</v>
      </c>
      <c r="L2188" t="s">
        <v>1225</v>
      </c>
      <c r="M2188" t="s">
        <v>27</v>
      </c>
      <c r="N2188" t="s">
        <v>28</v>
      </c>
      <c r="O2188" t="s">
        <v>29</v>
      </c>
      <c r="P2188">
        <v>22</v>
      </c>
      <c r="Q2188" t="s">
        <v>30</v>
      </c>
      <c r="S2188" t="str">
        <f>_xlfn.XLOOKUP(UNIVERSO[[#This Row],[Ruta]],'[1]CUOTA RUTA'!A:A,'[1]CUOTA RUTA'!D:D)</f>
        <v>Cargar</v>
      </c>
    </row>
    <row r="2189" spans="1:19" x14ac:dyDescent="0.25">
      <c r="A2189">
        <v>1500720936</v>
      </c>
      <c r="B2189" t="s">
        <v>4441</v>
      </c>
      <c r="C2189" t="s">
        <v>19</v>
      </c>
      <c r="D2189" t="s">
        <v>32</v>
      </c>
      <c r="E2189" t="s">
        <v>21</v>
      </c>
      <c r="F2189" t="s">
        <v>22</v>
      </c>
      <c r="G2189" t="s">
        <v>33</v>
      </c>
      <c r="H2189" t="s">
        <v>148</v>
      </c>
      <c r="I2189" t="s">
        <v>4442</v>
      </c>
      <c r="J2189">
        <v>9.9861450000000005</v>
      </c>
      <c r="K2189">
        <v>-84.019086666660002</v>
      </c>
      <c r="L2189" t="s">
        <v>1225</v>
      </c>
      <c r="M2189" t="s">
        <v>94</v>
      </c>
      <c r="N2189" t="s">
        <v>95</v>
      </c>
      <c r="O2189" t="s">
        <v>96</v>
      </c>
      <c r="P2189">
        <v>3</v>
      </c>
      <c r="Q2189" t="s">
        <v>101</v>
      </c>
      <c r="S2189" t="str">
        <f>_xlfn.XLOOKUP(UNIVERSO[[#This Row],[Ruta]],'[1]CUOTA RUTA'!A:A,'[1]CUOTA RUTA'!D:D)</f>
        <v>Cargar</v>
      </c>
    </row>
    <row r="2190" spans="1:19" x14ac:dyDescent="0.25">
      <c r="A2190">
        <v>1500721189</v>
      </c>
      <c r="B2190" t="s">
        <v>4443</v>
      </c>
      <c r="C2190" t="s">
        <v>19</v>
      </c>
      <c r="D2190" t="s">
        <v>20</v>
      </c>
      <c r="E2190" t="s">
        <v>21</v>
      </c>
      <c r="F2190" t="s">
        <v>22</v>
      </c>
      <c r="G2190" t="s">
        <v>23</v>
      </c>
      <c r="H2190" t="s">
        <v>554</v>
      </c>
      <c r="I2190" t="s">
        <v>4444</v>
      </c>
      <c r="J2190">
        <v>9.9902195900000006</v>
      </c>
      <c r="K2190">
        <v>-84.137004610000005</v>
      </c>
      <c r="L2190" t="s">
        <v>1225</v>
      </c>
      <c r="M2190" t="s">
        <v>27</v>
      </c>
      <c r="N2190" t="s">
        <v>28</v>
      </c>
      <c r="O2190" t="s">
        <v>29</v>
      </c>
      <c r="P2190">
        <v>4</v>
      </c>
      <c r="Q2190" t="s">
        <v>120</v>
      </c>
      <c r="S2190" t="str">
        <f>_xlfn.XLOOKUP(UNIVERSO[[#This Row],[Ruta]],'[1]CUOTA RUTA'!A:A,'[1]CUOTA RUTA'!D:D)</f>
        <v>Cargar</v>
      </c>
    </row>
    <row r="2191" spans="1:19" x14ac:dyDescent="0.25">
      <c r="A2191">
        <v>1500721198</v>
      </c>
      <c r="B2191" t="s">
        <v>4445</v>
      </c>
      <c r="C2191" t="s">
        <v>19</v>
      </c>
      <c r="D2191" t="s">
        <v>201</v>
      </c>
      <c r="E2191" t="s">
        <v>21</v>
      </c>
      <c r="F2191" t="s">
        <v>22</v>
      </c>
      <c r="G2191" t="s">
        <v>33</v>
      </c>
      <c r="H2191" t="s">
        <v>593</v>
      </c>
      <c r="I2191" t="s">
        <v>4446</v>
      </c>
      <c r="J2191">
        <v>9.9837027000000003</v>
      </c>
      <c r="K2191">
        <v>-84.780916099999999</v>
      </c>
      <c r="L2191" t="s">
        <v>1225</v>
      </c>
      <c r="M2191" t="s">
        <v>204</v>
      </c>
      <c r="N2191" t="s">
        <v>205</v>
      </c>
      <c r="O2191" t="s">
        <v>206</v>
      </c>
      <c r="P2191">
        <v>11</v>
      </c>
      <c r="Q2191" t="s">
        <v>108</v>
      </c>
      <c r="S2191" t="str">
        <f>_xlfn.XLOOKUP(UNIVERSO[[#This Row],[Ruta]],'[1]CUOTA RUTA'!A:A,'[1]CUOTA RUTA'!D:D)</f>
        <v>Cargar</v>
      </c>
    </row>
    <row r="2192" spans="1:19" x14ac:dyDescent="0.25">
      <c r="A2192">
        <v>1500721209</v>
      </c>
      <c r="B2192" t="s">
        <v>4447</v>
      </c>
      <c r="C2192" t="s">
        <v>19</v>
      </c>
      <c r="D2192" t="s">
        <v>32</v>
      </c>
      <c r="E2192" t="s">
        <v>21</v>
      </c>
      <c r="F2192" t="s">
        <v>22</v>
      </c>
      <c r="G2192" t="s">
        <v>23</v>
      </c>
      <c r="H2192" t="s">
        <v>1383</v>
      </c>
      <c r="I2192" t="s">
        <v>4448</v>
      </c>
      <c r="J2192">
        <v>9.9229283333329992</v>
      </c>
      <c r="K2192">
        <v>-84.090985000000003</v>
      </c>
      <c r="L2192" t="s">
        <v>1225</v>
      </c>
      <c r="M2192" t="s">
        <v>71</v>
      </c>
      <c r="N2192" t="s">
        <v>72</v>
      </c>
      <c r="O2192" t="s">
        <v>73</v>
      </c>
      <c r="P2192">
        <v>3</v>
      </c>
      <c r="Q2192" t="s">
        <v>101</v>
      </c>
      <c r="S2192" t="str">
        <f>_xlfn.XLOOKUP(UNIVERSO[[#This Row],[Ruta]],'[1]CUOTA RUTA'!A:A,'[1]CUOTA RUTA'!D:D)</f>
        <v>Cargar</v>
      </c>
    </row>
    <row r="2193" spans="1:19" x14ac:dyDescent="0.25">
      <c r="A2193">
        <v>1500721391</v>
      </c>
      <c r="B2193" t="s">
        <v>4449</v>
      </c>
      <c r="C2193" t="s">
        <v>19</v>
      </c>
      <c r="D2193" t="s">
        <v>20</v>
      </c>
      <c r="E2193" t="s">
        <v>21</v>
      </c>
      <c r="F2193" t="s">
        <v>51</v>
      </c>
      <c r="G2193" t="s">
        <v>23</v>
      </c>
      <c r="H2193" t="s">
        <v>277</v>
      </c>
      <c r="I2193" t="s">
        <v>4450</v>
      </c>
      <c r="J2193">
        <v>9.9339429999999993</v>
      </c>
      <c r="K2193">
        <v>-84.182281000000003</v>
      </c>
      <c r="L2193" t="s">
        <v>1225</v>
      </c>
      <c r="M2193" t="s">
        <v>54</v>
      </c>
      <c r="N2193" t="s">
        <v>55</v>
      </c>
      <c r="O2193" t="s">
        <v>56</v>
      </c>
      <c r="P2193">
        <v>13</v>
      </c>
      <c r="Q2193" t="s">
        <v>161</v>
      </c>
      <c r="S2193" t="str">
        <f>_xlfn.XLOOKUP(UNIVERSO[[#This Row],[Ruta]],'[1]CUOTA RUTA'!A:A,'[1]CUOTA RUTA'!D:D)</f>
        <v>Cargar</v>
      </c>
    </row>
    <row r="2194" spans="1:19" x14ac:dyDescent="0.25">
      <c r="A2194">
        <v>1500721398</v>
      </c>
      <c r="B2194" t="s">
        <v>4451</v>
      </c>
      <c r="C2194" t="s">
        <v>19</v>
      </c>
      <c r="D2194" t="s">
        <v>201</v>
      </c>
      <c r="E2194" t="s">
        <v>21</v>
      </c>
      <c r="F2194" t="s">
        <v>51</v>
      </c>
      <c r="G2194" t="s">
        <v>23</v>
      </c>
      <c r="H2194" t="s">
        <v>794</v>
      </c>
      <c r="I2194" t="s">
        <v>4452</v>
      </c>
      <c r="J2194">
        <v>9.6103694999999991</v>
      </c>
      <c r="K2194">
        <v>-84.621364400000004</v>
      </c>
      <c r="L2194" t="s">
        <v>1225</v>
      </c>
      <c r="M2194" t="s">
        <v>204</v>
      </c>
      <c r="N2194" t="s">
        <v>205</v>
      </c>
      <c r="O2194" t="s">
        <v>206</v>
      </c>
      <c r="P2194">
        <v>6</v>
      </c>
      <c r="Q2194" t="s">
        <v>49</v>
      </c>
      <c r="S2194" t="str">
        <f>_xlfn.XLOOKUP(UNIVERSO[[#This Row],[Ruta]],'[1]CUOTA RUTA'!A:A,'[1]CUOTA RUTA'!D:D)</f>
        <v>Cargar</v>
      </c>
    </row>
    <row r="2195" spans="1:19" x14ac:dyDescent="0.25">
      <c r="A2195">
        <v>1500721438</v>
      </c>
      <c r="B2195" t="s">
        <v>4453</v>
      </c>
      <c r="C2195" t="s">
        <v>19</v>
      </c>
      <c r="D2195" t="s">
        <v>337</v>
      </c>
      <c r="E2195" t="s">
        <v>21</v>
      </c>
      <c r="F2195" t="s">
        <v>51</v>
      </c>
      <c r="G2195" t="s">
        <v>23</v>
      </c>
      <c r="H2195" t="s">
        <v>343</v>
      </c>
      <c r="I2195" t="s">
        <v>4454</v>
      </c>
      <c r="J2195">
        <v>10.734788</v>
      </c>
      <c r="K2195">
        <v>-85.477896000000001</v>
      </c>
      <c r="L2195" t="s">
        <v>1225</v>
      </c>
      <c r="M2195" t="s">
        <v>327</v>
      </c>
      <c r="N2195" t="s">
        <v>340</v>
      </c>
      <c r="O2195" t="s">
        <v>341</v>
      </c>
      <c r="P2195">
        <v>15</v>
      </c>
      <c r="Q2195" t="s">
        <v>231</v>
      </c>
      <c r="S2195" t="str">
        <f>_xlfn.XLOOKUP(UNIVERSO[[#This Row],[Ruta]],'[1]CUOTA RUTA'!A:A,'[1]CUOTA RUTA'!D:D)</f>
        <v>Cargar</v>
      </c>
    </row>
    <row r="2196" spans="1:19" x14ac:dyDescent="0.25">
      <c r="A2196">
        <v>1500721510</v>
      </c>
      <c r="B2196" t="s">
        <v>4455</v>
      </c>
      <c r="C2196" t="s">
        <v>19</v>
      </c>
      <c r="D2196" t="s">
        <v>32</v>
      </c>
      <c r="E2196" t="s">
        <v>21</v>
      </c>
      <c r="F2196" t="s">
        <v>22</v>
      </c>
      <c r="G2196" t="s">
        <v>64</v>
      </c>
      <c r="H2196" t="s">
        <v>1383</v>
      </c>
      <c r="I2196" t="s">
        <v>4456</v>
      </c>
      <c r="J2196">
        <v>9.9031000000000002</v>
      </c>
      <c r="K2196">
        <v>-84.093109999999996</v>
      </c>
      <c r="L2196" t="s">
        <v>1225</v>
      </c>
      <c r="M2196" t="s">
        <v>71</v>
      </c>
      <c r="N2196" t="s">
        <v>72</v>
      </c>
      <c r="O2196" t="s">
        <v>73</v>
      </c>
      <c r="P2196">
        <v>6</v>
      </c>
      <c r="Q2196" t="s">
        <v>49</v>
      </c>
      <c r="S2196" t="str">
        <f>_xlfn.XLOOKUP(UNIVERSO[[#This Row],[Ruta]],'[1]CUOTA RUTA'!A:A,'[1]CUOTA RUTA'!D:D)</f>
        <v>Cargar</v>
      </c>
    </row>
    <row r="2197" spans="1:19" x14ac:dyDescent="0.25">
      <c r="A2197">
        <v>1500721513</v>
      </c>
      <c r="B2197" t="s">
        <v>4457</v>
      </c>
      <c r="C2197" t="s">
        <v>19</v>
      </c>
      <c r="D2197" t="s">
        <v>32</v>
      </c>
      <c r="E2197" t="s">
        <v>21</v>
      </c>
      <c r="F2197" t="s">
        <v>22</v>
      </c>
      <c r="G2197" t="s">
        <v>64</v>
      </c>
      <c r="H2197" t="s">
        <v>1113</v>
      </c>
      <c r="I2197" t="s">
        <v>4458</v>
      </c>
      <c r="J2197">
        <v>9.9329839999999994</v>
      </c>
      <c r="K2197">
        <v>-84.051040999999998</v>
      </c>
      <c r="L2197" t="s">
        <v>1225</v>
      </c>
      <c r="M2197" t="s">
        <v>36</v>
      </c>
      <c r="N2197" t="s">
        <v>37</v>
      </c>
      <c r="O2197" t="s">
        <v>38</v>
      </c>
      <c r="P2197">
        <v>23</v>
      </c>
      <c r="Q2197" t="s">
        <v>125</v>
      </c>
      <c r="S2197" t="str">
        <f>_xlfn.XLOOKUP(UNIVERSO[[#This Row],[Ruta]],'[1]CUOTA RUTA'!A:A,'[1]CUOTA RUTA'!D:D)</f>
        <v>Cargar</v>
      </c>
    </row>
    <row r="2198" spans="1:19" x14ac:dyDescent="0.25">
      <c r="A2198">
        <v>1500721645</v>
      </c>
      <c r="B2198" t="s">
        <v>4459</v>
      </c>
      <c r="C2198" t="s">
        <v>19</v>
      </c>
      <c r="D2198" t="s">
        <v>337</v>
      </c>
      <c r="E2198" t="s">
        <v>21</v>
      </c>
      <c r="F2198" t="s">
        <v>22</v>
      </c>
      <c r="G2198" t="s">
        <v>64</v>
      </c>
      <c r="H2198" t="s">
        <v>343</v>
      </c>
      <c r="I2198" t="s">
        <v>4460</v>
      </c>
      <c r="J2198">
        <v>10.36053778</v>
      </c>
      <c r="K2198">
        <v>-85.711310339999997</v>
      </c>
      <c r="L2198" t="s">
        <v>1225</v>
      </c>
      <c r="M2198" t="s">
        <v>327</v>
      </c>
      <c r="N2198" t="s">
        <v>340</v>
      </c>
      <c r="O2198" t="s">
        <v>341</v>
      </c>
      <c r="P2198">
        <v>17</v>
      </c>
      <c r="Q2198" t="s">
        <v>287</v>
      </c>
      <c r="S2198" t="str">
        <f>_xlfn.XLOOKUP(UNIVERSO[[#This Row],[Ruta]],'[1]CUOTA RUTA'!A:A,'[1]CUOTA RUTA'!D:D)</f>
        <v>Cargar</v>
      </c>
    </row>
    <row r="2199" spans="1:19" x14ac:dyDescent="0.25">
      <c r="A2199">
        <v>1500721791</v>
      </c>
      <c r="B2199" t="s">
        <v>1252</v>
      </c>
      <c r="C2199" t="s">
        <v>19</v>
      </c>
      <c r="D2199" t="s">
        <v>20</v>
      </c>
      <c r="E2199" t="s">
        <v>21</v>
      </c>
      <c r="F2199" t="s">
        <v>22</v>
      </c>
      <c r="G2199" t="s">
        <v>23</v>
      </c>
      <c r="H2199" t="s">
        <v>277</v>
      </c>
      <c r="I2199" t="s">
        <v>4461</v>
      </c>
      <c r="J2199">
        <v>9.9810502999999997</v>
      </c>
      <c r="K2199">
        <v>-84.186932799999994</v>
      </c>
      <c r="L2199" t="s">
        <v>1225</v>
      </c>
      <c r="M2199" t="s">
        <v>54</v>
      </c>
      <c r="N2199" t="s">
        <v>55</v>
      </c>
      <c r="O2199" t="s">
        <v>56</v>
      </c>
      <c r="P2199">
        <v>14</v>
      </c>
      <c r="Q2199" t="s">
        <v>181</v>
      </c>
      <c r="S2199" t="str">
        <f>_xlfn.XLOOKUP(UNIVERSO[[#This Row],[Ruta]],'[1]CUOTA RUTA'!A:A,'[1]CUOTA RUTA'!D:D)</f>
        <v>Cargar</v>
      </c>
    </row>
    <row r="2200" spans="1:19" x14ac:dyDescent="0.25">
      <c r="A2200">
        <v>1500721806</v>
      </c>
      <c r="B2200" t="s">
        <v>4462</v>
      </c>
      <c r="C2200" t="s">
        <v>19</v>
      </c>
      <c r="D2200" t="s">
        <v>208</v>
      </c>
      <c r="E2200" t="s">
        <v>21</v>
      </c>
      <c r="F2200" t="s">
        <v>22</v>
      </c>
      <c r="G2200" t="s">
        <v>64</v>
      </c>
      <c r="H2200" t="s">
        <v>1794</v>
      </c>
      <c r="I2200" t="s">
        <v>4463</v>
      </c>
      <c r="J2200">
        <v>10.3534621</v>
      </c>
      <c r="K2200">
        <v>-83.949526899999995</v>
      </c>
      <c r="L2200" t="s">
        <v>1225</v>
      </c>
      <c r="M2200" t="s">
        <v>189</v>
      </c>
      <c r="N2200" t="s">
        <v>211</v>
      </c>
      <c r="O2200" t="s">
        <v>212</v>
      </c>
      <c r="P2200">
        <v>3</v>
      </c>
      <c r="Q2200" t="s">
        <v>101</v>
      </c>
      <c r="S2200" t="str">
        <f>_xlfn.XLOOKUP(UNIVERSO[[#This Row],[Ruta]],'[1]CUOTA RUTA'!A:A,'[1]CUOTA RUTA'!D:D)</f>
        <v>Cargar</v>
      </c>
    </row>
    <row r="2201" spans="1:19" x14ac:dyDescent="0.25">
      <c r="A2201">
        <v>1500721856</v>
      </c>
      <c r="B2201" t="s">
        <v>4464</v>
      </c>
      <c r="C2201" t="s">
        <v>19</v>
      </c>
      <c r="D2201" t="s">
        <v>324</v>
      </c>
      <c r="E2201" t="s">
        <v>21</v>
      </c>
      <c r="F2201" t="s">
        <v>22</v>
      </c>
      <c r="G2201" t="s">
        <v>33</v>
      </c>
      <c r="H2201" t="s">
        <v>390</v>
      </c>
      <c r="I2201" t="s">
        <v>4465</v>
      </c>
      <c r="J2201">
        <v>10.3253</v>
      </c>
      <c r="K2201">
        <v>-84.425030000000007</v>
      </c>
      <c r="L2201" t="s">
        <v>1225</v>
      </c>
      <c r="M2201" t="s">
        <v>327</v>
      </c>
      <c r="N2201" t="s">
        <v>328</v>
      </c>
      <c r="O2201" t="s">
        <v>329</v>
      </c>
      <c r="P2201">
        <v>22</v>
      </c>
      <c r="Q2201" t="s">
        <v>30</v>
      </c>
      <c r="S2201" t="str">
        <f>_xlfn.XLOOKUP(UNIVERSO[[#This Row],[Ruta]],'[1]CUOTA RUTA'!A:A,'[1]CUOTA RUTA'!D:D)</f>
        <v>Cargar</v>
      </c>
    </row>
    <row r="2202" spans="1:19" x14ac:dyDescent="0.25">
      <c r="A2202">
        <v>1500721880</v>
      </c>
      <c r="B2202" t="s">
        <v>4466</v>
      </c>
      <c r="C2202" t="s">
        <v>19</v>
      </c>
      <c r="D2202" t="s">
        <v>266</v>
      </c>
      <c r="E2202" t="s">
        <v>21</v>
      </c>
      <c r="F2202" t="s">
        <v>22</v>
      </c>
      <c r="G2202" t="s">
        <v>33</v>
      </c>
      <c r="H2202" t="s">
        <v>272</v>
      </c>
      <c r="I2202" t="s">
        <v>4467</v>
      </c>
      <c r="J2202">
        <v>9.8035259999999997</v>
      </c>
      <c r="K2202">
        <v>-83.711993000000007</v>
      </c>
      <c r="L2202" t="s">
        <v>1225</v>
      </c>
      <c r="M2202" t="s">
        <v>54</v>
      </c>
      <c r="N2202" t="s">
        <v>274</v>
      </c>
      <c r="O2202" t="s">
        <v>275</v>
      </c>
      <c r="P2202">
        <v>24</v>
      </c>
      <c r="Q2202" t="s">
        <v>947</v>
      </c>
      <c r="S2202" t="str">
        <f>_xlfn.XLOOKUP(UNIVERSO[[#This Row],[Ruta]],'[1]CUOTA RUTA'!A:A,'[1]CUOTA RUTA'!D:D)</f>
        <v>Cargar</v>
      </c>
    </row>
    <row r="2203" spans="1:19" x14ac:dyDescent="0.25">
      <c r="A2203">
        <v>1500721891</v>
      </c>
      <c r="B2203" t="s">
        <v>4468</v>
      </c>
      <c r="C2203" t="s">
        <v>19</v>
      </c>
      <c r="D2203" t="s">
        <v>349</v>
      </c>
      <c r="E2203" t="s">
        <v>21</v>
      </c>
      <c r="F2203" t="s">
        <v>22</v>
      </c>
      <c r="G2203" t="s">
        <v>64</v>
      </c>
      <c r="H2203" t="s">
        <v>350</v>
      </c>
      <c r="I2203" t="s">
        <v>4469</v>
      </c>
      <c r="J2203">
        <v>10.28211016</v>
      </c>
      <c r="K2203">
        <v>-85.573461699999996</v>
      </c>
      <c r="L2203" t="s">
        <v>1225</v>
      </c>
      <c r="M2203" t="s">
        <v>352</v>
      </c>
      <c r="N2203" t="s">
        <v>353</v>
      </c>
      <c r="O2203" t="s">
        <v>354</v>
      </c>
      <c r="P2203">
        <v>3</v>
      </c>
      <c r="Q2203" t="s">
        <v>101</v>
      </c>
      <c r="S2203" t="str">
        <f>_xlfn.XLOOKUP(UNIVERSO[[#This Row],[Ruta]],'[1]CUOTA RUTA'!A:A,'[1]CUOTA RUTA'!D:D)</f>
        <v>Cargar</v>
      </c>
    </row>
    <row r="2204" spans="1:19" x14ac:dyDescent="0.25">
      <c r="A2204">
        <v>1500722030</v>
      </c>
      <c r="B2204" t="s">
        <v>4470</v>
      </c>
      <c r="C2204" t="s">
        <v>19</v>
      </c>
      <c r="D2204" t="s">
        <v>20</v>
      </c>
      <c r="E2204" t="s">
        <v>21</v>
      </c>
      <c r="F2204" t="s">
        <v>22</v>
      </c>
      <c r="G2204" t="s">
        <v>33</v>
      </c>
      <c r="H2204" t="s">
        <v>250</v>
      </c>
      <c r="I2204" t="s">
        <v>4471</v>
      </c>
      <c r="J2204">
        <v>10.017955089999999</v>
      </c>
      <c r="K2204">
        <v>-84.233372599999996</v>
      </c>
      <c r="L2204" t="s">
        <v>1225</v>
      </c>
      <c r="M2204" t="s">
        <v>46</v>
      </c>
      <c r="N2204" t="s">
        <v>47</v>
      </c>
      <c r="O2204" t="s">
        <v>48</v>
      </c>
      <c r="P2204">
        <v>3</v>
      </c>
      <c r="Q2204" t="s">
        <v>101</v>
      </c>
      <c r="S2204" t="str">
        <f>_xlfn.XLOOKUP(UNIVERSO[[#This Row],[Ruta]],'[1]CUOTA RUTA'!A:A,'[1]CUOTA RUTA'!D:D)</f>
        <v>Cargar</v>
      </c>
    </row>
    <row r="2205" spans="1:19" x14ac:dyDescent="0.25">
      <c r="A2205">
        <v>1500722046</v>
      </c>
      <c r="B2205" t="s">
        <v>4472</v>
      </c>
      <c r="C2205" t="s">
        <v>19</v>
      </c>
      <c r="D2205" t="s">
        <v>208</v>
      </c>
      <c r="E2205" t="s">
        <v>21</v>
      </c>
      <c r="F2205" t="s">
        <v>22</v>
      </c>
      <c r="G2205" t="s">
        <v>64</v>
      </c>
      <c r="H2205" t="s">
        <v>209</v>
      </c>
      <c r="I2205" t="s">
        <v>4473</v>
      </c>
      <c r="J2205">
        <v>10.26</v>
      </c>
      <c r="K2205">
        <v>-83.943269999999998</v>
      </c>
      <c r="L2205" t="s">
        <v>1225</v>
      </c>
      <c r="M2205" t="s">
        <v>189</v>
      </c>
      <c r="N2205" t="s">
        <v>211</v>
      </c>
      <c r="O2205" t="s">
        <v>212</v>
      </c>
      <c r="P2205">
        <v>4</v>
      </c>
      <c r="Q2205" t="s">
        <v>120</v>
      </c>
      <c r="S2205" t="str">
        <f>_xlfn.XLOOKUP(UNIVERSO[[#This Row],[Ruta]],'[1]CUOTA RUTA'!A:A,'[1]CUOTA RUTA'!D:D)</f>
        <v>Cargar</v>
      </c>
    </row>
    <row r="2206" spans="1:19" x14ac:dyDescent="0.25">
      <c r="A2206">
        <v>1500722171</v>
      </c>
      <c r="B2206" t="s">
        <v>4474</v>
      </c>
      <c r="C2206" t="s">
        <v>19</v>
      </c>
      <c r="D2206" t="s">
        <v>20</v>
      </c>
      <c r="E2206" t="s">
        <v>21</v>
      </c>
      <c r="F2206" t="s">
        <v>22</v>
      </c>
      <c r="G2206" t="s">
        <v>64</v>
      </c>
      <c r="H2206" t="s">
        <v>260</v>
      </c>
      <c r="I2206" t="s">
        <v>4475</v>
      </c>
      <c r="J2206">
        <v>10.091586024209001</v>
      </c>
      <c r="K2206">
        <v>-84.473563696179994</v>
      </c>
      <c r="L2206" t="s">
        <v>1225</v>
      </c>
      <c r="M2206" t="s">
        <v>46</v>
      </c>
      <c r="N2206" t="s">
        <v>47</v>
      </c>
      <c r="O2206" t="s">
        <v>48</v>
      </c>
      <c r="P2206">
        <v>6</v>
      </c>
      <c r="Q2206" t="s">
        <v>49</v>
      </c>
      <c r="S2206" t="str">
        <f>_xlfn.XLOOKUP(UNIVERSO[[#This Row],[Ruta]],'[1]CUOTA RUTA'!A:A,'[1]CUOTA RUTA'!D:D)</f>
        <v>Cargar</v>
      </c>
    </row>
    <row r="2207" spans="1:19" x14ac:dyDescent="0.25">
      <c r="A2207">
        <v>1500722190</v>
      </c>
      <c r="B2207" t="s">
        <v>4476</v>
      </c>
      <c r="C2207" t="s">
        <v>19</v>
      </c>
      <c r="D2207" t="s">
        <v>266</v>
      </c>
      <c r="E2207" t="s">
        <v>21</v>
      </c>
      <c r="F2207" t="s">
        <v>22</v>
      </c>
      <c r="G2207" t="s">
        <v>64</v>
      </c>
      <c r="H2207" t="s">
        <v>314</v>
      </c>
      <c r="I2207" t="s">
        <v>4477</v>
      </c>
      <c r="J2207">
        <v>9.8766473999999995</v>
      </c>
      <c r="K2207">
        <v>-83.926369300000005</v>
      </c>
      <c r="L2207" t="s">
        <v>1225</v>
      </c>
      <c r="M2207" t="s">
        <v>36</v>
      </c>
      <c r="N2207" t="s">
        <v>316</v>
      </c>
      <c r="O2207" t="s">
        <v>317</v>
      </c>
      <c r="P2207">
        <v>22</v>
      </c>
      <c r="Q2207" t="s">
        <v>30</v>
      </c>
      <c r="S2207" t="str">
        <f>_xlfn.XLOOKUP(UNIVERSO[[#This Row],[Ruta]],'[1]CUOTA RUTA'!A:A,'[1]CUOTA RUTA'!D:D)</f>
        <v>Cargar</v>
      </c>
    </row>
    <row r="2208" spans="1:19" x14ac:dyDescent="0.25">
      <c r="A2208">
        <v>1500722325</v>
      </c>
      <c r="B2208" t="s">
        <v>4478</v>
      </c>
      <c r="C2208" t="s">
        <v>19</v>
      </c>
      <c r="D2208" t="s">
        <v>208</v>
      </c>
      <c r="E2208" t="s">
        <v>62</v>
      </c>
      <c r="F2208" t="s">
        <v>63</v>
      </c>
      <c r="G2208" t="s">
        <v>33</v>
      </c>
      <c r="H2208" t="s">
        <v>1794</v>
      </c>
      <c r="I2208" t="s">
        <v>4479</v>
      </c>
      <c r="J2208">
        <v>10.3340692</v>
      </c>
      <c r="K2208">
        <v>-83.950122699999994</v>
      </c>
      <c r="L2208" t="s">
        <v>1225</v>
      </c>
      <c r="M2208" t="s">
        <v>189</v>
      </c>
      <c r="N2208" t="s">
        <v>211</v>
      </c>
      <c r="O2208" t="s">
        <v>212</v>
      </c>
      <c r="P2208">
        <v>3</v>
      </c>
      <c r="Q2208" t="s">
        <v>101</v>
      </c>
      <c r="S2208" t="str">
        <f>_xlfn.XLOOKUP(UNIVERSO[[#This Row],[Ruta]],'[1]CUOTA RUTA'!A:A,'[1]CUOTA RUTA'!D:D)</f>
        <v>Cargar</v>
      </c>
    </row>
    <row r="2209" spans="1:19" x14ac:dyDescent="0.25">
      <c r="A2209">
        <v>1500722516</v>
      </c>
      <c r="B2209" t="s">
        <v>4480</v>
      </c>
      <c r="C2209" t="s">
        <v>19</v>
      </c>
      <c r="D2209" t="s">
        <v>208</v>
      </c>
      <c r="E2209" t="s">
        <v>21</v>
      </c>
      <c r="F2209" t="s">
        <v>22</v>
      </c>
      <c r="G2209" t="s">
        <v>33</v>
      </c>
      <c r="H2209" t="s">
        <v>218</v>
      </c>
      <c r="I2209" t="s">
        <v>4481</v>
      </c>
      <c r="J2209">
        <v>10.209490000000001</v>
      </c>
      <c r="K2209">
        <v>-83.691199999999995</v>
      </c>
      <c r="L2209" t="s">
        <v>1225</v>
      </c>
      <c r="M2209" t="s">
        <v>189</v>
      </c>
      <c r="N2209" t="s">
        <v>211</v>
      </c>
      <c r="O2209" t="s">
        <v>212</v>
      </c>
      <c r="P2209">
        <v>6</v>
      </c>
      <c r="Q2209" t="s">
        <v>49</v>
      </c>
      <c r="S2209" t="str">
        <f>_xlfn.XLOOKUP(UNIVERSO[[#This Row],[Ruta]],'[1]CUOTA RUTA'!A:A,'[1]CUOTA RUTA'!D:D)</f>
        <v>Cargar</v>
      </c>
    </row>
    <row r="2210" spans="1:19" x14ac:dyDescent="0.25">
      <c r="A2210">
        <v>1500722545</v>
      </c>
      <c r="B2210" t="s">
        <v>4482</v>
      </c>
      <c r="C2210" t="s">
        <v>19</v>
      </c>
      <c r="D2210" t="s">
        <v>20</v>
      </c>
      <c r="E2210" t="s">
        <v>21</v>
      </c>
      <c r="F2210" t="s">
        <v>22</v>
      </c>
      <c r="G2210" t="s">
        <v>64</v>
      </c>
      <c r="H2210" t="s">
        <v>44</v>
      </c>
      <c r="I2210" t="s">
        <v>4483</v>
      </c>
      <c r="J2210">
        <v>10.077973500000001</v>
      </c>
      <c r="K2210">
        <v>-84.467855599999993</v>
      </c>
      <c r="L2210" t="s">
        <v>1225</v>
      </c>
      <c r="M2210" t="s">
        <v>46</v>
      </c>
      <c r="N2210" t="s">
        <v>47</v>
      </c>
      <c r="O2210" t="s">
        <v>48</v>
      </c>
      <c r="P2210">
        <v>7</v>
      </c>
      <c r="Q2210" t="s">
        <v>39</v>
      </c>
      <c r="S2210" t="str">
        <f>_xlfn.XLOOKUP(UNIVERSO[[#This Row],[Ruta]],'[1]CUOTA RUTA'!A:A,'[1]CUOTA RUTA'!D:D)</f>
        <v>Cargar</v>
      </c>
    </row>
    <row r="2211" spans="1:19" x14ac:dyDescent="0.25">
      <c r="A2211">
        <v>1500722740</v>
      </c>
      <c r="B2211" t="s">
        <v>4484</v>
      </c>
      <c r="C2211" t="s">
        <v>19</v>
      </c>
      <c r="D2211" t="s">
        <v>32</v>
      </c>
      <c r="E2211" t="s">
        <v>21</v>
      </c>
      <c r="F2211" t="s">
        <v>22</v>
      </c>
      <c r="G2211" t="s">
        <v>64</v>
      </c>
      <c r="H2211" t="s">
        <v>879</v>
      </c>
      <c r="I2211" t="s">
        <v>4485</v>
      </c>
      <c r="J2211">
        <v>9.9294700000000002</v>
      </c>
      <c r="K2211">
        <v>-84.077200000000005</v>
      </c>
      <c r="L2211" t="s">
        <v>1225</v>
      </c>
      <c r="M2211" t="s">
        <v>71</v>
      </c>
      <c r="N2211" t="s">
        <v>72</v>
      </c>
      <c r="O2211" t="s">
        <v>73</v>
      </c>
      <c r="P2211">
        <v>5</v>
      </c>
      <c r="Q2211" t="s">
        <v>117</v>
      </c>
      <c r="S2211" t="str">
        <f>_xlfn.XLOOKUP(UNIVERSO[[#This Row],[Ruta]],'[1]CUOTA RUTA'!A:A,'[1]CUOTA RUTA'!D:D)</f>
        <v>Cargar</v>
      </c>
    </row>
    <row r="2212" spans="1:19" x14ac:dyDescent="0.25">
      <c r="A2212">
        <v>1500722779</v>
      </c>
      <c r="B2212" t="s">
        <v>4486</v>
      </c>
      <c r="C2212" t="s">
        <v>19</v>
      </c>
      <c r="D2212" t="s">
        <v>20</v>
      </c>
      <c r="E2212" t="s">
        <v>21</v>
      </c>
      <c r="F2212" t="s">
        <v>22</v>
      </c>
      <c r="G2212" t="s">
        <v>33</v>
      </c>
      <c r="H2212" t="s">
        <v>44</v>
      </c>
      <c r="I2212" t="s">
        <v>4487</v>
      </c>
      <c r="J2212">
        <v>10.0498619</v>
      </c>
      <c r="K2212">
        <v>-84.507394199999993</v>
      </c>
      <c r="L2212" t="s">
        <v>1225</v>
      </c>
      <c r="M2212" t="s">
        <v>46</v>
      </c>
      <c r="N2212" t="s">
        <v>47</v>
      </c>
      <c r="O2212" t="s">
        <v>48</v>
      </c>
      <c r="P2212">
        <v>7</v>
      </c>
      <c r="Q2212" t="s">
        <v>39</v>
      </c>
      <c r="S2212" t="str">
        <f>_xlfn.XLOOKUP(UNIVERSO[[#This Row],[Ruta]],'[1]CUOTA RUTA'!A:A,'[1]CUOTA RUTA'!D:D)</f>
        <v>Cargar</v>
      </c>
    </row>
    <row r="2213" spans="1:19" x14ac:dyDescent="0.25">
      <c r="A2213">
        <v>1500722885</v>
      </c>
      <c r="B2213" t="s">
        <v>4488</v>
      </c>
      <c r="C2213" t="s">
        <v>19</v>
      </c>
      <c r="D2213" t="s">
        <v>32</v>
      </c>
      <c r="E2213" t="s">
        <v>21</v>
      </c>
      <c r="F2213" t="s">
        <v>22</v>
      </c>
      <c r="G2213" t="s">
        <v>33</v>
      </c>
      <c r="H2213" t="s">
        <v>179</v>
      </c>
      <c r="I2213" t="s">
        <v>4489</v>
      </c>
      <c r="J2213">
        <v>9.8879490000000008</v>
      </c>
      <c r="K2213">
        <v>-84.022386999999995</v>
      </c>
      <c r="L2213" t="s">
        <v>1225</v>
      </c>
      <c r="M2213" t="s">
        <v>36</v>
      </c>
      <c r="N2213" t="s">
        <v>37</v>
      </c>
      <c r="O2213" t="s">
        <v>38</v>
      </c>
      <c r="P2213">
        <v>15</v>
      </c>
      <c r="Q2213" t="s">
        <v>231</v>
      </c>
      <c r="S2213" t="str">
        <f>_xlfn.XLOOKUP(UNIVERSO[[#This Row],[Ruta]],'[1]CUOTA RUTA'!A:A,'[1]CUOTA RUTA'!D:D)</f>
        <v>Cargar</v>
      </c>
    </row>
    <row r="2214" spans="1:19" x14ac:dyDescent="0.25">
      <c r="A2214">
        <v>1500722965</v>
      </c>
      <c r="B2214" t="s">
        <v>4490</v>
      </c>
      <c r="C2214" t="s">
        <v>19</v>
      </c>
      <c r="D2214" t="s">
        <v>324</v>
      </c>
      <c r="E2214" t="s">
        <v>21</v>
      </c>
      <c r="F2214" t="s">
        <v>22</v>
      </c>
      <c r="G2214" t="s">
        <v>33</v>
      </c>
      <c r="H2214" t="s">
        <v>331</v>
      </c>
      <c r="I2214" t="s">
        <v>4491</v>
      </c>
      <c r="J2214">
        <v>10.4594741</v>
      </c>
      <c r="K2214">
        <v>-84.2853961</v>
      </c>
      <c r="L2214" t="s">
        <v>1225</v>
      </c>
      <c r="M2214" t="s">
        <v>327</v>
      </c>
      <c r="N2214" t="s">
        <v>328</v>
      </c>
      <c r="O2214" t="s">
        <v>329</v>
      </c>
      <c r="P2214">
        <v>18</v>
      </c>
      <c r="Q2214" t="s">
        <v>84</v>
      </c>
      <c r="S2214" t="str">
        <f>_xlfn.XLOOKUP(UNIVERSO[[#This Row],[Ruta]],'[1]CUOTA RUTA'!A:A,'[1]CUOTA RUTA'!D:D)</f>
        <v>Cargar</v>
      </c>
    </row>
    <row r="2215" spans="1:19" x14ac:dyDescent="0.25">
      <c r="A2215">
        <v>1500723068</v>
      </c>
      <c r="B2215" t="s">
        <v>4492</v>
      </c>
      <c r="C2215" t="s">
        <v>19</v>
      </c>
      <c r="D2215" t="s">
        <v>20</v>
      </c>
      <c r="E2215" t="s">
        <v>21</v>
      </c>
      <c r="F2215" t="s">
        <v>22</v>
      </c>
      <c r="G2215" t="s">
        <v>23</v>
      </c>
      <c r="H2215" t="s">
        <v>862</v>
      </c>
      <c r="I2215" t="s">
        <v>4493</v>
      </c>
      <c r="J2215">
        <v>9.97973</v>
      </c>
      <c r="K2215">
        <v>-84.187629999999999</v>
      </c>
      <c r="L2215" t="s">
        <v>1225</v>
      </c>
      <c r="M2215" t="s">
        <v>27</v>
      </c>
      <c r="N2215" t="s">
        <v>28</v>
      </c>
      <c r="O2215" t="s">
        <v>29</v>
      </c>
      <c r="P2215">
        <v>23</v>
      </c>
      <c r="Q2215" t="s">
        <v>125</v>
      </c>
      <c r="S2215" t="str">
        <f>_xlfn.XLOOKUP(UNIVERSO[[#This Row],[Ruta]],'[1]CUOTA RUTA'!A:A,'[1]CUOTA RUTA'!D:D)</f>
        <v>Cargar</v>
      </c>
    </row>
    <row r="2216" spans="1:19" x14ac:dyDescent="0.25">
      <c r="A2216">
        <v>1500723075</v>
      </c>
      <c r="B2216" t="s">
        <v>4494</v>
      </c>
      <c r="C2216" t="s">
        <v>19</v>
      </c>
      <c r="D2216" t="s">
        <v>32</v>
      </c>
      <c r="E2216" t="s">
        <v>21</v>
      </c>
      <c r="F2216" t="s">
        <v>22</v>
      </c>
      <c r="G2216" t="s">
        <v>23</v>
      </c>
      <c r="H2216" t="s">
        <v>716</v>
      </c>
      <c r="I2216" t="s">
        <v>4495</v>
      </c>
      <c r="J2216">
        <v>9.9167389999999997</v>
      </c>
      <c r="K2216">
        <v>-84.051838000000004</v>
      </c>
      <c r="L2216" t="s">
        <v>1225</v>
      </c>
      <c r="M2216" t="s">
        <v>36</v>
      </c>
      <c r="N2216" t="s">
        <v>37</v>
      </c>
      <c r="O2216" t="s">
        <v>38</v>
      </c>
      <c r="P2216">
        <v>11</v>
      </c>
      <c r="Q2216" t="s">
        <v>108</v>
      </c>
      <c r="S2216" t="str">
        <f>_xlfn.XLOOKUP(UNIVERSO[[#This Row],[Ruta]],'[1]CUOTA RUTA'!A:A,'[1]CUOTA RUTA'!D:D)</f>
        <v>Cargar</v>
      </c>
    </row>
    <row r="2217" spans="1:19" x14ac:dyDescent="0.25">
      <c r="A2217">
        <v>1500723091</v>
      </c>
      <c r="B2217" t="s">
        <v>4464</v>
      </c>
      <c r="C2217" t="s">
        <v>19</v>
      </c>
      <c r="D2217" t="s">
        <v>324</v>
      </c>
      <c r="E2217" t="s">
        <v>21</v>
      </c>
      <c r="F2217" t="s">
        <v>22</v>
      </c>
      <c r="G2217" t="s">
        <v>64</v>
      </c>
      <c r="H2217" t="s">
        <v>511</v>
      </c>
      <c r="I2217" t="s">
        <v>4496</v>
      </c>
      <c r="J2217">
        <v>10.456303</v>
      </c>
      <c r="K2217">
        <v>-84.583136999999994</v>
      </c>
      <c r="L2217" t="s">
        <v>1225</v>
      </c>
      <c r="M2217" t="s">
        <v>327</v>
      </c>
      <c r="N2217" t="s">
        <v>328</v>
      </c>
      <c r="O2217" t="s">
        <v>329</v>
      </c>
      <c r="P2217">
        <v>13</v>
      </c>
      <c r="Q2217" t="s">
        <v>161</v>
      </c>
      <c r="S2217" t="str">
        <f>_xlfn.XLOOKUP(UNIVERSO[[#This Row],[Ruta]],'[1]CUOTA RUTA'!A:A,'[1]CUOTA RUTA'!D:D)</f>
        <v>Cargar</v>
      </c>
    </row>
    <row r="2218" spans="1:19" x14ac:dyDescent="0.25">
      <c r="A2218">
        <v>1500723114</v>
      </c>
      <c r="B2218" t="s">
        <v>4497</v>
      </c>
      <c r="C2218" t="s">
        <v>19</v>
      </c>
      <c r="D2218" t="s">
        <v>32</v>
      </c>
      <c r="E2218" t="s">
        <v>21</v>
      </c>
      <c r="F2218" t="s">
        <v>22</v>
      </c>
      <c r="G2218" t="s">
        <v>64</v>
      </c>
      <c r="H2218" t="s">
        <v>99</v>
      </c>
      <c r="I2218" t="s">
        <v>4498</v>
      </c>
      <c r="J2218">
        <v>9.9311699999999998</v>
      </c>
      <c r="K2218">
        <v>-84.086799999999997</v>
      </c>
      <c r="L2218" t="s">
        <v>1225</v>
      </c>
      <c r="M2218" t="s">
        <v>71</v>
      </c>
      <c r="N2218" t="s">
        <v>72</v>
      </c>
      <c r="O2218" t="s">
        <v>73</v>
      </c>
      <c r="P2218">
        <v>1</v>
      </c>
      <c r="Q2218" t="s">
        <v>155</v>
      </c>
      <c r="S2218" t="str">
        <f>_xlfn.XLOOKUP(UNIVERSO[[#This Row],[Ruta]],'[1]CUOTA RUTA'!A:A,'[1]CUOTA RUTA'!D:D)</f>
        <v>Cargar</v>
      </c>
    </row>
    <row r="2219" spans="1:19" x14ac:dyDescent="0.25">
      <c r="A2219">
        <v>1500723206</v>
      </c>
      <c r="B2219" t="s">
        <v>4499</v>
      </c>
      <c r="C2219" t="s">
        <v>19</v>
      </c>
      <c r="D2219" t="s">
        <v>32</v>
      </c>
      <c r="E2219" t="s">
        <v>21</v>
      </c>
      <c r="F2219" t="s">
        <v>22</v>
      </c>
      <c r="G2219" t="s">
        <v>64</v>
      </c>
      <c r="H2219" t="s">
        <v>159</v>
      </c>
      <c r="I2219" t="s">
        <v>4500</v>
      </c>
      <c r="J2219">
        <v>9.9040300000000006</v>
      </c>
      <c r="K2219">
        <v>-84.108500000000006</v>
      </c>
      <c r="L2219" t="s">
        <v>1225</v>
      </c>
      <c r="M2219" t="s">
        <v>71</v>
      </c>
      <c r="N2219" t="s">
        <v>72</v>
      </c>
      <c r="O2219" t="s">
        <v>73</v>
      </c>
      <c r="P2219">
        <v>13</v>
      </c>
      <c r="Q2219" t="s">
        <v>161</v>
      </c>
      <c r="S2219" t="str">
        <f>_xlfn.XLOOKUP(UNIVERSO[[#This Row],[Ruta]],'[1]CUOTA RUTA'!A:A,'[1]CUOTA RUTA'!D:D)</f>
        <v>Cargar</v>
      </c>
    </row>
    <row r="2220" spans="1:19" x14ac:dyDescent="0.25">
      <c r="A2220">
        <v>1500723313</v>
      </c>
      <c r="B2220" t="s">
        <v>4501</v>
      </c>
      <c r="C2220" t="s">
        <v>19</v>
      </c>
      <c r="D2220" t="s">
        <v>337</v>
      </c>
      <c r="E2220" t="s">
        <v>21</v>
      </c>
      <c r="F2220" t="s">
        <v>22</v>
      </c>
      <c r="G2220" t="s">
        <v>23</v>
      </c>
      <c r="H2220" t="s">
        <v>1732</v>
      </c>
      <c r="I2220" t="s">
        <v>4502</v>
      </c>
      <c r="J2220">
        <v>10.4468</v>
      </c>
      <c r="K2220">
        <v>-85.771159999999995</v>
      </c>
      <c r="L2220" t="s">
        <v>1225</v>
      </c>
      <c r="M2220" t="s">
        <v>327</v>
      </c>
      <c r="N2220" t="s">
        <v>340</v>
      </c>
      <c r="O2220" t="s">
        <v>341</v>
      </c>
      <c r="P2220">
        <v>18</v>
      </c>
      <c r="Q2220" t="s">
        <v>84</v>
      </c>
      <c r="S2220" t="str">
        <f>_xlfn.XLOOKUP(UNIVERSO[[#This Row],[Ruta]],'[1]CUOTA RUTA'!A:A,'[1]CUOTA RUTA'!D:D)</f>
        <v>Cargar</v>
      </c>
    </row>
    <row r="2221" spans="1:19" x14ac:dyDescent="0.25">
      <c r="A2221">
        <v>1500723335</v>
      </c>
      <c r="B2221" t="s">
        <v>4503</v>
      </c>
      <c r="C2221" t="s">
        <v>19</v>
      </c>
      <c r="D2221" t="s">
        <v>208</v>
      </c>
      <c r="E2221" t="s">
        <v>21</v>
      </c>
      <c r="F2221" t="s">
        <v>22</v>
      </c>
      <c r="G2221" t="s">
        <v>23</v>
      </c>
      <c r="H2221" t="s">
        <v>502</v>
      </c>
      <c r="I2221" t="s">
        <v>4504</v>
      </c>
      <c r="J2221">
        <v>10.532605999999999</v>
      </c>
      <c r="K2221">
        <v>-83.541130999999993</v>
      </c>
      <c r="L2221" t="s">
        <v>1225</v>
      </c>
      <c r="M2221" t="s">
        <v>189</v>
      </c>
      <c r="N2221" t="s">
        <v>211</v>
      </c>
      <c r="O2221" t="s">
        <v>212</v>
      </c>
      <c r="P2221">
        <v>7</v>
      </c>
      <c r="Q2221" t="s">
        <v>39</v>
      </c>
      <c r="S2221" t="str">
        <f>_xlfn.XLOOKUP(UNIVERSO[[#This Row],[Ruta]],'[1]CUOTA RUTA'!A:A,'[1]CUOTA RUTA'!D:D)</f>
        <v>Cargar</v>
      </c>
    </row>
    <row r="2222" spans="1:19" x14ac:dyDescent="0.25">
      <c r="A2222">
        <v>1500723336</v>
      </c>
      <c r="B2222" t="s">
        <v>4505</v>
      </c>
      <c r="C2222" t="s">
        <v>19</v>
      </c>
      <c r="D2222" t="s">
        <v>32</v>
      </c>
      <c r="E2222" t="s">
        <v>21</v>
      </c>
      <c r="F2222" t="s">
        <v>22</v>
      </c>
      <c r="G2222" t="s">
        <v>23</v>
      </c>
      <c r="H2222" t="s">
        <v>103</v>
      </c>
      <c r="I2222" t="s">
        <v>4506</v>
      </c>
      <c r="J2222">
        <v>9.9209716666670005</v>
      </c>
      <c r="K2222">
        <v>-84.118956666659997</v>
      </c>
      <c r="L2222" t="s">
        <v>1225</v>
      </c>
      <c r="M2222" t="s">
        <v>71</v>
      </c>
      <c r="N2222" t="s">
        <v>72</v>
      </c>
      <c r="O2222" t="s">
        <v>73</v>
      </c>
      <c r="P2222">
        <v>11</v>
      </c>
      <c r="Q2222" t="s">
        <v>108</v>
      </c>
      <c r="S2222" t="str">
        <f>_xlfn.XLOOKUP(UNIVERSO[[#This Row],[Ruta]],'[1]CUOTA RUTA'!A:A,'[1]CUOTA RUTA'!D:D)</f>
        <v>Cargar</v>
      </c>
    </row>
    <row r="2223" spans="1:19" x14ac:dyDescent="0.25">
      <c r="A2223">
        <v>1500723367</v>
      </c>
      <c r="B2223" t="s">
        <v>4507</v>
      </c>
      <c r="C2223" t="s">
        <v>19</v>
      </c>
      <c r="D2223" t="s">
        <v>20</v>
      </c>
      <c r="E2223" t="s">
        <v>21</v>
      </c>
      <c r="F2223" t="s">
        <v>22</v>
      </c>
      <c r="G2223" t="s">
        <v>33</v>
      </c>
      <c r="H2223" t="s">
        <v>260</v>
      </c>
      <c r="I2223" t="s">
        <v>4508</v>
      </c>
      <c r="J2223">
        <v>10.09281494</v>
      </c>
      <c r="K2223">
        <v>-84.475140710000005</v>
      </c>
      <c r="L2223" t="s">
        <v>1225</v>
      </c>
      <c r="M2223" t="s">
        <v>46</v>
      </c>
      <c r="N2223" t="s">
        <v>47</v>
      </c>
      <c r="O2223" t="s">
        <v>48</v>
      </c>
      <c r="P2223">
        <v>6</v>
      </c>
      <c r="Q2223" t="s">
        <v>49</v>
      </c>
      <c r="S2223" t="str">
        <f>_xlfn.XLOOKUP(UNIVERSO[[#This Row],[Ruta]],'[1]CUOTA RUTA'!A:A,'[1]CUOTA RUTA'!D:D)</f>
        <v>Cargar</v>
      </c>
    </row>
    <row r="2224" spans="1:19" x14ac:dyDescent="0.25">
      <c r="A2224">
        <v>1500723378</v>
      </c>
      <c r="B2224" t="s">
        <v>4509</v>
      </c>
      <c r="C2224" t="s">
        <v>19</v>
      </c>
      <c r="D2224" t="s">
        <v>337</v>
      </c>
      <c r="E2224" t="s">
        <v>21</v>
      </c>
      <c r="F2224" t="s">
        <v>22</v>
      </c>
      <c r="G2224" t="s">
        <v>64</v>
      </c>
      <c r="H2224" t="s">
        <v>1732</v>
      </c>
      <c r="I2224" t="s">
        <v>4510</v>
      </c>
      <c r="J2224">
        <v>10.503437999999999</v>
      </c>
      <c r="K2224">
        <v>-84.928089</v>
      </c>
      <c r="L2224" t="s">
        <v>1225</v>
      </c>
      <c r="M2224" t="s">
        <v>327</v>
      </c>
      <c r="N2224" t="s">
        <v>340</v>
      </c>
      <c r="O2224" t="s">
        <v>341</v>
      </c>
      <c r="P2224">
        <v>23</v>
      </c>
      <c r="Q2224" t="s">
        <v>125</v>
      </c>
      <c r="S2224" t="str">
        <f>_xlfn.XLOOKUP(UNIVERSO[[#This Row],[Ruta]],'[1]CUOTA RUTA'!A:A,'[1]CUOTA RUTA'!D:D)</f>
        <v>Cargar</v>
      </c>
    </row>
    <row r="2225" spans="1:19" x14ac:dyDescent="0.25">
      <c r="A2225">
        <v>1500723535</v>
      </c>
      <c r="B2225" t="s">
        <v>4511</v>
      </c>
      <c r="C2225" t="s">
        <v>19</v>
      </c>
      <c r="D2225" t="s">
        <v>266</v>
      </c>
      <c r="E2225" t="s">
        <v>21</v>
      </c>
      <c r="F2225" t="s">
        <v>22</v>
      </c>
      <c r="G2225" t="s">
        <v>33</v>
      </c>
      <c r="H2225" t="s">
        <v>314</v>
      </c>
      <c r="I2225" t="s">
        <v>4512</v>
      </c>
      <c r="J2225">
        <v>9.8723592</v>
      </c>
      <c r="K2225">
        <v>-83.925295599999998</v>
      </c>
      <c r="L2225" t="s">
        <v>1225</v>
      </c>
      <c r="M2225" t="s">
        <v>36</v>
      </c>
      <c r="N2225" t="s">
        <v>316</v>
      </c>
      <c r="O2225" t="s">
        <v>317</v>
      </c>
      <c r="P2225">
        <v>16</v>
      </c>
      <c r="Q2225" t="s">
        <v>60</v>
      </c>
      <c r="S2225" t="str">
        <f>_xlfn.XLOOKUP(UNIVERSO[[#This Row],[Ruta]],'[1]CUOTA RUTA'!A:A,'[1]CUOTA RUTA'!D:D)</f>
        <v>Cargar</v>
      </c>
    </row>
    <row r="2226" spans="1:19" x14ac:dyDescent="0.25">
      <c r="A2226">
        <v>1500723559</v>
      </c>
      <c r="B2226" t="s">
        <v>4513</v>
      </c>
      <c r="C2226" t="s">
        <v>19</v>
      </c>
      <c r="D2226" t="s">
        <v>20</v>
      </c>
      <c r="E2226" t="s">
        <v>21</v>
      </c>
      <c r="F2226" t="s">
        <v>51</v>
      </c>
      <c r="G2226" t="s">
        <v>23</v>
      </c>
      <c r="H2226" t="s">
        <v>554</v>
      </c>
      <c r="I2226" t="s">
        <v>4514</v>
      </c>
      <c r="J2226">
        <v>10.049144</v>
      </c>
      <c r="K2226">
        <v>-84.088071999999997</v>
      </c>
      <c r="L2226" t="s">
        <v>1225</v>
      </c>
      <c r="M2226" t="s">
        <v>27</v>
      </c>
      <c r="N2226" t="s">
        <v>28</v>
      </c>
      <c r="O2226" t="s">
        <v>29</v>
      </c>
      <c r="P2226">
        <v>21</v>
      </c>
      <c r="Q2226" t="s">
        <v>239</v>
      </c>
      <c r="S2226" t="str">
        <f>_xlfn.XLOOKUP(UNIVERSO[[#This Row],[Ruta]],'[1]CUOTA RUTA'!A:A,'[1]CUOTA RUTA'!D:D)</f>
        <v>Cargar</v>
      </c>
    </row>
    <row r="2227" spans="1:19" x14ac:dyDescent="0.25">
      <c r="A2227">
        <v>1500723582</v>
      </c>
      <c r="B2227" t="s">
        <v>4515</v>
      </c>
      <c r="C2227" t="s">
        <v>19</v>
      </c>
      <c r="D2227" t="s">
        <v>32</v>
      </c>
      <c r="E2227" t="s">
        <v>21</v>
      </c>
      <c r="F2227" t="s">
        <v>22</v>
      </c>
      <c r="G2227" t="s">
        <v>23</v>
      </c>
      <c r="H2227" t="s">
        <v>441</v>
      </c>
      <c r="I2227" t="s">
        <v>4516</v>
      </c>
      <c r="J2227">
        <v>9.9837617000000005</v>
      </c>
      <c r="K2227">
        <v>-84.084438300000002</v>
      </c>
      <c r="L2227" t="s">
        <v>1225</v>
      </c>
      <c r="M2227" t="s">
        <v>71</v>
      </c>
      <c r="N2227" t="s">
        <v>72</v>
      </c>
      <c r="O2227" t="s">
        <v>73</v>
      </c>
      <c r="P2227">
        <v>23</v>
      </c>
      <c r="Q2227" t="s">
        <v>125</v>
      </c>
      <c r="S2227" t="str">
        <f>_xlfn.XLOOKUP(UNIVERSO[[#This Row],[Ruta]],'[1]CUOTA RUTA'!A:A,'[1]CUOTA RUTA'!D:D)</f>
        <v>Cargar</v>
      </c>
    </row>
    <row r="2228" spans="1:19" x14ac:dyDescent="0.25">
      <c r="A2228">
        <v>1500723640</v>
      </c>
      <c r="B2228" t="s">
        <v>3483</v>
      </c>
      <c r="C2228" t="s">
        <v>19</v>
      </c>
      <c r="D2228" t="s">
        <v>20</v>
      </c>
      <c r="E2228" t="s">
        <v>21</v>
      </c>
      <c r="F2228" t="s">
        <v>22</v>
      </c>
      <c r="G2228" t="s">
        <v>23</v>
      </c>
      <c r="H2228" t="s">
        <v>58</v>
      </c>
      <c r="I2228" t="s">
        <v>4517</v>
      </c>
      <c r="J2228">
        <v>10.0135433</v>
      </c>
      <c r="K2228">
        <v>-84.184126699999993</v>
      </c>
      <c r="L2228" t="s">
        <v>1225</v>
      </c>
      <c r="M2228" t="s">
        <v>54</v>
      </c>
      <c r="N2228" t="s">
        <v>55</v>
      </c>
      <c r="O2228" t="s">
        <v>56</v>
      </c>
      <c r="P2228">
        <v>15</v>
      </c>
      <c r="Q2228" t="s">
        <v>231</v>
      </c>
      <c r="S2228" t="str">
        <f>_xlfn.XLOOKUP(UNIVERSO[[#This Row],[Ruta]],'[1]CUOTA RUTA'!A:A,'[1]CUOTA RUTA'!D:D)</f>
        <v>Cargar</v>
      </c>
    </row>
    <row r="2229" spans="1:19" x14ac:dyDescent="0.25">
      <c r="A2229">
        <v>1500723666</v>
      </c>
      <c r="B2229" t="s">
        <v>4518</v>
      </c>
      <c r="C2229" t="s">
        <v>19</v>
      </c>
      <c r="D2229" t="s">
        <v>266</v>
      </c>
      <c r="E2229" t="s">
        <v>21</v>
      </c>
      <c r="F2229" t="s">
        <v>22</v>
      </c>
      <c r="G2229" t="s">
        <v>64</v>
      </c>
      <c r="H2229" t="s">
        <v>267</v>
      </c>
      <c r="I2229" t="s">
        <v>4519</v>
      </c>
      <c r="J2229">
        <v>9.9119428099999993</v>
      </c>
      <c r="K2229">
        <v>-83.683163039999997</v>
      </c>
      <c r="L2229" t="s">
        <v>1225</v>
      </c>
      <c r="M2229" t="s">
        <v>189</v>
      </c>
      <c r="N2229" t="s">
        <v>269</v>
      </c>
      <c r="O2229" t="s">
        <v>270</v>
      </c>
      <c r="P2229">
        <v>21</v>
      </c>
      <c r="Q2229" t="s">
        <v>239</v>
      </c>
      <c r="S2229" t="str">
        <f>_xlfn.XLOOKUP(UNIVERSO[[#This Row],[Ruta]],'[1]CUOTA RUTA'!A:A,'[1]CUOTA RUTA'!D:D)</f>
        <v>Cargar</v>
      </c>
    </row>
    <row r="2230" spans="1:19" x14ac:dyDescent="0.25">
      <c r="A2230">
        <v>1500723671</v>
      </c>
      <c r="B2230" t="s">
        <v>4520</v>
      </c>
      <c r="C2230" t="s">
        <v>19</v>
      </c>
      <c r="D2230" t="s">
        <v>266</v>
      </c>
      <c r="E2230" t="s">
        <v>21</v>
      </c>
      <c r="F2230" t="s">
        <v>22</v>
      </c>
      <c r="G2230" t="s">
        <v>33</v>
      </c>
      <c r="H2230" t="s">
        <v>407</v>
      </c>
      <c r="I2230" t="s">
        <v>4521</v>
      </c>
      <c r="J2230">
        <v>9.7334180000000003</v>
      </c>
      <c r="K2230">
        <v>-83.950370000000007</v>
      </c>
      <c r="L2230" t="s">
        <v>1225</v>
      </c>
      <c r="M2230" t="s">
        <v>409</v>
      </c>
      <c r="N2230" t="s">
        <v>410</v>
      </c>
      <c r="O2230" t="s">
        <v>411</v>
      </c>
      <c r="P2230">
        <v>23</v>
      </c>
      <c r="Q2230" t="s">
        <v>125</v>
      </c>
      <c r="S2230" t="str">
        <f>_xlfn.XLOOKUP(UNIVERSO[[#This Row],[Ruta]],'[1]CUOTA RUTA'!A:A,'[1]CUOTA RUTA'!D:D)</f>
        <v>Cargar</v>
      </c>
    </row>
    <row r="2231" spans="1:19" x14ac:dyDescent="0.25">
      <c r="A2231">
        <v>1500723681</v>
      </c>
      <c r="B2231" t="s">
        <v>4522</v>
      </c>
      <c r="C2231" t="s">
        <v>19</v>
      </c>
      <c r="D2231" t="s">
        <v>244</v>
      </c>
      <c r="E2231" t="s">
        <v>21</v>
      </c>
      <c r="F2231" t="s">
        <v>22</v>
      </c>
      <c r="G2231" t="s">
        <v>33</v>
      </c>
      <c r="H2231" t="s">
        <v>566</v>
      </c>
      <c r="I2231" t="s">
        <v>4523</v>
      </c>
      <c r="J2231">
        <v>9.1726466999999996</v>
      </c>
      <c r="K2231">
        <v>-83.325740600000003</v>
      </c>
      <c r="L2231" t="s">
        <v>1225</v>
      </c>
      <c r="M2231" t="s">
        <v>46</v>
      </c>
      <c r="N2231" t="s">
        <v>247</v>
      </c>
      <c r="O2231" t="s">
        <v>248</v>
      </c>
      <c r="P2231">
        <v>12</v>
      </c>
      <c r="Q2231" t="s">
        <v>42</v>
      </c>
      <c r="S2231" t="str">
        <f>_xlfn.XLOOKUP(UNIVERSO[[#This Row],[Ruta]],'[1]CUOTA RUTA'!A:A,'[1]CUOTA RUTA'!D:D)</f>
        <v>Cargar</v>
      </c>
    </row>
    <row r="2232" spans="1:19" x14ac:dyDescent="0.25">
      <c r="A2232">
        <v>1500723750</v>
      </c>
      <c r="B2232" t="s">
        <v>4524</v>
      </c>
      <c r="C2232" t="s">
        <v>19</v>
      </c>
      <c r="D2232" t="s">
        <v>20</v>
      </c>
      <c r="E2232" t="s">
        <v>21</v>
      </c>
      <c r="F2232" t="s">
        <v>22</v>
      </c>
      <c r="G2232" t="s">
        <v>23</v>
      </c>
      <c r="H2232" t="s">
        <v>458</v>
      </c>
      <c r="I2232" t="s">
        <v>4525</v>
      </c>
      <c r="J2232">
        <v>9.9706977999999999</v>
      </c>
      <c r="K2232">
        <v>-84.262787900000006</v>
      </c>
      <c r="L2232" t="s">
        <v>1225</v>
      </c>
      <c r="M2232" t="s">
        <v>54</v>
      </c>
      <c r="N2232" t="s">
        <v>55</v>
      </c>
      <c r="O2232" t="s">
        <v>56</v>
      </c>
      <c r="P2232">
        <v>6</v>
      </c>
      <c r="Q2232" t="s">
        <v>49</v>
      </c>
      <c r="S2232" t="str">
        <f>_xlfn.XLOOKUP(UNIVERSO[[#This Row],[Ruta]],'[1]CUOTA RUTA'!A:A,'[1]CUOTA RUTA'!D:D)</f>
        <v>Cargar</v>
      </c>
    </row>
    <row r="2233" spans="1:19" x14ac:dyDescent="0.25">
      <c r="A2233">
        <v>1500723753</v>
      </c>
      <c r="B2233" t="s">
        <v>4526</v>
      </c>
      <c r="C2233" t="s">
        <v>19</v>
      </c>
      <c r="D2233" t="s">
        <v>20</v>
      </c>
      <c r="E2233" t="s">
        <v>21</v>
      </c>
      <c r="F2233" t="s">
        <v>22</v>
      </c>
      <c r="G2233" t="s">
        <v>64</v>
      </c>
      <c r="H2233" t="s">
        <v>308</v>
      </c>
      <c r="I2233" t="s">
        <v>4527</v>
      </c>
      <c r="J2233">
        <v>9.8558299999999992</v>
      </c>
      <c r="K2233">
        <v>-84.243669999999995</v>
      </c>
      <c r="L2233" t="s">
        <v>1225</v>
      </c>
      <c r="M2233" t="s">
        <v>54</v>
      </c>
      <c r="N2233" t="s">
        <v>55</v>
      </c>
      <c r="O2233" t="s">
        <v>56</v>
      </c>
      <c r="P2233">
        <v>23</v>
      </c>
      <c r="Q2233" t="s">
        <v>125</v>
      </c>
      <c r="S2233" t="str">
        <f>_xlfn.XLOOKUP(UNIVERSO[[#This Row],[Ruta]],'[1]CUOTA RUTA'!A:A,'[1]CUOTA RUTA'!D:D)</f>
        <v>Cargar</v>
      </c>
    </row>
    <row r="2234" spans="1:19" x14ac:dyDescent="0.25">
      <c r="A2234">
        <v>1500723900</v>
      </c>
      <c r="B2234" t="s">
        <v>4528</v>
      </c>
      <c r="C2234" t="s">
        <v>19</v>
      </c>
      <c r="D2234" t="s">
        <v>32</v>
      </c>
      <c r="E2234" t="s">
        <v>21</v>
      </c>
      <c r="F2234" t="s">
        <v>22</v>
      </c>
      <c r="G2234" t="s">
        <v>33</v>
      </c>
      <c r="H2234" t="s">
        <v>89</v>
      </c>
      <c r="I2234" t="s">
        <v>4529</v>
      </c>
      <c r="J2234">
        <v>9.8986649999999994</v>
      </c>
      <c r="K2234">
        <v>-84.087311</v>
      </c>
      <c r="L2234" t="s">
        <v>1225</v>
      </c>
      <c r="M2234" t="s">
        <v>71</v>
      </c>
      <c r="N2234" t="s">
        <v>72</v>
      </c>
      <c r="O2234" t="s">
        <v>73</v>
      </c>
      <c r="P2234">
        <v>6</v>
      </c>
      <c r="Q2234" t="s">
        <v>49</v>
      </c>
      <c r="S2234" t="str">
        <f>_xlfn.XLOOKUP(UNIVERSO[[#This Row],[Ruta]],'[1]CUOTA RUTA'!A:A,'[1]CUOTA RUTA'!D:D)</f>
        <v>Cargar</v>
      </c>
    </row>
    <row r="2235" spans="1:19" x14ac:dyDescent="0.25">
      <c r="A2235">
        <v>1500724217</v>
      </c>
      <c r="B2235" t="s">
        <v>4530</v>
      </c>
      <c r="C2235" t="s">
        <v>19</v>
      </c>
      <c r="D2235" t="s">
        <v>32</v>
      </c>
      <c r="E2235" t="s">
        <v>21</v>
      </c>
      <c r="F2235" t="s">
        <v>51</v>
      </c>
      <c r="G2235" t="s">
        <v>23</v>
      </c>
      <c r="H2235" t="s">
        <v>134</v>
      </c>
      <c r="I2235" t="s">
        <v>4531</v>
      </c>
      <c r="J2235">
        <v>9.9042735999999998</v>
      </c>
      <c r="K2235">
        <v>-84.057061700000006</v>
      </c>
      <c r="L2235" t="s">
        <v>1225</v>
      </c>
      <c r="M2235" t="s">
        <v>94</v>
      </c>
      <c r="N2235" t="s">
        <v>95</v>
      </c>
      <c r="O2235" t="s">
        <v>96</v>
      </c>
      <c r="P2235">
        <v>12</v>
      </c>
      <c r="Q2235" t="s">
        <v>42</v>
      </c>
      <c r="S2235" t="str">
        <f>_xlfn.XLOOKUP(UNIVERSO[[#This Row],[Ruta]],'[1]CUOTA RUTA'!A:A,'[1]CUOTA RUTA'!D:D)</f>
        <v>Cargar</v>
      </c>
    </row>
    <row r="2236" spans="1:19" x14ac:dyDescent="0.25">
      <c r="A2236">
        <v>1500724406</v>
      </c>
      <c r="B2236" t="s">
        <v>4532</v>
      </c>
      <c r="C2236" t="s">
        <v>19</v>
      </c>
      <c r="D2236" t="s">
        <v>337</v>
      </c>
      <c r="E2236" t="s">
        <v>21</v>
      </c>
      <c r="F2236" t="s">
        <v>22</v>
      </c>
      <c r="G2236" t="s">
        <v>23</v>
      </c>
      <c r="H2236" t="s">
        <v>338</v>
      </c>
      <c r="I2236" t="s">
        <v>4533</v>
      </c>
      <c r="J2236">
        <v>10.3431362</v>
      </c>
      <c r="K2236">
        <v>-85.844374000000002</v>
      </c>
      <c r="L2236" t="s">
        <v>1225</v>
      </c>
      <c r="M2236" t="s">
        <v>327</v>
      </c>
      <c r="N2236" t="s">
        <v>340</v>
      </c>
      <c r="O2236" t="s">
        <v>341</v>
      </c>
      <c r="P2236">
        <v>19</v>
      </c>
      <c r="Q2236" t="s">
        <v>67</v>
      </c>
      <c r="S2236" t="str">
        <f>_xlfn.XLOOKUP(UNIVERSO[[#This Row],[Ruta]],'[1]CUOTA RUTA'!A:A,'[1]CUOTA RUTA'!D:D)</f>
        <v>Cargar</v>
      </c>
    </row>
    <row r="2237" spans="1:19" x14ac:dyDescent="0.25">
      <c r="A2237">
        <v>1500724500</v>
      </c>
      <c r="B2237" t="s">
        <v>4534</v>
      </c>
      <c r="C2237" t="s">
        <v>19</v>
      </c>
      <c r="D2237" t="s">
        <v>349</v>
      </c>
      <c r="E2237" t="s">
        <v>62</v>
      </c>
      <c r="F2237" t="s">
        <v>63</v>
      </c>
      <c r="G2237" t="s">
        <v>64</v>
      </c>
      <c r="H2237" t="s">
        <v>350</v>
      </c>
      <c r="I2237" t="s">
        <v>4535</v>
      </c>
      <c r="J2237">
        <v>9.8835258600000007</v>
      </c>
      <c r="K2237">
        <v>-85.527610199999998</v>
      </c>
      <c r="L2237" t="s">
        <v>1225</v>
      </c>
      <c r="M2237" t="s">
        <v>352</v>
      </c>
      <c r="N2237" t="s">
        <v>353</v>
      </c>
      <c r="O2237" t="s">
        <v>354</v>
      </c>
      <c r="P2237">
        <v>8</v>
      </c>
      <c r="Q2237" t="s">
        <v>97</v>
      </c>
      <c r="S2237" t="str">
        <f>_xlfn.XLOOKUP(UNIVERSO[[#This Row],[Ruta]],'[1]CUOTA RUTA'!A:A,'[1]CUOTA RUTA'!D:D)</f>
        <v>Cargar</v>
      </c>
    </row>
    <row r="2238" spans="1:19" x14ac:dyDescent="0.25">
      <c r="A2238">
        <v>1500724502</v>
      </c>
      <c r="B2238" t="s">
        <v>4536</v>
      </c>
      <c r="C2238" t="s">
        <v>19</v>
      </c>
      <c r="D2238" t="s">
        <v>324</v>
      </c>
      <c r="E2238" t="s">
        <v>21</v>
      </c>
      <c r="F2238" t="s">
        <v>22</v>
      </c>
      <c r="G2238" t="s">
        <v>64</v>
      </c>
      <c r="H2238" t="s">
        <v>325</v>
      </c>
      <c r="I2238" t="s">
        <v>4537</v>
      </c>
      <c r="J2238">
        <v>10.382747</v>
      </c>
      <c r="K2238">
        <v>-84.575781000000006</v>
      </c>
      <c r="L2238" t="s">
        <v>1225</v>
      </c>
      <c r="M2238" t="s">
        <v>327</v>
      </c>
      <c r="N2238" t="s">
        <v>328</v>
      </c>
      <c r="O2238" t="s">
        <v>329</v>
      </c>
      <c r="P2238">
        <v>13</v>
      </c>
      <c r="Q2238" t="s">
        <v>161</v>
      </c>
      <c r="S2238" t="str">
        <f>_xlfn.XLOOKUP(UNIVERSO[[#This Row],[Ruta]],'[1]CUOTA RUTA'!A:A,'[1]CUOTA RUTA'!D:D)</f>
        <v>Cargar</v>
      </c>
    </row>
    <row r="2239" spans="1:19" x14ac:dyDescent="0.25">
      <c r="A2239">
        <v>1500724532</v>
      </c>
      <c r="B2239" t="s">
        <v>4538</v>
      </c>
      <c r="C2239" t="s">
        <v>19</v>
      </c>
      <c r="D2239" t="s">
        <v>324</v>
      </c>
      <c r="E2239" t="s">
        <v>21</v>
      </c>
      <c r="F2239" t="s">
        <v>22</v>
      </c>
      <c r="G2239" t="s">
        <v>64</v>
      </c>
      <c r="H2239" t="s">
        <v>511</v>
      </c>
      <c r="I2239" t="s">
        <v>4539</v>
      </c>
      <c r="J2239">
        <v>10.456716</v>
      </c>
      <c r="K2239">
        <v>-84.548265999999998</v>
      </c>
      <c r="L2239" t="s">
        <v>1225</v>
      </c>
      <c r="M2239" t="s">
        <v>327</v>
      </c>
      <c r="N2239" t="s">
        <v>328</v>
      </c>
      <c r="O2239" t="s">
        <v>329</v>
      </c>
      <c r="P2239">
        <v>12</v>
      </c>
      <c r="Q2239" t="s">
        <v>42</v>
      </c>
      <c r="S2239" t="str">
        <f>_xlfn.XLOOKUP(UNIVERSO[[#This Row],[Ruta]],'[1]CUOTA RUTA'!A:A,'[1]CUOTA RUTA'!D:D)</f>
        <v>Cargar</v>
      </c>
    </row>
    <row r="2240" spans="1:19" x14ac:dyDescent="0.25">
      <c r="A2240">
        <v>1500724695</v>
      </c>
      <c r="B2240" t="s">
        <v>4540</v>
      </c>
      <c r="C2240" t="s">
        <v>19</v>
      </c>
      <c r="D2240" t="s">
        <v>244</v>
      </c>
      <c r="E2240" t="s">
        <v>21</v>
      </c>
      <c r="F2240" t="s">
        <v>22</v>
      </c>
      <c r="G2240" t="s">
        <v>64</v>
      </c>
      <c r="H2240" t="s">
        <v>767</v>
      </c>
      <c r="I2240" t="s">
        <v>4541</v>
      </c>
      <c r="J2240">
        <v>9.1582519999999992</v>
      </c>
      <c r="K2240">
        <v>-83.573004030000007</v>
      </c>
      <c r="L2240" t="s">
        <v>1225</v>
      </c>
      <c r="M2240" t="s">
        <v>46</v>
      </c>
      <c r="N2240" t="s">
        <v>247</v>
      </c>
      <c r="O2240" t="s">
        <v>248</v>
      </c>
      <c r="P2240">
        <v>12</v>
      </c>
      <c r="Q2240" t="s">
        <v>42</v>
      </c>
      <c r="S2240" t="str">
        <f>_xlfn.XLOOKUP(UNIVERSO[[#This Row],[Ruta]],'[1]CUOTA RUTA'!A:A,'[1]CUOTA RUTA'!D:D)</f>
        <v>Cargar</v>
      </c>
    </row>
    <row r="2241" spans="1:19" x14ac:dyDescent="0.25">
      <c r="A2241">
        <v>1500724703</v>
      </c>
      <c r="B2241" t="s">
        <v>4542</v>
      </c>
      <c r="C2241" t="s">
        <v>19</v>
      </c>
      <c r="D2241" t="s">
        <v>244</v>
      </c>
      <c r="E2241" t="s">
        <v>21</v>
      </c>
      <c r="F2241" t="s">
        <v>22</v>
      </c>
      <c r="G2241" t="s">
        <v>33</v>
      </c>
      <c r="H2241" t="s">
        <v>245</v>
      </c>
      <c r="I2241" t="s">
        <v>4543</v>
      </c>
      <c r="J2241">
        <v>9.2307722000000005</v>
      </c>
      <c r="K2241">
        <v>-83.641481900000002</v>
      </c>
      <c r="L2241" t="s">
        <v>1225</v>
      </c>
      <c r="M2241" t="s">
        <v>46</v>
      </c>
      <c r="N2241" t="s">
        <v>247</v>
      </c>
      <c r="O2241" t="s">
        <v>248</v>
      </c>
      <c r="P2241">
        <v>13</v>
      </c>
      <c r="Q2241" t="s">
        <v>161</v>
      </c>
      <c r="S2241" t="str">
        <f>_xlfn.XLOOKUP(UNIVERSO[[#This Row],[Ruta]],'[1]CUOTA RUTA'!A:A,'[1]CUOTA RUTA'!D:D)</f>
        <v>Cargar</v>
      </c>
    </row>
    <row r="2242" spans="1:19" x14ac:dyDescent="0.25">
      <c r="A2242">
        <v>1500724705</v>
      </c>
      <c r="B2242" t="s">
        <v>4544</v>
      </c>
      <c r="C2242" t="s">
        <v>19</v>
      </c>
      <c r="D2242" t="s">
        <v>244</v>
      </c>
      <c r="E2242" t="s">
        <v>21</v>
      </c>
      <c r="F2242" t="s">
        <v>22</v>
      </c>
      <c r="G2242" t="s">
        <v>33</v>
      </c>
      <c r="H2242" t="s">
        <v>245</v>
      </c>
      <c r="I2242" t="s">
        <v>4545</v>
      </c>
      <c r="J2242">
        <v>9.2211692999999997</v>
      </c>
      <c r="K2242">
        <v>-83.627405699999997</v>
      </c>
      <c r="L2242" t="s">
        <v>1225</v>
      </c>
      <c r="M2242" t="s">
        <v>46</v>
      </c>
      <c r="N2242" t="s">
        <v>247</v>
      </c>
      <c r="O2242" t="s">
        <v>248</v>
      </c>
      <c r="P2242">
        <v>13</v>
      </c>
      <c r="Q2242" t="s">
        <v>161</v>
      </c>
      <c r="S2242" t="str">
        <f>_xlfn.XLOOKUP(UNIVERSO[[#This Row],[Ruta]],'[1]CUOTA RUTA'!A:A,'[1]CUOTA RUTA'!D:D)</f>
        <v>Cargar</v>
      </c>
    </row>
    <row r="2243" spans="1:19" x14ac:dyDescent="0.25">
      <c r="A2243">
        <v>1500724706</v>
      </c>
      <c r="B2243" t="s">
        <v>4546</v>
      </c>
      <c r="C2243" t="s">
        <v>19</v>
      </c>
      <c r="D2243" t="s">
        <v>244</v>
      </c>
      <c r="E2243" t="s">
        <v>21</v>
      </c>
      <c r="F2243" t="s">
        <v>22</v>
      </c>
      <c r="G2243" t="s">
        <v>64</v>
      </c>
      <c r="H2243" t="s">
        <v>767</v>
      </c>
      <c r="I2243" t="s">
        <v>4547</v>
      </c>
      <c r="J2243">
        <v>9.1969931000000003</v>
      </c>
      <c r="K2243">
        <v>-83.591963899999996</v>
      </c>
      <c r="L2243" t="s">
        <v>1225</v>
      </c>
      <c r="M2243" t="s">
        <v>46</v>
      </c>
      <c r="N2243" t="s">
        <v>247</v>
      </c>
      <c r="O2243" t="s">
        <v>248</v>
      </c>
      <c r="P2243">
        <v>13</v>
      </c>
      <c r="Q2243" t="s">
        <v>161</v>
      </c>
      <c r="S2243" t="str">
        <f>_xlfn.XLOOKUP(UNIVERSO[[#This Row],[Ruta]],'[1]CUOTA RUTA'!A:A,'[1]CUOTA RUTA'!D:D)</f>
        <v>Cargar</v>
      </c>
    </row>
    <row r="2244" spans="1:19" x14ac:dyDescent="0.25">
      <c r="A2244">
        <v>1500724733</v>
      </c>
      <c r="B2244" t="s">
        <v>4548</v>
      </c>
      <c r="C2244" t="s">
        <v>19</v>
      </c>
      <c r="D2244" t="s">
        <v>244</v>
      </c>
      <c r="E2244" t="s">
        <v>21</v>
      </c>
      <c r="F2244" t="s">
        <v>22</v>
      </c>
      <c r="G2244" t="s">
        <v>33</v>
      </c>
      <c r="H2244" t="s">
        <v>245</v>
      </c>
      <c r="I2244" t="s">
        <v>4549</v>
      </c>
      <c r="J2244">
        <v>9.1920795000000002</v>
      </c>
      <c r="K2244">
        <v>-83.548310700000002</v>
      </c>
      <c r="L2244" t="s">
        <v>1225</v>
      </c>
      <c r="M2244" t="s">
        <v>46</v>
      </c>
      <c r="N2244" t="s">
        <v>247</v>
      </c>
      <c r="O2244" t="s">
        <v>248</v>
      </c>
      <c r="P2244">
        <v>12</v>
      </c>
      <c r="Q2244" t="s">
        <v>42</v>
      </c>
      <c r="S2244" t="str">
        <f>_xlfn.XLOOKUP(UNIVERSO[[#This Row],[Ruta]],'[1]CUOTA RUTA'!A:A,'[1]CUOTA RUTA'!D:D)</f>
        <v>Cargar</v>
      </c>
    </row>
    <row r="2245" spans="1:19" x14ac:dyDescent="0.25">
      <c r="A2245">
        <v>1500724766</v>
      </c>
      <c r="B2245" t="s">
        <v>4550</v>
      </c>
      <c r="C2245" t="s">
        <v>19</v>
      </c>
      <c r="D2245" t="s">
        <v>20</v>
      </c>
      <c r="E2245" t="s">
        <v>21</v>
      </c>
      <c r="F2245" t="s">
        <v>22</v>
      </c>
      <c r="G2245" t="s">
        <v>33</v>
      </c>
      <c r="H2245" t="s">
        <v>674</v>
      </c>
      <c r="I2245" t="s">
        <v>4551</v>
      </c>
      <c r="J2245">
        <v>10.209849999999999</v>
      </c>
      <c r="K2245">
        <v>-84.377679999999998</v>
      </c>
      <c r="L2245" t="s">
        <v>1225</v>
      </c>
      <c r="M2245" t="s">
        <v>46</v>
      </c>
      <c r="N2245" t="s">
        <v>47</v>
      </c>
      <c r="O2245" t="s">
        <v>48</v>
      </c>
      <c r="P2245">
        <v>1</v>
      </c>
      <c r="Q2245" t="s">
        <v>155</v>
      </c>
      <c r="S2245" t="str">
        <f>_xlfn.XLOOKUP(UNIVERSO[[#This Row],[Ruta]],'[1]CUOTA RUTA'!A:A,'[1]CUOTA RUTA'!D:D)</f>
        <v>Cargar</v>
      </c>
    </row>
    <row r="2246" spans="1:19" x14ac:dyDescent="0.25">
      <c r="A2246">
        <v>1500724767</v>
      </c>
      <c r="B2246" t="s">
        <v>4552</v>
      </c>
      <c r="C2246" t="s">
        <v>19</v>
      </c>
      <c r="D2246" t="s">
        <v>20</v>
      </c>
      <c r="E2246" t="s">
        <v>21</v>
      </c>
      <c r="F2246" t="s">
        <v>22</v>
      </c>
      <c r="G2246" t="s">
        <v>64</v>
      </c>
      <c r="H2246" t="s">
        <v>1021</v>
      </c>
      <c r="I2246" t="s">
        <v>4553</v>
      </c>
      <c r="J2246">
        <v>10.115081699999999</v>
      </c>
      <c r="K2246">
        <v>-84.216845000000006</v>
      </c>
      <c r="L2246" t="s">
        <v>1225</v>
      </c>
      <c r="M2246" t="s">
        <v>46</v>
      </c>
      <c r="N2246" t="s">
        <v>47</v>
      </c>
      <c r="O2246" t="s">
        <v>48</v>
      </c>
      <c r="P2246">
        <v>12</v>
      </c>
      <c r="Q2246" t="s">
        <v>42</v>
      </c>
      <c r="S2246" t="str">
        <f>_xlfn.XLOOKUP(UNIVERSO[[#This Row],[Ruta]],'[1]CUOTA RUTA'!A:A,'[1]CUOTA RUTA'!D:D)</f>
        <v>Cargar</v>
      </c>
    </row>
    <row r="2247" spans="1:19" x14ac:dyDescent="0.25">
      <c r="A2247">
        <v>1500724789</v>
      </c>
      <c r="B2247" t="s">
        <v>4554</v>
      </c>
      <c r="C2247" t="s">
        <v>19</v>
      </c>
      <c r="D2247" t="s">
        <v>20</v>
      </c>
      <c r="E2247" t="s">
        <v>21</v>
      </c>
      <c r="F2247" t="s">
        <v>22</v>
      </c>
      <c r="G2247" t="s">
        <v>33</v>
      </c>
      <c r="H2247" t="s">
        <v>743</v>
      </c>
      <c r="I2247" t="s">
        <v>4555</v>
      </c>
      <c r="J2247">
        <v>10.0119574</v>
      </c>
      <c r="K2247">
        <v>-84.278645600000004</v>
      </c>
      <c r="L2247" t="s">
        <v>1225</v>
      </c>
      <c r="M2247" t="s">
        <v>46</v>
      </c>
      <c r="N2247" t="s">
        <v>47</v>
      </c>
      <c r="O2247" t="s">
        <v>48</v>
      </c>
      <c r="P2247">
        <v>11</v>
      </c>
      <c r="Q2247" t="s">
        <v>108</v>
      </c>
      <c r="S2247" t="str">
        <f>_xlfn.XLOOKUP(UNIVERSO[[#This Row],[Ruta]],'[1]CUOTA RUTA'!A:A,'[1]CUOTA RUTA'!D:D)</f>
        <v>Cargar</v>
      </c>
    </row>
    <row r="2248" spans="1:19" x14ac:dyDescent="0.25">
      <c r="A2248">
        <v>1500724811</v>
      </c>
      <c r="B2248" t="s">
        <v>4556</v>
      </c>
      <c r="C2248" t="s">
        <v>19</v>
      </c>
      <c r="D2248" t="s">
        <v>244</v>
      </c>
      <c r="E2248" t="s">
        <v>21</v>
      </c>
      <c r="F2248" t="s">
        <v>22</v>
      </c>
      <c r="G2248" t="s">
        <v>33</v>
      </c>
      <c r="H2248" t="s">
        <v>767</v>
      </c>
      <c r="I2248" t="s">
        <v>4557</v>
      </c>
      <c r="J2248">
        <v>9.1966656199999992</v>
      </c>
      <c r="K2248">
        <v>-83.591982250000001</v>
      </c>
      <c r="L2248" t="s">
        <v>1225</v>
      </c>
      <c r="M2248" t="s">
        <v>46</v>
      </c>
      <c r="N2248" t="s">
        <v>247</v>
      </c>
      <c r="O2248" t="s">
        <v>248</v>
      </c>
      <c r="P2248">
        <v>12</v>
      </c>
      <c r="Q2248" t="s">
        <v>42</v>
      </c>
      <c r="S2248" t="str">
        <f>_xlfn.XLOOKUP(UNIVERSO[[#This Row],[Ruta]],'[1]CUOTA RUTA'!A:A,'[1]CUOTA RUTA'!D:D)</f>
        <v>Cargar</v>
      </c>
    </row>
    <row r="2249" spans="1:19" x14ac:dyDescent="0.25">
      <c r="A2249">
        <v>1500724890</v>
      </c>
      <c r="B2249" t="s">
        <v>4558</v>
      </c>
      <c r="C2249" t="s">
        <v>19</v>
      </c>
      <c r="D2249" t="s">
        <v>244</v>
      </c>
      <c r="E2249" t="s">
        <v>21</v>
      </c>
      <c r="F2249" t="s">
        <v>22</v>
      </c>
      <c r="G2249" t="s">
        <v>64</v>
      </c>
      <c r="H2249" t="s">
        <v>767</v>
      </c>
      <c r="I2249" t="s">
        <v>4559</v>
      </c>
      <c r="J2249">
        <v>9.4985885999999997</v>
      </c>
      <c r="K2249">
        <v>-83.663072700000001</v>
      </c>
      <c r="L2249" t="s">
        <v>1225</v>
      </c>
      <c r="M2249" t="s">
        <v>46</v>
      </c>
      <c r="N2249" t="s">
        <v>247</v>
      </c>
      <c r="O2249" t="s">
        <v>248</v>
      </c>
      <c r="P2249">
        <v>18</v>
      </c>
      <c r="Q2249" t="s">
        <v>84</v>
      </c>
      <c r="S2249" t="str">
        <f>_xlfn.XLOOKUP(UNIVERSO[[#This Row],[Ruta]],'[1]CUOTA RUTA'!A:A,'[1]CUOTA RUTA'!D:D)</f>
        <v>Cargar</v>
      </c>
    </row>
    <row r="2250" spans="1:19" x14ac:dyDescent="0.25">
      <c r="A2250">
        <v>1500724896</v>
      </c>
      <c r="B2250" t="s">
        <v>4560</v>
      </c>
      <c r="C2250" t="s">
        <v>19</v>
      </c>
      <c r="D2250" t="s">
        <v>20</v>
      </c>
      <c r="E2250" t="s">
        <v>21</v>
      </c>
      <c r="F2250" t="s">
        <v>22</v>
      </c>
      <c r="G2250" t="s">
        <v>33</v>
      </c>
      <c r="H2250" t="s">
        <v>263</v>
      </c>
      <c r="I2250" t="s">
        <v>4561</v>
      </c>
      <c r="J2250">
        <v>10.08142</v>
      </c>
      <c r="K2250">
        <v>-84.334999999999994</v>
      </c>
      <c r="L2250" t="s">
        <v>1225</v>
      </c>
      <c r="M2250" t="s">
        <v>46</v>
      </c>
      <c r="N2250" t="s">
        <v>47</v>
      </c>
      <c r="O2250" t="s">
        <v>48</v>
      </c>
      <c r="P2250">
        <v>5</v>
      </c>
      <c r="Q2250" t="s">
        <v>117</v>
      </c>
      <c r="S2250" t="str">
        <f>_xlfn.XLOOKUP(UNIVERSO[[#This Row],[Ruta]],'[1]CUOTA RUTA'!A:A,'[1]CUOTA RUTA'!D:D)</f>
        <v>Cargar</v>
      </c>
    </row>
    <row r="2251" spans="1:19" x14ac:dyDescent="0.25">
      <c r="A2251">
        <v>1500724909</v>
      </c>
      <c r="B2251" t="s">
        <v>4562</v>
      </c>
      <c r="C2251" t="s">
        <v>19</v>
      </c>
      <c r="D2251" t="s">
        <v>244</v>
      </c>
      <c r="E2251" t="s">
        <v>21</v>
      </c>
      <c r="F2251" t="s">
        <v>22</v>
      </c>
      <c r="G2251" t="s">
        <v>64</v>
      </c>
      <c r="H2251" t="s">
        <v>767</v>
      </c>
      <c r="I2251" t="s">
        <v>4563</v>
      </c>
      <c r="J2251">
        <v>9.3805399999999999</v>
      </c>
      <c r="K2251">
        <v>-83.711721999999995</v>
      </c>
      <c r="L2251" t="s">
        <v>1225</v>
      </c>
      <c r="M2251" t="s">
        <v>46</v>
      </c>
      <c r="N2251" t="s">
        <v>247</v>
      </c>
      <c r="O2251" t="s">
        <v>248</v>
      </c>
      <c r="P2251">
        <v>15</v>
      </c>
      <c r="Q2251" t="s">
        <v>231</v>
      </c>
      <c r="S2251" t="str">
        <f>_xlfn.XLOOKUP(UNIVERSO[[#This Row],[Ruta]],'[1]CUOTA RUTA'!A:A,'[1]CUOTA RUTA'!D:D)</f>
        <v>Cargar</v>
      </c>
    </row>
    <row r="2252" spans="1:19" x14ac:dyDescent="0.25">
      <c r="A2252">
        <v>1500724926</v>
      </c>
      <c r="B2252" t="s">
        <v>2741</v>
      </c>
      <c r="C2252" t="s">
        <v>19</v>
      </c>
      <c r="D2252" t="s">
        <v>244</v>
      </c>
      <c r="E2252" t="s">
        <v>21</v>
      </c>
      <c r="F2252" t="s">
        <v>22</v>
      </c>
      <c r="G2252" t="s">
        <v>64</v>
      </c>
      <c r="H2252" t="s">
        <v>767</v>
      </c>
      <c r="I2252" t="s">
        <v>4564</v>
      </c>
      <c r="J2252">
        <v>9.4658858000000006</v>
      </c>
      <c r="K2252">
        <v>-83.595963499999996</v>
      </c>
      <c r="L2252" t="s">
        <v>1225</v>
      </c>
      <c r="M2252" t="s">
        <v>46</v>
      </c>
      <c r="N2252" t="s">
        <v>247</v>
      </c>
      <c r="O2252" t="s">
        <v>248</v>
      </c>
      <c r="P2252">
        <v>18</v>
      </c>
      <c r="Q2252" t="s">
        <v>84</v>
      </c>
      <c r="S2252" t="str">
        <f>_xlfn.XLOOKUP(UNIVERSO[[#This Row],[Ruta]],'[1]CUOTA RUTA'!A:A,'[1]CUOTA RUTA'!D:D)</f>
        <v>Cargar</v>
      </c>
    </row>
    <row r="2253" spans="1:19" x14ac:dyDescent="0.25">
      <c r="A2253">
        <v>1500724928</v>
      </c>
      <c r="B2253" t="s">
        <v>4565</v>
      </c>
      <c r="C2253" t="s">
        <v>19</v>
      </c>
      <c r="D2253" t="s">
        <v>244</v>
      </c>
      <c r="E2253" t="s">
        <v>21</v>
      </c>
      <c r="F2253" t="s">
        <v>22</v>
      </c>
      <c r="G2253" t="s">
        <v>64</v>
      </c>
      <c r="H2253" t="s">
        <v>1233</v>
      </c>
      <c r="I2253" t="s">
        <v>4566</v>
      </c>
      <c r="J2253">
        <v>9.3334539999999997</v>
      </c>
      <c r="K2253">
        <v>-83.721003999999994</v>
      </c>
      <c r="L2253" t="s">
        <v>1225</v>
      </c>
      <c r="M2253" t="s">
        <v>46</v>
      </c>
      <c r="N2253" t="s">
        <v>247</v>
      </c>
      <c r="O2253" t="s">
        <v>248</v>
      </c>
      <c r="P2253">
        <v>16</v>
      </c>
      <c r="Q2253" t="s">
        <v>60</v>
      </c>
      <c r="S2253" t="str">
        <f>_xlfn.XLOOKUP(UNIVERSO[[#This Row],[Ruta]],'[1]CUOTA RUTA'!A:A,'[1]CUOTA RUTA'!D:D)</f>
        <v>Cargar</v>
      </c>
    </row>
    <row r="2254" spans="1:19" x14ac:dyDescent="0.25">
      <c r="A2254">
        <v>1500724949</v>
      </c>
      <c r="B2254" t="s">
        <v>4567</v>
      </c>
      <c r="C2254" t="s">
        <v>19</v>
      </c>
      <c r="D2254" t="s">
        <v>244</v>
      </c>
      <c r="E2254" t="s">
        <v>21</v>
      </c>
      <c r="F2254" t="s">
        <v>22</v>
      </c>
      <c r="G2254" t="s">
        <v>64</v>
      </c>
      <c r="H2254" t="s">
        <v>857</v>
      </c>
      <c r="I2254" t="s">
        <v>4568</v>
      </c>
      <c r="J2254">
        <v>9.3135069999999995</v>
      </c>
      <c r="K2254">
        <v>-83.678720999999996</v>
      </c>
      <c r="L2254" t="s">
        <v>1225</v>
      </c>
      <c r="M2254" t="s">
        <v>46</v>
      </c>
      <c r="N2254" t="s">
        <v>247</v>
      </c>
      <c r="O2254" t="s">
        <v>248</v>
      </c>
      <c r="P2254">
        <v>15</v>
      </c>
      <c r="Q2254" t="s">
        <v>231</v>
      </c>
      <c r="S2254" t="str">
        <f>_xlfn.XLOOKUP(UNIVERSO[[#This Row],[Ruta]],'[1]CUOTA RUTA'!A:A,'[1]CUOTA RUTA'!D:D)</f>
        <v>Cargar</v>
      </c>
    </row>
    <row r="2255" spans="1:19" x14ac:dyDescent="0.25">
      <c r="A2255">
        <v>1500724966</v>
      </c>
      <c r="B2255" t="s">
        <v>2878</v>
      </c>
      <c r="C2255" t="s">
        <v>19</v>
      </c>
      <c r="D2255" t="s">
        <v>244</v>
      </c>
      <c r="E2255" t="s">
        <v>21</v>
      </c>
      <c r="F2255" t="s">
        <v>22</v>
      </c>
      <c r="G2255" t="s">
        <v>33</v>
      </c>
      <c r="H2255" t="s">
        <v>767</v>
      </c>
      <c r="I2255" t="s">
        <v>4569</v>
      </c>
      <c r="J2255">
        <v>9.3953442999999996</v>
      </c>
      <c r="K2255">
        <v>-83.677028500000006</v>
      </c>
      <c r="L2255" t="s">
        <v>1225</v>
      </c>
      <c r="M2255" t="s">
        <v>46</v>
      </c>
      <c r="N2255" t="s">
        <v>247</v>
      </c>
      <c r="O2255" t="s">
        <v>248</v>
      </c>
      <c r="P2255">
        <v>17</v>
      </c>
      <c r="Q2255" t="s">
        <v>287</v>
      </c>
      <c r="S2255" t="str">
        <f>_xlfn.XLOOKUP(UNIVERSO[[#This Row],[Ruta]],'[1]CUOTA RUTA'!A:A,'[1]CUOTA RUTA'!D:D)</f>
        <v>Cargar</v>
      </c>
    </row>
    <row r="2256" spans="1:19" x14ac:dyDescent="0.25">
      <c r="A2256">
        <v>1500724994</v>
      </c>
      <c r="B2256" t="s">
        <v>4570</v>
      </c>
      <c r="C2256" t="s">
        <v>19</v>
      </c>
      <c r="D2256" t="s">
        <v>244</v>
      </c>
      <c r="E2256" t="s">
        <v>21</v>
      </c>
      <c r="F2256" t="s">
        <v>22</v>
      </c>
      <c r="G2256" t="s">
        <v>64</v>
      </c>
      <c r="H2256" t="s">
        <v>767</v>
      </c>
      <c r="I2256" t="s">
        <v>4571</v>
      </c>
      <c r="J2256">
        <v>9.4203992000000003</v>
      </c>
      <c r="K2256">
        <v>-83.678398799999997</v>
      </c>
      <c r="L2256" t="s">
        <v>1225</v>
      </c>
      <c r="M2256" t="s">
        <v>46</v>
      </c>
      <c r="N2256" t="s">
        <v>247</v>
      </c>
      <c r="O2256" t="s">
        <v>248</v>
      </c>
      <c r="P2256">
        <v>18</v>
      </c>
      <c r="Q2256" t="s">
        <v>84</v>
      </c>
      <c r="S2256" t="str">
        <f>_xlfn.XLOOKUP(UNIVERSO[[#This Row],[Ruta]],'[1]CUOTA RUTA'!A:A,'[1]CUOTA RUTA'!D:D)</f>
        <v>Cargar</v>
      </c>
    </row>
    <row r="2257" spans="1:19" x14ac:dyDescent="0.25">
      <c r="A2257">
        <v>1500725009</v>
      </c>
      <c r="B2257" t="s">
        <v>3845</v>
      </c>
      <c r="C2257" t="s">
        <v>19</v>
      </c>
      <c r="D2257" t="s">
        <v>244</v>
      </c>
      <c r="E2257" t="s">
        <v>21</v>
      </c>
      <c r="F2257" t="s">
        <v>22</v>
      </c>
      <c r="G2257" t="s">
        <v>64</v>
      </c>
      <c r="H2257" t="s">
        <v>245</v>
      </c>
      <c r="I2257" t="s">
        <v>4572</v>
      </c>
      <c r="J2257">
        <v>9.1907026999999992</v>
      </c>
      <c r="K2257">
        <v>-83.548244600000004</v>
      </c>
      <c r="L2257" t="s">
        <v>1225</v>
      </c>
      <c r="M2257" t="s">
        <v>46</v>
      </c>
      <c r="N2257" t="s">
        <v>247</v>
      </c>
      <c r="O2257" t="s">
        <v>248</v>
      </c>
      <c r="P2257">
        <v>12</v>
      </c>
      <c r="Q2257" t="s">
        <v>42</v>
      </c>
      <c r="S2257" t="str">
        <f>_xlfn.XLOOKUP(UNIVERSO[[#This Row],[Ruta]],'[1]CUOTA RUTA'!A:A,'[1]CUOTA RUTA'!D:D)</f>
        <v>Cargar</v>
      </c>
    </row>
    <row r="2258" spans="1:19" x14ac:dyDescent="0.25">
      <c r="A2258">
        <v>1500725012</v>
      </c>
      <c r="B2258" t="s">
        <v>4573</v>
      </c>
      <c r="C2258" t="s">
        <v>19</v>
      </c>
      <c r="D2258" t="s">
        <v>244</v>
      </c>
      <c r="E2258" t="s">
        <v>21</v>
      </c>
      <c r="F2258" t="s">
        <v>22</v>
      </c>
      <c r="G2258" t="s">
        <v>33</v>
      </c>
      <c r="H2258" t="s">
        <v>1233</v>
      </c>
      <c r="I2258" t="s">
        <v>4574</v>
      </c>
      <c r="J2258">
        <v>9.3286933333329998</v>
      </c>
      <c r="K2258">
        <v>-83.836276666659998</v>
      </c>
      <c r="L2258" t="s">
        <v>1225</v>
      </c>
      <c r="M2258" t="s">
        <v>46</v>
      </c>
      <c r="N2258" t="s">
        <v>247</v>
      </c>
      <c r="O2258" t="s">
        <v>248</v>
      </c>
      <c r="P2258">
        <v>17</v>
      </c>
      <c r="Q2258" t="s">
        <v>287</v>
      </c>
      <c r="S2258" t="str">
        <f>_xlfn.XLOOKUP(UNIVERSO[[#This Row],[Ruta]],'[1]CUOTA RUTA'!A:A,'[1]CUOTA RUTA'!D:D)</f>
        <v>Cargar</v>
      </c>
    </row>
    <row r="2259" spans="1:19" x14ac:dyDescent="0.25">
      <c r="A2259">
        <v>1500725068</v>
      </c>
      <c r="B2259" t="s">
        <v>4575</v>
      </c>
      <c r="C2259" t="s">
        <v>19</v>
      </c>
      <c r="D2259" t="s">
        <v>244</v>
      </c>
      <c r="E2259" t="s">
        <v>21</v>
      </c>
      <c r="F2259" t="s">
        <v>22</v>
      </c>
      <c r="G2259" t="s">
        <v>64</v>
      </c>
      <c r="H2259" t="s">
        <v>1233</v>
      </c>
      <c r="I2259" t="s">
        <v>4576</v>
      </c>
      <c r="J2259">
        <v>9.2557700000000001</v>
      </c>
      <c r="K2259">
        <v>-83.798019999999994</v>
      </c>
      <c r="L2259" t="s">
        <v>1225</v>
      </c>
      <c r="M2259" t="s">
        <v>46</v>
      </c>
      <c r="N2259" t="s">
        <v>247</v>
      </c>
      <c r="O2259" t="s">
        <v>248</v>
      </c>
      <c r="P2259">
        <v>16</v>
      </c>
      <c r="Q2259" t="s">
        <v>60</v>
      </c>
      <c r="S2259" t="str">
        <f>_xlfn.XLOOKUP(UNIVERSO[[#This Row],[Ruta]],'[1]CUOTA RUTA'!A:A,'[1]CUOTA RUTA'!D:D)</f>
        <v>Cargar</v>
      </c>
    </row>
    <row r="2260" spans="1:19" x14ac:dyDescent="0.25">
      <c r="A2260">
        <v>1500725071</v>
      </c>
      <c r="B2260" t="s">
        <v>2249</v>
      </c>
      <c r="C2260" t="s">
        <v>19</v>
      </c>
      <c r="D2260" t="s">
        <v>244</v>
      </c>
      <c r="E2260" t="s">
        <v>21</v>
      </c>
      <c r="F2260" t="s">
        <v>22</v>
      </c>
      <c r="G2260" t="s">
        <v>64</v>
      </c>
      <c r="H2260" t="s">
        <v>1233</v>
      </c>
      <c r="I2260" t="s">
        <v>4577</v>
      </c>
      <c r="J2260">
        <v>9.3223439999999993</v>
      </c>
      <c r="K2260">
        <v>-83.834005000000005</v>
      </c>
      <c r="L2260" t="s">
        <v>1225</v>
      </c>
      <c r="M2260" t="s">
        <v>46</v>
      </c>
      <c r="N2260" t="s">
        <v>247</v>
      </c>
      <c r="O2260" t="s">
        <v>248</v>
      </c>
      <c r="P2260">
        <v>17</v>
      </c>
      <c r="Q2260" t="s">
        <v>287</v>
      </c>
      <c r="S2260" t="str">
        <f>_xlfn.XLOOKUP(UNIVERSO[[#This Row],[Ruta]],'[1]CUOTA RUTA'!A:A,'[1]CUOTA RUTA'!D:D)</f>
        <v>Cargar</v>
      </c>
    </row>
    <row r="2261" spans="1:19" x14ac:dyDescent="0.25">
      <c r="A2261">
        <v>1500725078</v>
      </c>
      <c r="B2261" t="s">
        <v>4578</v>
      </c>
      <c r="C2261" t="s">
        <v>19</v>
      </c>
      <c r="D2261" t="s">
        <v>244</v>
      </c>
      <c r="E2261" t="s">
        <v>21</v>
      </c>
      <c r="F2261" t="s">
        <v>22</v>
      </c>
      <c r="G2261" t="s">
        <v>64</v>
      </c>
      <c r="H2261" t="s">
        <v>767</v>
      </c>
      <c r="I2261" t="s">
        <v>4579</v>
      </c>
      <c r="J2261">
        <v>9.0500720000000001</v>
      </c>
      <c r="K2261">
        <v>-83.457324</v>
      </c>
      <c r="L2261" t="s">
        <v>1225</v>
      </c>
      <c r="M2261" t="s">
        <v>46</v>
      </c>
      <c r="N2261" t="s">
        <v>247</v>
      </c>
      <c r="O2261" t="s">
        <v>248</v>
      </c>
      <c r="P2261">
        <v>20</v>
      </c>
      <c r="Q2261" t="s">
        <v>74</v>
      </c>
      <c r="S2261" t="str">
        <f>_xlfn.XLOOKUP(UNIVERSO[[#This Row],[Ruta]],'[1]CUOTA RUTA'!A:A,'[1]CUOTA RUTA'!D:D)</f>
        <v>Cargar</v>
      </c>
    </row>
    <row r="2262" spans="1:19" x14ac:dyDescent="0.25">
      <c r="A2262">
        <v>1500725079</v>
      </c>
      <c r="B2262" t="s">
        <v>1232</v>
      </c>
      <c r="C2262" t="s">
        <v>19</v>
      </c>
      <c r="D2262" t="s">
        <v>244</v>
      </c>
      <c r="E2262" t="s">
        <v>21</v>
      </c>
      <c r="F2262" t="s">
        <v>22</v>
      </c>
      <c r="G2262" t="s">
        <v>64</v>
      </c>
      <c r="H2262" t="s">
        <v>857</v>
      </c>
      <c r="I2262" t="s">
        <v>4580</v>
      </c>
      <c r="J2262">
        <v>9.396331</v>
      </c>
      <c r="K2262">
        <v>-83.705437000000003</v>
      </c>
      <c r="L2262" t="s">
        <v>1225</v>
      </c>
      <c r="M2262" t="s">
        <v>46</v>
      </c>
      <c r="N2262" t="s">
        <v>247</v>
      </c>
      <c r="O2262" t="s">
        <v>248</v>
      </c>
      <c r="P2262">
        <v>17</v>
      </c>
      <c r="Q2262" t="s">
        <v>287</v>
      </c>
      <c r="S2262" t="str">
        <f>_xlfn.XLOOKUP(UNIVERSO[[#This Row],[Ruta]],'[1]CUOTA RUTA'!A:A,'[1]CUOTA RUTA'!D:D)</f>
        <v>Cargar</v>
      </c>
    </row>
    <row r="2263" spans="1:19" x14ac:dyDescent="0.25">
      <c r="A2263">
        <v>1500725091</v>
      </c>
      <c r="B2263" t="s">
        <v>4581</v>
      </c>
      <c r="C2263" t="s">
        <v>19</v>
      </c>
      <c r="D2263" t="s">
        <v>244</v>
      </c>
      <c r="E2263" t="s">
        <v>21</v>
      </c>
      <c r="F2263" t="s">
        <v>22</v>
      </c>
      <c r="G2263" t="s">
        <v>64</v>
      </c>
      <c r="H2263" t="s">
        <v>767</v>
      </c>
      <c r="I2263" t="s">
        <v>4582</v>
      </c>
      <c r="J2263">
        <v>9.103237</v>
      </c>
      <c r="K2263">
        <v>-83.511832999999996</v>
      </c>
      <c r="L2263" t="s">
        <v>1225</v>
      </c>
      <c r="M2263" t="s">
        <v>46</v>
      </c>
      <c r="N2263" t="s">
        <v>247</v>
      </c>
      <c r="O2263" t="s">
        <v>248</v>
      </c>
      <c r="P2263">
        <v>19</v>
      </c>
      <c r="Q2263" t="s">
        <v>67</v>
      </c>
      <c r="S2263" t="str">
        <f>_xlfn.XLOOKUP(UNIVERSO[[#This Row],[Ruta]],'[1]CUOTA RUTA'!A:A,'[1]CUOTA RUTA'!D:D)</f>
        <v>Cargar</v>
      </c>
    </row>
    <row r="2264" spans="1:19" x14ac:dyDescent="0.25">
      <c r="A2264">
        <v>1500725097</v>
      </c>
      <c r="B2264" t="s">
        <v>4583</v>
      </c>
      <c r="C2264" t="s">
        <v>19</v>
      </c>
      <c r="D2264" t="s">
        <v>244</v>
      </c>
      <c r="E2264" t="s">
        <v>21</v>
      </c>
      <c r="F2264" t="s">
        <v>22</v>
      </c>
      <c r="G2264" t="s">
        <v>64</v>
      </c>
      <c r="H2264" t="s">
        <v>857</v>
      </c>
      <c r="I2264" t="s">
        <v>4584</v>
      </c>
      <c r="J2264">
        <v>9.3832780000000007</v>
      </c>
      <c r="K2264">
        <v>-83.727126999999996</v>
      </c>
      <c r="L2264" t="s">
        <v>1225</v>
      </c>
      <c r="M2264" t="s">
        <v>46</v>
      </c>
      <c r="N2264" t="s">
        <v>247</v>
      </c>
      <c r="O2264" t="s">
        <v>248</v>
      </c>
      <c r="P2264">
        <v>15</v>
      </c>
      <c r="Q2264" t="s">
        <v>231</v>
      </c>
      <c r="S2264" t="str">
        <f>_xlfn.XLOOKUP(UNIVERSO[[#This Row],[Ruta]],'[1]CUOTA RUTA'!A:A,'[1]CUOTA RUTA'!D:D)</f>
        <v>Cargar</v>
      </c>
    </row>
    <row r="2265" spans="1:19" x14ac:dyDescent="0.25">
      <c r="A2265">
        <v>1500725122</v>
      </c>
      <c r="B2265" t="s">
        <v>4585</v>
      </c>
      <c r="C2265" t="s">
        <v>19</v>
      </c>
      <c r="D2265" t="s">
        <v>244</v>
      </c>
      <c r="E2265" t="s">
        <v>21</v>
      </c>
      <c r="F2265" t="s">
        <v>22</v>
      </c>
      <c r="G2265" t="s">
        <v>64</v>
      </c>
      <c r="H2265" t="s">
        <v>245</v>
      </c>
      <c r="I2265" t="s">
        <v>4586</v>
      </c>
      <c r="J2265">
        <v>9.2971900000000005</v>
      </c>
      <c r="K2265">
        <v>-83.662604000000002</v>
      </c>
      <c r="L2265" t="s">
        <v>1225</v>
      </c>
      <c r="M2265" t="s">
        <v>46</v>
      </c>
      <c r="N2265" t="s">
        <v>247</v>
      </c>
      <c r="O2265" t="s">
        <v>248</v>
      </c>
      <c r="P2265">
        <v>13</v>
      </c>
      <c r="Q2265" t="s">
        <v>161</v>
      </c>
      <c r="S2265" t="str">
        <f>_xlfn.XLOOKUP(UNIVERSO[[#This Row],[Ruta]],'[1]CUOTA RUTA'!A:A,'[1]CUOTA RUTA'!D:D)</f>
        <v>Cargar</v>
      </c>
    </row>
    <row r="2266" spans="1:19" x14ac:dyDescent="0.25">
      <c r="A2266">
        <v>1500725126</v>
      </c>
      <c r="B2266" t="s">
        <v>4587</v>
      </c>
      <c r="C2266" t="s">
        <v>19</v>
      </c>
      <c r="D2266" t="s">
        <v>244</v>
      </c>
      <c r="E2266" t="s">
        <v>21</v>
      </c>
      <c r="F2266" t="s">
        <v>22</v>
      </c>
      <c r="G2266" t="s">
        <v>33</v>
      </c>
      <c r="H2266" t="s">
        <v>767</v>
      </c>
      <c r="I2266" t="s">
        <v>4588</v>
      </c>
      <c r="J2266">
        <v>9.2048260000000006</v>
      </c>
      <c r="K2266">
        <v>-83.640845999999996</v>
      </c>
      <c r="L2266" t="s">
        <v>1225</v>
      </c>
      <c r="M2266" t="s">
        <v>46</v>
      </c>
      <c r="N2266" t="s">
        <v>247</v>
      </c>
      <c r="O2266" t="s">
        <v>248</v>
      </c>
      <c r="P2266">
        <v>19</v>
      </c>
      <c r="Q2266" t="s">
        <v>67</v>
      </c>
      <c r="S2266" t="str">
        <f>_xlfn.XLOOKUP(UNIVERSO[[#This Row],[Ruta]],'[1]CUOTA RUTA'!A:A,'[1]CUOTA RUTA'!D:D)</f>
        <v>Cargar</v>
      </c>
    </row>
    <row r="2267" spans="1:19" x14ac:dyDescent="0.25">
      <c r="A2267">
        <v>1500725153</v>
      </c>
      <c r="B2267" t="s">
        <v>4589</v>
      </c>
      <c r="C2267" t="s">
        <v>19</v>
      </c>
      <c r="D2267" t="s">
        <v>244</v>
      </c>
      <c r="E2267" t="s">
        <v>21</v>
      </c>
      <c r="F2267" t="s">
        <v>22</v>
      </c>
      <c r="G2267" t="s">
        <v>33</v>
      </c>
      <c r="H2267" t="s">
        <v>1233</v>
      </c>
      <c r="I2267" t="s">
        <v>4590</v>
      </c>
      <c r="J2267">
        <v>9.3535955000000008</v>
      </c>
      <c r="K2267">
        <v>-83.704960400000004</v>
      </c>
      <c r="L2267" t="s">
        <v>1225</v>
      </c>
      <c r="M2267" t="s">
        <v>46</v>
      </c>
      <c r="N2267" t="s">
        <v>247</v>
      </c>
      <c r="O2267" t="s">
        <v>248</v>
      </c>
      <c r="P2267">
        <v>15</v>
      </c>
      <c r="Q2267" t="s">
        <v>231</v>
      </c>
      <c r="S2267" t="str">
        <f>_xlfn.XLOOKUP(UNIVERSO[[#This Row],[Ruta]],'[1]CUOTA RUTA'!A:A,'[1]CUOTA RUTA'!D:D)</f>
        <v>Cargar</v>
      </c>
    </row>
    <row r="2268" spans="1:19" x14ac:dyDescent="0.25">
      <c r="A2268">
        <v>1500725377</v>
      </c>
      <c r="B2268" t="s">
        <v>4591</v>
      </c>
      <c r="C2268" t="s">
        <v>19</v>
      </c>
      <c r="D2268" t="s">
        <v>324</v>
      </c>
      <c r="E2268" t="s">
        <v>21</v>
      </c>
      <c r="F2268" t="s">
        <v>51</v>
      </c>
      <c r="G2268" t="s">
        <v>23</v>
      </c>
      <c r="H2268" t="s">
        <v>331</v>
      </c>
      <c r="I2268" t="s">
        <v>4592</v>
      </c>
      <c r="J2268">
        <v>10.3424</v>
      </c>
      <c r="K2268">
        <v>-84.215689999999995</v>
      </c>
      <c r="L2268" t="s">
        <v>1225</v>
      </c>
      <c r="M2268" t="s">
        <v>327</v>
      </c>
      <c r="N2268" t="s">
        <v>328</v>
      </c>
      <c r="O2268" t="s">
        <v>329</v>
      </c>
      <c r="P2268">
        <v>16</v>
      </c>
      <c r="Q2268" t="s">
        <v>60</v>
      </c>
      <c r="S2268" t="str">
        <f>_xlfn.XLOOKUP(UNIVERSO[[#This Row],[Ruta]],'[1]CUOTA RUTA'!A:A,'[1]CUOTA RUTA'!D:D)</f>
        <v>Cargar</v>
      </c>
    </row>
    <row r="2269" spans="1:19" x14ac:dyDescent="0.25">
      <c r="A2269">
        <v>1500725436</v>
      </c>
      <c r="B2269" t="s">
        <v>4593</v>
      </c>
      <c r="C2269" t="s">
        <v>19</v>
      </c>
      <c r="D2269" t="s">
        <v>20</v>
      </c>
      <c r="E2269" t="s">
        <v>21</v>
      </c>
      <c r="F2269" t="s">
        <v>22</v>
      </c>
      <c r="G2269" t="s">
        <v>23</v>
      </c>
      <c r="H2269" t="s">
        <v>58</v>
      </c>
      <c r="I2269" t="s">
        <v>4594</v>
      </c>
      <c r="J2269">
        <v>10.049585</v>
      </c>
      <c r="K2269">
        <v>-84.219456699999995</v>
      </c>
      <c r="L2269" t="s">
        <v>1225</v>
      </c>
      <c r="M2269" t="s">
        <v>54</v>
      </c>
      <c r="N2269" t="s">
        <v>55</v>
      </c>
      <c r="O2269" t="s">
        <v>56</v>
      </c>
      <c r="P2269">
        <v>19</v>
      </c>
      <c r="Q2269" t="s">
        <v>67</v>
      </c>
      <c r="S2269" t="str">
        <f>_xlfn.XLOOKUP(UNIVERSO[[#This Row],[Ruta]],'[1]CUOTA RUTA'!A:A,'[1]CUOTA RUTA'!D:D)</f>
        <v>Cargar</v>
      </c>
    </row>
    <row r="2270" spans="1:19" x14ac:dyDescent="0.25">
      <c r="A2270">
        <v>1500725499</v>
      </c>
      <c r="B2270" t="s">
        <v>4595</v>
      </c>
      <c r="C2270" t="s">
        <v>19</v>
      </c>
      <c r="D2270" t="s">
        <v>20</v>
      </c>
      <c r="E2270" t="s">
        <v>21</v>
      </c>
      <c r="F2270" t="s">
        <v>51</v>
      </c>
      <c r="G2270" t="s">
        <v>23</v>
      </c>
      <c r="H2270" t="s">
        <v>277</v>
      </c>
      <c r="I2270" t="s">
        <v>4596</v>
      </c>
      <c r="J2270">
        <v>9.9751168000000003</v>
      </c>
      <c r="K2270">
        <v>-84.221217899999999</v>
      </c>
      <c r="L2270" t="s">
        <v>1225</v>
      </c>
      <c r="M2270" t="s">
        <v>54</v>
      </c>
      <c r="N2270" t="s">
        <v>55</v>
      </c>
      <c r="O2270" t="s">
        <v>56</v>
      </c>
      <c r="P2270">
        <v>8</v>
      </c>
      <c r="Q2270" t="s">
        <v>97</v>
      </c>
      <c r="S2270" t="str">
        <f>_xlfn.XLOOKUP(UNIVERSO[[#This Row],[Ruta]],'[1]CUOTA RUTA'!A:A,'[1]CUOTA RUTA'!D:D)</f>
        <v>Cargar</v>
      </c>
    </row>
    <row r="2271" spans="1:19" x14ac:dyDescent="0.25">
      <c r="A2271">
        <v>1500725623</v>
      </c>
      <c r="B2271" t="s">
        <v>4597</v>
      </c>
      <c r="C2271" t="s">
        <v>19</v>
      </c>
      <c r="D2271" t="s">
        <v>244</v>
      </c>
      <c r="E2271" t="s">
        <v>21</v>
      </c>
      <c r="F2271" t="s">
        <v>22</v>
      </c>
      <c r="G2271" t="s">
        <v>33</v>
      </c>
      <c r="H2271" t="s">
        <v>767</v>
      </c>
      <c r="I2271" t="s">
        <v>4598</v>
      </c>
      <c r="J2271">
        <v>9.2071585999999996</v>
      </c>
      <c r="K2271">
        <v>-83.639281499999996</v>
      </c>
      <c r="L2271" t="s">
        <v>1225</v>
      </c>
      <c r="M2271" t="s">
        <v>46</v>
      </c>
      <c r="N2271" t="s">
        <v>247</v>
      </c>
      <c r="O2271" t="s">
        <v>248</v>
      </c>
      <c r="P2271">
        <v>19</v>
      </c>
      <c r="Q2271" t="s">
        <v>67</v>
      </c>
      <c r="S2271" t="str">
        <f>_xlfn.XLOOKUP(UNIVERSO[[#This Row],[Ruta]],'[1]CUOTA RUTA'!A:A,'[1]CUOTA RUTA'!D:D)</f>
        <v>Cargar</v>
      </c>
    </row>
    <row r="2272" spans="1:19" x14ac:dyDescent="0.25">
      <c r="A2272">
        <v>1500725667</v>
      </c>
      <c r="B2272" t="s">
        <v>4599</v>
      </c>
      <c r="C2272" t="s">
        <v>19</v>
      </c>
      <c r="D2272" t="s">
        <v>244</v>
      </c>
      <c r="E2272" t="s">
        <v>21</v>
      </c>
      <c r="F2272" t="s">
        <v>22</v>
      </c>
      <c r="G2272" t="s">
        <v>33</v>
      </c>
      <c r="H2272" t="s">
        <v>1233</v>
      </c>
      <c r="I2272" t="s">
        <v>4600</v>
      </c>
      <c r="J2272">
        <v>9.3420869999999994</v>
      </c>
      <c r="K2272">
        <v>-83.683638000000002</v>
      </c>
      <c r="L2272" t="s">
        <v>1225</v>
      </c>
      <c r="M2272" t="s">
        <v>46</v>
      </c>
      <c r="N2272" t="s">
        <v>247</v>
      </c>
      <c r="O2272" t="s">
        <v>248</v>
      </c>
      <c r="P2272">
        <v>13</v>
      </c>
      <c r="Q2272" t="s">
        <v>161</v>
      </c>
      <c r="S2272" t="str">
        <f>_xlfn.XLOOKUP(UNIVERSO[[#This Row],[Ruta]],'[1]CUOTA RUTA'!A:A,'[1]CUOTA RUTA'!D:D)</f>
        <v>Cargar</v>
      </c>
    </row>
    <row r="2273" spans="1:19" x14ac:dyDescent="0.25">
      <c r="A2273">
        <v>1500725748</v>
      </c>
      <c r="B2273" t="s">
        <v>4601</v>
      </c>
      <c r="C2273" t="s">
        <v>19</v>
      </c>
      <c r="D2273" t="s">
        <v>324</v>
      </c>
      <c r="E2273" t="s">
        <v>21</v>
      </c>
      <c r="F2273" t="s">
        <v>22</v>
      </c>
      <c r="G2273" t="s">
        <v>64</v>
      </c>
      <c r="H2273" t="s">
        <v>325</v>
      </c>
      <c r="I2273" t="s">
        <v>4602</v>
      </c>
      <c r="J2273">
        <v>10.3439</v>
      </c>
      <c r="K2273">
        <v>-84.570869999999999</v>
      </c>
      <c r="L2273" t="s">
        <v>1225</v>
      </c>
      <c r="M2273" t="s">
        <v>327</v>
      </c>
      <c r="N2273" t="s">
        <v>328</v>
      </c>
      <c r="O2273" t="s">
        <v>329</v>
      </c>
      <c r="P2273">
        <v>13</v>
      </c>
      <c r="Q2273" t="s">
        <v>161</v>
      </c>
      <c r="S2273" t="str">
        <f>_xlfn.XLOOKUP(UNIVERSO[[#This Row],[Ruta]],'[1]CUOTA RUTA'!A:A,'[1]CUOTA RUTA'!D:D)</f>
        <v>Cargar</v>
      </c>
    </row>
    <row r="2274" spans="1:19" x14ac:dyDescent="0.25">
      <c r="A2274">
        <v>1500725766</v>
      </c>
      <c r="B2274" t="s">
        <v>4603</v>
      </c>
      <c r="C2274" t="s">
        <v>19</v>
      </c>
      <c r="D2274" t="s">
        <v>32</v>
      </c>
      <c r="E2274" t="s">
        <v>21</v>
      </c>
      <c r="F2274" t="s">
        <v>22</v>
      </c>
      <c r="G2274" t="s">
        <v>64</v>
      </c>
      <c r="H2274" t="s">
        <v>879</v>
      </c>
      <c r="I2274" t="s">
        <v>4604</v>
      </c>
      <c r="J2274">
        <v>9.9327303199999992</v>
      </c>
      <c r="K2274">
        <v>-84.075980880000003</v>
      </c>
      <c r="L2274" t="s">
        <v>1225</v>
      </c>
      <c r="M2274" t="s">
        <v>71</v>
      </c>
      <c r="N2274" t="s">
        <v>72</v>
      </c>
      <c r="O2274" t="s">
        <v>73</v>
      </c>
      <c r="P2274">
        <v>5</v>
      </c>
      <c r="Q2274" t="s">
        <v>117</v>
      </c>
      <c r="S2274" t="str">
        <f>_xlfn.XLOOKUP(UNIVERSO[[#This Row],[Ruta]],'[1]CUOTA RUTA'!A:A,'[1]CUOTA RUTA'!D:D)</f>
        <v>Cargar</v>
      </c>
    </row>
    <row r="2275" spans="1:19" x14ac:dyDescent="0.25">
      <c r="A2275">
        <v>1500725797</v>
      </c>
      <c r="B2275" t="s">
        <v>4605</v>
      </c>
      <c r="C2275" t="s">
        <v>19</v>
      </c>
      <c r="D2275" t="s">
        <v>349</v>
      </c>
      <c r="E2275" t="s">
        <v>21</v>
      </c>
      <c r="F2275" t="s">
        <v>22</v>
      </c>
      <c r="G2275" t="s">
        <v>64</v>
      </c>
      <c r="H2275" t="s">
        <v>496</v>
      </c>
      <c r="I2275" t="s">
        <v>4606</v>
      </c>
      <c r="J2275">
        <v>9.9606545999999998</v>
      </c>
      <c r="K2275">
        <v>-85.113370599999996</v>
      </c>
      <c r="L2275" t="s">
        <v>1225</v>
      </c>
      <c r="M2275" t="s">
        <v>352</v>
      </c>
      <c r="N2275" t="s">
        <v>353</v>
      </c>
      <c r="O2275" t="s">
        <v>354</v>
      </c>
      <c r="P2275">
        <v>10</v>
      </c>
      <c r="Q2275" t="s">
        <v>136</v>
      </c>
      <c r="S2275" t="str">
        <f>_xlfn.XLOOKUP(UNIVERSO[[#This Row],[Ruta]],'[1]CUOTA RUTA'!A:A,'[1]CUOTA RUTA'!D:D)</f>
        <v>Cargar</v>
      </c>
    </row>
    <row r="2276" spans="1:19" x14ac:dyDescent="0.25">
      <c r="A2276">
        <v>1500725810</v>
      </c>
      <c r="B2276" t="s">
        <v>4607</v>
      </c>
      <c r="C2276" t="s">
        <v>19</v>
      </c>
      <c r="D2276" t="s">
        <v>32</v>
      </c>
      <c r="E2276" t="s">
        <v>21</v>
      </c>
      <c r="F2276" t="s">
        <v>22</v>
      </c>
      <c r="G2276" t="s">
        <v>64</v>
      </c>
      <c r="H2276" t="s">
        <v>1383</v>
      </c>
      <c r="I2276" t="s">
        <v>4608</v>
      </c>
      <c r="J2276">
        <v>9.9073379999999993</v>
      </c>
      <c r="K2276">
        <v>-84.091583</v>
      </c>
      <c r="L2276" t="s">
        <v>1225</v>
      </c>
      <c r="M2276" t="s">
        <v>71</v>
      </c>
      <c r="N2276" t="s">
        <v>72</v>
      </c>
      <c r="O2276" t="s">
        <v>73</v>
      </c>
      <c r="P2276">
        <v>6</v>
      </c>
      <c r="Q2276" t="s">
        <v>49</v>
      </c>
      <c r="S2276" t="str">
        <f>_xlfn.XLOOKUP(UNIVERSO[[#This Row],[Ruta]],'[1]CUOTA RUTA'!A:A,'[1]CUOTA RUTA'!D:D)</f>
        <v>Cargar</v>
      </c>
    </row>
    <row r="2277" spans="1:19" x14ac:dyDescent="0.25">
      <c r="A2277">
        <v>1500725881</v>
      </c>
      <c r="B2277" t="s">
        <v>4609</v>
      </c>
      <c r="C2277" t="s">
        <v>19</v>
      </c>
      <c r="D2277" t="s">
        <v>266</v>
      </c>
      <c r="E2277" t="s">
        <v>21</v>
      </c>
      <c r="F2277" t="s">
        <v>22</v>
      </c>
      <c r="G2277" t="s">
        <v>64</v>
      </c>
      <c r="H2277" t="s">
        <v>314</v>
      </c>
      <c r="I2277" t="s">
        <v>4610</v>
      </c>
      <c r="J2277">
        <v>9.8753697999999996</v>
      </c>
      <c r="K2277">
        <v>-83.899324500000006</v>
      </c>
      <c r="L2277" t="s">
        <v>1225</v>
      </c>
      <c r="M2277" t="s">
        <v>36</v>
      </c>
      <c r="N2277" t="s">
        <v>316</v>
      </c>
      <c r="O2277" t="s">
        <v>317</v>
      </c>
      <c r="P2277">
        <v>16</v>
      </c>
      <c r="Q2277" t="s">
        <v>60</v>
      </c>
      <c r="S2277" t="str">
        <f>_xlfn.XLOOKUP(UNIVERSO[[#This Row],[Ruta]],'[1]CUOTA RUTA'!A:A,'[1]CUOTA RUTA'!D:D)</f>
        <v>Cargar</v>
      </c>
    </row>
    <row r="2278" spans="1:19" x14ac:dyDescent="0.25">
      <c r="A2278">
        <v>1500725989</v>
      </c>
      <c r="B2278" t="s">
        <v>4611</v>
      </c>
      <c r="C2278" t="s">
        <v>19</v>
      </c>
      <c r="D2278" t="s">
        <v>337</v>
      </c>
      <c r="E2278" t="s">
        <v>21</v>
      </c>
      <c r="F2278" t="s">
        <v>22</v>
      </c>
      <c r="G2278" t="s">
        <v>64</v>
      </c>
      <c r="H2278" t="s">
        <v>343</v>
      </c>
      <c r="I2278" t="s">
        <v>4612</v>
      </c>
      <c r="J2278">
        <v>10.656852000000001</v>
      </c>
      <c r="K2278">
        <v>-85.424385000000001</v>
      </c>
      <c r="L2278" t="s">
        <v>1225</v>
      </c>
      <c r="M2278" t="s">
        <v>327</v>
      </c>
      <c r="N2278" t="s">
        <v>340</v>
      </c>
      <c r="O2278" t="s">
        <v>341</v>
      </c>
      <c r="P2278">
        <v>14</v>
      </c>
      <c r="Q2278" t="s">
        <v>181</v>
      </c>
      <c r="S2278" t="str">
        <f>_xlfn.XLOOKUP(UNIVERSO[[#This Row],[Ruta]],'[1]CUOTA RUTA'!A:A,'[1]CUOTA RUTA'!D:D)</f>
        <v>Cargar</v>
      </c>
    </row>
    <row r="2279" spans="1:19" x14ac:dyDescent="0.25">
      <c r="A2279">
        <v>1500725992</v>
      </c>
      <c r="B2279" t="s">
        <v>1296</v>
      </c>
      <c r="C2279" t="s">
        <v>19</v>
      </c>
      <c r="D2279" t="s">
        <v>32</v>
      </c>
      <c r="E2279" t="s">
        <v>21</v>
      </c>
      <c r="F2279" t="s">
        <v>22</v>
      </c>
      <c r="G2279" t="s">
        <v>23</v>
      </c>
      <c r="H2279" t="s">
        <v>134</v>
      </c>
      <c r="I2279" t="s">
        <v>4613</v>
      </c>
      <c r="J2279">
        <v>9.9639030000000002</v>
      </c>
      <c r="K2279">
        <v>-84.068078</v>
      </c>
      <c r="L2279" t="s">
        <v>1225</v>
      </c>
      <c r="M2279" t="s">
        <v>94</v>
      </c>
      <c r="N2279" t="s">
        <v>95</v>
      </c>
      <c r="O2279" t="s">
        <v>96</v>
      </c>
      <c r="P2279">
        <v>10</v>
      </c>
      <c r="Q2279" t="s">
        <v>136</v>
      </c>
      <c r="S2279" t="str">
        <f>_xlfn.XLOOKUP(UNIVERSO[[#This Row],[Ruta]],'[1]CUOTA RUTA'!A:A,'[1]CUOTA RUTA'!D:D)</f>
        <v>Cargar</v>
      </c>
    </row>
    <row r="2280" spans="1:19" x14ac:dyDescent="0.25">
      <c r="A2280">
        <v>1500726034</v>
      </c>
      <c r="B2280" t="s">
        <v>4614</v>
      </c>
      <c r="C2280" t="s">
        <v>19</v>
      </c>
      <c r="D2280" t="s">
        <v>20</v>
      </c>
      <c r="E2280" t="s">
        <v>21</v>
      </c>
      <c r="F2280" t="s">
        <v>22</v>
      </c>
      <c r="G2280" t="s">
        <v>33</v>
      </c>
      <c r="H2280" t="s">
        <v>1128</v>
      </c>
      <c r="I2280" t="s">
        <v>4615</v>
      </c>
      <c r="J2280">
        <v>10.07543315</v>
      </c>
      <c r="K2280">
        <v>-84.318013440000001</v>
      </c>
      <c r="L2280" t="s">
        <v>1225</v>
      </c>
      <c r="M2280" t="s">
        <v>46</v>
      </c>
      <c r="N2280" t="s">
        <v>47</v>
      </c>
      <c r="O2280" t="s">
        <v>48</v>
      </c>
      <c r="P2280">
        <v>4</v>
      </c>
      <c r="Q2280" t="s">
        <v>120</v>
      </c>
      <c r="S2280" t="str">
        <f>_xlfn.XLOOKUP(UNIVERSO[[#This Row],[Ruta]],'[1]CUOTA RUTA'!A:A,'[1]CUOTA RUTA'!D:D)</f>
        <v>Cargar</v>
      </c>
    </row>
    <row r="2281" spans="1:19" x14ac:dyDescent="0.25">
      <c r="A2281">
        <v>1500726040</v>
      </c>
      <c r="B2281" t="s">
        <v>4179</v>
      </c>
      <c r="C2281" t="s">
        <v>19</v>
      </c>
      <c r="D2281" t="s">
        <v>20</v>
      </c>
      <c r="E2281" t="s">
        <v>21</v>
      </c>
      <c r="F2281" t="s">
        <v>22</v>
      </c>
      <c r="G2281" t="s">
        <v>64</v>
      </c>
      <c r="H2281" t="s">
        <v>743</v>
      </c>
      <c r="I2281" t="s">
        <v>4616</v>
      </c>
      <c r="J2281">
        <v>9.9862300000000008</v>
      </c>
      <c r="K2281">
        <v>-84.383170000000007</v>
      </c>
      <c r="L2281" t="s">
        <v>1225</v>
      </c>
      <c r="M2281" t="s">
        <v>46</v>
      </c>
      <c r="N2281" t="s">
        <v>47</v>
      </c>
      <c r="O2281" t="s">
        <v>48</v>
      </c>
      <c r="P2281">
        <v>10</v>
      </c>
      <c r="Q2281" t="s">
        <v>136</v>
      </c>
      <c r="S2281" t="str">
        <f>_xlfn.XLOOKUP(UNIVERSO[[#This Row],[Ruta]],'[1]CUOTA RUTA'!A:A,'[1]CUOTA RUTA'!D:D)</f>
        <v>Cargar</v>
      </c>
    </row>
    <row r="2282" spans="1:19" x14ac:dyDescent="0.25">
      <c r="A2282">
        <v>1500726077</v>
      </c>
      <c r="B2282" t="s">
        <v>4617</v>
      </c>
      <c r="C2282" t="s">
        <v>19</v>
      </c>
      <c r="D2282" t="s">
        <v>32</v>
      </c>
      <c r="E2282" t="s">
        <v>21</v>
      </c>
      <c r="F2282" t="s">
        <v>22</v>
      </c>
      <c r="G2282" t="s">
        <v>33</v>
      </c>
      <c r="H2282" t="s">
        <v>112</v>
      </c>
      <c r="I2282" t="s">
        <v>4618</v>
      </c>
      <c r="J2282">
        <v>9.9727577000000007</v>
      </c>
      <c r="K2282">
        <v>-84.090889599999997</v>
      </c>
      <c r="L2282" t="s">
        <v>1225</v>
      </c>
      <c r="M2282" t="s">
        <v>94</v>
      </c>
      <c r="N2282" t="s">
        <v>95</v>
      </c>
      <c r="O2282" t="s">
        <v>96</v>
      </c>
      <c r="P2282">
        <v>11</v>
      </c>
      <c r="Q2282" t="s">
        <v>108</v>
      </c>
      <c r="S2282" t="str">
        <f>_xlfn.XLOOKUP(UNIVERSO[[#This Row],[Ruta]],'[1]CUOTA RUTA'!A:A,'[1]CUOTA RUTA'!D:D)</f>
        <v>Cargar</v>
      </c>
    </row>
    <row r="2283" spans="1:19" x14ac:dyDescent="0.25">
      <c r="A2283">
        <v>1500726159</v>
      </c>
      <c r="B2283" t="s">
        <v>4619</v>
      </c>
      <c r="C2283" t="s">
        <v>19</v>
      </c>
      <c r="D2283" t="s">
        <v>266</v>
      </c>
      <c r="E2283" t="s">
        <v>21</v>
      </c>
      <c r="F2283" t="s">
        <v>22</v>
      </c>
      <c r="G2283" t="s">
        <v>23</v>
      </c>
      <c r="H2283" t="s">
        <v>314</v>
      </c>
      <c r="I2283" t="s">
        <v>4620</v>
      </c>
      <c r="J2283">
        <v>9.8708733333329999</v>
      </c>
      <c r="K2283">
        <v>-83.916211666660004</v>
      </c>
      <c r="L2283" t="s">
        <v>1225</v>
      </c>
      <c r="M2283" t="s">
        <v>36</v>
      </c>
      <c r="N2283" t="s">
        <v>316</v>
      </c>
      <c r="O2283" t="s">
        <v>317</v>
      </c>
      <c r="P2283">
        <v>16</v>
      </c>
      <c r="Q2283" t="s">
        <v>60</v>
      </c>
      <c r="S2283" t="str">
        <f>_xlfn.XLOOKUP(UNIVERSO[[#This Row],[Ruta]],'[1]CUOTA RUTA'!A:A,'[1]CUOTA RUTA'!D:D)</f>
        <v>Cargar</v>
      </c>
    </row>
    <row r="2284" spans="1:19" x14ac:dyDescent="0.25">
      <c r="A2284">
        <v>1500726207</v>
      </c>
      <c r="B2284" t="s">
        <v>4621</v>
      </c>
      <c r="C2284" t="s">
        <v>19</v>
      </c>
      <c r="D2284" t="s">
        <v>20</v>
      </c>
      <c r="E2284" t="s">
        <v>21</v>
      </c>
      <c r="F2284" t="s">
        <v>22</v>
      </c>
      <c r="G2284" t="s">
        <v>23</v>
      </c>
      <c r="H2284" t="s">
        <v>901</v>
      </c>
      <c r="I2284" t="s">
        <v>4622</v>
      </c>
      <c r="J2284">
        <v>10.037879999999999</v>
      </c>
      <c r="K2284">
        <v>-84.442350000000005</v>
      </c>
      <c r="L2284" t="s">
        <v>1225</v>
      </c>
      <c r="M2284" t="s">
        <v>46</v>
      </c>
      <c r="N2284" t="s">
        <v>47</v>
      </c>
      <c r="O2284" t="s">
        <v>48</v>
      </c>
      <c r="P2284">
        <v>7</v>
      </c>
      <c r="Q2284" t="s">
        <v>39</v>
      </c>
      <c r="S2284" t="str">
        <f>_xlfn.XLOOKUP(UNIVERSO[[#This Row],[Ruta]],'[1]CUOTA RUTA'!A:A,'[1]CUOTA RUTA'!D:D)</f>
        <v>Cargar</v>
      </c>
    </row>
    <row r="2285" spans="1:19" x14ac:dyDescent="0.25">
      <c r="A2285">
        <v>1500726381</v>
      </c>
      <c r="B2285" t="s">
        <v>4623</v>
      </c>
      <c r="C2285" t="s">
        <v>19</v>
      </c>
      <c r="D2285" t="s">
        <v>208</v>
      </c>
      <c r="E2285" t="s">
        <v>21</v>
      </c>
      <c r="F2285" t="s">
        <v>22</v>
      </c>
      <c r="G2285" t="s">
        <v>33</v>
      </c>
      <c r="H2285" t="s">
        <v>218</v>
      </c>
      <c r="I2285" t="s">
        <v>4624</v>
      </c>
      <c r="J2285">
        <v>10.28030424</v>
      </c>
      <c r="K2285">
        <v>-83.776999930000002</v>
      </c>
      <c r="L2285" t="s">
        <v>1225</v>
      </c>
      <c r="M2285" t="s">
        <v>189</v>
      </c>
      <c r="N2285" t="s">
        <v>211</v>
      </c>
      <c r="O2285" t="s">
        <v>212</v>
      </c>
      <c r="P2285">
        <v>2</v>
      </c>
      <c r="Q2285" t="s">
        <v>150</v>
      </c>
      <c r="S2285" t="str">
        <f>_xlfn.XLOOKUP(UNIVERSO[[#This Row],[Ruta]],'[1]CUOTA RUTA'!A:A,'[1]CUOTA RUTA'!D:D)</f>
        <v>Cargar</v>
      </c>
    </row>
    <row r="2286" spans="1:19" x14ac:dyDescent="0.25">
      <c r="A2286">
        <v>1500726391</v>
      </c>
      <c r="B2286" t="s">
        <v>4625</v>
      </c>
      <c r="C2286" t="s">
        <v>19</v>
      </c>
      <c r="D2286" t="s">
        <v>20</v>
      </c>
      <c r="E2286" t="s">
        <v>21</v>
      </c>
      <c r="F2286" t="s">
        <v>22</v>
      </c>
      <c r="G2286" t="s">
        <v>33</v>
      </c>
      <c r="H2286" t="s">
        <v>44</v>
      </c>
      <c r="I2286" t="s">
        <v>4626</v>
      </c>
      <c r="J2286">
        <v>10.063931699999999</v>
      </c>
      <c r="K2286">
        <v>-84.485646700000004</v>
      </c>
      <c r="L2286" t="s">
        <v>1225</v>
      </c>
      <c r="M2286" t="s">
        <v>46</v>
      </c>
      <c r="N2286" t="s">
        <v>47</v>
      </c>
      <c r="O2286" t="s">
        <v>48</v>
      </c>
      <c r="P2286">
        <v>7</v>
      </c>
      <c r="Q2286" t="s">
        <v>39</v>
      </c>
      <c r="S2286" t="str">
        <f>_xlfn.XLOOKUP(UNIVERSO[[#This Row],[Ruta]],'[1]CUOTA RUTA'!A:A,'[1]CUOTA RUTA'!D:D)</f>
        <v>Cargar</v>
      </c>
    </row>
    <row r="2287" spans="1:19" x14ac:dyDescent="0.25">
      <c r="A2287">
        <v>1500726406</v>
      </c>
      <c r="B2287" t="s">
        <v>4627</v>
      </c>
      <c r="C2287" t="s">
        <v>19</v>
      </c>
      <c r="D2287" t="s">
        <v>208</v>
      </c>
      <c r="E2287" t="s">
        <v>21</v>
      </c>
      <c r="F2287" t="s">
        <v>22</v>
      </c>
      <c r="G2287" t="s">
        <v>64</v>
      </c>
      <c r="H2287" t="s">
        <v>218</v>
      </c>
      <c r="I2287" t="s">
        <v>4628</v>
      </c>
      <c r="J2287">
        <v>10.27928</v>
      </c>
      <c r="K2287">
        <v>-83.784899999999993</v>
      </c>
      <c r="L2287" t="s">
        <v>1225</v>
      </c>
      <c r="M2287" t="s">
        <v>189</v>
      </c>
      <c r="N2287" t="s">
        <v>211</v>
      </c>
      <c r="O2287" t="s">
        <v>212</v>
      </c>
      <c r="P2287">
        <v>2</v>
      </c>
      <c r="Q2287" t="s">
        <v>150</v>
      </c>
      <c r="S2287" t="str">
        <f>_xlfn.XLOOKUP(UNIVERSO[[#This Row],[Ruta]],'[1]CUOTA RUTA'!A:A,'[1]CUOTA RUTA'!D:D)</f>
        <v>Cargar</v>
      </c>
    </row>
    <row r="2288" spans="1:19" x14ac:dyDescent="0.25">
      <c r="A2288">
        <v>1500726416</v>
      </c>
      <c r="B2288" t="s">
        <v>4629</v>
      </c>
      <c r="C2288" t="s">
        <v>19</v>
      </c>
      <c r="D2288" t="s">
        <v>201</v>
      </c>
      <c r="E2288" t="s">
        <v>21</v>
      </c>
      <c r="F2288" t="s">
        <v>22</v>
      </c>
      <c r="G2288" t="s">
        <v>23</v>
      </c>
      <c r="H2288" t="s">
        <v>533</v>
      </c>
      <c r="I2288" t="s">
        <v>4630</v>
      </c>
      <c r="J2288">
        <v>9.9111968567529996</v>
      </c>
      <c r="K2288">
        <v>-84.527538969869994</v>
      </c>
      <c r="L2288" t="s">
        <v>1225</v>
      </c>
      <c r="M2288" t="s">
        <v>204</v>
      </c>
      <c r="N2288" t="s">
        <v>205</v>
      </c>
      <c r="O2288" t="s">
        <v>206</v>
      </c>
      <c r="P2288">
        <v>2</v>
      </c>
      <c r="Q2288" t="s">
        <v>150</v>
      </c>
      <c r="S2288" t="str">
        <f>_xlfn.XLOOKUP(UNIVERSO[[#This Row],[Ruta]],'[1]CUOTA RUTA'!A:A,'[1]CUOTA RUTA'!D:D)</f>
        <v>Cargar</v>
      </c>
    </row>
    <row r="2289" spans="1:19" x14ac:dyDescent="0.25">
      <c r="A2289">
        <v>1500726466</v>
      </c>
      <c r="B2289" t="s">
        <v>4631</v>
      </c>
      <c r="C2289" t="s">
        <v>19</v>
      </c>
      <c r="D2289" t="s">
        <v>20</v>
      </c>
      <c r="E2289" t="s">
        <v>21</v>
      </c>
      <c r="F2289" t="s">
        <v>22</v>
      </c>
      <c r="G2289" t="s">
        <v>64</v>
      </c>
      <c r="H2289" t="s">
        <v>263</v>
      </c>
      <c r="I2289" t="s">
        <v>4632</v>
      </c>
      <c r="J2289">
        <v>10.09862</v>
      </c>
      <c r="K2289">
        <v>-84.381020000000007</v>
      </c>
      <c r="L2289" t="s">
        <v>1225</v>
      </c>
      <c r="M2289" t="s">
        <v>46</v>
      </c>
      <c r="N2289" t="s">
        <v>47</v>
      </c>
      <c r="O2289" t="s">
        <v>48</v>
      </c>
      <c r="P2289">
        <v>1</v>
      </c>
      <c r="Q2289" t="s">
        <v>155</v>
      </c>
      <c r="S2289" t="str">
        <f>_xlfn.XLOOKUP(UNIVERSO[[#This Row],[Ruta]],'[1]CUOTA RUTA'!A:A,'[1]CUOTA RUTA'!D:D)</f>
        <v>Cargar</v>
      </c>
    </row>
    <row r="2290" spans="1:19" x14ac:dyDescent="0.25">
      <c r="A2290">
        <v>1500726592</v>
      </c>
      <c r="B2290" t="s">
        <v>4633</v>
      </c>
      <c r="C2290" t="s">
        <v>19</v>
      </c>
      <c r="D2290" t="s">
        <v>337</v>
      </c>
      <c r="E2290" t="s">
        <v>21</v>
      </c>
      <c r="F2290" t="s">
        <v>22</v>
      </c>
      <c r="G2290" t="s">
        <v>33</v>
      </c>
      <c r="H2290" t="s">
        <v>451</v>
      </c>
      <c r="I2290" t="s">
        <v>4634</v>
      </c>
      <c r="J2290">
        <v>10.63949</v>
      </c>
      <c r="K2290">
        <v>-85.431600000000003</v>
      </c>
      <c r="L2290" t="s">
        <v>1225</v>
      </c>
      <c r="M2290" t="s">
        <v>327</v>
      </c>
      <c r="N2290" t="s">
        <v>340</v>
      </c>
      <c r="O2290" t="s">
        <v>341</v>
      </c>
      <c r="P2290">
        <v>12</v>
      </c>
      <c r="Q2290" t="s">
        <v>42</v>
      </c>
      <c r="S2290" t="str">
        <f>_xlfn.XLOOKUP(UNIVERSO[[#This Row],[Ruta]],'[1]CUOTA RUTA'!A:A,'[1]CUOTA RUTA'!D:D)</f>
        <v>Cargar</v>
      </c>
    </row>
    <row r="2291" spans="1:19" x14ac:dyDescent="0.25">
      <c r="A2291">
        <v>1500726627</v>
      </c>
      <c r="B2291" t="s">
        <v>4635</v>
      </c>
      <c r="C2291" t="s">
        <v>19</v>
      </c>
      <c r="D2291" t="s">
        <v>201</v>
      </c>
      <c r="E2291" t="s">
        <v>21</v>
      </c>
      <c r="F2291" t="s">
        <v>22</v>
      </c>
      <c r="G2291" t="s">
        <v>23</v>
      </c>
      <c r="H2291" t="s">
        <v>499</v>
      </c>
      <c r="I2291" t="s">
        <v>4636</v>
      </c>
      <c r="J2291">
        <v>9.8938308999999993</v>
      </c>
      <c r="K2291">
        <v>-84.557391600000003</v>
      </c>
      <c r="L2291" t="s">
        <v>1225</v>
      </c>
      <c r="M2291" t="s">
        <v>204</v>
      </c>
      <c r="N2291" t="s">
        <v>205</v>
      </c>
      <c r="O2291" t="s">
        <v>206</v>
      </c>
      <c r="P2291">
        <v>3</v>
      </c>
      <c r="Q2291" t="s">
        <v>101</v>
      </c>
      <c r="S2291" t="str">
        <f>_xlfn.XLOOKUP(UNIVERSO[[#This Row],[Ruta]],'[1]CUOTA RUTA'!A:A,'[1]CUOTA RUTA'!D:D)</f>
        <v>Cargar</v>
      </c>
    </row>
    <row r="2292" spans="1:19" x14ac:dyDescent="0.25">
      <c r="A2292">
        <v>1500726731</v>
      </c>
      <c r="B2292" t="s">
        <v>4637</v>
      </c>
      <c r="C2292" t="s">
        <v>19</v>
      </c>
      <c r="D2292" t="s">
        <v>208</v>
      </c>
      <c r="E2292" t="s">
        <v>62</v>
      </c>
      <c r="F2292" t="s">
        <v>63</v>
      </c>
      <c r="G2292" t="s">
        <v>64</v>
      </c>
      <c r="H2292" t="s">
        <v>631</v>
      </c>
      <c r="I2292" t="s">
        <v>4638</v>
      </c>
      <c r="J2292">
        <v>10.15394075</v>
      </c>
      <c r="K2292">
        <v>-83.415523429999993</v>
      </c>
      <c r="L2292" t="s">
        <v>1225</v>
      </c>
      <c r="M2292" t="s">
        <v>189</v>
      </c>
      <c r="N2292" t="s">
        <v>211</v>
      </c>
      <c r="O2292" t="s">
        <v>212</v>
      </c>
      <c r="P2292">
        <v>8</v>
      </c>
      <c r="Q2292" t="s">
        <v>97</v>
      </c>
      <c r="S2292" t="str">
        <f>_xlfn.XLOOKUP(UNIVERSO[[#This Row],[Ruta]],'[1]CUOTA RUTA'!A:A,'[1]CUOTA RUTA'!D:D)</f>
        <v>Cargar</v>
      </c>
    </row>
    <row r="2293" spans="1:19" x14ac:dyDescent="0.25">
      <c r="A2293">
        <v>1500726814</v>
      </c>
      <c r="B2293" t="s">
        <v>4639</v>
      </c>
      <c r="C2293" t="s">
        <v>19</v>
      </c>
      <c r="D2293" t="s">
        <v>324</v>
      </c>
      <c r="E2293" t="s">
        <v>21</v>
      </c>
      <c r="F2293" t="s">
        <v>22</v>
      </c>
      <c r="G2293" t="s">
        <v>64</v>
      </c>
      <c r="H2293" t="s">
        <v>393</v>
      </c>
      <c r="I2293" t="s">
        <v>4640</v>
      </c>
      <c r="J2293">
        <v>10.388</v>
      </c>
      <c r="K2293">
        <v>-84.304659999999998</v>
      </c>
      <c r="L2293" t="s">
        <v>1225</v>
      </c>
      <c r="M2293" t="s">
        <v>327</v>
      </c>
      <c r="N2293" t="s">
        <v>328</v>
      </c>
      <c r="O2293" t="s">
        <v>329</v>
      </c>
      <c r="P2293">
        <v>16</v>
      </c>
      <c r="Q2293" t="s">
        <v>60</v>
      </c>
      <c r="S2293" t="str">
        <f>_xlfn.XLOOKUP(UNIVERSO[[#This Row],[Ruta]],'[1]CUOTA RUTA'!A:A,'[1]CUOTA RUTA'!D:D)</f>
        <v>Cargar</v>
      </c>
    </row>
    <row r="2294" spans="1:19" x14ac:dyDescent="0.25">
      <c r="A2294">
        <v>1500726938</v>
      </c>
      <c r="B2294" t="s">
        <v>4641</v>
      </c>
      <c r="C2294" t="s">
        <v>19</v>
      </c>
      <c r="D2294" t="s">
        <v>186</v>
      </c>
      <c r="E2294" t="s">
        <v>21</v>
      </c>
      <c r="F2294" t="s">
        <v>22</v>
      </c>
      <c r="G2294" t="s">
        <v>33</v>
      </c>
      <c r="H2294" t="s">
        <v>237</v>
      </c>
      <c r="I2294" t="s">
        <v>4642</v>
      </c>
      <c r="J2294">
        <v>10.084745</v>
      </c>
      <c r="K2294">
        <v>-83.358737000000005</v>
      </c>
      <c r="L2294" t="s">
        <v>1225</v>
      </c>
      <c r="M2294" t="s">
        <v>189</v>
      </c>
      <c r="N2294" t="s">
        <v>190</v>
      </c>
      <c r="O2294" t="s">
        <v>191</v>
      </c>
      <c r="P2294">
        <v>21</v>
      </c>
      <c r="Q2294" t="s">
        <v>239</v>
      </c>
      <c r="S2294" t="str">
        <f>_xlfn.XLOOKUP(UNIVERSO[[#This Row],[Ruta]],'[1]CUOTA RUTA'!A:A,'[1]CUOTA RUTA'!D:D)</f>
        <v>Cargar</v>
      </c>
    </row>
    <row r="2295" spans="1:19" x14ac:dyDescent="0.25">
      <c r="A2295">
        <v>1500727013</v>
      </c>
      <c r="B2295" t="s">
        <v>4643</v>
      </c>
      <c r="C2295" t="s">
        <v>19</v>
      </c>
      <c r="D2295" t="s">
        <v>208</v>
      </c>
      <c r="E2295" t="s">
        <v>21</v>
      </c>
      <c r="F2295" t="s">
        <v>22</v>
      </c>
      <c r="G2295" t="s">
        <v>64</v>
      </c>
      <c r="H2295" t="s">
        <v>221</v>
      </c>
      <c r="I2295" t="s">
        <v>4644</v>
      </c>
      <c r="J2295">
        <v>10.11495</v>
      </c>
      <c r="K2295">
        <v>-83.510869999999997</v>
      </c>
      <c r="L2295" t="s">
        <v>1225</v>
      </c>
      <c r="M2295" t="s">
        <v>189</v>
      </c>
      <c r="N2295" t="s">
        <v>211</v>
      </c>
      <c r="O2295" t="s">
        <v>212</v>
      </c>
      <c r="P2295">
        <v>8</v>
      </c>
      <c r="Q2295" t="s">
        <v>97</v>
      </c>
      <c r="S2295" t="str">
        <f>_xlfn.XLOOKUP(UNIVERSO[[#This Row],[Ruta]],'[1]CUOTA RUTA'!A:A,'[1]CUOTA RUTA'!D:D)</f>
        <v>Cargar</v>
      </c>
    </row>
    <row r="2296" spans="1:19" x14ac:dyDescent="0.25">
      <c r="A2296">
        <v>1500727331</v>
      </c>
      <c r="B2296" t="s">
        <v>4645</v>
      </c>
      <c r="C2296" t="s">
        <v>19</v>
      </c>
      <c r="D2296" t="s">
        <v>20</v>
      </c>
      <c r="E2296" t="s">
        <v>21</v>
      </c>
      <c r="F2296" t="s">
        <v>22</v>
      </c>
      <c r="G2296" t="s">
        <v>33</v>
      </c>
      <c r="H2296" t="s">
        <v>674</v>
      </c>
      <c r="I2296" t="s">
        <v>4646</v>
      </c>
      <c r="J2296">
        <v>10.227772642293999</v>
      </c>
      <c r="K2296">
        <v>-84.404901872560004</v>
      </c>
      <c r="L2296" t="s">
        <v>1225</v>
      </c>
      <c r="M2296" t="s">
        <v>46</v>
      </c>
      <c r="N2296" t="s">
        <v>47</v>
      </c>
      <c r="O2296" t="s">
        <v>48</v>
      </c>
      <c r="P2296">
        <v>1</v>
      </c>
      <c r="Q2296" t="s">
        <v>155</v>
      </c>
      <c r="S2296" t="str">
        <f>_xlfn.XLOOKUP(UNIVERSO[[#This Row],[Ruta]],'[1]CUOTA RUTA'!A:A,'[1]CUOTA RUTA'!D:D)</f>
        <v>Cargar</v>
      </c>
    </row>
    <row r="2297" spans="1:19" x14ac:dyDescent="0.25">
      <c r="A2297">
        <v>1500727334</v>
      </c>
      <c r="B2297" t="s">
        <v>4647</v>
      </c>
      <c r="C2297" t="s">
        <v>19</v>
      </c>
      <c r="D2297" t="s">
        <v>20</v>
      </c>
      <c r="E2297" t="s">
        <v>21</v>
      </c>
      <c r="F2297" t="s">
        <v>22</v>
      </c>
      <c r="G2297" t="s">
        <v>33</v>
      </c>
      <c r="H2297" t="s">
        <v>263</v>
      </c>
      <c r="I2297" t="s">
        <v>4648</v>
      </c>
      <c r="J2297">
        <v>10.111121000000001</v>
      </c>
      <c r="K2297">
        <v>-84.327222000000006</v>
      </c>
      <c r="L2297" t="s">
        <v>1225</v>
      </c>
      <c r="M2297" t="s">
        <v>46</v>
      </c>
      <c r="N2297" t="s">
        <v>47</v>
      </c>
      <c r="O2297" t="s">
        <v>48</v>
      </c>
      <c r="P2297">
        <v>4</v>
      </c>
      <c r="Q2297" t="s">
        <v>120</v>
      </c>
      <c r="S2297" t="str">
        <f>_xlfn.XLOOKUP(UNIVERSO[[#This Row],[Ruta]],'[1]CUOTA RUTA'!A:A,'[1]CUOTA RUTA'!D:D)</f>
        <v>Cargar</v>
      </c>
    </row>
    <row r="2298" spans="1:19" x14ac:dyDescent="0.25">
      <c r="A2298">
        <v>1500727399</v>
      </c>
      <c r="B2298" t="s">
        <v>2955</v>
      </c>
      <c r="C2298" t="s">
        <v>19</v>
      </c>
      <c r="D2298" t="s">
        <v>32</v>
      </c>
      <c r="E2298" t="s">
        <v>21</v>
      </c>
      <c r="F2298" t="s">
        <v>22</v>
      </c>
      <c r="G2298" t="s">
        <v>33</v>
      </c>
      <c r="H2298" t="s">
        <v>159</v>
      </c>
      <c r="I2298" t="s">
        <v>4649</v>
      </c>
      <c r="J2298">
        <v>9.8995099999999994</v>
      </c>
      <c r="K2298">
        <v>-84.093829999999997</v>
      </c>
      <c r="L2298" t="s">
        <v>1225</v>
      </c>
      <c r="M2298" t="s">
        <v>71</v>
      </c>
      <c r="N2298" t="s">
        <v>72</v>
      </c>
      <c r="O2298" t="s">
        <v>73</v>
      </c>
      <c r="P2298">
        <v>8</v>
      </c>
      <c r="Q2298" t="s">
        <v>97</v>
      </c>
      <c r="S2298" t="str">
        <f>_xlfn.XLOOKUP(UNIVERSO[[#This Row],[Ruta]],'[1]CUOTA RUTA'!A:A,'[1]CUOTA RUTA'!D:D)</f>
        <v>Cargar</v>
      </c>
    </row>
    <row r="2299" spans="1:19" x14ac:dyDescent="0.25">
      <c r="A2299">
        <v>1500727414</v>
      </c>
      <c r="B2299" t="s">
        <v>4650</v>
      </c>
      <c r="C2299" t="s">
        <v>19</v>
      </c>
      <c r="D2299" t="s">
        <v>349</v>
      </c>
      <c r="E2299" t="s">
        <v>21</v>
      </c>
      <c r="F2299" t="s">
        <v>22</v>
      </c>
      <c r="G2299" t="s">
        <v>33</v>
      </c>
      <c r="H2299" t="s">
        <v>711</v>
      </c>
      <c r="I2299" t="s">
        <v>4651</v>
      </c>
      <c r="J2299">
        <v>10.198930000000001</v>
      </c>
      <c r="K2299">
        <v>-85.430819999999997</v>
      </c>
      <c r="L2299" t="s">
        <v>1225</v>
      </c>
      <c r="M2299" t="s">
        <v>352</v>
      </c>
      <c r="N2299" t="s">
        <v>353</v>
      </c>
      <c r="O2299" t="s">
        <v>354</v>
      </c>
      <c r="P2299">
        <v>16</v>
      </c>
      <c r="Q2299" t="s">
        <v>60</v>
      </c>
      <c r="S2299" t="str">
        <f>_xlfn.XLOOKUP(UNIVERSO[[#This Row],[Ruta]],'[1]CUOTA RUTA'!A:A,'[1]CUOTA RUTA'!D:D)</f>
        <v>Cargar</v>
      </c>
    </row>
    <row r="2300" spans="1:19" x14ac:dyDescent="0.25">
      <c r="A2300">
        <v>1500727457</v>
      </c>
      <c r="B2300" t="s">
        <v>4652</v>
      </c>
      <c r="C2300" t="s">
        <v>19</v>
      </c>
      <c r="D2300" t="s">
        <v>266</v>
      </c>
      <c r="E2300" t="s">
        <v>21</v>
      </c>
      <c r="F2300" t="s">
        <v>22</v>
      </c>
      <c r="G2300" t="s">
        <v>64</v>
      </c>
      <c r="H2300" t="s">
        <v>372</v>
      </c>
      <c r="I2300" t="s">
        <v>4653</v>
      </c>
      <c r="J2300">
        <v>9.9578720900000004</v>
      </c>
      <c r="K2300">
        <v>-83.717034229999996</v>
      </c>
      <c r="L2300" t="s">
        <v>1225</v>
      </c>
      <c r="M2300" t="s">
        <v>189</v>
      </c>
      <c r="N2300" t="s">
        <v>269</v>
      </c>
      <c r="O2300" t="s">
        <v>270</v>
      </c>
      <c r="P2300">
        <v>22</v>
      </c>
      <c r="Q2300" t="s">
        <v>30</v>
      </c>
      <c r="S2300" t="str">
        <f>_xlfn.XLOOKUP(UNIVERSO[[#This Row],[Ruta]],'[1]CUOTA RUTA'!A:A,'[1]CUOTA RUTA'!D:D)</f>
        <v>Cargar</v>
      </c>
    </row>
    <row r="2301" spans="1:19" x14ac:dyDescent="0.25">
      <c r="A2301">
        <v>1500727564</v>
      </c>
      <c r="B2301" t="s">
        <v>4654</v>
      </c>
      <c r="C2301" t="s">
        <v>19</v>
      </c>
      <c r="D2301" t="s">
        <v>349</v>
      </c>
      <c r="E2301" t="s">
        <v>21</v>
      </c>
      <c r="F2301" t="s">
        <v>22</v>
      </c>
      <c r="G2301" t="s">
        <v>64</v>
      </c>
      <c r="H2301" t="s">
        <v>711</v>
      </c>
      <c r="I2301" t="s">
        <v>4655</v>
      </c>
      <c r="J2301">
        <v>9.9258760000000006</v>
      </c>
      <c r="K2301">
        <v>-85.349123000000006</v>
      </c>
      <c r="L2301" t="s">
        <v>1225</v>
      </c>
      <c r="M2301" t="s">
        <v>352</v>
      </c>
      <c r="N2301" t="s">
        <v>353</v>
      </c>
      <c r="O2301" t="s">
        <v>354</v>
      </c>
      <c r="P2301">
        <v>9</v>
      </c>
      <c r="Q2301" t="s">
        <v>80</v>
      </c>
      <c r="S2301" t="str">
        <f>_xlfn.XLOOKUP(UNIVERSO[[#This Row],[Ruta]],'[1]CUOTA RUTA'!A:A,'[1]CUOTA RUTA'!D:D)</f>
        <v>Cargar</v>
      </c>
    </row>
    <row r="2302" spans="1:19" x14ac:dyDescent="0.25">
      <c r="A2302">
        <v>1500727570</v>
      </c>
      <c r="B2302" t="s">
        <v>4656</v>
      </c>
      <c r="C2302" t="s">
        <v>19</v>
      </c>
      <c r="D2302" t="s">
        <v>349</v>
      </c>
      <c r="E2302" t="s">
        <v>21</v>
      </c>
      <c r="F2302" t="s">
        <v>22</v>
      </c>
      <c r="G2302" t="s">
        <v>33</v>
      </c>
      <c r="H2302" t="s">
        <v>711</v>
      </c>
      <c r="I2302" t="s">
        <v>4657</v>
      </c>
      <c r="J2302">
        <v>9.8547829999999994</v>
      </c>
      <c r="K2302">
        <v>-85.329297999999994</v>
      </c>
      <c r="L2302" t="s">
        <v>1225</v>
      </c>
      <c r="M2302" t="s">
        <v>352</v>
      </c>
      <c r="N2302" t="s">
        <v>353</v>
      </c>
      <c r="O2302" t="s">
        <v>354</v>
      </c>
      <c r="P2302">
        <v>9</v>
      </c>
      <c r="Q2302" t="s">
        <v>80</v>
      </c>
      <c r="S2302" t="str">
        <f>_xlfn.XLOOKUP(UNIVERSO[[#This Row],[Ruta]],'[1]CUOTA RUTA'!A:A,'[1]CUOTA RUTA'!D:D)</f>
        <v>Cargar</v>
      </c>
    </row>
    <row r="2303" spans="1:19" x14ac:dyDescent="0.25">
      <c r="A2303">
        <v>1500727573</v>
      </c>
      <c r="B2303" t="s">
        <v>4658</v>
      </c>
      <c r="C2303" t="s">
        <v>19</v>
      </c>
      <c r="D2303" t="s">
        <v>349</v>
      </c>
      <c r="E2303" t="s">
        <v>21</v>
      </c>
      <c r="F2303" t="s">
        <v>22</v>
      </c>
      <c r="G2303" t="s">
        <v>23</v>
      </c>
      <c r="H2303" t="s">
        <v>350</v>
      </c>
      <c r="I2303" t="s">
        <v>4659</v>
      </c>
      <c r="J2303">
        <v>9.8767841199999999</v>
      </c>
      <c r="K2303">
        <v>-85.45569236</v>
      </c>
      <c r="L2303" t="s">
        <v>1225</v>
      </c>
      <c r="M2303" t="s">
        <v>352</v>
      </c>
      <c r="N2303" t="s">
        <v>353</v>
      </c>
      <c r="O2303" t="s">
        <v>354</v>
      </c>
      <c r="P2303">
        <v>9</v>
      </c>
      <c r="Q2303" t="s">
        <v>80</v>
      </c>
      <c r="S2303" t="str">
        <f>_xlfn.XLOOKUP(UNIVERSO[[#This Row],[Ruta]],'[1]CUOTA RUTA'!A:A,'[1]CUOTA RUTA'!D:D)</f>
        <v>Cargar</v>
      </c>
    </row>
    <row r="2304" spans="1:19" x14ac:dyDescent="0.25">
      <c r="A2304">
        <v>1500727574</v>
      </c>
      <c r="B2304" t="s">
        <v>4660</v>
      </c>
      <c r="C2304" t="s">
        <v>19</v>
      </c>
      <c r="D2304" t="s">
        <v>349</v>
      </c>
      <c r="E2304" t="s">
        <v>21</v>
      </c>
      <c r="F2304" t="s">
        <v>22</v>
      </c>
      <c r="G2304" t="s">
        <v>64</v>
      </c>
      <c r="H2304" t="s">
        <v>711</v>
      </c>
      <c r="I2304" t="s">
        <v>4661</v>
      </c>
      <c r="J2304">
        <v>9.8609919999999995</v>
      </c>
      <c r="K2304">
        <v>-85.366178000000005</v>
      </c>
      <c r="L2304" t="s">
        <v>1225</v>
      </c>
      <c r="M2304" t="s">
        <v>352</v>
      </c>
      <c r="N2304" t="s">
        <v>353</v>
      </c>
      <c r="O2304" t="s">
        <v>354</v>
      </c>
      <c r="P2304">
        <v>9</v>
      </c>
      <c r="Q2304" t="s">
        <v>80</v>
      </c>
      <c r="S2304" t="str">
        <f>_xlfn.XLOOKUP(UNIVERSO[[#This Row],[Ruta]],'[1]CUOTA RUTA'!A:A,'[1]CUOTA RUTA'!D:D)</f>
        <v>Cargar</v>
      </c>
    </row>
    <row r="2305" spans="1:19" x14ac:dyDescent="0.25">
      <c r="A2305">
        <v>1500727576</v>
      </c>
      <c r="B2305" t="s">
        <v>4662</v>
      </c>
      <c r="C2305" t="s">
        <v>19</v>
      </c>
      <c r="D2305" t="s">
        <v>349</v>
      </c>
      <c r="E2305" t="s">
        <v>21</v>
      </c>
      <c r="F2305" t="s">
        <v>22</v>
      </c>
      <c r="G2305" t="s">
        <v>33</v>
      </c>
      <c r="H2305" t="s">
        <v>711</v>
      </c>
      <c r="I2305" t="s">
        <v>4663</v>
      </c>
      <c r="J2305">
        <v>9.9264270000000003</v>
      </c>
      <c r="K2305">
        <v>-85.431683000000007</v>
      </c>
      <c r="L2305" t="s">
        <v>1225</v>
      </c>
      <c r="M2305" t="s">
        <v>352</v>
      </c>
      <c r="N2305" t="s">
        <v>353</v>
      </c>
      <c r="O2305" t="s">
        <v>354</v>
      </c>
      <c r="P2305">
        <v>9</v>
      </c>
      <c r="Q2305" t="s">
        <v>80</v>
      </c>
      <c r="S2305" t="str">
        <f>_xlfn.XLOOKUP(UNIVERSO[[#This Row],[Ruta]],'[1]CUOTA RUTA'!A:A,'[1]CUOTA RUTA'!D:D)</f>
        <v>Cargar</v>
      </c>
    </row>
    <row r="2306" spans="1:19" x14ac:dyDescent="0.25">
      <c r="A2306">
        <v>1500727585</v>
      </c>
      <c r="B2306" t="s">
        <v>2903</v>
      </c>
      <c r="C2306" t="s">
        <v>19</v>
      </c>
      <c r="D2306" t="s">
        <v>349</v>
      </c>
      <c r="E2306" t="s">
        <v>21</v>
      </c>
      <c r="F2306" t="s">
        <v>22</v>
      </c>
      <c r="G2306" t="s">
        <v>23</v>
      </c>
      <c r="H2306" t="s">
        <v>350</v>
      </c>
      <c r="I2306" t="s">
        <v>4659</v>
      </c>
      <c r="J2306">
        <v>9.8822737499999995</v>
      </c>
      <c r="K2306">
        <v>-85.450389549999997</v>
      </c>
      <c r="L2306" t="s">
        <v>1225</v>
      </c>
      <c r="M2306" t="s">
        <v>352</v>
      </c>
      <c r="N2306" t="s">
        <v>353</v>
      </c>
      <c r="O2306" t="s">
        <v>354</v>
      </c>
      <c r="P2306">
        <v>9</v>
      </c>
      <c r="Q2306" t="s">
        <v>80</v>
      </c>
      <c r="S2306" t="str">
        <f>_xlfn.XLOOKUP(UNIVERSO[[#This Row],[Ruta]],'[1]CUOTA RUTA'!A:A,'[1]CUOTA RUTA'!D:D)</f>
        <v>Cargar</v>
      </c>
    </row>
    <row r="2307" spans="1:19" x14ac:dyDescent="0.25">
      <c r="A2307">
        <v>1500727598</v>
      </c>
      <c r="B2307" t="s">
        <v>4664</v>
      </c>
      <c r="C2307" t="s">
        <v>19</v>
      </c>
      <c r="D2307" t="s">
        <v>349</v>
      </c>
      <c r="E2307" t="s">
        <v>21</v>
      </c>
      <c r="F2307" t="s">
        <v>22</v>
      </c>
      <c r="G2307" t="s">
        <v>33</v>
      </c>
      <c r="H2307" t="s">
        <v>711</v>
      </c>
      <c r="I2307" t="s">
        <v>4665</v>
      </c>
      <c r="J2307">
        <v>9.9725099999999998</v>
      </c>
      <c r="K2307">
        <v>-85.403059999999996</v>
      </c>
      <c r="L2307" t="s">
        <v>1225</v>
      </c>
      <c r="M2307" t="s">
        <v>352</v>
      </c>
      <c r="N2307" t="s">
        <v>353</v>
      </c>
      <c r="O2307" t="s">
        <v>354</v>
      </c>
      <c r="P2307">
        <v>14</v>
      </c>
      <c r="Q2307" t="s">
        <v>181</v>
      </c>
      <c r="S2307" t="str">
        <f>_xlfn.XLOOKUP(UNIVERSO[[#This Row],[Ruta]],'[1]CUOTA RUTA'!A:A,'[1]CUOTA RUTA'!D:D)</f>
        <v>Cargar</v>
      </c>
    </row>
    <row r="2308" spans="1:19" x14ac:dyDescent="0.25">
      <c r="A2308">
        <v>1500727604</v>
      </c>
      <c r="B2308" t="s">
        <v>4666</v>
      </c>
      <c r="C2308" t="s">
        <v>19</v>
      </c>
      <c r="D2308" t="s">
        <v>349</v>
      </c>
      <c r="E2308" t="s">
        <v>21</v>
      </c>
      <c r="F2308" t="s">
        <v>22</v>
      </c>
      <c r="G2308" t="s">
        <v>64</v>
      </c>
      <c r="H2308" t="s">
        <v>711</v>
      </c>
      <c r="I2308" t="s">
        <v>4667</v>
      </c>
      <c r="J2308">
        <v>9.9103899999999996</v>
      </c>
      <c r="K2308">
        <v>-85.207250000000002</v>
      </c>
      <c r="L2308" t="s">
        <v>1225</v>
      </c>
      <c r="M2308" t="s">
        <v>352</v>
      </c>
      <c r="N2308" t="s">
        <v>353</v>
      </c>
      <c r="O2308" t="s">
        <v>354</v>
      </c>
      <c r="P2308">
        <v>15</v>
      </c>
      <c r="Q2308" t="s">
        <v>231</v>
      </c>
      <c r="S2308" t="str">
        <f>_xlfn.XLOOKUP(UNIVERSO[[#This Row],[Ruta]],'[1]CUOTA RUTA'!A:A,'[1]CUOTA RUTA'!D:D)</f>
        <v>Cargar</v>
      </c>
    </row>
    <row r="2309" spans="1:19" x14ac:dyDescent="0.25">
      <c r="A2309">
        <v>1500727605</v>
      </c>
      <c r="B2309" t="s">
        <v>4668</v>
      </c>
      <c r="C2309" t="s">
        <v>19</v>
      </c>
      <c r="D2309" t="s">
        <v>349</v>
      </c>
      <c r="E2309" t="s">
        <v>21</v>
      </c>
      <c r="F2309" t="s">
        <v>22</v>
      </c>
      <c r="G2309" t="s">
        <v>64</v>
      </c>
      <c r="H2309" t="s">
        <v>711</v>
      </c>
      <c r="I2309" t="s">
        <v>4669</v>
      </c>
      <c r="J2309">
        <v>9.8593100000000007</v>
      </c>
      <c r="K2309">
        <v>-85.148960000000002</v>
      </c>
      <c r="L2309" t="s">
        <v>1225</v>
      </c>
      <c r="M2309" t="s">
        <v>352</v>
      </c>
      <c r="N2309" t="s">
        <v>353</v>
      </c>
      <c r="O2309" t="s">
        <v>354</v>
      </c>
      <c r="P2309">
        <v>10</v>
      </c>
      <c r="Q2309" t="s">
        <v>136</v>
      </c>
      <c r="S2309" t="str">
        <f>_xlfn.XLOOKUP(UNIVERSO[[#This Row],[Ruta]],'[1]CUOTA RUTA'!A:A,'[1]CUOTA RUTA'!D:D)</f>
        <v>Cargar</v>
      </c>
    </row>
    <row r="2310" spans="1:19" x14ac:dyDescent="0.25">
      <c r="A2310">
        <v>1500727606</v>
      </c>
      <c r="B2310" t="s">
        <v>4670</v>
      </c>
      <c r="C2310" t="s">
        <v>19</v>
      </c>
      <c r="D2310" t="s">
        <v>349</v>
      </c>
      <c r="E2310" t="s">
        <v>21</v>
      </c>
      <c r="F2310" t="s">
        <v>22</v>
      </c>
      <c r="G2310" t="s">
        <v>33</v>
      </c>
      <c r="H2310" t="s">
        <v>711</v>
      </c>
      <c r="I2310" t="s">
        <v>4671</v>
      </c>
      <c r="J2310">
        <v>9.8791679999999999</v>
      </c>
      <c r="K2310">
        <v>-85.167854000000005</v>
      </c>
      <c r="L2310" t="s">
        <v>1225</v>
      </c>
      <c r="M2310" t="s">
        <v>352</v>
      </c>
      <c r="N2310" t="s">
        <v>353</v>
      </c>
      <c r="O2310" t="s">
        <v>354</v>
      </c>
      <c r="P2310">
        <v>10</v>
      </c>
      <c r="Q2310" t="s">
        <v>136</v>
      </c>
      <c r="S2310" t="str">
        <f>_xlfn.XLOOKUP(UNIVERSO[[#This Row],[Ruta]],'[1]CUOTA RUTA'!A:A,'[1]CUOTA RUTA'!D:D)</f>
        <v>Cargar</v>
      </c>
    </row>
    <row r="2311" spans="1:19" x14ac:dyDescent="0.25">
      <c r="A2311">
        <v>1500727614</v>
      </c>
      <c r="B2311" t="s">
        <v>4672</v>
      </c>
      <c r="C2311" t="s">
        <v>19</v>
      </c>
      <c r="D2311" t="s">
        <v>349</v>
      </c>
      <c r="E2311" t="s">
        <v>21</v>
      </c>
      <c r="F2311" t="s">
        <v>22</v>
      </c>
      <c r="G2311" t="s">
        <v>64</v>
      </c>
      <c r="H2311" t="s">
        <v>711</v>
      </c>
      <c r="I2311" t="s">
        <v>4673</v>
      </c>
      <c r="J2311">
        <v>9.9084800000000008</v>
      </c>
      <c r="K2311">
        <v>-85.115780000000001</v>
      </c>
      <c r="L2311" t="s">
        <v>1225</v>
      </c>
      <c r="M2311" t="s">
        <v>352</v>
      </c>
      <c r="N2311" t="s">
        <v>353</v>
      </c>
      <c r="O2311" t="s">
        <v>354</v>
      </c>
      <c r="P2311">
        <v>10</v>
      </c>
      <c r="Q2311" t="s">
        <v>136</v>
      </c>
      <c r="S2311" t="str">
        <f>_xlfn.XLOOKUP(UNIVERSO[[#This Row],[Ruta]],'[1]CUOTA RUTA'!A:A,'[1]CUOTA RUTA'!D:D)</f>
        <v>Cargar</v>
      </c>
    </row>
    <row r="2312" spans="1:19" x14ac:dyDescent="0.25">
      <c r="A2312">
        <v>1500727625</v>
      </c>
      <c r="B2312" t="s">
        <v>4674</v>
      </c>
      <c r="C2312" t="s">
        <v>19</v>
      </c>
      <c r="D2312" t="s">
        <v>349</v>
      </c>
      <c r="E2312" t="s">
        <v>21</v>
      </c>
      <c r="F2312" t="s">
        <v>22</v>
      </c>
      <c r="G2312" t="s">
        <v>23</v>
      </c>
      <c r="H2312" t="s">
        <v>711</v>
      </c>
      <c r="I2312" t="s">
        <v>4675</v>
      </c>
      <c r="J2312">
        <v>9.8023170000000004</v>
      </c>
      <c r="K2312">
        <v>-85.244016000000002</v>
      </c>
      <c r="L2312" t="s">
        <v>1225</v>
      </c>
      <c r="M2312" t="s">
        <v>352</v>
      </c>
      <c r="N2312" t="s">
        <v>353</v>
      </c>
      <c r="O2312" t="s">
        <v>354</v>
      </c>
      <c r="P2312">
        <v>10</v>
      </c>
      <c r="Q2312" t="s">
        <v>136</v>
      </c>
      <c r="S2312" t="str">
        <f>_xlfn.XLOOKUP(UNIVERSO[[#This Row],[Ruta]],'[1]CUOTA RUTA'!A:A,'[1]CUOTA RUTA'!D:D)</f>
        <v>Cargar</v>
      </c>
    </row>
    <row r="2313" spans="1:19" x14ac:dyDescent="0.25">
      <c r="A2313">
        <v>1500727626</v>
      </c>
      <c r="B2313" t="s">
        <v>4676</v>
      </c>
      <c r="C2313" t="s">
        <v>19</v>
      </c>
      <c r="D2313" t="s">
        <v>349</v>
      </c>
      <c r="E2313" t="s">
        <v>21</v>
      </c>
      <c r="F2313" t="s">
        <v>22</v>
      </c>
      <c r="G2313" t="s">
        <v>23</v>
      </c>
      <c r="H2313" t="s">
        <v>711</v>
      </c>
      <c r="I2313" t="s">
        <v>4675</v>
      </c>
      <c r="J2313">
        <v>9.8028849999999998</v>
      </c>
      <c r="K2313">
        <v>-85.244398000000004</v>
      </c>
      <c r="L2313" t="s">
        <v>1225</v>
      </c>
      <c r="M2313" t="s">
        <v>352</v>
      </c>
      <c r="N2313" t="s">
        <v>353</v>
      </c>
      <c r="O2313" t="s">
        <v>354</v>
      </c>
      <c r="P2313">
        <v>9</v>
      </c>
      <c r="Q2313" t="s">
        <v>80</v>
      </c>
      <c r="S2313" t="str">
        <f>_xlfn.XLOOKUP(UNIVERSO[[#This Row],[Ruta]],'[1]CUOTA RUTA'!A:A,'[1]CUOTA RUTA'!D:D)</f>
        <v>Cargar</v>
      </c>
    </row>
    <row r="2314" spans="1:19" x14ac:dyDescent="0.25">
      <c r="A2314">
        <v>1500727629</v>
      </c>
      <c r="B2314" t="s">
        <v>4677</v>
      </c>
      <c r="C2314" t="s">
        <v>19</v>
      </c>
      <c r="D2314" t="s">
        <v>349</v>
      </c>
      <c r="E2314" t="s">
        <v>21</v>
      </c>
      <c r="F2314" t="s">
        <v>22</v>
      </c>
      <c r="G2314" t="s">
        <v>33</v>
      </c>
      <c r="H2314" t="s">
        <v>711</v>
      </c>
      <c r="I2314" t="s">
        <v>4678</v>
      </c>
      <c r="J2314">
        <v>9.8692700000000002</v>
      </c>
      <c r="K2314">
        <v>-85.226889999999997</v>
      </c>
      <c r="L2314" t="s">
        <v>1225</v>
      </c>
      <c r="M2314" t="s">
        <v>352</v>
      </c>
      <c r="N2314" t="s">
        <v>353</v>
      </c>
      <c r="O2314" t="s">
        <v>354</v>
      </c>
      <c r="P2314">
        <v>9</v>
      </c>
      <c r="Q2314" t="s">
        <v>80</v>
      </c>
      <c r="S2314" t="str">
        <f>_xlfn.XLOOKUP(UNIVERSO[[#This Row],[Ruta]],'[1]CUOTA RUTA'!A:A,'[1]CUOTA RUTA'!D:D)</f>
        <v>Cargar</v>
      </c>
    </row>
    <row r="2315" spans="1:19" x14ac:dyDescent="0.25">
      <c r="A2315">
        <v>1500727632</v>
      </c>
      <c r="B2315" t="s">
        <v>4679</v>
      </c>
      <c r="C2315" t="s">
        <v>19</v>
      </c>
      <c r="D2315" t="s">
        <v>349</v>
      </c>
      <c r="E2315" t="s">
        <v>21</v>
      </c>
      <c r="F2315" t="s">
        <v>22</v>
      </c>
      <c r="G2315" t="s">
        <v>33</v>
      </c>
      <c r="H2315" t="s">
        <v>711</v>
      </c>
      <c r="I2315" t="s">
        <v>4680</v>
      </c>
      <c r="J2315">
        <v>9.82775</v>
      </c>
      <c r="K2315">
        <v>-85.239940000000004</v>
      </c>
      <c r="L2315" t="s">
        <v>1225</v>
      </c>
      <c r="M2315" t="s">
        <v>352</v>
      </c>
      <c r="N2315" t="s">
        <v>353</v>
      </c>
      <c r="O2315" t="s">
        <v>354</v>
      </c>
      <c r="P2315">
        <v>9</v>
      </c>
      <c r="Q2315" t="s">
        <v>80</v>
      </c>
      <c r="S2315" t="str">
        <f>_xlfn.XLOOKUP(UNIVERSO[[#This Row],[Ruta]],'[1]CUOTA RUTA'!A:A,'[1]CUOTA RUTA'!D:D)</f>
        <v>Cargar</v>
      </c>
    </row>
    <row r="2316" spans="1:19" x14ac:dyDescent="0.25">
      <c r="A2316">
        <v>1500727719</v>
      </c>
      <c r="B2316" t="s">
        <v>4681</v>
      </c>
      <c r="C2316" t="s">
        <v>19</v>
      </c>
      <c r="D2316" t="s">
        <v>349</v>
      </c>
      <c r="E2316" t="s">
        <v>21</v>
      </c>
      <c r="F2316" t="s">
        <v>22</v>
      </c>
      <c r="G2316" t="s">
        <v>64</v>
      </c>
      <c r="H2316" t="s">
        <v>711</v>
      </c>
      <c r="I2316" t="s">
        <v>4682</v>
      </c>
      <c r="J2316">
        <v>9.9982710000000008</v>
      </c>
      <c r="K2316">
        <v>-85.300004999999999</v>
      </c>
      <c r="L2316" t="s">
        <v>1225</v>
      </c>
      <c r="M2316" t="s">
        <v>352</v>
      </c>
      <c r="N2316" t="s">
        <v>353</v>
      </c>
      <c r="O2316" t="s">
        <v>354</v>
      </c>
      <c r="P2316">
        <v>15</v>
      </c>
      <c r="Q2316" t="s">
        <v>231</v>
      </c>
      <c r="S2316" t="str">
        <f>_xlfn.XLOOKUP(UNIVERSO[[#This Row],[Ruta]],'[1]CUOTA RUTA'!A:A,'[1]CUOTA RUTA'!D:D)</f>
        <v>Cargar</v>
      </c>
    </row>
    <row r="2317" spans="1:19" x14ac:dyDescent="0.25">
      <c r="A2317">
        <v>1500727737</v>
      </c>
      <c r="B2317" t="s">
        <v>1863</v>
      </c>
      <c r="C2317" t="s">
        <v>19</v>
      </c>
      <c r="D2317" t="s">
        <v>349</v>
      </c>
      <c r="E2317" t="s">
        <v>21</v>
      </c>
      <c r="F2317" t="s">
        <v>22</v>
      </c>
      <c r="G2317" t="s">
        <v>33</v>
      </c>
      <c r="H2317" t="s">
        <v>711</v>
      </c>
      <c r="I2317" t="s">
        <v>4683</v>
      </c>
      <c r="J2317">
        <v>9.9007109999999994</v>
      </c>
      <c r="K2317">
        <v>-85.282613999999995</v>
      </c>
      <c r="L2317" t="s">
        <v>1225</v>
      </c>
      <c r="M2317" t="s">
        <v>352</v>
      </c>
      <c r="N2317" t="s">
        <v>353</v>
      </c>
      <c r="O2317" t="s">
        <v>354</v>
      </c>
      <c r="P2317">
        <v>9</v>
      </c>
      <c r="Q2317" t="s">
        <v>80</v>
      </c>
      <c r="S2317" t="str">
        <f>_xlfn.XLOOKUP(UNIVERSO[[#This Row],[Ruta]],'[1]CUOTA RUTA'!A:A,'[1]CUOTA RUTA'!D:D)</f>
        <v>Cargar</v>
      </c>
    </row>
    <row r="2318" spans="1:19" x14ac:dyDescent="0.25">
      <c r="A2318">
        <v>1500727739</v>
      </c>
      <c r="B2318" t="s">
        <v>4684</v>
      </c>
      <c r="C2318" t="s">
        <v>19</v>
      </c>
      <c r="D2318" t="s">
        <v>349</v>
      </c>
      <c r="E2318" t="s">
        <v>21</v>
      </c>
      <c r="F2318" t="s">
        <v>22</v>
      </c>
      <c r="G2318" t="s">
        <v>64</v>
      </c>
      <c r="H2318" t="s">
        <v>711</v>
      </c>
      <c r="I2318" t="s">
        <v>4685</v>
      </c>
      <c r="J2318">
        <v>9.8826870000000007</v>
      </c>
      <c r="K2318">
        <v>-85.273835000000005</v>
      </c>
      <c r="L2318" t="s">
        <v>1225</v>
      </c>
      <c r="M2318" t="s">
        <v>352</v>
      </c>
      <c r="N2318" t="s">
        <v>353</v>
      </c>
      <c r="O2318" t="s">
        <v>354</v>
      </c>
      <c r="P2318">
        <v>9</v>
      </c>
      <c r="Q2318" t="s">
        <v>80</v>
      </c>
      <c r="S2318" t="str">
        <f>_xlfn.XLOOKUP(UNIVERSO[[#This Row],[Ruta]],'[1]CUOTA RUTA'!A:A,'[1]CUOTA RUTA'!D:D)</f>
        <v>Cargar</v>
      </c>
    </row>
    <row r="2319" spans="1:19" x14ac:dyDescent="0.25">
      <c r="A2319">
        <v>1500727768</v>
      </c>
      <c r="B2319" t="s">
        <v>4686</v>
      </c>
      <c r="C2319" t="s">
        <v>19</v>
      </c>
      <c r="D2319" t="s">
        <v>349</v>
      </c>
      <c r="E2319" t="s">
        <v>21</v>
      </c>
      <c r="F2319" t="s">
        <v>22</v>
      </c>
      <c r="G2319" t="s">
        <v>64</v>
      </c>
      <c r="H2319" t="s">
        <v>711</v>
      </c>
      <c r="I2319" t="s">
        <v>4687</v>
      </c>
      <c r="J2319">
        <v>9.8595480000000002</v>
      </c>
      <c r="K2319">
        <v>-85.396251000000007</v>
      </c>
      <c r="L2319" t="s">
        <v>1225</v>
      </c>
      <c r="M2319" t="s">
        <v>352</v>
      </c>
      <c r="N2319" t="s">
        <v>353</v>
      </c>
      <c r="O2319" t="s">
        <v>354</v>
      </c>
      <c r="P2319">
        <v>9</v>
      </c>
      <c r="Q2319" t="s">
        <v>80</v>
      </c>
      <c r="S2319" t="str">
        <f>_xlfn.XLOOKUP(UNIVERSO[[#This Row],[Ruta]],'[1]CUOTA RUTA'!A:A,'[1]CUOTA RUTA'!D:D)</f>
        <v>Cargar</v>
      </c>
    </row>
    <row r="2320" spans="1:19" x14ac:dyDescent="0.25">
      <c r="A2320">
        <v>1500727819</v>
      </c>
      <c r="B2320" t="s">
        <v>4688</v>
      </c>
      <c r="C2320" t="s">
        <v>19</v>
      </c>
      <c r="D2320" t="s">
        <v>32</v>
      </c>
      <c r="E2320" t="s">
        <v>21</v>
      </c>
      <c r="F2320" t="s">
        <v>22</v>
      </c>
      <c r="G2320" t="s">
        <v>33</v>
      </c>
      <c r="H2320" t="s">
        <v>1383</v>
      </c>
      <c r="I2320" t="s">
        <v>4689</v>
      </c>
      <c r="J2320">
        <v>9.9183579999999996</v>
      </c>
      <c r="K2320">
        <v>-84.083903000000007</v>
      </c>
      <c r="L2320" t="s">
        <v>1225</v>
      </c>
      <c r="M2320" t="s">
        <v>71</v>
      </c>
      <c r="N2320" t="s">
        <v>72</v>
      </c>
      <c r="O2320" t="s">
        <v>73</v>
      </c>
      <c r="P2320">
        <v>10</v>
      </c>
      <c r="Q2320" t="s">
        <v>136</v>
      </c>
      <c r="S2320" t="str">
        <f>_xlfn.XLOOKUP(UNIVERSO[[#This Row],[Ruta]],'[1]CUOTA RUTA'!A:A,'[1]CUOTA RUTA'!D:D)</f>
        <v>Cargar</v>
      </c>
    </row>
    <row r="2321" spans="1:19" x14ac:dyDescent="0.25">
      <c r="A2321">
        <v>1500727901</v>
      </c>
      <c r="B2321" t="s">
        <v>4690</v>
      </c>
      <c r="C2321" t="s">
        <v>19</v>
      </c>
      <c r="D2321" t="s">
        <v>32</v>
      </c>
      <c r="E2321" t="s">
        <v>21</v>
      </c>
      <c r="F2321" t="s">
        <v>22</v>
      </c>
      <c r="G2321" t="s">
        <v>23</v>
      </c>
      <c r="H2321" t="s">
        <v>112</v>
      </c>
      <c r="I2321" t="s">
        <v>4691</v>
      </c>
      <c r="J2321">
        <v>9.9796533000000007</v>
      </c>
      <c r="K2321">
        <v>-84.093096700000004</v>
      </c>
      <c r="L2321" t="s">
        <v>1225</v>
      </c>
      <c r="M2321" t="s">
        <v>94</v>
      </c>
      <c r="N2321" t="s">
        <v>95</v>
      </c>
      <c r="O2321" t="s">
        <v>96</v>
      </c>
      <c r="P2321">
        <v>10</v>
      </c>
      <c r="Q2321" t="s">
        <v>136</v>
      </c>
      <c r="S2321" t="str">
        <f>_xlfn.XLOOKUP(UNIVERSO[[#This Row],[Ruta]],'[1]CUOTA RUTA'!A:A,'[1]CUOTA RUTA'!D:D)</f>
        <v>Cargar</v>
      </c>
    </row>
    <row r="2322" spans="1:19" x14ac:dyDescent="0.25">
      <c r="A2322">
        <v>1500727918</v>
      </c>
      <c r="B2322" t="s">
        <v>954</v>
      </c>
      <c r="C2322" t="s">
        <v>19</v>
      </c>
      <c r="D2322" t="s">
        <v>32</v>
      </c>
      <c r="E2322" t="s">
        <v>21</v>
      </c>
      <c r="F2322" t="s">
        <v>22</v>
      </c>
      <c r="G2322" t="s">
        <v>33</v>
      </c>
      <c r="H2322" t="s">
        <v>115</v>
      </c>
      <c r="I2322" t="s">
        <v>4692</v>
      </c>
      <c r="J2322">
        <v>9.9452359999999995</v>
      </c>
      <c r="K2322">
        <v>-84.078501000000003</v>
      </c>
      <c r="L2322" t="s">
        <v>1225</v>
      </c>
      <c r="M2322" t="s">
        <v>36</v>
      </c>
      <c r="N2322" t="s">
        <v>37</v>
      </c>
      <c r="O2322" t="s">
        <v>38</v>
      </c>
      <c r="P2322">
        <v>4</v>
      </c>
      <c r="Q2322" t="s">
        <v>120</v>
      </c>
      <c r="S2322" t="str">
        <f>_xlfn.XLOOKUP(UNIVERSO[[#This Row],[Ruta]],'[1]CUOTA RUTA'!A:A,'[1]CUOTA RUTA'!D:D)</f>
        <v>Cargar</v>
      </c>
    </row>
    <row r="2323" spans="1:19" x14ac:dyDescent="0.25">
      <c r="A2323">
        <v>1500728184</v>
      </c>
      <c r="B2323" t="s">
        <v>4693</v>
      </c>
      <c r="C2323" t="s">
        <v>19</v>
      </c>
      <c r="D2323" t="s">
        <v>201</v>
      </c>
      <c r="E2323" t="s">
        <v>62</v>
      </c>
      <c r="F2323" t="s">
        <v>63</v>
      </c>
      <c r="G2323" t="s">
        <v>64</v>
      </c>
      <c r="H2323" t="s">
        <v>533</v>
      </c>
      <c r="I2323" t="s">
        <v>4694</v>
      </c>
      <c r="J2323">
        <v>9.9131446622879995</v>
      </c>
      <c r="K2323">
        <v>-84.525519958149999</v>
      </c>
      <c r="L2323" t="s">
        <v>1225</v>
      </c>
      <c r="M2323" t="s">
        <v>204</v>
      </c>
      <c r="N2323" t="s">
        <v>205</v>
      </c>
      <c r="O2323" t="s">
        <v>206</v>
      </c>
      <c r="P2323">
        <v>2</v>
      </c>
      <c r="Q2323" t="s">
        <v>150</v>
      </c>
      <c r="S2323" t="str">
        <f>_xlfn.XLOOKUP(UNIVERSO[[#This Row],[Ruta]],'[1]CUOTA RUTA'!A:A,'[1]CUOTA RUTA'!D:D)</f>
        <v>Cargar</v>
      </c>
    </row>
    <row r="2324" spans="1:19" x14ac:dyDescent="0.25">
      <c r="A2324">
        <v>1500728193</v>
      </c>
      <c r="B2324" t="s">
        <v>4695</v>
      </c>
      <c r="C2324" t="s">
        <v>19</v>
      </c>
      <c r="D2324" t="s">
        <v>201</v>
      </c>
      <c r="E2324" t="s">
        <v>21</v>
      </c>
      <c r="F2324" t="s">
        <v>51</v>
      </c>
      <c r="G2324" t="s">
        <v>23</v>
      </c>
      <c r="H2324" t="s">
        <v>491</v>
      </c>
      <c r="I2324" t="s">
        <v>4696</v>
      </c>
      <c r="J2324">
        <v>9.6640251999999993</v>
      </c>
      <c r="K2324">
        <v>-84.639713900000004</v>
      </c>
      <c r="L2324" t="s">
        <v>1225</v>
      </c>
      <c r="M2324" t="s">
        <v>204</v>
      </c>
      <c r="N2324" t="s">
        <v>205</v>
      </c>
      <c r="O2324" t="s">
        <v>206</v>
      </c>
      <c r="P2324">
        <v>4</v>
      </c>
      <c r="Q2324" t="s">
        <v>120</v>
      </c>
      <c r="S2324" t="str">
        <f>_xlfn.XLOOKUP(UNIVERSO[[#This Row],[Ruta]],'[1]CUOTA RUTA'!A:A,'[1]CUOTA RUTA'!D:D)</f>
        <v>Cargar</v>
      </c>
    </row>
    <row r="2325" spans="1:19" x14ac:dyDescent="0.25">
      <c r="A2325">
        <v>1500728235</v>
      </c>
      <c r="B2325" t="s">
        <v>4697</v>
      </c>
      <c r="C2325" t="s">
        <v>19</v>
      </c>
      <c r="D2325" t="s">
        <v>20</v>
      </c>
      <c r="E2325" t="s">
        <v>21</v>
      </c>
      <c r="F2325" t="s">
        <v>22</v>
      </c>
      <c r="G2325" t="s">
        <v>23</v>
      </c>
      <c r="H2325" t="s">
        <v>285</v>
      </c>
      <c r="I2325" t="s">
        <v>4698</v>
      </c>
      <c r="J2325">
        <v>10.03905</v>
      </c>
      <c r="K2325">
        <v>-84.186059999999998</v>
      </c>
      <c r="L2325" t="s">
        <v>1225</v>
      </c>
      <c r="M2325" t="s">
        <v>54</v>
      </c>
      <c r="N2325" t="s">
        <v>55</v>
      </c>
      <c r="O2325" t="s">
        <v>56</v>
      </c>
      <c r="P2325">
        <v>16</v>
      </c>
      <c r="Q2325" t="s">
        <v>60</v>
      </c>
      <c r="S2325" t="str">
        <f>_xlfn.XLOOKUP(UNIVERSO[[#This Row],[Ruta]],'[1]CUOTA RUTA'!A:A,'[1]CUOTA RUTA'!D:D)</f>
        <v>Cargar</v>
      </c>
    </row>
    <row r="2326" spans="1:19" x14ac:dyDescent="0.25">
      <c r="A2326">
        <v>1500728268</v>
      </c>
      <c r="B2326" t="s">
        <v>4699</v>
      </c>
      <c r="C2326" t="s">
        <v>19</v>
      </c>
      <c r="D2326" t="s">
        <v>20</v>
      </c>
      <c r="E2326" t="s">
        <v>21</v>
      </c>
      <c r="F2326" t="s">
        <v>22</v>
      </c>
      <c r="G2326" t="s">
        <v>33</v>
      </c>
      <c r="H2326" t="s">
        <v>1143</v>
      </c>
      <c r="I2326" t="s">
        <v>4700</v>
      </c>
      <c r="J2326">
        <v>10.07982</v>
      </c>
      <c r="K2326">
        <v>-84.197450000000003</v>
      </c>
      <c r="L2326" t="s">
        <v>1225</v>
      </c>
      <c r="M2326" t="s">
        <v>54</v>
      </c>
      <c r="N2326" t="s">
        <v>55</v>
      </c>
      <c r="O2326" t="s">
        <v>56</v>
      </c>
      <c r="P2326">
        <v>18</v>
      </c>
      <c r="Q2326" t="s">
        <v>84</v>
      </c>
      <c r="S2326" t="str">
        <f>_xlfn.XLOOKUP(UNIVERSO[[#This Row],[Ruta]],'[1]CUOTA RUTA'!A:A,'[1]CUOTA RUTA'!D:D)</f>
        <v>Cargar</v>
      </c>
    </row>
    <row r="2327" spans="1:19" x14ac:dyDescent="0.25">
      <c r="A2327">
        <v>1500728276</v>
      </c>
      <c r="B2327" t="s">
        <v>4701</v>
      </c>
      <c r="C2327" t="s">
        <v>19</v>
      </c>
      <c r="D2327" t="s">
        <v>32</v>
      </c>
      <c r="E2327" t="s">
        <v>21</v>
      </c>
      <c r="F2327" t="s">
        <v>22</v>
      </c>
      <c r="G2327" t="s">
        <v>23</v>
      </c>
      <c r="H2327" t="s">
        <v>134</v>
      </c>
      <c r="I2327" t="s">
        <v>4702</v>
      </c>
      <c r="J2327">
        <v>10.017568000000001</v>
      </c>
      <c r="K2327">
        <v>-84.043105999999995</v>
      </c>
      <c r="L2327" t="s">
        <v>1225</v>
      </c>
      <c r="M2327" t="s">
        <v>94</v>
      </c>
      <c r="N2327" t="s">
        <v>95</v>
      </c>
      <c r="O2327" t="s">
        <v>96</v>
      </c>
      <c r="P2327">
        <v>5</v>
      </c>
      <c r="Q2327" t="s">
        <v>117</v>
      </c>
      <c r="S2327" t="str">
        <f>_xlfn.XLOOKUP(UNIVERSO[[#This Row],[Ruta]],'[1]CUOTA RUTA'!A:A,'[1]CUOTA RUTA'!D:D)</f>
        <v>Cargar</v>
      </c>
    </row>
    <row r="2328" spans="1:19" x14ac:dyDescent="0.25">
      <c r="A2328">
        <v>1500728430</v>
      </c>
      <c r="B2328" t="s">
        <v>4703</v>
      </c>
      <c r="C2328" t="s">
        <v>19</v>
      </c>
      <c r="D2328" t="s">
        <v>337</v>
      </c>
      <c r="E2328" t="s">
        <v>21</v>
      </c>
      <c r="F2328" t="s">
        <v>22</v>
      </c>
      <c r="G2328" t="s">
        <v>33</v>
      </c>
      <c r="H2328" t="s">
        <v>346</v>
      </c>
      <c r="I2328" t="s">
        <v>4704</v>
      </c>
      <c r="J2328">
        <v>10.625495089999999</v>
      </c>
      <c r="K2328">
        <v>-85.434836919999995</v>
      </c>
      <c r="L2328" t="s">
        <v>1225</v>
      </c>
      <c r="M2328" t="s">
        <v>327</v>
      </c>
      <c r="N2328" t="s">
        <v>340</v>
      </c>
      <c r="O2328" t="s">
        <v>341</v>
      </c>
      <c r="P2328">
        <v>13</v>
      </c>
      <c r="Q2328" t="s">
        <v>161</v>
      </c>
      <c r="S2328" t="str">
        <f>_xlfn.XLOOKUP(UNIVERSO[[#This Row],[Ruta]],'[1]CUOTA RUTA'!A:A,'[1]CUOTA RUTA'!D:D)</f>
        <v>Cargar</v>
      </c>
    </row>
    <row r="2329" spans="1:19" x14ac:dyDescent="0.25">
      <c r="A2329">
        <v>1500728499</v>
      </c>
      <c r="B2329" t="s">
        <v>4705</v>
      </c>
      <c r="C2329" t="s">
        <v>19</v>
      </c>
      <c r="D2329" t="s">
        <v>266</v>
      </c>
      <c r="E2329" t="s">
        <v>21</v>
      </c>
      <c r="F2329" t="s">
        <v>22</v>
      </c>
      <c r="G2329" t="s">
        <v>33</v>
      </c>
      <c r="H2329" t="s">
        <v>1011</v>
      </c>
      <c r="I2329" t="s">
        <v>4706</v>
      </c>
      <c r="J2329">
        <v>9.8223721000000008</v>
      </c>
      <c r="K2329">
        <v>-83.808646999999993</v>
      </c>
      <c r="L2329" t="s">
        <v>1225</v>
      </c>
      <c r="M2329" t="s">
        <v>54</v>
      </c>
      <c r="N2329" t="s">
        <v>274</v>
      </c>
      <c r="O2329" t="s">
        <v>275</v>
      </c>
      <c r="P2329">
        <v>21</v>
      </c>
      <c r="Q2329" t="s">
        <v>239</v>
      </c>
      <c r="S2329" t="str">
        <f>_xlfn.XLOOKUP(UNIVERSO[[#This Row],[Ruta]],'[1]CUOTA RUTA'!A:A,'[1]CUOTA RUTA'!D:D)</f>
        <v>Cargar</v>
      </c>
    </row>
    <row r="2330" spans="1:19" x14ac:dyDescent="0.25">
      <c r="A2330">
        <v>1500728517</v>
      </c>
      <c r="B2330" t="s">
        <v>4707</v>
      </c>
      <c r="C2330" t="s">
        <v>19</v>
      </c>
      <c r="D2330" t="s">
        <v>208</v>
      </c>
      <c r="E2330" t="s">
        <v>21</v>
      </c>
      <c r="F2330" t="s">
        <v>22</v>
      </c>
      <c r="G2330" t="s">
        <v>64</v>
      </c>
      <c r="H2330" t="s">
        <v>631</v>
      </c>
      <c r="I2330" t="s">
        <v>4708</v>
      </c>
      <c r="J2330">
        <v>10.298924</v>
      </c>
      <c r="K2330">
        <v>-83.712596000000005</v>
      </c>
      <c r="L2330" t="s">
        <v>1225</v>
      </c>
      <c r="M2330" t="s">
        <v>189</v>
      </c>
      <c r="N2330" t="s">
        <v>211</v>
      </c>
      <c r="O2330" t="s">
        <v>212</v>
      </c>
      <c r="P2330">
        <v>7</v>
      </c>
      <c r="Q2330" t="s">
        <v>39</v>
      </c>
      <c r="S2330" t="str">
        <f>_xlfn.XLOOKUP(UNIVERSO[[#This Row],[Ruta]],'[1]CUOTA RUTA'!A:A,'[1]CUOTA RUTA'!D:D)</f>
        <v>Cargar</v>
      </c>
    </row>
    <row r="2331" spans="1:19" x14ac:dyDescent="0.25">
      <c r="A2331">
        <v>1500728564</v>
      </c>
      <c r="B2331" t="s">
        <v>4709</v>
      </c>
      <c r="C2331" t="s">
        <v>19</v>
      </c>
      <c r="D2331" t="s">
        <v>20</v>
      </c>
      <c r="E2331" t="s">
        <v>21</v>
      </c>
      <c r="F2331" t="s">
        <v>22</v>
      </c>
      <c r="G2331" t="s">
        <v>23</v>
      </c>
      <c r="H2331" t="s">
        <v>24</v>
      </c>
      <c r="I2331" t="s">
        <v>4710</v>
      </c>
      <c r="J2331">
        <v>9.9934969999999996</v>
      </c>
      <c r="K2331">
        <v>-84.146413999999993</v>
      </c>
      <c r="L2331" t="s">
        <v>1225</v>
      </c>
      <c r="M2331" t="s">
        <v>27</v>
      </c>
      <c r="N2331" t="s">
        <v>28</v>
      </c>
      <c r="O2331" t="s">
        <v>29</v>
      </c>
      <c r="P2331">
        <v>4</v>
      </c>
      <c r="Q2331" t="s">
        <v>120</v>
      </c>
      <c r="S2331" t="str">
        <f>_xlfn.XLOOKUP(UNIVERSO[[#This Row],[Ruta]],'[1]CUOTA RUTA'!A:A,'[1]CUOTA RUTA'!D:D)</f>
        <v>Cargar</v>
      </c>
    </row>
    <row r="2332" spans="1:19" x14ac:dyDescent="0.25">
      <c r="A2332">
        <v>1500728585</v>
      </c>
      <c r="B2332" t="s">
        <v>4711</v>
      </c>
      <c r="C2332" t="s">
        <v>19</v>
      </c>
      <c r="D2332" t="s">
        <v>208</v>
      </c>
      <c r="E2332" t="s">
        <v>21</v>
      </c>
      <c r="F2332" t="s">
        <v>22</v>
      </c>
      <c r="G2332" t="s">
        <v>33</v>
      </c>
      <c r="H2332" t="s">
        <v>221</v>
      </c>
      <c r="I2332" t="s">
        <v>4712</v>
      </c>
      <c r="J2332">
        <v>10.44929</v>
      </c>
      <c r="K2332">
        <v>-84.039420000000007</v>
      </c>
      <c r="L2332" t="s">
        <v>1225</v>
      </c>
      <c r="M2332" t="s">
        <v>189</v>
      </c>
      <c r="N2332" t="s">
        <v>211</v>
      </c>
      <c r="O2332" t="s">
        <v>212</v>
      </c>
      <c r="P2332">
        <v>10</v>
      </c>
      <c r="Q2332" t="s">
        <v>136</v>
      </c>
      <c r="S2332" t="str">
        <f>_xlfn.XLOOKUP(UNIVERSO[[#This Row],[Ruta]],'[1]CUOTA RUTA'!A:A,'[1]CUOTA RUTA'!D:D)</f>
        <v>Cargar</v>
      </c>
    </row>
    <row r="2333" spans="1:19" x14ac:dyDescent="0.25">
      <c r="A2333">
        <v>1500728586</v>
      </c>
      <c r="B2333" t="s">
        <v>4713</v>
      </c>
      <c r="C2333" t="s">
        <v>19</v>
      </c>
      <c r="D2333" t="s">
        <v>208</v>
      </c>
      <c r="E2333" t="s">
        <v>21</v>
      </c>
      <c r="F2333" t="s">
        <v>22</v>
      </c>
      <c r="G2333" t="s">
        <v>33</v>
      </c>
      <c r="H2333" t="s">
        <v>209</v>
      </c>
      <c r="I2333" t="s">
        <v>4714</v>
      </c>
      <c r="J2333">
        <v>10.197025999999999</v>
      </c>
      <c r="K2333">
        <v>-83.649068999999997</v>
      </c>
      <c r="L2333" t="s">
        <v>1225</v>
      </c>
      <c r="M2333" t="s">
        <v>189</v>
      </c>
      <c r="N2333" t="s">
        <v>211</v>
      </c>
      <c r="O2333" t="s">
        <v>212</v>
      </c>
      <c r="P2333">
        <v>7</v>
      </c>
      <c r="Q2333" t="s">
        <v>39</v>
      </c>
      <c r="S2333" t="str">
        <f>_xlfn.XLOOKUP(UNIVERSO[[#This Row],[Ruta]],'[1]CUOTA RUTA'!A:A,'[1]CUOTA RUTA'!D:D)</f>
        <v>Cargar</v>
      </c>
    </row>
    <row r="2334" spans="1:19" x14ac:dyDescent="0.25">
      <c r="A2334">
        <v>1500728888</v>
      </c>
      <c r="B2334" t="s">
        <v>4715</v>
      </c>
      <c r="C2334" t="s">
        <v>19</v>
      </c>
      <c r="D2334" t="s">
        <v>266</v>
      </c>
      <c r="E2334" t="s">
        <v>21</v>
      </c>
      <c r="F2334" t="s">
        <v>22</v>
      </c>
      <c r="G2334" t="s">
        <v>64</v>
      </c>
      <c r="H2334" t="s">
        <v>366</v>
      </c>
      <c r="I2334" t="s">
        <v>4716</v>
      </c>
      <c r="J2334">
        <v>9.8515750000000004</v>
      </c>
      <c r="K2334">
        <v>-83.920379999999994</v>
      </c>
      <c r="L2334" t="s">
        <v>1225</v>
      </c>
      <c r="M2334" t="s">
        <v>36</v>
      </c>
      <c r="N2334" t="s">
        <v>316</v>
      </c>
      <c r="O2334" t="s">
        <v>317</v>
      </c>
      <c r="P2334">
        <v>18</v>
      </c>
      <c r="Q2334" t="s">
        <v>84</v>
      </c>
      <c r="S2334" t="str">
        <f>_xlfn.XLOOKUP(UNIVERSO[[#This Row],[Ruta]],'[1]CUOTA RUTA'!A:A,'[1]CUOTA RUTA'!D:D)</f>
        <v>Cargar</v>
      </c>
    </row>
    <row r="2335" spans="1:19" x14ac:dyDescent="0.25">
      <c r="A2335">
        <v>1500728952</v>
      </c>
      <c r="B2335" t="s">
        <v>4717</v>
      </c>
      <c r="C2335" t="s">
        <v>19</v>
      </c>
      <c r="D2335" t="s">
        <v>32</v>
      </c>
      <c r="E2335" t="s">
        <v>21</v>
      </c>
      <c r="F2335" t="s">
        <v>51</v>
      </c>
      <c r="G2335" t="s">
        <v>23</v>
      </c>
      <c r="H2335" t="s">
        <v>138</v>
      </c>
      <c r="I2335" t="s">
        <v>4718</v>
      </c>
      <c r="J2335">
        <v>9.9667919999999999</v>
      </c>
      <c r="K2335">
        <v>-84.009636</v>
      </c>
      <c r="L2335" t="s">
        <v>1225</v>
      </c>
      <c r="M2335" t="s">
        <v>36</v>
      </c>
      <c r="N2335" t="s">
        <v>37</v>
      </c>
      <c r="O2335" t="s">
        <v>38</v>
      </c>
      <c r="P2335">
        <v>21</v>
      </c>
      <c r="Q2335" t="s">
        <v>239</v>
      </c>
      <c r="S2335" t="str">
        <f>_xlfn.XLOOKUP(UNIVERSO[[#This Row],[Ruta]],'[1]CUOTA RUTA'!A:A,'[1]CUOTA RUTA'!D:D)</f>
        <v>Cargar</v>
      </c>
    </row>
    <row r="2336" spans="1:19" x14ac:dyDescent="0.25">
      <c r="A2336">
        <v>1500728997</v>
      </c>
      <c r="B2336" t="s">
        <v>4719</v>
      </c>
      <c r="C2336" t="s">
        <v>19</v>
      </c>
      <c r="D2336" t="s">
        <v>32</v>
      </c>
      <c r="E2336" t="s">
        <v>21</v>
      </c>
      <c r="F2336" t="s">
        <v>22</v>
      </c>
      <c r="G2336" t="s">
        <v>33</v>
      </c>
      <c r="H2336" t="s">
        <v>112</v>
      </c>
      <c r="I2336" t="s">
        <v>4720</v>
      </c>
      <c r="J2336">
        <v>9.971838</v>
      </c>
      <c r="K2336">
        <v>-84.094818000000004</v>
      </c>
      <c r="L2336" t="s">
        <v>1225</v>
      </c>
      <c r="M2336" t="s">
        <v>94</v>
      </c>
      <c r="N2336" t="s">
        <v>95</v>
      </c>
      <c r="O2336" t="s">
        <v>96</v>
      </c>
      <c r="P2336">
        <v>11</v>
      </c>
      <c r="Q2336" t="s">
        <v>108</v>
      </c>
      <c r="S2336" t="str">
        <f>_xlfn.XLOOKUP(UNIVERSO[[#This Row],[Ruta]],'[1]CUOTA RUTA'!A:A,'[1]CUOTA RUTA'!D:D)</f>
        <v>Cargar</v>
      </c>
    </row>
    <row r="2337" spans="1:19" x14ac:dyDescent="0.25">
      <c r="A2337">
        <v>1500729023</v>
      </c>
      <c r="B2337" t="s">
        <v>4721</v>
      </c>
      <c r="C2337" t="s">
        <v>19</v>
      </c>
      <c r="D2337" t="s">
        <v>266</v>
      </c>
      <c r="E2337" t="s">
        <v>21</v>
      </c>
      <c r="F2337" t="s">
        <v>22</v>
      </c>
      <c r="G2337" t="s">
        <v>33</v>
      </c>
      <c r="H2337" t="s">
        <v>404</v>
      </c>
      <c r="I2337" t="s">
        <v>4722</v>
      </c>
      <c r="J2337">
        <v>9.8343699999999998</v>
      </c>
      <c r="K2337">
        <v>-83.868622999999999</v>
      </c>
      <c r="L2337" t="s">
        <v>1225</v>
      </c>
      <c r="M2337" t="s">
        <v>36</v>
      </c>
      <c r="N2337" t="s">
        <v>316</v>
      </c>
      <c r="O2337" t="s">
        <v>317</v>
      </c>
      <c r="P2337">
        <v>23</v>
      </c>
      <c r="Q2337" t="s">
        <v>125</v>
      </c>
      <c r="S2337" t="str">
        <f>_xlfn.XLOOKUP(UNIVERSO[[#This Row],[Ruta]],'[1]CUOTA RUTA'!A:A,'[1]CUOTA RUTA'!D:D)</f>
        <v>Cargar</v>
      </c>
    </row>
    <row r="2338" spans="1:19" x14ac:dyDescent="0.25">
      <c r="A2338">
        <v>1500729063</v>
      </c>
      <c r="B2338" t="s">
        <v>4723</v>
      </c>
      <c r="C2338" t="s">
        <v>19</v>
      </c>
      <c r="D2338" t="s">
        <v>201</v>
      </c>
      <c r="E2338" t="s">
        <v>21</v>
      </c>
      <c r="F2338" t="s">
        <v>51</v>
      </c>
      <c r="G2338" t="s">
        <v>23</v>
      </c>
      <c r="H2338" t="s">
        <v>488</v>
      </c>
      <c r="I2338" t="s">
        <v>4724</v>
      </c>
      <c r="J2338">
        <v>10.314398000000001</v>
      </c>
      <c r="K2338">
        <v>-84.816868999999997</v>
      </c>
      <c r="L2338" t="s">
        <v>1225</v>
      </c>
      <c r="M2338" t="s">
        <v>204</v>
      </c>
      <c r="N2338" t="s">
        <v>205</v>
      </c>
      <c r="O2338" t="s">
        <v>206</v>
      </c>
      <c r="P2338">
        <v>12</v>
      </c>
      <c r="Q2338" t="s">
        <v>42</v>
      </c>
      <c r="S2338" t="str">
        <f>_xlfn.XLOOKUP(UNIVERSO[[#This Row],[Ruta]],'[1]CUOTA RUTA'!A:A,'[1]CUOTA RUTA'!D:D)</f>
        <v>Cargar</v>
      </c>
    </row>
    <row r="2339" spans="1:19" x14ac:dyDescent="0.25">
      <c r="A2339">
        <v>1500729332</v>
      </c>
      <c r="B2339" t="s">
        <v>4725</v>
      </c>
      <c r="C2339" t="s">
        <v>19</v>
      </c>
      <c r="D2339" t="s">
        <v>32</v>
      </c>
      <c r="E2339" t="s">
        <v>21</v>
      </c>
      <c r="F2339" t="s">
        <v>22</v>
      </c>
      <c r="G2339" t="s">
        <v>64</v>
      </c>
      <c r="H2339" t="s">
        <v>1383</v>
      </c>
      <c r="I2339" t="s">
        <v>4726</v>
      </c>
      <c r="J2339">
        <v>9.9230800000000006</v>
      </c>
      <c r="K2339">
        <v>-84.095491666659996</v>
      </c>
      <c r="L2339" t="s">
        <v>1225</v>
      </c>
      <c r="M2339" t="s">
        <v>71</v>
      </c>
      <c r="N2339" t="s">
        <v>72</v>
      </c>
      <c r="O2339" t="s">
        <v>73</v>
      </c>
      <c r="P2339">
        <v>3</v>
      </c>
      <c r="Q2339" t="s">
        <v>101</v>
      </c>
      <c r="S2339" t="str">
        <f>_xlfn.XLOOKUP(UNIVERSO[[#This Row],[Ruta]],'[1]CUOTA RUTA'!A:A,'[1]CUOTA RUTA'!D:D)</f>
        <v>Cargar</v>
      </c>
    </row>
    <row r="2340" spans="1:19" x14ac:dyDescent="0.25">
      <c r="A2340">
        <v>1500729431</v>
      </c>
      <c r="B2340" t="s">
        <v>4727</v>
      </c>
      <c r="C2340" t="s">
        <v>19</v>
      </c>
      <c r="D2340" t="s">
        <v>208</v>
      </c>
      <c r="E2340" t="s">
        <v>21</v>
      </c>
      <c r="F2340" t="s">
        <v>22</v>
      </c>
      <c r="G2340" t="s">
        <v>64</v>
      </c>
      <c r="H2340" t="s">
        <v>218</v>
      </c>
      <c r="I2340" t="s">
        <v>4728</v>
      </c>
      <c r="J2340">
        <v>10.2774</v>
      </c>
      <c r="K2340">
        <v>-83.789100000000005</v>
      </c>
      <c r="L2340" t="s">
        <v>1225</v>
      </c>
      <c r="M2340" t="s">
        <v>189</v>
      </c>
      <c r="N2340" t="s">
        <v>211</v>
      </c>
      <c r="O2340" t="s">
        <v>212</v>
      </c>
      <c r="P2340">
        <v>2</v>
      </c>
      <c r="Q2340" t="s">
        <v>150</v>
      </c>
      <c r="S2340" t="str">
        <f>_xlfn.XLOOKUP(UNIVERSO[[#This Row],[Ruta]],'[1]CUOTA RUTA'!A:A,'[1]CUOTA RUTA'!D:D)</f>
        <v>Cargar</v>
      </c>
    </row>
    <row r="2341" spans="1:19" x14ac:dyDescent="0.25">
      <c r="A2341">
        <v>1500729471</v>
      </c>
      <c r="B2341" t="s">
        <v>4729</v>
      </c>
      <c r="C2341" t="s">
        <v>19</v>
      </c>
      <c r="D2341" t="s">
        <v>244</v>
      </c>
      <c r="E2341" t="s">
        <v>21</v>
      </c>
      <c r="F2341" t="s">
        <v>22</v>
      </c>
      <c r="G2341" t="s">
        <v>64</v>
      </c>
      <c r="H2341" t="s">
        <v>857</v>
      </c>
      <c r="I2341" t="s">
        <v>4730</v>
      </c>
      <c r="J2341">
        <v>9.2573124999999994</v>
      </c>
      <c r="K2341">
        <v>-83.634765599999994</v>
      </c>
      <c r="L2341" t="s">
        <v>1225</v>
      </c>
      <c r="M2341" t="s">
        <v>46</v>
      </c>
      <c r="N2341" t="s">
        <v>247</v>
      </c>
      <c r="O2341" t="s">
        <v>248</v>
      </c>
      <c r="P2341">
        <v>18</v>
      </c>
      <c r="Q2341" t="s">
        <v>84</v>
      </c>
      <c r="S2341" t="str">
        <f>_xlfn.XLOOKUP(UNIVERSO[[#This Row],[Ruta]],'[1]CUOTA RUTA'!A:A,'[1]CUOTA RUTA'!D:D)</f>
        <v>Cargar</v>
      </c>
    </row>
    <row r="2342" spans="1:19" x14ac:dyDescent="0.25">
      <c r="A2342">
        <v>1500729633</v>
      </c>
      <c r="B2342" t="s">
        <v>4731</v>
      </c>
      <c r="C2342" t="s">
        <v>19</v>
      </c>
      <c r="D2342" t="s">
        <v>266</v>
      </c>
      <c r="E2342" t="s">
        <v>21</v>
      </c>
      <c r="F2342" t="s">
        <v>22</v>
      </c>
      <c r="G2342" t="s">
        <v>33</v>
      </c>
      <c r="H2342" t="s">
        <v>407</v>
      </c>
      <c r="I2342" t="s">
        <v>4732</v>
      </c>
      <c r="J2342">
        <v>9.6840483333329992</v>
      </c>
      <c r="K2342">
        <v>-84.042181666659999</v>
      </c>
      <c r="L2342" t="s">
        <v>1225</v>
      </c>
      <c r="M2342" t="s">
        <v>409</v>
      </c>
      <c r="N2342" t="s">
        <v>410</v>
      </c>
      <c r="O2342" t="s">
        <v>411</v>
      </c>
      <c r="P2342">
        <v>23</v>
      </c>
      <c r="Q2342" t="s">
        <v>125</v>
      </c>
      <c r="S2342" t="str">
        <f>_xlfn.XLOOKUP(UNIVERSO[[#This Row],[Ruta]],'[1]CUOTA RUTA'!A:A,'[1]CUOTA RUTA'!D:D)</f>
        <v>Cargar</v>
      </c>
    </row>
    <row r="2343" spans="1:19" x14ac:dyDescent="0.25">
      <c r="A2343">
        <v>1500729637</v>
      </c>
      <c r="B2343" t="s">
        <v>4733</v>
      </c>
      <c r="C2343" t="s">
        <v>19</v>
      </c>
      <c r="D2343" t="s">
        <v>208</v>
      </c>
      <c r="E2343" t="s">
        <v>21</v>
      </c>
      <c r="F2343" t="s">
        <v>22</v>
      </c>
      <c r="G2343" t="s">
        <v>33</v>
      </c>
      <c r="H2343" t="s">
        <v>224</v>
      </c>
      <c r="I2343" t="s">
        <v>4734</v>
      </c>
      <c r="J2343">
        <v>10.09281</v>
      </c>
      <c r="K2343">
        <v>-83.488529999999997</v>
      </c>
      <c r="L2343" t="s">
        <v>1225</v>
      </c>
      <c r="M2343" t="s">
        <v>189</v>
      </c>
      <c r="N2343" t="s">
        <v>211</v>
      </c>
      <c r="O2343" t="s">
        <v>212</v>
      </c>
      <c r="P2343">
        <v>8</v>
      </c>
      <c r="Q2343" t="s">
        <v>97</v>
      </c>
      <c r="S2343" t="str">
        <f>_xlfn.XLOOKUP(UNIVERSO[[#This Row],[Ruta]],'[1]CUOTA RUTA'!A:A,'[1]CUOTA RUTA'!D:D)</f>
        <v>Cargar</v>
      </c>
    </row>
    <row r="2344" spans="1:19" x14ac:dyDescent="0.25">
      <c r="A2344">
        <v>1500729741</v>
      </c>
      <c r="B2344" t="s">
        <v>4735</v>
      </c>
      <c r="C2344" t="s">
        <v>19</v>
      </c>
      <c r="D2344" t="s">
        <v>20</v>
      </c>
      <c r="E2344" t="s">
        <v>21</v>
      </c>
      <c r="F2344" t="s">
        <v>22</v>
      </c>
      <c r="G2344" t="s">
        <v>23</v>
      </c>
      <c r="H2344" t="s">
        <v>554</v>
      </c>
      <c r="I2344" t="s">
        <v>4736</v>
      </c>
      <c r="J2344">
        <v>9.9991769999999995</v>
      </c>
      <c r="K2344">
        <v>-84.125956000000002</v>
      </c>
      <c r="L2344" t="s">
        <v>1225</v>
      </c>
      <c r="M2344" t="s">
        <v>27</v>
      </c>
      <c r="N2344" t="s">
        <v>28</v>
      </c>
      <c r="O2344" t="s">
        <v>29</v>
      </c>
      <c r="P2344">
        <v>12</v>
      </c>
      <c r="Q2344" t="s">
        <v>42</v>
      </c>
      <c r="S2344" t="str">
        <f>_xlfn.XLOOKUP(UNIVERSO[[#This Row],[Ruta]],'[1]CUOTA RUTA'!A:A,'[1]CUOTA RUTA'!D:D)</f>
        <v>Cargar</v>
      </c>
    </row>
    <row r="2345" spans="1:19" x14ac:dyDescent="0.25">
      <c r="A2345">
        <v>1500729756</v>
      </c>
      <c r="B2345" t="s">
        <v>4737</v>
      </c>
      <c r="C2345" t="s">
        <v>19</v>
      </c>
      <c r="D2345" t="s">
        <v>349</v>
      </c>
      <c r="E2345" t="s">
        <v>21</v>
      </c>
      <c r="F2345" t="s">
        <v>22</v>
      </c>
      <c r="G2345" t="s">
        <v>64</v>
      </c>
      <c r="H2345" t="s">
        <v>356</v>
      </c>
      <c r="I2345" t="s">
        <v>4738</v>
      </c>
      <c r="J2345">
        <v>10.157348000000001</v>
      </c>
      <c r="K2345">
        <v>-85.451424000000003</v>
      </c>
      <c r="L2345" t="s">
        <v>1225</v>
      </c>
      <c r="M2345" t="s">
        <v>352</v>
      </c>
      <c r="N2345" t="s">
        <v>353</v>
      </c>
      <c r="O2345" t="s">
        <v>354</v>
      </c>
      <c r="P2345">
        <v>13</v>
      </c>
      <c r="Q2345" t="s">
        <v>161</v>
      </c>
      <c r="S2345" t="str">
        <f>_xlfn.XLOOKUP(UNIVERSO[[#This Row],[Ruta]],'[1]CUOTA RUTA'!A:A,'[1]CUOTA RUTA'!D:D)</f>
        <v>Cargar</v>
      </c>
    </row>
    <row r="2346" spans="1:19" x14ac:dyDescent="0.25">
      <c r="A2346">
        <v>1500729807</v>
      </c>
      <c r="B2346" t="s">
        <v>4739</v>
      </c>
      <c r="C2346" t="s">
        <v>19</v>
      </c>
      <c r="D2346" t="s">
        <v>266</v>
      </c>
      <c r="E2346" t="s">
        <v>21</v>
      </c>
      <c r="F2346" t="s">
        <v>22</v>
      </c>
      <c r="G2346" t="s">
        <v>64</v>
      </c>
      <c r="H2346" t="s">
        <v>706</v>
      </c>
      <c r="I2346" t="s">
        <v>4740</v>
      </c>
      <c r="J2346">
        <v>9.862444</v>
      </c>
      <c r="K2346">
        <v>-83.933790000000002</v>
      </c>
      <c r="L2346" t="s">
        <v>1225</v>
      </c>
      <c r="M2346" t="s">
        <v>36</v>
      </c>
      <c r="N2346" t="s">
        <v>316</v>
      </c>
      <c r="O2346" t="s">
        <v>317</v>
      </c>
      <c r="P2346">
        <v>16</v>
      </c>
      <c r="Q2346" t="s">
        <v>60</v>
      </c>
      <c r="S2346" t="str">
        <f>_xlfn.XLOOKUP(UNIVERSO[[#This Row],[Ruta]],'[1]CUOTA RUTA'!A:A,'[1]CUOTA RUTA'!D:D)</f>
        <v>Cargar</v>
      </c>
    </row>
    <row r="2347" spans="1:19" x14ac:dyDescent="0.25">
      <c r="A2347">
        <v>1500729834</v>
      </c>
      <c r="B2347" t="s">
        <v>4741</v>
      </c>
      <c r="C2347" t="s">
        <v>19</v>
      </c>
      <c r="D2347" t="s">
        <v>20</v>
      </c>
      <c r="E2347" t="s">
        <v>21</v>
      </c>
      <c r="F2347" t="s">
        <v>22</v>
      </c>
      <c r="G2347" t="s">
        <v>23</v>
      </c>
      <c r="H2347" t="s">
        <v>975</v>
      </c>
      <c r="I2347" t="s">
        <v>4742</v>
      </c>
      <c r="J2347">
        <v>10.007861</v>
      </c>
      <c r="K2347">
        <v>-84.104715999999996</v>
      </c>
      <c r="L2347" t="s">
        <v>1225</v>
      </c>
      <c r="M2347" t="s">
        <v>27</v>
      </c>
      <c r="N2347" t="s">
        <v>28</v>
      </c>
      <c r="O2347" t="s">
        <v>29</v>
      </c>
      <c r="P2347">
        <v>17</v>
      </c>
      <c r="Q2347" t="s">
        <v>287</v>
      </c>
      <c r="S2347" t="str">
        <f>_xlfn.XLOOKUP(UNIVERSO[[#This Row],[Ruta]],'[1]CUOTA RUTA'!A:A,'[1]CUOTA RUTA'!D:D)</f>
        <v>Cargar</v>
      </c>
    </row>
    <row r="2348" spans="1:19" x14ac:dyDescent="0.25">
      <c r="A2348">
        <v>1500729877</v>
      </c>
      <c r="B2348" t="s">
        <v>4743</v>
      </c>
      <c r="C2348" t="s">
        <v>19</v>
      </c>
      <c r="D2348" t="s">
        <v>32</v>
      </c>
      <c r="E2348" t="s">
        <v>62</v>
      </c>
      <c r="F2348" t="s">
        <v>63</v>
      </c>
      <c r="G2348" t="s">
        <v>64</v>
      </c>
      <c r="H2348" t="s">
        <v>879</v>
      </c>
      <c r="I2348" t="s">
        <v>4744</v>
      </c>
      <c r="J2348">
        <v>9.9328400000000006</v>
      </c>
      <c r="K2348">
        <v>-84.073899999999995</v>
      </c>
      <c r="L2348" t="s">
        <v>1225</v>
      </c>
      <c r="M2348" t="s">
        <v>71</v>
      </c>
      <c r="N2348" t="s">
        <v>72</v>
      </c>
      <c r="O2348" t="s">
        <v>73</v>
      </c>
      <c r="P2348">
        <v>5</v>
      </c>
      <c r="Q2348" t="s">
        <v>117</v>
      </c>
      <c r="S2348" t="str">
        <f>_xlfn.XLOOKUP(UNIVERSO[[#This Row],[Ruta]],'[1]CUOTA RUTA'!A:A,'[1]CUOTA RUTA'!D:D)</f>
        <v>Cargar</v>
      </c>
    </row>
    <row r="2349" spans="1:19" x14ac:dyDescent="0.25">
      <c r="A2349">
        <v>1500729967</v>
      </c>
      <c r="B2349" t="s">
        <v>3767</v>
      </c>
      <c r="C2349" t="s">
        <v>19</v>
      </c>
      <c r="D2349" t="s">
        <v>20</v>
      </c>
      <c r="E2349" t="s">
        <v>21</v>
      </c>
      <c r="F2349" t="s">
        <v>22</v>
      </c>
      <c r="G2349" t="s">
        <v>64</v>
      </c>
      <c r="H2349" t="s">
        <v>250</v>
      </c>
      <c r="I2349" t="s">
        <v>4745</v>
      </c>
      <c r="J2349">
        <v>10.0649</v>
      </c>
      <c r="K2349">
        <v>-84.323167999999995</v>
      </c>
      <c r="L2349" t="s">
        <v>1225</v>
      </c>
      <c r="M2349" t="s">
        <v>46</v>
      </c>
      <c r="N2349" t="s">
        <v>47</v>
      </c>
      <c r="O2349" t="s">
        <v>48</v>
      </c>
      <c r="P2349">
        <v>5</v>
      </c>
      <c r="Q2349" t="s">
        <v>117</v>
      </c>
      <c r="S2349" t="str">
        <f>_xlfn.XLOOKUP(UNIVERSO[[#This Row],[Ruta]],'[1]CUOTA RUTA'!A:A,'[1]CUOTA RUTA'!D:D)</f>
        <v>Cargar</v>
      </c>
    </row>
    <row r="2350" spans="1:19" x14ac:dyDescent="0.25">
      <c r="A2350">
        <v>1500730025</v>
      </c>
      <c r="B2350" t="s">
        <v>4746</v>
      </c>
      <c r="C2350" t="s">
        <v>19</v>
      </c>
      <c r="D2350" t="s">
        <v>208</v>
      </c>
      <c r="E2350" t="s">
        <v>21</v>
      </c>
      <c r="F2350" t="s">
        <v>22</v>
      </c>
      <c r="G2350" t="s">
        <v>33</v>
      </c>
      <c r="H2350" t="s">
        <v>1794</v>
      </c>
      <c r="I2350" t="s">
        <v>4747</v>
      </c>
      <c r="J2350">
        <v>10.21332</v>
      </c>
      <c r="K2350">
        <v>-83.787300000000002</v>
      </c>
      <c r="L2350" t="s">
        <v>1225</v>
      </c>
      <c r="M2350" t="s">
        <v>189</v>
      </c>
      <c r="N2350" t="s">
        <v>211</v>
      </c>
      <c r="O2350" t="s">
        <v>212</v>
      </c>
      <c r="P2350">
        <v>4</v>
      </c>
      <c r="Q2350" t="s">
        <v>120</v>
      </c>
      <c r="S2350" t="str">
        <f>_xlfn.XLOOKUP(UNIVERSO[[#This Row],[Ruta]],'[1]CUOTA RUTA'!A:A,'[1]CUOTA RUTA'!D:D)</f>
        <v>Cargar</v>
      </c>
    </row>
    <row r="2351" spans="1:19" x14ac:dyDescent="0.25">
      <c r="A2351">
        <v>1500730071</v>
      </c>
      <c r="B2351" t="s">
        <v>4748</v>
      </c>
      <c r="C2351" t="s">
        <v>19</v>
      </c>
      <c r="D2351" t="s">
        <v>32</v>
      </c>
      <c r="E2351" t="s">
        <v>21</v>
      </c>
      <c r="F2351" t="s">
        <v>22</v>
      </c>
      <c r="G2351" t="s">
        <v>33</v>
      </c>
      <c r="H2351" t="s">
        <v>106</v>
      </c>
      <c r="I2351" t="s">
        <v>4749</v>
      </c>
      <c r="J2351">
        <v>9.9144670000000001</v>
      </c>
      <c r="K2351">
        <v>-84.111818</v>
      </c>
      <c r="L2351" t="s">
        <v>1225</v>
      </c>
      <c r="M2351" t="s">
        <v>71</v>
      </c>
      <c r="N2351" t="s">
        <v>72</v>
      </c>
      <c r="O2351" t="s">
        <v>73</v>
      </c>
      <c r="P2351">
        <v>11</v>
      </c>
      <c r="Q2351" t="s">
        <v>108</v>
      </c>
      <c r="S2351" t="str">
        <f>_xlfn.XLOOKUP(UNIVERSO[[#This Row],[Ruta]],'[1]CUOTA RUTA'!A:A,'[1]CUOTA RUTA'!D:D)</f>
        <v>Cargar</v>
      </c>
    </row>
    <row r="2352" spans="1:19" x14ac:dyDescent="0.25">
      <c r="A2352">
        <v>1500730074</v>
      </c>
      <c r="B2352" t="s">
        <v>4750</v>
      </c>
      <c r="C2352" t="s">
        <v>19</v>
      </c>
      <c r="D2352" t="s">
        <v>32</v>
      </c>
      <c r="E2352" t="s">
        <v>21</v>
      </c>
      <c r="F2352" t="s">
        <v>22</v>
      </c>
      <c r="G2352" t="s">
        <v>23</v>
      </c>
      <c r="H2352" t="s">
        <v>441</v>
      </c>
      <c r="I2352" t="s">
        <v>4751</v>
      </c>
      <c r="J2352">
        <v>9.8750066666669998</v>
      </c>
      <c r="K2352">
        <v>-84.062038333329994</v>
      </c>
      <c r="L2352" t="s">
        <v>1225</v>
      </c>
      <c r="M2352" t="s">
        <v>71</v>
      </c>
      <c r="N2352" t="s">
        <v>72</v>
      </c>
      <c r="O2352" t="s">
        <v>73</v>
      </c>
      <c r="P2352">
        <v>19</v>
      </c>
      <c r="Q2352" t="s">
        <v>67</v>
      </c>
      <c r="S2352" t="str">
        <f>_xlfn.XLOOKUP(UNIVERSO[[#This Row],[Ruta]],'[1]CUOTA RUTA'!A:A,'[1]CUOTA RUTA'!D:D)</f>
        <v>Cargar</v>
      </c>
    </row>
    <row r="2353" spans="1:19" x14ac:dyDescent="0.25">
      <c r="A2353">
        <v>1500730185</v>
      </c>
      <c r="B2353" t="s">
        <v>4752</v>
      </c>
      <c r="C2353" t="s">
        <v>19</v>
      </c>
      <c r="D2353" t="s">
        <v>20</v>
      </c>
      <c r="E2353" t="s">
        <v>21</v>
      </c>
      <c r="F2353" t="s">
        <v>22</v>
      </c>
      <c r="G2353" t="s">
        <v>33</v>
      </c>
      <c r="H2353" t="s">
        <v>888</v>
      </c>
      <c r="I2353" t="s">
        <v>4753</v>
      </c>
      <c r="J2353">
        <v>9.9916800000000006</v>
      </c>
      <c r="K2353">
        <v>-84.134879999999995</v>
      </c>
      <c r="L2353" t="s">
        <v>1225</v>
      </c>
      <c r="M2353" t="s">
        <v>27</v>
      </c>
      <c r="N2353" t="s">
        <v>28</v>
      </c>
      <c r="O2353" t="s">
        <v>29</v>
      </c>
      <c r="P2353">
        <v>4</v>
      </c>
      <c r="Q2353" t="s">
        <v>120</v>
      </c>
      <c r="S2353" t="str">
        <f>_xlfn.XLOOKUP(UNIVERSO[[#This Row],[Ruta]],'[1]CUOTA RUTA'!A:A,'[1]CUOTA RUTA'!D:D)</f>
        <v>Cargar</v>
      </c>
    </row>
    <row r="2354" spans="1:19" x14ac:dyDescent="0.25">
      <c r="A2354">
        <v>1500730264</v>
      </c>
      <c r="B2354" t="s">
        <v>4754</v>
      </c>
      <c r="C2354" t="s">
        <v>19</v>
      </c>
      <c r="D2354" t="s">
        <v>244</v>
      </c>
      <c r="E2354" t="s">
        <v>21</v>
      </c>
      <c r="F2354" t="s">
        <v>22</v>
      </c>
      <c r="G2354" t="s">
        <v>64</v>
      </c>
      <c r="H2354" t="s">
        <v>1233</v>
      </c>
      <c r="I2354" t="s">
        <v>4755</v>
      </c>
      <c r="J2354">
        <v>9.3474850000000007</v>
      </c>
      <c r="K2354">
        <v>-83.679371000000003</v>
      </c>
      <c r="L2354" t="s">
        <v>1225</v>
      </c>
      <c r="M2354" t="s">
        <v>46</v>
      </c>
      <c r="N2354" t="s">
        <v>247</v>
      </c>
      <c r="O2354" t="s">
        <v>248</v>
      </c>
      <c r="P2354">
        <v>13</v>
      </c>
      <c r="Q2354" t="s">
        <v>161</v>
      </c>
      <c r="S2354" t="str">
        <f>_xlfn.XLOOKUP(UNIVERSO[[#This Row],[Ruta]],'[1]CUOTA RUTA'!A:A,'[1]CUOTA RUTA'!D:D)</f>
        <v>Cargar</v>
      </c>
    </row>
    <row r="2355" spans="1:19" x14ac:dyDescent="0.25">
      <c r="A2355">
        <v>1500730295</v>
      </c>
      <c r="B2355" t="s">
        <v>4756</v>
      </c>
      <c r="C2355" t="s">
        <v>19</v>
      </c>
      <c r="D2355" t="s">
        <v>32</v>
      </c>
      <c r="E2355" t="s">
        <v>21</v>
      </c>
      <c r="F2355" t="s">
        <v>22</v>
      </c>
      <c r="G2355" t="s">
        <v>23</v>
      </c>
      <c r="H2355" t="s">
        <v>34</v>
      </c>
      <c r="I2355" t="s">
        <v>4757</v>
      </c>
      <c r="J2355">
        <v>9.9038489999999992</v>
      </c>
      <c r="K2355">
        <v>-83.981407000000004</v>
      </c>
      <c r="L2355" t="s">
        <v>1225</v>
      </c>
      <c r="M2355" t="s">
        <v>36</v>
      </c>
      <c r="N2355" t="s">
        <v>37</v>
      </c>
      <c r="O2355" t="s">
        <v>38</v>
      </c>
      <c r="P2355">
        <v>19</v>
      </c>
      <c r="Q2355" t="s">
        <v>67</v>
      </c>
      <c r="S2355" t="str">
        <f>_xlfn.XLOOKUP(UNIVERSO[[#This Row],[Ruta]],'[1]CUOTA RUTA'!A:A,'[1]CUOTA RUTA'!D:D)</f>
        <v>Cargar</v>
      </c>
    </row>
    <row r="2356" spans="1:19" x14ac:dyDescent="0.25">
      <c r="A2356">
        <v>1500730357</v>
      </c>
      <c r="B2356" t="s">
        <v>2872</v>
      </c>
      <c r="C2356" t="s">
        <v>19</v>
      </c>
      <c r="D2356" t="s">
        <v>32</v>
      </c>
      <c r="E2356" t="s">
        <v>21</v>
      </c>
      <c r="F2356" t="s">
        <v>51</v>
      </c>
      <c r="G2356" t="s">
        <v>23</v>
      </c>
      <c r="H2356" t="s">
        <v>441</v>
      </c>
      <c r="I2356" t="s">
        <v>4758</v>
      </c>
      <c r="J2356">
        <v>9.8948900000000002</v>
      </c>
      <c r="K2356">
        <v>-84.104169999999996</v>
      </c>
      <c r="L2356" t="s">
        <v>1225</v>
      </c>
      <c r="M2356" t="s">
        <v>71</v>
      </c>
      <c r="N2356" t="s">
        <v>72</v>
      </c>
      <c r="O2356" t="s">
        <v>73</v>
      </c>
      <c r="P2356">
        <v>13</v>
      </c>
      <c r="Q2356" t="s">
        <v>161</v>
      </c>
      <c r="S2356" t="str">
        <f>_xlfn.XLOOKUP(UNIVERSO[[#This Row],[Ruta]],'[1]CUOTA RUTA'!A:A,'[1]CUOTA RUTA'!D:D)</f>
        <v>Cargar</v>
      </c>
    </row>
    <row r="2357" spans="1:19" x14ac:dyDescent="0.25">
      <c r="A2357">
        <v>1500730359</v>
      </c>
      <c r="B2357" t="s">
        <v>4759</v>
      </c>
      <c r="C2357" t="s">
        <v>19</v>
      </c>
      <c r="D2357" t="s">
        <v>349</v>
      </c>
      <c r="E2357" t="s">
        <v>21</v>
      </c>
      <c r="F2357" t="s">
        <v>22</v>
      </c>
      <c r="G2357" t="s">
        <v>23</v>
      </c>
      <c r="H2357" t="s">
        <v>350</v>
      </c>
      <c r="I2357" t="s">
        <v>4760</v>
      </c>
      <c r="J2357">
        <v>10.28921699</v>
      </c>
      <c r="K2357">
        <v>-85.568854700000003</v>
      </c>
      <c r="L2357" t="s">
        <v>1225</v>
      </c>
      <c r="M2357" t="s">
        <v>352</v>
      </c>
      <c r="N2357" t="s">
        <v>353</v>
      </c>
      <c r="O2357" t="s">
        <v>354</v>
      </c>
      <c r="P2357">
        <v>3</v>
      </c>
      <c r="Q2357" t="s">
        <v>101</v>
      </c>
      <c r="S2357" t="str">
        <f>_xlfn.XLOOKUP(UNIVERSO[[#This Row],[Ruta]],'[1]CUOTA RUTA'!A:A,'[1]CUOTA RUTA'!D:D)</f>
        <v>Cargar</v>
      </c>
    </row>
    <row r="2358" spans="1:19" x14ac:dyDescent="0.25">
      <c r="A2358">
        <v>1500730383</v>
      </c>
      <c r="B2358" t="s">
        <v>4761</v>
      </c>
      <c r="C2358" t="s">
        <v>19</v>
      </c>
      <c r="D2358" t="s">
        <v>324</v>
      </c>
      <c r="E2358" t="s">
        <v>21</v>
      </c>
      <c r="F2358" t="s">
        <v>22</v>
      </c>
      <c r="G2358" t="s">
        <v>33</v>
      </c>
      <c r="H2358" t="s">
        <v>325</v>
      </c>
      <c r="I2358" t="s">
        <v>4762</v>
      </c>
      <c r="J2358">
        <v>10.366949</v>
      </c>
      <c r="K2358">
        <v>-84.476309999999998</v>
      </c>
      <c r="L2358" t="s">
        <v>1225</v>
      </c>
      <c r="M2358" t="s">
        <v>327</v>
      </c>
      <c r="N2358" t="s">
        <v>328</v>
      </c>
      <c r="O2358" t="s">
        <v>329</v>
      </c>
      <c r="P2358">
        <v>15</v>
      </c>
      <c r="Q2358" t="s">
        <v>231</v>
      </c>
      <c r="S2358" t="str">
        <f>_xlfn.XLOOKUP(UNIVERSO[[#This Row],[Ruta]],'[1]CUOTA RUTA'!A:A,'[1]CUOTA RUTA'!D:D)</f>
        <v>Cargar</v>
      </c>
    </row>
    <row r="2359" spans="1:19" x14ac:dyDescent="0.25">
      <c r="A2359">
        <v>1500730393</v>
      </c>
      <c r="B2359" t="s">
        <v>4763</v>
      </c>
      <c r="C2359" t="s">
        <v>19</v>
      </c>
      <c r="D2359" t="s">
        <v>208</v>
      </c>
      <c r="E2359" t="s">
        <v>21</v>
      </c>
      <c r="F2359" t="s">
        <v>22</v>
      </c>
      <c r="G2359" t="s">
        <v>33</v>
      </c>
      <c r="H2359" t="s">
        <v>631</v>
      </c>
      <c r="I2359" t="s">
        <v>4764</v>
      </c>
      <c r="J2359">
        <v>10.182477</v>
      </c>
      <c r="K2359">
        <v>-83.483329999999995</v>
      </c>
      <c r="L2359" t="s">
        <v>1225</v>
      </c>
      <c r="M2359" t="s">
        <v>189</v>
      </c>
      <c r="N2359" t="s">
        <v>211</v>
      </c>
      <c r="O2359" t="s">
        <v>212</v>
      </c>
      <c r="P2359">
        <v>9</v>
      </c>
      <c r="Q2359" t="s">
        <v>80</v>
      </c>
      <c r="S2359" t="str">
        <f>_xlfn.XLOOKUP(UNIVERSO[[#This Row],[Ruta]],'[1]CUOTA RUTA'!A:A,'[1]CUOTA RUTA'!D:D)</f>
        <v>Cargar</v>
      </c>
    </row>
    <row r="2360" spans="1:19" x14ac:dyDescent="0.25">
      <c r="A2360">
        <v>1500730464</v>
      </c>
      <c r="B2360" t="s">
        <v>4765</v>
      </c>
      <c r="C2360" t="s">
        <v>19</v>
      </c>
      <c r="D2360" t="s">
        <v>208</v>
      </c>
      <c r="E2360" t="s">
        <v>21</v>
      </c>
      <c r="F2360" t="s">
        <v>22</v>
      </c>
      <c r="G2360" t="s">
        <v>33</v>
      </c>
      <c r="H2360" t="s">
        <v>719</v>
      </c>
      <c r="I2360" t="s">
        <v>4766</v>
      </c>
      <c r="J2360">
        <v>10.345926</v>
      </c>
      <c r="K2360">
        <v>-84.132651999999993</v>
      </c>
      <c r="L2360" t="s">
        <v>1225</v>
      </c>
      <c r="M2360" t="s">
        <v>189</v>
      </c>
      <c r="N2360" t="s">
        <v>211</v>
      </c>
      <c r="O2360" t="s">
        <v>212</v>
      </c>
      <c r="P2360">
        <v>11</v>
      </c>
      <c r="Q2360" t="s">
        <v>108</v>
      </c>
      <c r="S2360" t="str">
        <f>_xlfn.XLOOKUP(UNIVERSO[[#This Row],[Ruta]],'[1]CUOTA RUTA'!A:A,'[1]CUOTA RUTA'!D:D)</f>
        <v>Cargar</v>
      </c>
    </row>
    <row r="2361" spans="1:19" x14ac:dyDescent="0.25">
      <c r="A2361">
        <v>1500730539</v>
      </c>
      <c r="B2361" t="s">
        <v>4767</v>
      </c>
      <c r="C2361" t="s">
        <v>19</v>
      </c>
      <c r="D2361" t="s">
        <v>324</v>
      </c>
      <c r="E2361" t="s">
        <v>21</v>
      </c>
      <c r="F2361" t="s">
        <v>22</v>
      </c>
      <c r="G2361" t="s">
        <v>64</v>
      </c>
      <c r="H2361" t="s">
        <v>331</v>
      </c>
      <c r="I2361" t="s">
        <v>4768</v>
      </c>
      <c r="J2361">
        <v>10.424216100000001</v>
      </c>
      <c r="K2361">
        <v>-84.320222900000005</v>
      </c>
      <c r="L2361" t="s">
        <v>1225</v>
      </c>
      <c r="M2361" t="s">
        <v>327</v>
      </c>
      <c r="N2361" t="s">
        <v>328</v>
      </c>
      <c r="O2361" t="s">
        <v>329</v>
      </c>
      <c r="P2361">
        <v>18</v>
      </c>
      <c r="Q2361" t="s">
        <v>84</v>
      </c>
      <c r="S2361" t="str">
        <f>_xlfn.XLOOKUP(UNIVERSO[[#This Row],[Ruta]],'[1]CUOTA RUTA'!A:A,'[1]CUOTA RUTA'!D:D)</f>
        <v>Cargar</v>
      </c>
    </row>
    <row r="2362" spans="1:19" x14ac:dyDescent="0.25">
      <c r="A2362">
        <v>1500730636</v>
      </c>
      <c r="B2362" t="s">
        <v>4769</v>
      </c>
      <c r="C2362" t="s">
        <v>19</v>
      </c>
      <c r="D2362" t="s">
        <v>208</v>
      </c>
      <c r="E2362" t="s">
        <v>21</v>
      </c>
      <c r="F2362" t="s">
        <v>22</v>
      </c>
      <c r="G2362" t="s">
        <v>33</v>
      </c>
      <c r="H2362" t="s">
        <v>502</v>
      </c>
      <c r="I2362" t="s">
        <v>4770</v>
      </c>
      <c r="J2362">
        <v>10.412570000000001</v>
      </c>
      <c r="K2362">
        <v>-83.710400000000007</v>
      </c>
      <c r="L2362" t="s">
        <v>1225</v>
      </c>
      <c r="M2362" t="s">
        <v>189</v>
      </c>
      <c r="N2362" t="s">
        <v>211</v>
      </c>
      <c r="O2362" t="s">
        <v>212</v>
      </c>
      <c r="P2362">
        <v>2</v>
      </c>
      <c r="Q2362" t="s">
        <v>150</v>
      </c>
      <c r="S2362" t="str">
        <f>_xlfn.XLOOKUP(UNIVERSO[[#This Row],[Ruta]],'[1]CUOTA RUTA'!A:A,'[1]CUOTA RUTA'!D:D)</f>
        <v>Cargar</v>
      </c>
    </row>
    <row r="2363" spans="1:19" x14ac:dyDescent="0.25">
      <c r="A2363">
        <v>1500730639</v>
      </c>
      <c r="B2363" t="s">
        <v>4771</v>
      </c>
      <c r="C2363" t="s">
        <v>19</v>
      </c>
      <c r="D2363" t="s">
        <v>20</v>
      </c>
      <c r="E2363" t="s">
        <v>62</v>
      </c>
      <c r="F2363" t="s">
        <v>63</v>
      </c>
      <c r="G2363" t="s">
        <v>64</v>
      </c>
      <c r="H2363" t="s">
        <v>303</v>
      </c>
      <c r="I2363" t="s">
        <v>4772</v>
      </c>
      <c r="J2363">
        <v>9.9992300000000007</v>
      </c>
      <c r="K2363">
        <v>-84.242699999999999</v>
      </c>
      <c r="L2363" t="s">
        <v>1225</v>
      </c>
      <c r="M2363" t="s">
        <v>54</v>
      </c>
      <c r="N2363" t="s">
        <v>55</v>
      </c>
      <c r="O2363" t="s">
        <v>56</v>
      </c>
      <c r="P2363">
        <v>7</v>
      </c>
      <c r="Q2363" t="s">
        <v>39</v>
      </c>
      <c r="S2363" t="str">
        <f>_xlfn.XLOOKUP(UNIVERSO[[#This Row],[Ruta]],'[1]CUOTA RUTA'!A:A,'[1]CUOTA RUTA'!D:D)</f>
        <v>Cargar</v>
      </c>
    </row>
    <row r="2364" spans="1:19" x14ac:dyDescent="0.25">
      <c r="A2364">
        <v>1500730738</v>
      </c>
      <c r="B2364" t="s">
        <v>4773</v>
      </c>
      <c r="C2364" t="s">
        <v>19</v>
      </c>
      <c r="D2364" t="s">
        <v>32</v>
      </c>
      <c r="E2364" t="s">
        <v>21</v>
      </c>
      <c r="F2364" t="s">
        <v>22</v>
      </c>
      <c r="G2364" t="s">
        <v>23</v>
      </c>
      <c r="H2364" t="s">
        <v>138</v>
      </c>
      <c r="I2364" t="s">
        <v>4774</v>
      </c>
      <c r="J2364">
        <v>9.9420810480000004</v>
      </c>
      <c r="K2364">
        <v>-84.043393800000004</v>
      </c>
      <c r="L2364" t="s">
        <v>1225</v>
      </c>
      <c r="M2364" t="s">
        <v>36</v>
      </c>
      <c r="N2364" t="s">
        <v>37</v>
      </c>
      <c r="O2364" t="s">
        <v>38</v>
      </c>
      <c r="P2364">
        <v>23</v>
      </c>
      <c r="Q2364" t="s">
        <v>125</v>
      </c>
      <c r="S2364" t="str">
        <f>_xlfn.XLOOKUP(UNIVERSO[[#This Row],[Ruta]],'[1]CUOTA RUTA'!A:A,'[1]CUOTA RUTA'!D:D)</f>
        <v>Cargar</v>
      </c>
    </row>
    <row r="2365" spans="1:19" x14ac:dyDescent="0.25">
      <c r="A2365">
        <v>1500730761</v>
      </c>
      <c r="B2365" t="s">
        <v>4775</v>
      </c>
      <c r="C2365" t="s">
        <v>19</v>
      </c>
      <c r="D2365" t="s">
        <v>324</v>
      </c>
      <c r="E2365" t="s">
        <v>21</v>
      </c>
      <c r="F2365" t="s">
        <v>22</v>
      </c>
      <c r="G2365" t="s">
        <v>33</v>
      </c>
      <c r="H2365" t="s">
        <v>393</v>
      </c>
      <c r="I2365" t="s">
        <v>4776</v>
      </c>
      <c r="J2365">
        <v>10.381</v>
      </c>
      <c r="K2365">
        <v>-84.37285</v>
      </c>
      <c r="L2365" t="s">
        <v>1225</v>
      </c>
      <c r="M2365" t="s">
        <v>327</v>
      </c>
      <c r="N2365" t="s">
        <v>328</v>
      </c>
      <c r="O2365" t="s">
        <v>329</v>
      </c>
      <c r="P2365">
        <v>15</v>
      </c>
      <c r="Q2365" t="s">
        <v>231</v>
      </c>
      <c r="S2365" t="str">
        <f>_xlfn.XLOOKUP(UNIVERSO[[#This Row],[Ruta]],'[1]CUOTA RUTA'!A:A,'[1]CUOTA RUTA'!D:D)</f>
        <v>Cargar</v>
      </c>
    </row>
    <row r="2366" spans="1:19" x14ac:dyDescent="0.25">
      <c r="A2366">
        <v>1500730903</v>
      </c>
      <c r="B2366" t="s">
        <v>4777</v>
      </c>
      <c r="C2366" t="s">
        <v>19</v>
      </c>
      <c r="D2366" t="s">
        <v>208</v>
      </c>
      <c r="E2366" t="s">
        <v>21</v>
      </c>
      <c r="F2366" t="s">
        <v>22</v>
      </c>
      <c r="G2366" t="s">
        <v>64</v>
      </c>
      <c r="H2366" t="s">
        <v>719</v>
      </c>
      <c r="I2366" t="s">
        <v>4778</v>
      </c>
      <c r="J2366">
        <v>10.376677219999999</v>
      </c>
      <c r="K2366">
        <v>-83.743891980000001</v>
      </c>
      <c r="L2366" t="s">
        <v>1225</v>
      </c>
      <c r="M2366" t="s">
        <v>189</v>
      </c>
      <c r="N2366" t="s">
        <v>211</v>
      </c>
      <c r="O2366" t="s">
        <v>212</v>
      </c>
      <c r="P2366">
        <v>1</v>
      </c>
      <c r="Q2366" t="s">
        <v>155</v>
      </c>
      <c r="S2366" t="str">
        <f>_xlfn.XLOOKUP(UNIVERSO[[#This Row],[Ruta]],'[1]CUOTA RUTA'!A:A,'[1]CUOTA RUTA'!D:D)</f>
        <v>Cargar</v>
      </c>
    </row>
    <row r="2367" spans="1:19" x14ac:dyDescent="0.25">
      <c r="A2367">
        <v>1500730904</v>
      </c>
      <c r="B2367" t="s">
        <v>4779</v>
      </c>
      <c r="C2367" t="s">
        <v>19</v>
      </c>
      <c r="D2367" t="s">
        <v>208</v>
      </c>
      <c r="E2367" t="s">
        <v>21</v>
      </c>
      <c r="F2367" t="s">
        <v>22</v>
      </c>
      <c r="G2367" t="s">
        <v>64</v>
      </c>
      <c r="H2367" t="s">
        <v>502</v>
      </c>
      <c r="I2367" t="s">
        <v>4780</v>
      </c>
      <c r="J2367">
        <v>10.390078430000001</v>
      </c>
      <c r="K2367">
        <v>-83.855716709999996</v>
      </c>
      <c r="L2367" t="s">
        <v>1225</v>
      </c>
      <c r="M2367" t="s">
        <v>189</v>
      </c>
      <c r="N2367" t="s">
        <v>211</v>
      </c>
      <c r="O2367" t="s">
        <v>212</v>
      </c>
      <c r="P2367">
        <v>3</v>
      </c>
      <c r="Q2367" t="s">
        <v>101</v>
      </c>
      <c r="S2367" t="str">
        <f>_xlfn.XLOOKUP(UNIVERSO[[#This Row],[Ruta]],'[1]CUOTA RUTA'!A:A,'[1]CUOTA RUTA'!D:D)</f>
        <v>Cargar</v>
      </c>
    </row>
    <row r="2368" spans="1:19" x14ac:dyDescent="0.25">
      <c r="A2368">
        <v>1500730985</v>
      </c>
      <c r="B2368" t="s">
        <v>4781</v>
      </c>
      <c r="C2368" t="s">
        <v>19</v>
      </c>
      <c r="D2368" t="s">
        <v>208</v>
      </c>
      <c r="E2368" t="s">
        <v>21</v>
      </c>
      <c r="F2368" t="s">
        <v>22</v>
      </c>
      <c r="G2368" t="s">
        <v>33</v>
      </c>
      <c r="H2368" t="s">
        <v>1794</v>
      </c>
      <c r="I2368" t="s">
        <v>4782</v>
      </c>
      <c r="J2368">
        <v>10.134650710000001</v>
      </c>
      <c r="K2368">
        <v>-83.554896979999995</v>
      </c>
      <c r="L2368" t="s">
        <v>1225</v>
      </c>
      <c r="M2368" t="s">
        <v>189</v>
      </c>
      <c r="N2368" t="s">
        <v>211</v>
      </c>
      <c r="O2368" t="s">
        <v>212</v>
      </c>
      <c r="P2368">
        <v>8</v>
      </c>
      <c r="Q2368" t="s">
        <v>97</v>
      </c>
      <c r="S2368" t="str">
        <f>_xlfn.XLOOKUP(UNIVERSO[[#This Row],[Ruta]],'[1]CUOTA RUTA'!A:A,'[1]CUOTA RUTA'!D:D)</f>
        <v>Cargar</v>
      </c>
    </row>
    <row r="2369" spans="1:19" x14ac:dyDescent="0.25">
      <c r="A2369">
        <v>1500731027</v>
      </c>
      <c r="B2369" t="s">
        <v>4783</v>
      </c>
      <c r="C2369" t="s">
        <v>19</v>
      </c>
      <c r="D2369" t="s">
        <v>201</v>
      </c>
      <c r="E2369" t="s">
        <v>21</v>
      </c>
      <c r="F2369" t="s">
        <v>22</v>
      </c>
      <c r="G2369" t="s">
        <v>64</v>
      </c>
      <c r="H2369" t="s">
        <v>499</v>
      </c>
      <c r="I2369" t="s">
        <v>4784</v>
      </c>
      <c r="J2369">
        <v>9.8814510000000002</v>
      </c>
      <c r="K2369">
        <v>-84.562640200000004</v>
      </c>
      <c r="L2369" t="s">
        <v>1225</v>
      </c>
      <c r="M2369" t="s">
        <v>204</v>
      </c>
      <c r="N2369" t="s">
        <v>205</v>
      </c>
      <c r="O2369" t="s">
        <v>206</v>
      </c>
      <c r="P2369">
        <v>3</v>
      </c>
      <c r="Q2369" t="s">
        <v>101</v>
      </c>
      <c r="S2369" t="str">
        <f>_xlfn.XLOOKUP(UNIVERSO[[#This Row],[Ruta]],'[1]CUOTA RUTA'!A:A,'[1]CUOTA RUTA'!D:D)</f>
        <v>Cargar</v>
      </c>
    </row>
    <row r="2370" spans="1:19" x14ac:dyDescent="0.25">
      <c r="A2370">
        <v>1500731105</v>
      </c>
      <c r="B2370" t="s">
        <v>398</v>
      </c>
      <c r="C2370" t="s">
        <v>19</v>
      </c>
      <c r="D2370" t="s">
        <v>20</v>
      </c>
      <c r="E2370" t="s">
        <v>21</v>
      </c>
      <c r="F2370" t="s">
        <v>22</v>
      </c>
      <c r="G2370" t="s">
        <v>23</v>
      </c>
      <c r="H2370" t="s">
        <v>311</v>
      </c>
      <c r="I2370" t="s">
        <v>4785</v>
      </c>
      <c r="J2370">
        <v>9.9786605999999995</v>
      </c>
      <c r="K2370">
        <v>-84.191496200000003</v>
      </c>
      <c r="L2370" t="s">
        <v>1225</v>
      </c>
      <c r="M2370" t="s">
        <v>54</v>
      </c>
      <c r="N2370" t="s">
        <v>55</v>
      </c>
      <c r="O2370" t="s">
        <v>56</v>
      </c>
      <c r="P2370">
        <v>14</v>
      </c>
      <c r="Q2370" t="s">
        <v>181</v>
      </c>
      <c r="S2370" t="str">
        <f>_xlfn.XLOOKUP(UNIVERSO[[#This Row],[Ruta]],'[1]CUOTA RUTA'!A:A,'[1]CUOTA RUTA'!D:D)</f>
        <v>Cargar</v>
      </c>
    </row>
    <row r="2371" spans="1:19" x14ac:dyDescent="0.25">
      <c r="A2371">
        <v>1500731146</v>
      </c>
      <c r="B2371" t="s">
        <v>4786</v>
      </c>
      <c r="C2371" t="s">
        <v>19</v>
      </c>
      <c r="D2371" t="s">
        <v>266</v>
      </c>
      <c r="E2371" t="s">
        <v>21</v>
      </c>
      <c r="F2371" t="s">
        <v>22</v>
      </c>
      <c r="G2371" t="s">
        <v>64</v>
      </c>
      <c r="H2371" t="s">
        <v>272</v>
      </c>
      <c r="I2371" t="s">
        <v>4787</v>
      </c>
      <c r="J2371">
        <v>9.812828333333</v>
      </c>
      <c r="K2371">
        <v>-83.702588333329999</v>
      </c>
      <c r="L2371" t="s">
        <v>1225</v>
      </c>
      <c r="M2371" t="s">
        <v>54</v>
      </c>
      <c r="N2371" t="s">
        <v>274</v>
      </c>
      <c r="O2371" t="s">
        <v>275</v>
      </c>
      <c r="P2371">
        <v>24</v>
      </c>
      <c r="Q2371" t="s">
        <v>947</v>
      </c>
      <c r="S2371" t="str">
        <f>_xlfn.XLOOKUP(UNIVERSO[[#This Row],[Ruta]],'[1]CUOTA RUTA'!A:A,'[1]CUOTA RUTA'!D:D)</f>
        <v>Cargar</v>
      </c>
    </row>
    <row r="2372" spans="1:19" x14ac:dyDescent="0.25">
      <c r="A2372">
        <v>1500731156</v>
      </c>
      <c r="B2372" t="s">
        <v>4703</v>
      </c>
      <c r="C2372" t="s">
        <v>19</v>
      </c>
      <c r="D2372" t="s">
        <v>20</v>
      </c>
      <c r="E2372" t="s">
        <v>21</v>
      </c>
      <c r="F2372" t="s">
        <v>22</v>
      </c>
      <c r="G2372" t="s">
        <v>33</v>
      </c>
      <c r="H2372" t="s">
        <v>743</v>
      </c>
      <c r="I2372" t="s">
        <v>4788</v>
      </c>
      <c r="J2372">
        <v>9.9995799999999999</v>
      </c>
      <c r="K2372">
        <v>-84.396749999999997</v>
      </c>
      <c r="L2372" t="s">
        <v>1225</v>
      </c>
      <c r="M2372" t="s">
        <v>46</v>
      </c>
      <c r="N2372" t="s">
        <v>47</v>
      </c>
      <c r="O2372" t="s">
        <v>48</v>
      </c>
      <c r="P2372">
        <v>9</v>
      </c>
      <c r="Q2372" t="s">
        <v>80</v>
      </c>
      <c r="S2372" t="str">
        <f>_xlfn.XLOOKUP(UNIVERSO[[#This Row],[Ruta]],'[1]CUOTA RUTA'!A:A,'[1]CUOTA RUTA'!D:D)</f>
        <v>Cargar</v>
      </c>
    </row>
    <row r="2373" spans="1:19" x14ac:dyDescent="0.25">
      <c r="A2373">
        <v>1500731164</v>
      </c>
      <c r="B2373" t="s">
        <v>4789</v>
      </c>
      <c r="C2373" t="s">
        <v>19</v>
      </c>
      <c r="D2373" t="s">
        <v>349</v>
      </c>
      <c r="E2373" t="s">
        <v>62</v>
      </c>
      <c r="F2373" t="s">
        <v>63</v>
      </c>
      <c r="G2373" t="s">
        <v>64</v>
      </c>
      <c r="H2373" t="s">
        <v>448</v>
      </c>
      <c r="I2373" t="s">
        <v>4790</v>
      </c>
      <c r="J2373">
        <v>9.9476859999999991</v>
      </c>
      <c r="K2373">
        <v>-85.669310999999993</v>
      </c>
      <c r="L2373" t="s">
        <v>1225</v>
      </c>
      <c r="M2373" t="s">
        <v>352</v>
      </c>
      <c r="N2373" t="s">
        <v>353</v>
      </c>
      <c r="O2373" t="s">
        <v>354</v>
      </c>
      <c r="P2373">
        <v>7</v>
      </c>
      <c r="Q2373" t="s">
        <v>39</v>
      </c>
      <c r="S2373" t="str">
        <f>_xlfn.XLOOKUP(UNIVERSO[[#This Row],[Ruta]],'[1]CUOTA RUTA'!A:A,'[1]CUOTA RUTA'!D:D)</f>
        <v>Cargar</v>
      </c>
    </row>
    <row r="2374" spans="1:19" x14ac:dyDescent="0.25">
      <c r="A2374">
        <v>1500731176</v>
      </c>
      <c r="B2374" t="s">
        <v>4791</v>
      </c>
      <c r="C2374" t="s">
        <v>19</v>
      </c>
      <c r="D2374" t="s">
        <v>32</v>
      </c>
      <c r="E2374" t="s">
        <v>21</v>
      </c>
      <c r="F2374" t="s">
        <v>51</v>
      </c>
      <c r="G2374" t="s">
        <v>23</v>
      </c>
      <c r="H2374" t="s">
        <v>86</v>
      </c>
      <c r="I2374" t="s">
        <v>4792</v>
      </c>
      <c r="J2374">
        <v>9.8809439999999995</v>
      </c>
      <c r="K2374">
        <v>-84.083945999999997</v>
      </c>
      <c r="L2374" t="s">
        <v>1225</v>
      </c>
      <c r="M2374" t="s">
        <v>71</v>
      </c>
      <c r="N2374" t="s">
        <v>72</v>
      </c>
      <c r="O2374" t="s">
        <v>73</v>
      </c>
      <c r="P2374">
        <v>17</v>
      </c>
      <c r="Q2374" t="s">
        <v>287</v>
      </c>
      <c r="S2374" t="str">
        <f>_xlfn.XLOOKUP(UNIVERSO[[#This Row],[Ruta]],'[1]CUOTA RUTA'!A:A,'[1]CUOTA RUTA'!D:D)</f>
        <v>Cargar</v>
      </c>
    </row>
    <row r="2375" spans="1:19" x14ac:dyDescent="0.25">
      <c r="A2375">
        <v>1500731317</v>
      </c>
      <c r="B2375" t="s">
        <v>4793</v>
      </c>
      <c r="C2375" t="s">
        <v>19</v>
      </c>
      <c r="D2375" t="s">
        <v>32</v>
      </c>
      <c r="E2375" t="s">
        <v>21</v>
      </c>
      <c r="F2375" t="s">
        <v>22</v>
      </c>
      <c r="G2375" t="s">
        <v>64</v>
      </c>
      <c r="H2375" t="s">
        <v>159</v>
      </c>
      <c r="I2375" t="s">
        <v>4794</v>
      </c>
      <c r="J2375">
        <v>9.9050200000000004</v>
      </c>
      <c r="K2375">
        <v>-84.111580000000004</v>
      </c>
      <c r="L2375" t="s">
        <v>1225</v>
      </c>
      <c r="M2375" t="s">
        <v>71</v>
      </c>
      <c r="N2375" t="s">
        <v>72</v>
      </c>
      <c r="O2375" t="s">
        <v>73</v>
      </c>
      <c r="P2375">
        <v>12</v>
      </c>
      <c r="Q2375" t="s">
        <v>42</v>
      </c>
      <c r="S2375" t="str">
        <f>_xlfn.XLOOKUP(UNIVERSO[[#This Row],[Ruta]],'[1]CUOTA RUTA'!A:A,'[1]CUOTA RUTA'!D:D)</f>
        <v>Cargar</v>
      </c>
    </row>
    <row r="2376" spans="1:19" x14ac:dyDescent="0.25">
      <c r="A2376">
        <v>1500731413</v>
      </c>
      <c r="B2376" t="s">
        <v>4795</v>
      </c>
      <c r="C2376" t="s">
        <v>19</v>
      </c>
      <c r="D2376" t="s">
        <v>32</v>
      </c>
      <c r="E2376" t="s">
        <v>21</v>
      </c>
      <c r="F2376" t="s">
        <v>22</v>
      </c>
      <c r="G2376" t="s">
        <v>33</v>
      </c>
      <c r="H2376" t="s">
        <v>441</v>
      </c>
      <c r="I2376" t="s">
        <v>4796</v>
      </c>
      <c r="J2376">
        <v>9.8696867000000008</v>
      </c>
      <c r="K2376">
        <v>-84.059761699999996</v>
      </c>
      <c r="L2376" t="s">
        <v>1225</v>
      </c>
      <c r="M2376" t="s">
        <v>71</v>
      </c>
      <c r="N2376" t="s">
        <v>72</v>
      </c>
      <c r="O2376" t="s">
        <v>73</v>
      </c>
      <c r="P2376">
        <v>20</v>
      </c>
      <c r="Q2376" t="s">
        <v>74</v>
      </c>
      <c r="S2376" t="str">
        <f>_xlfn.XLOOKUP(UNIVERSO[[#This Row],[Ruta]],'[1]CUOTA RUTA'!A:A,'[1]CUOTA RUTA'!D:D)</f>
        <v>Cargar</v>
      </c>
    </row>
    <row r="2377" spans="1:19" x14ac:dyDescent="0.25">
      <c r="A2377">
        <v>1500731422</v>
      </c>
      <c r="B2377" t="s">
        <v>4797</v>
      </c>
      <c r="C2377" t="s">
        <v>19</v>
      </c>
      <c r="D2377" t="s">
        <v>20</v>
      </c>
      <c r="E2377" t="s">
        <v>21</v>
      </c>
      <c r="F2377" t="s">
        <v>51</v>
      </c>
      <c r="G2377" t="s">
        <v>23</v>
      </c>
      <c r="H2377" t="s">
        <v>193</v>
      </c>
      <c r="I2377" t="s">
        <v>4798</v>
      </c>
      <c r="J2377">
        <v>9.9624480000000002</v>
      </c>
      <c r="K2377">
        <v>-84.317730999999995</v>
      </c>
      <c r="L2377" t="s">
        <v>1225</v>
      </c>
      <c r="M2377" t="s">
        <v>54</v>
      </c>
      <c r="N2377" t="s">
        <v>55</v>
      </c>
      <c r="O2377" t="s">
        <v>56</v>
      </c>
      <c r="P2377">
        <v>20</v>
      </c>
      <c r="Q2377" t="s">
        <v>74</v>
      </c>
      <c r="S2377" t="str">
        <f>_xlfn.XLOOKUP(UNIVERSO[[#This Row],[Ruta]],'[1]CUOTA RUTA'!A:A,'[1]CUOTA RUTA'!D:D)</f>
        <v>Cargar</v>
      </c>
    </row>
    <row r="2378" spans="1:19" x14ac:dyDescent="0.25">
      <c r="A2378">
        <v>1500731440</v>
      </c>
      <c r="B2378" t="s">
        <v>4799</v>
      </c>
      <c r="C2378" t="s">
        <v>19</v>
      </c>
      <c r="D2378" t="s">
        <v>208</v>
      </c>
      <c r="E2378" t="s">
        <v>62</v>
      </c>
      <c r="F2378" t="s">
        <v>63</v>
      </c>
      <c r="G2378" t="s">
        <v>33</v>
      </c>
      <c r="H2378" t="s">
        <v>631</v>
      </c>
      <c r="I2378" t="s">
        <v>4800</v>
      </c>
      <c r="J2378">
        <v>10.492620000000001</v>
      </c>
      <c r="K2378">
        <v>-83.989099999999993</v>
      </c>
      <c r="L2378" t="s">
        <v>1225</v>
      </c>
      <c r="M2378" t="s">
        <v>189</v>
      </c>
      <c r="N2378" t="s">
        <v>211</v>
      </c>
      <c r="O2378" t="s">
        <v>212</v>
      </c>
      <c r="P2378">
        <v>10</v>
      </c>
      <c r="Q2378" t="s">
        <v>136</v>
      </c>
      <c r="S2378" t="str">
        <f>_xlfn.XLOOKUP(UNIVERSO[[#This Row],[Ruta]],'[1]CUOTA RUTA'!A:A,'[1]CUOTA RUTA'!D:D)</f>
        <v>Cargar</v>
      </c>
    </row>
    <row r="2379" spans="1:19" x14ac:dyDescent="0.25">
      <c r="A2379">
        <v>1500731465</v>
      </c>
      <c r="B2379" t="s">
        <v>4801</v>
      </c>
      <c r="C2379" t="s">
        <v>19</v>
      </c>
      <c r="D2379" t="s">
        <v>337</v>
      </c>
      <c r="E2379" t="s">
        <v>21</v>
      </c>
      <c r="F2379" t="s">
        <v>51</v>
      </c>
      <c r="G2379" t="s">
        <v>23</v>
      </c>
      <c r="H2379" t="s">
        <v>576</v>
      </c>
      <c r="I2379" t="s">
        <v>4802</v>
      </c>
      <c r="J2379">
        <v>10.622782000000001</v>
      </c>
      <c r="K2379">
        <v>-85.433929000000006</v>
      </c>
      <c r="L2379" t="s">
        <v>1225</v>
      </c>
      <c r="M2379" t="s">
        <v>327</v>
      </c>
      <c r="N2379" t="s">
        <v>340</v>
      </c>
      <c r="O2379" t="s">
        <v>341</v>
      </c>
      <c r="P2379">
        <v>14</v>
      </c>
      <c r="Q2379" t="s">
        <v>181</v>
      </c>
      <c r="S2379" t="str">
        <f>_xlfn.XLOOKUP(UNIVERSO[[#This Row],[Ruta]],'[1]CUOTA RUTA'!A:A,'[1]CUOTA RUTA'!D:D)</f>
        <v>Cargar</v>
      </c>
    </row>
    <row r="2380" spans="1:19" x14ac:dyDescent="0.25">
      <c r="A2380">
        <v>1500731483</v>
      </c>
      <c r="B2380" t="s">
        <v>4803</v>
      </c>
      <c r="C2380" t="s">
        <v>19</v>
      </c>
      <c r="D2380" t="s">
        <v>208</v>
      </c>
      <c r="E2380" t="s">
        <v>62</v>
      </c>
      <c r="F2380" t="s">
        <v>63</v>
      </c>
      <c r="G2380" t="s">
        <v>64</v>
      </c>
      <c r="H2380" t="s">
        <v>631</v>
      </c>
      <c r="I2380" t="s">
        <v>4804</v>
      </c>
      <c r="J2380">
        <v>10.44018034</v>
      </c>
      <c r="K2380">
        <v>-83.918090340000006</v>
      </c>
      <c r="L2380" t="s">
        <v>1225</v>
      </c>
      <c r="M2380" t="s">
        <v>189</v>
      </c>
      <c r="N2380" t="s">
        <v>211</v>
      </c>
      <c r="O2380" t="s">
        <v>212</v>
      </c>
      <c r="P2380">
        <v>10</v>
      </c>
      <c r="Q2380" t="s">
        <v>136</v>
      </c>
      <c r="S2380" t="str">
        <f>_xlfn.XLOOKUP(UNIVERSO[[#This Row],[Ruta]],'[1]CUOTA RUTA'!A:A,'[1]CUOTA RUTA'!D:D)</f>
        <v>Cargar</v>
      </c>
    </row>
    <row r="2381" spans="1:19" x14ac:dyDescent="0.25">
      <c r="A2381">
        <v>1500731624</v>
      </c>
      <c r="B2381" t="s">
        <v>3066</v>
      </c>
      <c r="C2381" t="s">
        <v>19</v>
      </c>
      <c r="D2381" t="s">
        <v>20</v>
      </c>
      <c r="E2381" t="s">
        <v>21</v>
      </c>
      <c r="F2381" t="s">
        <v>51</v>
      </c>
      <c r="G2381" t="s">
        <v>23</v>
      </c>
      <c r="H2381" t="s">
        <v>554</v>
      </c>
      <c r="I2381" t="s">
        <v>4805</v>
      </c>
      <c r="J2381">
        <v>9.9932879999999997</v>
      </c>
      <c r="K2381">
        <v>-84.151346000000004</v>
      </c>
      <c r="L2381" t="s">
        <v>1225</v>
      </c>
      <c r="M2381" t="s">
        <v>27</v>
      </c>
      <c r="N2381" t="s">
        <v>28</v>
      </c>
      <c r="O2381" t="s">
        <v>29</v>
      </c>
      <c r="P2381">
        <v>3</v>
      </c>
      <c r="Q2381" t="s">
        <v>101</v>
      </c>
      <c r="S2381" t="str">
        <f>_xlfn.XLOOKUP(UNIVERSO[[#This Row],[Ruta]],'[1]CUOTA RUTA'!A:A,'[1]CUOTA RUTA'!D:D)</f>
        <v>Cargar</v>
      </c>
    </row>
    <row r="2382" spans="1:19" x14ac:dyDescent="0.25">
      <c r="A2382">
        <v>1500731635</v>
      </c>
      <c r="B2382" t="s">
        <v>4806</v>
      </c>
      <c r="C2382" t="s">
        <v>19</v>
      </c>
      <c r="D2382" t="s">
        <v>208</v>
      </c>
      <c r="E2382" t="s">
        <v>62</v>
      </c>
      <c r="F2382" t="s">
        <v>63</v>
      </c>
      <c r="G2382" t="s">
        <v>64</v>
      </c>
      <c r="H2382" t="s">
        <v>631</v>
      </c>
      <c r="I2382" t="s">
        <v>4807</v>
      </c>
      <c r="J2382">
        <v>10.502079999999999</v>
      </c>
      <c r="K2382">
        <v>-84.014099999999999</v>
      </c>
      <c r="L2382" t="s">
        <v>1225</v>
      </c>
      <c r="M2382" t="s">
        <v>189</v>
      </c>
      <c r="N2382" t="s">
        <v>211</v>
      </c>
      <c r="O2382" t="s">
        <v>212</v>
      </c>
      <c r="P2382">
        <v>10</v>
      </c>
      <c r="Q2382" t="s">
        <v>136</v>
      </c>
      <c r="S2382" t="str">
        <f>_xlfn.XLOOKUP(UNIVERSO[[#This Row],[Ruta]],'[1]CUOTA RUTA'!A:A,'[1]CUOTA RUTA'!D:D)</f>
        <v>Cargar</v>
      </c>
    </row>
    <row r="2383" spans="1:19" x14ac:dyDescent="0.25">
      <c r="A2383">
        <v>1500731638</v>
      </c>
      <c r="B2383" t="s">
        <v>4808</v>
      </c>
      <c r="C2383" t="s">
        <v>19</v>
      </c>
      <c r="D2383" t="s">
        <v>208</v>
      </c>
      <c r="E2383" t="s">
        <v>62</v>
      </c>
      <c r="F2383" t="s">
        <v>63</v>
      </c>
      <c r="G2383" t="s">
        <v>33</v>
      </c>
      <c r="H2383" t="s">
        <v>631</v>
      </c>
      <c r="I2383" t="s">
        <v>4809</v>
      </c>
      <c r="J2383">
        <v>10.509779999999999</v>
      </c>
      <c r="K2383">
        <v>-83.9602</v>
      </c>
      <c r="L2383" t="s">
        <v>1225</v>
      </c>
      <c r="M2383" t="s">
        <v>189</v>
      </c>
      <c r="N2383" t="s">
        <v>211</v>
      </c>
      <c r="O2383" t="s">
        <v>212</v>
      </c>
      <c r="P2383">
        <v>10</v>
      </c>
      <c r="Q2383" t="s">
        <v>136</v>
      </c>
      <c r="S2383" t="str">
        <f>_xlfn.XLOOKUP(UNIVERSO[[#This Row],[Ruta]],'[1]CUOTA RUTA'!A:A,'[1]CUOTA RUTA'!D:D)</f>
        <v>Cargar</v>
      </c>
    </row>
    <row r="2384" spans="1:19" x14ac:dyDescent="0.25">
      <c r="A2384">
        <v>1500731702</v>
      </c>
      <c r="B2384" t="s">
        <v>4810</v>
      </c>
      <c r="C2384" t="s">
        <v>19</v>
      </c>
      <c r="D2384" t="s">
        <v>349</v>
      </c>
      <c r="E2384" t="s">
        <v>21</v>
      </c>
      <c r="F2384" t="s">
        <v>22</v>
      </c>
      <c r="G2384" t="s">
        <v>33</v>
      </c>
      <c r="H2384" t="s">
        <v>448</v>
      </c>
      <c r="I2384" t="s">
        <v>4811</v>
      </c>
      <c r="J2384">
        <v>9.9104369999999999</v>
      </c>
      <c r="K2384">
        <v>-85.643337000000002</v>
      </c>
      <c r="L2384" t="s">
        <v>1225</v>
      </c>
      <c r="M2384" t="s">
        <v>352</v>
      </c>
      <c r="N2384" t="s">
        <v>353</v>
      </c>
      <c r="O2384" t="s">
        <v>354</v>
      </c>
      <c r="P2384">
        <v>8</v>
      </c>
      <c r="Q2384" t="s">
        <v>97</v>
      </c>
      <c r="S2384" t="str">
        <f>_xlfn.XLOOKUP(UNIVERSO[[#This Row],[Ruta]],'[1]CUOTA RUTA'!A:A,'[1]CUOTA RUTA'!D:D)</f>
        <v>Cargar</v>
      </c>
    </row>
    <row r="2385" spans="1:19" x14ac:dyDescent="0.25">
      <c r="A2385">
        <v>1500731707</v>
      </c>
      <c r="B2385" t="s">
        <v>4812</v>
      </c>
      <c r="C2385" t="s">
        <v>19</v>
      </c>
      <c r="D2385" t="s">
        <v>201</v>
      </c>
      <c r="E2385" t="s">
        <v>21</v>
      </c>
      <c r="F2385" t="s">
        <v>22</v>
      </c>
      <c r="G2385" t="s">
        <v>64</v>
      </c>
      <c r="H2385" t="s">
        <v>334</v>
      </c>
      <c r="I2385" t="s">
        <v>4813</v>
      </c>
      <c r="J2385">
        <v>9.9875150000000001</v>
      </c>
      <c r="K2385">
        <v>-84.673514999999995</v>
      </c>
      <c r="L2385" t="s">
        <v>1225</v>
      </c>
      <c r="M2385" t="s">
        <v>204</v>
      </c>
      <c r="N2385" t="s">
        <v>205</v>
      </c>
      <c r="O2385" t="s">
        <v>206</v>
      </c>
      <c r="P2385">
        <v>13</v>
      </c>
      <c r="Q2385" t="s">
        <v>161</v>
      </c>
      <c r="S2385" t="str">
        <f>_xlfn.XLOOKUP(UNIVERSO[[#This Row],[Ruta]],'[1]CUOTA RUTA'!A:A,'[1]CUOTA RUTA'!D:D)</f>
        <v>Cargar</v>
      </c>
    </row>
    <row r="2386" spans="1:19" x14ac:dyDescent="0.25">
      <c r="A2386">
        <v>1500731968</v>
      </c>
      <c r="B2386" t="s">
        <v>4814</v>
      </c>
      <c r="C2386" t="s">
        <v>19</v>
      </c>
      <c r="D2386" t="s">
        <v>208</v>
      </c>
      <c r="E2386" t="s">
        <v>62</v>
      </c>
      <c r="F2386" t="s">
        <v>63</v>
      </c>
      <c r="G2386" t="s">
        <v>64</v>
      </c>
      <c r="H2386" t="s">
        <v>1794</v>
      </c>
      <c r="I2386" t="s">
        <v>4815</v>
      </c>
      <c r="J2386">
        <v>10.332680849999999</v>
      </c>
      <c r="K2386">
        <v>-83.950225799999998</v>
      </c>
      <c r="L2386" t="s">
        <v>1225</v>
      </c>
      <c r="M2386" t="s">
        <v>189</v>
      </c>
      <c r="N2386" t="s">
        <v>211</v>
      </c>
      <c r="O2386" t="s">
        <v>212</v>
      </c>
      <c r="P2386">
        <v>3</v>
      </c>
      <c r="Q2386" t="s">
        <v>101</v>
      </c>
      <c r="S2386" t="str">
        <f>_xlfn.XLOOKUP(UNIVERSO[[#This Row],[Ruta]],'[1]CUOTA RUTA'!A:A,'[1]CUOTA RUTA'!D:D)</f>
        <v>Cargar</v>
      </c>
    </row>
    <row r="2387" spans="1:19" x14ac:dyDescent="0.25">
      <c r="A2387">
        <v>1500732041</v>
      </c>
      <c r="B2387" t="s">
        <v>4816</v>
      </c>
      <c r="C2387" t="s">
        <v>19</v>
      </c>
      <c r="D2387" t="s">
        <v>208</v>
      </c>
      <c r="E2387" t="s">
        <v>62</v>
      </c>
      <c r="F2387" t="s">
        <v>63</v>
      </c>
      <c r="G2387" t="s">
        <v>64</v>
      </c>
      <c r="H2387" t="s">
        <v>631</v>
      </c>
      <c r="I2387" t="s">
        <v>4817</v>
      </c>
      <c r="J2387">
        <v>10.169529000000001</v>
      </c>
      <c r="K2387">
        <v>-83.444211999999993</v>
      </c>
      <c r="L2387" t="s">
        <v>1225</v>
      </c>
      <c r="M2387" t="s">
        <v>189</v>
      </c>
      <c r="N2387" t="s">
        <v>211</v>
      </c>
      <c r="O2387" t="s">
        <v>212</v>
      </c>
      <c r="P2387">
        <v>9</v>
      </c>
      <c r="Q2387" t="s">
        <v>80</v>
      </c>
      <c r="S2387" t="str">
        <f>_xlfn.XLOOKUP(UNIVERSO[[#This Row],[Ruta]],'[1]CUOTA RUTA'!A:A,'[1]CUOTA RUTA'!D:D)</f>
        <v>Cargar</v>
      </c>
    </row>
    <row r="2388" spans="1:19" x14ac:dyDescent="0.25">
      <c r="A2388">
        <v>1500732062</v>
      </c>
      <c r="B2388" t="s">
        <v>1414</v>
      </c>
      <c r="C2388" t="s">
        <v>19</v>
      </c>
      <c r="D2388" t="s">
        <v>32</v>
      </c>
      <c r="E2388" t="s">
        <v>21</v>
      </c>
      <c r="F2388" t="s">
        <v>22</v>
      </c>
      <c r="G2388" t="s">
        <v>23</v>
      </c>
      <c r="H2388" t="s">
        <v>159</v>
      </c>
      <c r="I2388" t="s">
        <v>4818</v>
      </c>
      <c r="J2388">
        <v>9.8976480000000002</v>
      </c>
      <c r="K2388">
        <v>-84.106978999999995</v>
      </c>
      <c r="L2388" t="s">
        <v>1225</v>
      </c>
      <c r="M2388" t="s">
        <v>71</v>
      </c>
      <c r="N2388" t="s">
        <v>72</v>
      </c>
      <c r="O2388" t="s">
        <v>73</v>
      </c>
      <c r="P2388">
        <v>13</v>
      </c>
      <c r="Q2388" t="s">
        <v>161</v>
      </c>
      <c r="S2388" t="str">
        <f>_xlfn.XLOOKUP(UNIVERSO[[#This Row],[Ruta]],'[1]CUOTA RUTA'!A:A,'[1]CUOTA RUTA'!D:D)</f>
        <v>Cargar</v>
      </c>
    </row>
    <row r="2389" spans="1:19" x14ac:dyDescent="0.25">
      <c r="A2389">
        <v>1500732085</v>
      </c>
      <c r="B2389" t="s">
        <v>4819</v>
      </c>
      <c r="C2389" t="s">
        <v>19</v>
      </c>
      <c r="D2389" t="s">
        <v>208</v>
      </c>
      <c r="E2389" t="s">
        <v>21</v>
      </c>
      <c r="F2389" t="s">
        <v>22</v>
      </c>
      <c r="G2389" t="s">
        <v>33</v>
      </c>
      <c r="H2389" t="s">
        <v>221</v>
      </c>
      <c r="I2389" t="s">
        <v>4820</v>
      </c>
      <c r="J2389">
        <v>10.44833</v>
      </c>
      <c r="K2389">
        <v>-84.046899999999994</v>
      </c>
      <c r="L2389" t="s">
        <v>1225</v>
      </c>
      <c r="M2389" t="s">
        <v>189</v>
      </c>
      <c r="N2389" t="s">
        <v>211</v>
      </c>
      <c r="O2389" t="s">
        <v>212</v>
      </c>
      <c r="P2389">
        <v>11</v>
      </c>
      <c r="Q2389" t="s">
        <v>108</v>
      </c>
      <c r="S2389" t="str">
        <f>_xlfn.XLOOKUP(UNIVERSO[[#This Row],[Ruta]],'[1]CUOTA RUTA'!A:A,'[1]CUOTA RUTA'!D:D)</f>
        <v>Cargar</v>
      </c>
    </row>
    <row r="2390" spans="1:19" x14ac:dyDescent="0.25">
      <c r="A2390">
        <v>1500732180</v>
      </c>
      <c r="B2390" t="s">
        <v>4821</v>
      </c>
      <c r="C2390" t="s">
        <v>19</v>
      </c>
      <c r="D2390" t="s">
        <v>201</v>
      </c>
      <c r="E2390" t="s">
        <v>21</v>
      </c>
      <c r="F2390" t="s">
        <v>22</v>
      </c>
      <c r="G2390" t="s">
        <v>33</v>
      </c>
      <c r="H2390" t="s">
        <v>491</v>
      </c>
      <c r="I2390" t="s">
        <v>4822</v>
      </c>
      <c r="J2390">
        <v>9.7188093000000002</v>
      </c>
      <c r="K2390">
        <v>-84.628535600000006</v>
      </c>
      <c r="L2390" t="s">
        <v>1225</v>
      </c>
      <c r="M2390" t="s">
        <v>204</v>
      </c>
      <c r="N2390" t="s">
        <v>205</v>
      </c>
      <c r="O2390" t="s">
        <v>206</v>
      </c>
      <c r="P2390">
        <v>4</v>
      </c>
      <c r="Q2390" t="s">
        <v>120</v>
      </c>
      <c r="S2390" t="str">
        <f>_xlfn.XLOOKUP(UNIVERSO[[#This Row],[Ruta]],'[1]CUOTA RUTA'!A:A,'[1]CUOTA RUTA'!D:D)</f>
        <v>Cargar</v>
      </c>
    </row>
    <row r="2391" spans="1:19" x14ac:dyDescent="0.25">
      <c r="A2391">
        <v>1500732291</v>
      </c>
      <c r="B2391" t="s">
        <v>4823</v>
      </c>
      <c r="C2391" t="s">
        <v>19</v>
      </c>
      <c r="D2391" t="s">
        <v>244</v>
      </c>
      <c r="E2391" t="s">
        <v>21</v>
      </c>
      <c r="F2391" t="s">
        <v>22</v>
      </c>
      <c r="G2391" t="s">
        <v>64</v>
      </c>
      <c r="H2391" t="s">
        <v>767</v>
      </c>
      <c r="I2391" t="s">
        <v>4824</v>
      </c>
      <c r="J2391">
        <v>9.3998600000000003</v>
      </c>
      <c r="K2391">
        <v>-83.765230000000003</v>
      </c>
      <c r="L2391" t="s">
        <v>1225</v>
      </c>
      <c r="M2391" t="s">
        <v>46</v>
      </c>
      <c r="N2391" t="s">
        <v>247</v>
      </c>
      <c r="O2391" t="s">
        <v>248</v>
      </c>
      <c r="P2391">
        <v>17</v>
      </c>
      <c r="Q2391" t="s">
        <v>287</v>
      </c>
      <c r="S2391" t="str">
        <f>_xlfn.XLOOKUP(UNIVERSO[[#This Row],[Ruta]],'[1]CUOTA RUTA'!A:A,'[1]CUOTA RUTA'!D:D)</f>
        <v>Cargar</v>
      </c>
    </row>
    <row r="2392" spans="1:19" x14ac:dyDescent="0.25">
      <c r="A2392">
        <v>1500732455</v>
      </c>
      <c r="B2392" t="s">
        <v>4825</v>
      </c>
      <c r="C2392" t="s">
        <v>19</v>
      </c>
      <c r="D2392" t="s">
        <v>32</v>
      </c>
      <c r="E2392" t="s">
        <v>62</v>
      </c>
      <c r="F2392" t="s">
        <v>63</v>
      </c>
      <c r="G2392" t="s">
        <v>64</v>
      </c>
      <c r="H2392" t="s">
        <v>99</v>
      </c>
      <c r="I2392" t="s">
        <v>4826</v>
      </c>
      <c r="J2392">
        <v>9.9341530000000002</v>
      </c>
      <c r="K2392">
        <v>-84.089729000000005</v>
      </c>
      <c r="L2392" t="s">
        <v>1225</v>
      </c>
      <c r="M2392" t="s">
        <v>71</v>
      </c>
      <c r="N2392" t="s">
        <v>72</v>
      </c>
      <c r="O2392" t="s">
        <v>73</v>
      </c>
      <c r="P2392">
        <v>1</v>
      </c>
      <c r="Q2392" t="s">
        <v>155</v>
      </c>
      <c r="S2392" t="str">
        <f>_xlfn.XLOOKUP(UNIVERSO[[#This Row],[Ruta]],'[1]CUOTA RUTA'!A:A,'[1]CUOTA RUTA'!D:D)</f>
        <v>Cargar</v>
      </c>
    </row>
    <row r="2393" spans="1:19" x14ac:dyDescent="0.25">
      <c r="A2393">
        <v>1500732694</v>
      </c>
      <c r="B2393" t="s">
        <v>4827</v>
      </c>
      <c r="C2393" t="s">
        <v>19</v>
      </c>
      <c r="D2393" t="s">
        <v>266</v>
      </c>
      <c r="E2393" t="s">
        <v>21</v>
      </c>
      <c r="F2393" t="s">
        <v>22</v>
      </c>
      <c r="G2393" t="s">
        <v>23</v>
      </c>
      <c r="H2393" t="s">
        <v>1011</v>
      </c>
      <c r="I2393" t="s">
        <v>4828</v>
      </c>
      <c r="J2393">
        <v>9.8944442000000006</v>
      </c>
      <c r="K2393">
        <v>-83.873730399999999</v>
      </c>
      <c r="L2393" t="s">
        <v>1225</v>
      </c>
      <c r="M2393" t="s">
        <v>54</v>
      </c>
      <c r="N2393" t="s">
        <v>274</v>
      </c>
      <c r="O2393" t="s">
        <v>275</v>
      </c>
      <c r="P2393">
        <v>20</v>
      </c>
      <c r="Q2393" t="s">
        <v>74</v>
      </c>
      <c r="S2393" t="str">
        <f>_xlfn.XLOOKUP(UNIVERSO[[#This Row],[Ruta]],'[1]CUOTA RUTA'!A:A,'[1]CUOTA RUTA'!D:D)</f>
        <v>Cargar</v>
      </c>
    </row>
    <row r="2394" spans="1:19" x14ac:dyDescent="0.25">
      <c r="A2394">
        <v>1500732809</v>
      </c>
      <c r="B2394" t="s">
        <v>4829</v>
      </c>
      <c r="C2394" t="s">
        <v>19</v>
      </c>
      <c r="D2394" t="s">
        <v>266</v>
      </c>
      <c r="E2394" t="s">
        <v>21</v>
      </c>
      <c r="F2394" t="s">
        <v>22</v>
      </c>
      <c r="G2394" t="s">
        <v>33</v>
      </c>
      <c r="H2394" t="s">
        <v>272</v>
      </c>
      <c r="I2394" t="s">
        <v>4830</v>
      </c>
      <c r="J2394">
        <v>9.9181293999999998</v>
      </c>
      <c r="K2394">
        <v>-83.841090800000003</v>
      </c>
      <c r="L2394" t="s">
        <v>1225</v>
      </c>
      <c r="M2394" t="s">
        <v>54</v>
      </c>
      <c r="N2394" t="s">
        <v>274</v>
      </c>
      <c r="O2394" t="s">
        <v>275</v>
      </c>
      <c r="P2394">
        <v>21</v>
      </c>
      <c r="Q2394" t="s">
        <v>239</v>
      </c>
      <c r="S2394" t="str">
        <f>_xlfn.XLOOKUP(UNIVERSO[[#This Row],[Ruta]],'[1]CUOTA RUTA'!A:A,'[1]CUOTA RUTA'!D:D)</f>
        <v>Cargar</v>
      </c>
    </row>
    <row r="2395" spans="1:19" x14ac:dyDescent="0.25">
      <c r="A2395">
        <v>1500732837</v>
      </c>
      <c r="B2395" t="s">
        <v>4831</v>
      </c>
      <c r="C2395" t="s">
        <v>19</v>
      </c>
      <c r="D2395" t="s">
        <v>244</v>
      </c>
      <c r="E2395" t="s">
        <v>21</v>
      </c>
      <c r="F2395" t="s">
        <v>22</v>
      </c>
      <c r="G2395" t="s">
        <v>64</v>
      </c>
      <c r="H2395" t="s">
        <v>1294</v>
      </c>
      <c r="I2395" t="s">
        <v>4832</v>
      </c>
      <c r="J2395">
        <v>9.311947</v>
      </c>
      <c r="K2395">
        <v>-83.696789999999993</v>
      </c>
      <c r="L2395" t="s">
        <v>1225</v>
      </c>
      <c r="M2395" t="s">
        <v>46</v>
      </c>
      <c r="N2395" t="s">
        <v>247</v>
      </c>
      <c r="O2395" t="s">
        <v>248</v>
      </c>
      <c r="P2395">
        <v>16</v>
      </c>
      <c r="Q2395" t="s">
        <v>60</v>
      </c>
      <c r="S2395" t="str">
        <f>_xlfn.XLOOKUP(UNIVERSO[[#This Row],[Ruta]],'[1]CUOTA RUTA'!A:A,'[1]CUOTA RUTA'!D:D)</f>
        <v>Cargar</v>
      </c>
    </row>
    <row r="2396" spans="1:19" x14ac:dyDescent="0.25">
      <c r="A2396">
        <v>1500732851</v>
      </c>
      <c r="B2396" t="s">
        <v>4833</v>
      </c>
      <c r="C2396" t="s">
        <v>19</v>
      </c>
      <c r="D2396" t="s">
        <v>349</v>
      </c>
      <c r="E2396" t="s">
        <v>21</v>
      </c>
      <c r="F2396" t="s">
        <v>22</v>
      </c>
      <c r="G2396" t="s">
        <v>64</v>
      </c>
      <c r="H2396" t="s">
        <v>711</v>
      </c>
      <c r="I2396" t="s">
        <v>4834</v>
      </c>
      <c r="J2396">
        <v>10.021990000000001</v>
      </c>
      <c r="K2396">
        <v>-85.354782999999998</v>
      </c>
      <c r="L2396" t="s">
        <v>1225</v>
      </c>
      <c r="M2396" t="s">
        <v>352</v>
      </c>
      <c r="N2396" t="s">
        <v>353</v>
      </c>
      <c r="O2396" t="s">
        <v>354</v>
      </c>
      <c r="P2396">
        <v>14</v>
      </c>
      <c r="Q2396" t="s">
        <v>181</v>
      </c>
      <c r="S2396" t="str">
        <f>_xlfn.XLOOKUP(UNIVERSO[[#This Row],[Ruta]],'[1]CUOTA RUTA'!A:A,'[1]CUOTA RUTA'!D:D)</f>
        <v>Cargar</v>
      </c>
    </row>
    <row r="2397" spans="1:19" x14ac:dyDescent="0.25">
      <c r="A2397">
        <v>1500732947</v>
      </c>
      <c r="B2397" t="s">
        <v>4835</v>
      </c>
      <c r="C2397" t="s">
        <v>19</v>
      </c>
      <c r="D2397" t="s">
        <v>32</v>
      </c>
      <c r="E2397" t="s">
        <v>21</v>
      </c>
      <c r="F2397" t="s">
        <v>22</v>
      </c>
      <c r="G2397" t="s">
        <v>33</v>
      </c>
      <c r="H2397" t="s">
        <v>69</v>
      </c>
      <c r="I2397" t="s">
        <v>4836</v>
      </c>
      <c r="J2397">
        <v>9.86144</v>
      </c>
      <c r="K2397">
        <v>-84.058188333329994</v>
      </c>
      <c r="L2397" t="s">
        <v>1225</v>
      </c>
      <c r="M2397" t="s">
        <v>71</v>
      </c>
      <c r="N2397" t="s">
        <v>72</v>
      </c>
      <c r="O2397" t="s">
        <v>73</v>
      </c>
      <c r="P2397">
        <v>21</v>
      </c>
      <c r="Q2397" t="s">
        <v>239</v>
      </c>
      <c r="S2397" t="str">
        <f>_xlfn.XLOOKUP(UNIVERSO[[#This Row],[Ruta]],'[1]CUOTA RUTA'!A:A,'[1]CUOTA RUTA'!D:D)</f>
        <v>Cargar</v>
      </c>
    </row>
    <row r="2398" spans="1:19" x14ac:dyDescent="0.25">
      <c r="A2398">
        <v>1500732956</v>
      </c>
      <c r="B2398" t="s">
        <v>4837</v>
      </c>
      <c r="C2398" t="s">
        <v>19</v>
      </c>
      <c r="D2398" t="s">
        <v>20</v>
      </c>
      <c r="E2398" t="s">
        <v>21</v>
      </c>
      <c r="F2398" t="s">
        <v>51</v>
      </c>
      <c r="G2398" t="s">
        <v>23</v>
      </c>
      <c r="H2398" t="s">
        <v>554</v>
      </c>
      <c r="I2398" t="s">
        <v>4838</v>
      </c>
      <c r="J2398">
        <v>9.9958817</v>
      </c>
      <c r="K2398">
        <v>-84.155469999999994</v>
      </c>
      <c r="L2398" t="s">
        <v>1225</v>
      </c>
      <c r="M2398" t="s">
        <v>27</v>
      </c>
      <c r="N2398" t="s">
        <v>28</v>
      </c>
      <c r="O2398" t="s">
        <v>29</v>
      </c>
      <c r="P2398">
        <v>3</v>
      </c>
      <c r="Q2398" t="s">
        <v>101</v>
      </c>
      <c r="S2398" t="str">
        <f>_xlfn.XLOOKUP(UNIVERSO[[#This Row],[Ruta]],'[1]CUOTA RUTA'!A:A,'[1]CUOTA RUTA'!D:D)</f>
        <v>Cargar</v>
      </c>
    </row>
    <row r="2399" spans="1:19" x14ac:dyDescent="0.25">
      <c r="A2399">
        <v>1500733002</v>
      </c>
      <c r="B2399" t="s">
        <v>4839</v>
      </c>
      <c r="C2399" t="s">
        <v>19</v>
      </c>
      <c r="D2399" t="s">
        <v>20</v>
      </c>
      <c r="E2399" t="s">
        <v>21</v>
      </c>
      <c r="F2399" t="s">
        <v>22</v>
      </c>
      <c r="G2399" t="s">
        <v>64</v>
      </c>
      <c r="H2399" t="s">
        <v>913</v>
      </c>
      <c r="I2399" t="s">
        <v>4840</v>
      </c>
      <c r="J2399">
        <v>9.9604716999999994</v>
      </c>
      <c r="K2399">
        <v>-84.147796700000001</v>
      </c>
      <c r="L2399" t="s">
        <v>1225</v>
      </c>
      <c r="M2399" t="s">
        <v>27</v>
      </c>
      <c r="N2399" t="s">
        <v>28</v>
      </c>
      <c r="O2399" t="s">
        <v>29</v>
      </c>
      <c r="P2399">
        <v>2</v>
      </c>
      <c r="Q2399" t="s">
        <v>150</v>
      </c>
      <c r="S2399" t="str">
        <f>_xlfn.XLOOKUP(UNIVERSO[[#This Row],[Ruta]],'[1]CUOTA RUTA'!A:A,'[1]CUOTA RUTA'!D:D)</f>
        <v>Cargar</v>
      </c>
    </row>
    <row r="2400" spans="1:19" x14ac:dyDescent="0.25">
      <c r="A2400">
        <v>1500733120</v>
      </c>
      <c r="B2400" t="s">
        <v>4841</v>
      </c>
      <c r="C2400" t="s">
        <v>19</v>
      </c>
      <c r="D2400" t="s">
        <v>201</v>
      </c>
      <c r="E2400" t="s">
        <v>21</v>
      </c>
      <c r="F2400" t="s">
        <v>22</v>
      </c>
      <c r="G2400" t="s">
        <v>23</v>
      </c>
      <c r="H2400" t="s">
        <v>491</v>
      </c>
      <c r="I2400" t="s">
        <v>4842</v>
      </c>
      <c r="J2400">
        <v>9.7014557000000003</v>
      </c>
      <c r="K2400">
        <v>-84.658617699999994</v>
      </c>
      <c r="L2400" t="s">
        <v>1225</v>
      </c>
      <c r="M2400" t="s">
        <v>204</v>
      </c>
      <c r="N2400" t="s">
        <v>205</v>
      </c>
      <c r="O2400" t="s">
        <v>206</v>
      </c>
      <c r="P2400">
        <v>4</v>
      </c>
      <c r="Q2400" t="s">
        <v>120</v>
      </c>
      <c r="S2400" t="str">
        <f>_xlfn.XLOOKUP(UNIVERSO[[#This Row],[Ruta]],'[1]CUOTA RUTA'!A:A,'[1]CUOTA RUTA'!D:D)</f>
        <v>Cargar</v>
      </c>
    </row>
    <row r="2401" spans="1:19" x14ac:dyDescent="0.25">
      <c r="A2401">
        <v>1500733269</v>
      </c>
      <c r="B2401" t="s">
        <v>4843</v>
      </c>
      <c r="C2401" t="s">
        <v>19</v>
      </c>
      <c r="D2401" t="s">
        <v>266</v>
      </c>
      <c r="E2401" t="s">
        <v>21</v>
      </c>
      <c r="F2401" t="s">
        <v>22</v>
      </c>
      <c r="G2401" t="s">
        <v>64</v>
      </c>
      <c r="H2401" t="s">
        <v>366</v>
      </c>
      <c r="I2401" t="s">
        <v>4844</v>
      </c>
      <c r="J2401">
        <v>9.8479399999999995</v>
      </c>
      <c r="K2401">
        <v>-83.906435000000002</v>
      </c>
      <c r="L2401" t="s">
        <v>1225</v>
      </c>
      <c r="M2401" t="s">
        <v>36</v>
      </c>
      <c r="N2401" t="s">
        <v>316</v>
      </c>
      <c r="O2401" t="s">
        <v>317</v>
      </c>
      <c r="P2401">
        <v>17</v>
      </c>
      <c r="Q2401" t="s">
        <v>287</v>
      </c>
      <c r="S2401" t="str">
        <f>_xlfn.XLOOKUP(UNIVERSO[[#This Row],[Ruta]],'[1]CUOTA RUTA'!A:A,'[1]CUOTA RUTA'!D:D)</f>
        <v>Cargar</v>
      </c>
    </row>
    <row r="2402" spans="1:19" x14ac:dyDescent="0.25">
      <c r="A2402">
        <v>1500733271</v>
      </c>
      <c r="B2402" t="s">
        <v>4845</v>
      </c>
      <c r="C2402" t="s">
        <v>19</v>
      </c>
      <c r="D2402" t="s">
        <v>266</v>
      </c>
      <c r="E2402" t="s">
        <v>21</v>
      </c>
      <c r="F2402" t="s">
        <v>22</v>
      </c>
      <c r="G2402" t="s">
        <v>23</v>
      </c>
      <c r="H2402" t="s">
        <v>404</v>
      </c>
      <c r="I2402" t="s">
        <v>4846</v>
      </c>
      <c r="J2402">
        <v>9.8424429999999994</v>
      </c>
      <c r="K2402">
        <v>-83.864158000000003</v>
      </c>
      <c r="L2402" t="s">
        <v>1225</v>
      </c>
      <c r="M2402" t="s">
        <v>36</v>
      </c>
      <c r="N2402" t="s">
        <v>316</v>
      </c>
      <c r="O2402" t="s">
        <v>317</v>
      </c>
      <c r="P2402">
        <v>23</v>
      </c>
      <c r="Q2402" t="s">
        <v>125</v>
      </c>
      <c r="S2402" t="str">
        <f>_xlfn.XLOOKUP(UNIVERSO[[#This Row],[Ruta]],'[1]CUOTA RUTA'!A:A,'[1]CUOTA RUTA'!D:D)</f>
        <v>Cargar</v>
      </c>
    </row>
    <row r="2403" spans="1:19" x14ac:dyDescent="0.25">
      <c r="A2403">
        <v>1500733338</v>
      </c>
      <c r="B2403" t="s">
        <v>4847</v>
      </c>
      <c r="C2403" t="s">
        <v>19</v>
      </c>
      <c r="D2403" t="s">
        <v>324</v>
      </c>
      <c r="E2403" t="s">
        <v>21</v>
      </c>
      <c r="F2403" t="s">
        <v>22</v>
      </c>
      <c r="G2403" t="s">
        <v>33</v>
      </c>
      <c r="H2403" t="s">
        <v>557</v>
      </c>
      <c r="I2403" t="s">
        <v>4848</v>
      </c>
      <c r="J2403">
        <v>10.5035226</v>
      </c>
      <c r="K2403">
        <v>-84.703936400000003</v>
      </c>
      <c r="L2403" t="s">
        <v>1225</v>
      </c>
      <c r="M2403" t="s">
        <v>327</v>
      </c>
      <c r="N2403" t="s">
        <v>328</v>
      </c>
      <c r="O2403" t="s">
        <v>329</v>
      </c>
      <c r="P2403">
        <v>21</v>
      </c>
      <c r="Q2403" t="s">
        <v>239</v>
      </c>
      <c r="S2403" t="str">
        <f>_xlfn.XLOOKUP(UNIVERSO[[#This Row],[Ruta]],'[1]CUOTA RUTA'!A:A,'[1]CUOTA RUTA'!D:D)</f>
        <v>Cargar</v>
      </c>
    </row>
    <row r="2404" spans="1:19" x14ac:dyDescent="0.25">
      <c r="A2404">
        <v>1500733609</v>
      </c>
      <c r="B2404" t="s">
        <v>4849</v>
      </c>
      <c r="C2404" t="s">
        <v>19</v>
      </c>
      <c r="D2404" t="s">
        <v>186</v>
      </c>
      <c r="E2404" t="s">
        <v>21</v>
      </c>
      <c r="F2404" t="s">
        <v>22</v>
      </c>
      <c r="G2404" t="s">
        <v>64</v>
      </c>
      <c r="H2404" t="s">
        <v>420</v>
      </c>
      <c r="I2404" t="s">
        <v>4850</v>
      </c>
      <c r="J2404">
        <v>9.7613520000000005</v>
      </c>
      <c r="K2404">
        <v>-82.971671999999998</v>
      </c>
      <c r="L2404" t="s">
        <v>1225</v>
      </c>
      <c r="M2404" t="s">
        <v>189</v>
      </c>
      <c r="N2404" t="s">
        <v>190</v>
      </c>
      <c r="O2404" t="s">
        <v>191</v>
      </c>
      <c r="P2404">
        <v>18</v>
      </c>
      <c r="Q2404" t="s">
        <v>84</v>
      </c>
      <c r="S2404" t="str">
        <f>_xlfn.XLOOKUP(UNIVERSO[[#This Row],[Ruta]],'[1]CUOTA RUTA'!A:A,'[1]CUOTA RUTA'!D:D)</f>
        <v>Cargar</v>
      </c>
    </row>
    <row r="2405" spans="1:19" x14ac:dyDescent="0.25">
      <c r="A2405">
        <v>1500733683</v>
      </c>
      <c r="B2405" t="s">
        <v>4851</v>
      </c>
      <c r="C2405" t="s">
        <v>19</v>
      </c>
      <c r="D2405" t="s">
        <v>20</v>
      </c>
      <c r="E2405" t="s">
        <v>21</v>
      </c>
      <c r="F2405" t="s">
        <v>22</v>
      </c>
      <c r="G2405" t="s">
        <v>23</v>
      </c>
      <c r="H2405" t="s">
        <v>277</v>
      </c>
      <c r="I2405" t="s">
        <v>4852</v>
      </c>
      <c r="J2405">
        <v>9.9623299999999997</v>
      </c>
      <c r="K2405">
        <v>-84.254900000000006</v>
      </c>
      <c r="L2405" t="s">
        <v>1225</v>
      </c>
      <c r="M2405" t="s">
        <v>54</v>
      </c>
      <c r="N2405" t="s">
        <v>55</v>
      </c>
      <c r="O2405" t="s">
        <v>56</v>
      </c>
      <c r="P2405">
        <v>6</v>
      </c>
      <c r="Q2405" t="s">
        <v>49</v>
      </c>
      <c r="S2405" t="str">
        <f>_xlfn.XLOOKUP(UNIVERSO[[#This Row],[Ruta]],'[1]CUOTA RUTA'!A:A,'[1]CUOTA RUTA'!D:D)</f>
        <v>Cargar</v>
      </c>
    </row>
    <row r="2406" spans="1:19" x14ac:dyDescent="0.25">
      <c r="A2406">
        <v>1500733684</v>
      </c>
      <c r="B2406" t="s">
        <v>3066</v>
      </c>
      <c r="C2406" t="s">
        <v>19</v>
      </c>
      <c r="D2406" t="s">
        <v>324</v>
      </c>
      <c r="E2406" t="s">
        <v>21</v>
      </c>
      <c r="F2406" t="s">
        <v>22</v>
      </c>
      <c r="G2406" t="s">
        <v>64</v>
      </c>
      <c r="H2406" t="s">
        <v>325</v>
      </c>
      <c r="I2406" t="s">
        <v>4853</v>
      </c>
      <c r="J2406">
        <v>10.367939</v>
      </c>
      <c r="K2406">
        <v>-84.548955000000007</v>
      </c>
      <c r="L2406" t="s">
        <v>1225</v>
      </c>
      <c r="M2406" t="s">
        <v>327</v>
      </c>
      <c r="N2406" t="s">
        <v>328</v>
      </c>
      <c r="O2406" t="s">
        <v>329</v>
      </c>
      <c r="P2406">
        <v>14</v>
      </c>
      <c r="Q2406" t="s">
        <v>181</v>
      </c>
      <c r="S2406" t="str">
        <f>_xlfn.XLOOKUP(UNIVERSO[[#This Row],[Ruta]],'[1]CUOTA RUTA'!A:A,'[1]CUOTA RUTA'!D:D)</f>
        <v>Cargar</v>
      </c>
    </row>
    <row r="2407" spans="1:19" x14ac:dyDescent="0.25">
      <c r="A2407">
        <v>1500733721</v>
      </c>
      <c r="B2407" t="s">
        <v>4854</v>
      </c>
      <c r="C2407" t="s">
        <v>19</v>
      </c>
      <c r="D2407" t="s">
        <v>20</v>
      </c>
      <c r="E2407" t="s">
        <v>21</v>
      </c>
      <c r="F2407" t="s">
        <v>22</v>
      </c>
      <c r="G2407" t="s">
        <v>33</v>
      </c>
      <c r="H2407" t="s">
        <v>24</v>
      </c>
      <c r="I2407" t="s">
        <v>4855</v>
      </c>
      <c r="J2407">
        <v>10.01051</v>
      </c>
      <c r="K2407">
        <v>-84.101350999999994</v>
      </c>
      <c r="L2407" t="s">
        <v>1225</v>
      </c>
      <c r="M2407" t="s">
        <v>27</v>
      </c>
      <c r="N2407" t="s">
        <v>28</v>
      </c>
      <c r="O2407" t="s">
        <v>29</v>
      </c>
      <c r="P2407">
        <v>17</v>
      </c>
      <c r="Q2407" t="s">
        <v>287</v>
      </c>
      <c r="S2407" t="str">
        <f>_xlfn.XLOOKUP(UNIVERSO[[#This Row],[Ruta]],'[1]CUOTA RUTA'!A:A,'[1]CUOTA RUTA'!D:D)</f>
        <v>Cargar</v>
      </c>
    </row>
    <row r="2408" spans="1:19" x14ac:dyDescent="0.25">
      <c r="A2408">
        <v>1500733819</v>
      </c>
      <c r="B2408" t="s">
        <v>4856</v>
      </c>
      <c r="C2408" t="s">
        <v>19</v>
      </c>
      <c r="D2408" t="s">
        <v>32</v>
      </c>
      <c r="E2408" t="s">
        <v>21</v>
      </c>
      <c r="F2408" t="s">
        <v>22</v>
      </c>
      <c r="G2408" t="s">
        <v>33</v>
      </c>
      <c r="H2408" t="s">
        <v>174</v>
      </c>
      <c r="I2408" t="s">
        <v>4857</v>
      </c>
      <c r="J2408">
        <v>9.9349430000000005</v>
      </c>
      <c r="K2408">
        <v>-84.089455000000001</v>
      </c>
      <c r="L2408" t="s">
        <v>1225</v>
      </c>
      <c r="M2408" t="s">
        <v>71</v>
      </c>
      <c r="N2408" t="s">
        <v>72</v>
      </c>
      <c r="O2408" t="s">
        <v>73</v>
      </c>
      <c r="P2408">
        <v>1</v>
      </c>
      <c r="Q2408" t="s">
        <v>155</v>
      </c>
      <c r="S2408" t="str">
        <f>_xlfn.XLOOKUP(UNIVERSO[[#This Row],[Ruta]],'[1]CUOTA RUTA'!A:A,'[1]CUOTA RUTA'!D:D)</f>
        <v>Cargar</v>
      </c>
    </row>
    <row r="2409" spans="1:19" x14ac:dyDescent="0.25">
      <c r="A2409">
        <v>1500733852</v>
      </c>
      <c r="B2409" t="s">
        <v>4858</v>
      </c>
      <c r="C2409" t="s">
        <v>19</v>
      </c>
      <c r="D2409" t="s">
        <v>208</v>
      </c>
      <c r="E2409" t="s">
        <v>21</v>
      </c>
      <c r="F2409" t="s">
        <v>22</v>
      </c>
      <c r="G2409" t="s">
        <v>33</v>
      </c>
      <c r="H2409" t="s">
        <v>1794</v>
      </c>
      <c r="I2409" t="s">
        <v>4859</v>
      </c>
      <c r="J2409">
        <v>10.386865</v>
      </c>
      <c r="K2409">
        <v>-83.971369999999993</v>
      </c>
      <c r="L2409" t="s">
        <v>1225</v>
      </c>
      <c r="M2409" t="s">
        <v>189</v>
      </c>
      <c r="N2409" t="s">
        <v>211</v>
      </c>
      <c r="O2409" t="s">
        <v>212</v>
      </c>
      <c r="P2409">
        <v>10</v>
      </c>
      <c r="Q2409" t="s">
        <v>136</v>
      </c>
      <c r="S2409" t="str">
        <f>_xlfn.XLOOKUP(UNIVERSO[[#This Row],[Ruta]],'[1]CUOTA RUTA'!A:A,'[1]CUOTA RUTA'!D:D)</f>
        <v>Cargar</v>
      </c>
    </row>
    <row r="2410" spans="1:19" x14ac:dyDescent="0.25">
      <c r="A2410">
        <v>1500733899</v>
      </c>
      <c r="B2410" t="s">
        <v>4860</v>
      </c>
      <c r="C2410" t="s">
        <v>19</v>
      </c>
      <c r="D2410" t="s">
        <v>20</v>
      </c>
      <c r="E2410" t="s">
        <v>21</v>
      </c>
      <c r="F2410" t="s">
        <v>22</v>
      </c>
      <c r="G2410" t="s">
        <v>64</v>
      </c>
      <c r="H2410" t="s">
        <v>901</v>
      </c>
      <c r="I2410" t="s">
        <v>4861</v>
      </c>
      <c r="J2410">
        <v>10.045519199999999</v>
      </c>
      <c r="K2410">
        <v>-84.345018199999998</v>
      </c>
      <c r="L2410" t="s">
        <v>1225</v>
      </c>
      <c r="M2410" t="s">
        <v>46</v>
      </c>
      <c r="N2410" t="s">
        <v>47</v>
      </c>
      <c r="O2410" t="s">
        <v>48</v>
      </c>
      <c r="P2410">
        <v>5</v>
      </c>
      <c r="Q2410" t="s">
        <v>117</v>
      </c>
      <c r="S2410" t="str">
        <f>_xlfn.XLOOKUP(UNIVERSO[[#This Row],[Ruta]],'[1]CUOTA RUTA'!A:A,'[1]CUOTA RUTA'!D:D)</f>
        <v>Cargar</v>
      </c>
    </row>
    <row r="2411" spans="1:19" x14ac:dyDescent="0.25">
      <c r="A2411">
        <v>1500733961</v>
      </c>
      <c r="B2411" t="s">
        <v>4862</v>
      </c>
      <c r="C2411" t="s">
        <v>19</v>
      </c>
      <c r="D2411" t="s">
        <v>208</v>
      </c>
      <c r="E2411" t="s">
        <v>21</v>
      </c>
      <c r="F2411" t="s">
        <v>22</v>
      </c>
      <c r="G2411" t="s">
        <v>64</v>
      </c>
      <c r="H2411" t="s">
        <v>218</v>
      </c>
      <c r="I2411" t="s">
        <v>4863</v>
      </c>
      <c r="J2411">
        <v>10.21985456</v>
      </c>
      <c r="K2411">
        <v>-83.674070709999995</v>
      </c>
      <c r="L2411" t="s">
        <v>1225</v>
      </c>
      <c r="M2411" t="s">
        <v>189</v>
      </c>
      <c r="N2411" t="s">
        <v>211</v>
      </c>
      <c r="O2411" t="s">
        <v>212</v>
      </c>
      <c r="P2411">
        <v>6</v>
      </c>
      <c r="Q2411" t="s">
        <v>49</v>
      </c>
      <c r="S2411" t="str">
        <f>_xlfn.XLOOKUP(UNIVERSO[[#This Row],[Ruta]],'[1]CUOTA RUTA'!A:A,'[1]CUOTA RUTA'!D:D)</f>
        <v>Cargar</v>
      </c>
    </row>
    <row r="2412" spans="1:19" x14ac:dyDescent="0.25">
      <c r="A2412">
        <v>1500734073</v>
      </c>
      <c r="B2412" t="s">
        <v>4864</v>
      </c>
      <c r="C2412" t="s">
        <v>19</v>
      </c>
      <c r="D2412" t="s">
        <v>266</v>
      </c>
      <c r="E2412" t="s">
        <v>21</v>
      </c>
      <c r="F2412" t="s">
        <v>22</v>
      </c>
      <c r="G2412" t="s">
        <v>64</v>
      </c>
      <c r="H2412" t="s">
        <v>366</v>
      </c>
      <c r="I2412" t="s">
        <v>4865</v>
      </c>
      <c r="J2412">
        <v>9.8308566666669996</v>
      </c>
      <c r="K2412">
        <v>-83.912374999999997</v>
      </c>
      <c r="L2412" t="s">
        <v>1225</v>
      </c>
      <c r="M2412" t="s">
        <v>36</v>
      </c>
      <c r="N2412" t="s">
        <v>316</v>
      </c>
      <c r="O2412" t="s">
        <v>317</v>
      </c>
      <c r="P2412">
        <v>17</v>
      </c>
      <c r="Q2412" t="s">
        <v>287</v>
      </c>
      <c r="S2412" t="str">
        <f>_xlfn.XLOOKUP(UNIVERSO[[#This Row],[Ruta]],'[1]CUOTA RUTA'!A:A,'[1]CUOTA RUTA'!D:D)</f>
        <v>Cargar</v>
      </c>
    </row>
    <row r="2413" spans="1:19" x14ac:dyDescent="0.25">
      <c r="A2413">
        <v>1500734078</v>
      </c>
      <c r="B2413" t="s">
        <v>4866</v>
      </c>
      <c r="C2413" t="s">
        <v>19</v>
      </c>
      <c r="D2413" t="s">
        <v>244</v>
      </c>
      <c r="E2413" t="s">
        <v>21</v>
      </c>
      <c r="F2413" t="s">
        <v>22</v>
      </c>
      <c r="G2413" t="s">
        <v>33</v>
      </c>
      <c r="H2413" t="s">
        <v>1233</v>
      </c>
      <c r="I2413" t="s">
        <v>4867</v>
      </c>
      <c r="J2413">
        <v>9.3658669999999997</v>
      </c>
      <c r="K2413">
        <v>-83.696881000000005</v>
      </c>
      <c r="L2413" t="s">
        <v>1225</v>
      </c>
      <c r="M2413" t="s">
        <v>46</v>
      </c>
      <c r="N2413" t="s">
        <v>247</v>
      </c>
      <c r="O2413" t="s">
        <v>248</v>
      </c>
      <c r="P2413">
        <v>14</v>
      </c>
      <c r="Q2413" t="s">
        <v>181</v>
      </c>
      <c r="S2413" t="str">
        <f>_xlfn.XLOOKUP(UNIVERSO[[#This Row],[Ruta]],'[1]CUOTA RUTA'!A:A,'[1]CUOTA RUTA'!D:D)</f>
        <v>Cargar</v>
      </c>
    </row>
    <row r="2414" spans="1:19" x14ac:dyDescent="0.25">
      <c r="A2414">
        <v>1500734081</v>
      </c>
      <c r="B2414" t="s">
        <v>4868</v>
      </c>
      <c r="C2414" t="s">
        <v>19</v>
      </c>
      <c r="D2414" t="s">
        <v>20</v>
      </c>
      <c r="E2414" t="s">
        <v>21</v>
      </c>
      <c r="F2414" t="s">
        <v>22</v>
      </c>
      <c r="G2414" t="s">
        <v>64</v>
      </c>
      <c r="H2414" t="s">
        <v>1021</v>
      </c>
      <c r="I2414" t="s">
        <v>4869</v>
      </c>
      <c r="J2414">
        <v>10.042526799999999</v>
      </c>
      <c r="K2414">
        <v>-84.261696700000002</v>
      </c>
      <c r="L2414" t="s">
        <v>1225</v>
      </c>
      <c r="M2414" t="s">
        <v>46</v>
      </c>
      <c r="N2414" t="s">
        <v>47</v>
      </c>
      <c r="O2414" t="s">
        <v>48</v>
      </c>
      <c r="P2414">
        <v>4</v>
      </c>
      <c r="Q2414" t="s">
        <v>120</v>
      </c>
      <c r="S2414" t="str">
        <f>_xlfn.XLOOKUP(UNIVERSO[[#This Row],[Ruta]],'[1]CUOTA RUTA'!A:A,'[1]CUOTA RUTA'!D:D)</f>
        <v>Cargar</v>
      </c>
    </row>
    <row r="2415" spans="1:19" x14ac:dyDescent="0.25">
      <c r="A2415">
        <v>1500734280</v>
      </c>
      <c r="B2415" t="s">
        <v>4870</v>
      </c>
      <c r="C2415" t="s">
        <v>19</v>
      </c>
      <c r="D2415" t="s">
        <v>20</v>
      </c>
      <c r="E2415" t="s">
        <v>21</v>
      </c>
      <c r="F2415" t="s">
        <v>51</v>
      </c>
      <c r="G2415" t="s">
        <v>23</v>
      </c>
      <c r="H2415" t="s">
        <v>255</v>
      </c>
      <c r="I2415" t="s">
        <v>4871</v>
      </c>
      <c r="J2415">
        <v>10.077003299999999</v>
      </c>
      <c r="K2415">
        <v>-84.244023299999995</v>
      </c>
      <c r="L2415" t="s">
        <v>1225</v>
      </c>
      <c r="M2415" t="s">
        <v>46</v>
      </c>
      <c r="N2415" t="s">
        <v>47</v>
      </c>
      <c r="O2415" t="s">
        <v>48</v>
      </c>
      <c r="P2415">
        <v>2</v>
      </c>
      <c r="Q2415" t="s">
        <v>150</v>
      </c>
      <c r="S2415" t="str">
        <f>_xlfn.XLOOKUP(UNIVERSO[[#This Row],[Ruta]],'[1]CUOTA RUTA'!A:A,'[1]CUOTA RUTA'!D:D)</f>
        <v>Cargar</v>
      </c>
    </row>
    <row r="2416" spans="1:19" x14ac:dyDescent="0.25">
      <c r="A2416">
        <v>1500734366</v>
      </c>
      <c r="B2416" t="s">
        <v>4872</v>
      </c>
      <c r="C2416" t="s">
        <v>19</v>
      </c>
      <c r="D2416" t="s">
        <v>266</v>
      </c>
      <c r="E2416" t="s">
        <v>21</v>
      </c>
      <c r="F2416" t="s">
        <v>22</v>
      </c>
      <c r="G2416" t="s">
        <v>64</v>
      </c>
      <c r="H2416" t="s">
        <v>314</v>
      </c>
      <c r="I2416" t="s">
        <v>4873</v>
      </c>
      <c r="J2416">
        <v>9.8652083333329994</v>
      </c>
      <c r="K2416">
        <v>-83.911408333330002</v>
      </c>
      <c r="L2416" t="s">
        <v>1225</v>
      </c>
      <c r="M2416" t="s">
        <v>36</v>
      </c>
      <c r="N2416" t="s">
        <v>316</v>
      </c>
      <c r="O2416" t="s">
        <v>317</v>
      </c>
      <c r="P2416">
        <v>16</v>
      </c>
      <c r="Q2416" t="s">
        <v>60</v>
      </c>
      <c r="S2416" t="str">
        <f>_xlfn.XLOOKUP(UNIVERSO[[#This Row],[Ruta]],'[1]CUOTA RUTA'!A:A,'[1]CUOTA RUTA'!D:D)</f>
        <v>Cargar</v>
      </c>
    </row>
    <row r="2417" spans="1:19" x14ac:dyDescent="0.25">
      <c r="A2417">
        <v>1500734393</v>
      </c>
      <c r="B2417" t="s">
        <v>4874</v>
      </c>
      <c r="C2417" t="s">
        <v>19</v>
      </c>
      <c r="D2417" t="s">
        <v>337</v>
      </c>
      <c r="E2417" t="s">
        <v>21</v>
      </c>
      <c r="F2417" t="s">
        <v>22</v>
      </c>
      <c r="G2417" t="s">
        <v>33</v>
      </c>
      <c r="H2417" t="s">
        <v>338</v>
      </c>
      <c r="I2417" t="s">
        <v>4875</v>
      </c>
      <c r="J2417">
        <v>10.368323</v>
      </c>
      <c r="K2417">
        <v>-85.771405000000001</v>
      </c>
      <c r="L2417" t="s">
        <v>1225</v>
      </c>
      <c r="M2417" t="s">
        <v>327</v>
      </c>
      <c r="N2417" t="s">
        <v>340</v>
      </c>
      <c r="O2417" t="s">
        <v>341</v>
      </c>
      <c r="P2417">
        <v>17</v>
      </c>
      <c r="Q2417" t="s">
        <v>287</v>
      </c>
      <c r="S2417" t="str">
        <f>_xlfn.XLOOKUP(UNIVERSO[[#This Row],[Ruta]],'[1]CUOTA RUTA'!A:A,'[1]CUOTA RUTA'!D:D)</f>
        <v>Cargar</v>
      </c>
    </row>
    <row r="2418" spans="1:19" x14ac:dyDescent="0.25">
      <c r="A2418">
        <v>1500734446</v>
      </c>
      <c r="B2418" t="s">
        <v>4876</v>
      </c>
      <c r="C2418" t="s">
        <v>19</v>
      </c>
      <c r="D2418" t="s">
        <v>32</v>
      </c>
      <c r="E2418" t="s">
        <v>21</v>
      </c>
      <c r="F2418" t="s">
        <v>22</v>
      </c>
      <c r="G2418" t="s">
        <v>33</v>
      </c>
      <c r="H2418" t="s">
        <v>716</v>
      </c>
      <c r="I2418" t="s">
        <v>4877</v>
      </c>
      <c r="J2418">
        <v>9.9897883000000007</v>
      </c>
      <c r="K2418">
        <v>-84.089963299999994</v>
      </c>
      <c r="L2418" t="s">
        <v>1225</v>
      </c>
      <c r="M2418" t="s">
        <v>36</v>
      </c>
      <c r="N2418" t="s">
        <v>37</v>
      </c>
      <c r="O2418" t="s">
        <v>38</v>
      </c>
      <c r="P2418">
        <v>2</v>
      </c>
      <c r="Q2418" t="s">
        <v>150</v>
      </c>
      <c r="S2418" t="str">
        <f>_xlfn.XLOOKUP(UNIVERSO[[#This Row],[Ruta]],'[1]CUOTA RUTA'!A:A,'[1]CUOTA RUTA'!D:D)</f>
        <v>Cargar</v>
      </c>
    </row>
    <row r="2419" spans="1:19" x14ac:dyDescent="0.25">
      <c r="A2419">
        <v>1500734616</v>
      </c>
      <c r="B2419" t="s">
        <v>4878</v>
      </c>
      <c r="C2419" t="s">
        <v>19</v>
      </c>
      <c r="D2419" t="s">
        <v>208</v>
      </c>
      <c r="E2419" t="s">
        <v>21</v>
      </c>
      <c r="F2419" t="s">
        <v>22</v>
      </c>
      <c r="G2419" t="s">
        <v>33</v>
      </c>
      <c r="H2419" t="s">
        <v>502</v>
      </c>
      <c r="I2419" t="s">
        <v>4879</v>
      </c>
      <c r="J2419">
        <v>10.287871020000001</v>
      </c>
      <c r="K2419">
        <v>-83.607473369999994</v>
      </c>
      <c r="L2419" t="s">
        <v>1225</v>
      </c>
      <c r="M2419" t="s">
        <v>189</v>
      </c>
      <c r="N2419" t="s">
        <v>211</v>
      </c>
      <c r="O2419" t="s">
        <v>212</v>
      </c>
      <c r="P2419">
        <v>6</v>
      </c>
      <c r="Q2419" t="s">
        <v>49</v>
      </c>
      <c r="S2419" t="str">
        <f>_xlfn.XLOOKUP(UNIVERSO[[#This Row],[Ruta]],'[1]CUOTA RUTA'!A:A,'[1]CUOTA RUTA'!D:D)</f>
        <v>Cargar</v>
      </c>
    </row>
    <row r="2420" spans="1:19" x14ac:dyDescent="0.25">
      <c r="A2420">
        <v>1500734619</v>
      </c>
      <c r="B2420" t="s">
        <v>4880</v>
      </c>
      <c r="C2420" t="s">
        <v>19</v>
      </c>
      <c r="D2420" t="s">
        <v>208</v>
      </c>
      <c r="E2420" t="s">
        <v>21</v>
      </c>
      <c r="F2420" t="s">
        <v>22</v>
      </c>
      <c r="G2420" t="s">
        <v>33</v>
      </c>
      <c r="H2420" t="s">
        <v>1794</v>
      </c>
      <c r="I2420" t="s">
        <v>4881</v>
      </c>
      <c r="J2420">
        <v>10.211992199999999</v>
      </c>
      <c r="K2420">
        <v>-83.779496300000005</v>
      </c>
      <c r="L2420" t="s">
        <v>1225</v>
      </c>
      <c r="M2420" t="s">
        <v>189</v>
      </c>
      <c r="N2420" t="s">
        <v>211</v>
      </c>
      <c r="O2420" t="s">
        <v>212</v>
      </c>
      <c r="P2420">
        <v>4</v>
      </c>
      <c r="Q2420" t="s">
        <v>120</v>
      </c>
      <c r="S2420" t="str">
        <f>_xlfn.XLOOKUP(UNIVERSO[[#This Row],[Ruta]],'[1]CUOTA RUTA'!A:A,'[1]CUOTA RUTA'!D:D)</f>
        <v>Cargar</v>
      </c>
    </row>
    <row r="2421" spans="1:19" x14ac:dyDescent="0.25">
      <c r="A2421">
        <v>1500734620</v>
      </c>
      <c r="B2421" t="s">
        <v>4882</v>
      </c>
      <c r="C2421" t="s">
        <v>19</v>
      </c>
      <c r="D2421" t="s">
        <v>32</v>
      </c>
      <c r="E2421" t="s">
        <v>21</v>
      </c>
      <c r="F2421" t="s">
        <v>22</v>
      </c>
      <c r="G2421" t="s">
        <v>64</v>
      </c>
      <c r="H2421" t="s">
        <v>115</v>
      </c>
      <c r="I2421" t="s">
        <v>4883</v>
      </c>
      <c r="J2421">
        <v>9.9571330000000007</v>
      </c>
      <c r="K2421">
        <v>-84.083678000000006</v>
      </c>
      <c r="L2421" t="s">
        <v>1225</v>
      </c>
      <c r="M2421" t="s">
        <v>36</v>
      </c>
      <c r="N2421" t="s">
        <v>37</v>
      </c>
      <c r="O2421" t="s">
        <v>38</v>
      </c>
      <c r="P2421">
        <v>2</v>
      </c>
      <c r="Q2421" t="s">
        <v>150</v>
      </c>
      <c r="S2421" t="str">
        <f>_xlfn.XLOOKUP(UNIVERSO[[#This Row],[Ruta]],'[1]CUOTA RUTA'!A:A,'[1]CUOTA RUTA'!D:D)</f>
        <v>Cargar</v>
      </c>
    </row>
    <row r="2422" spans="1:19" x14ac:dyDescent="0.25">
      <c r="A2422">
        <v>1500734749</v>
      </c>
      <c r="B2422" t="s">
        <v>4884</v>
      </c>
      <c r="C2422" t="s">
        <v>19</v>
      </c>
      <c r="D2422" t="s">
        <v>32</v>
      </c>
      <c r="E2422" t="s">
        <v>21</v>
      </c>
      <c r="F2422" t="s">
        <v>22</v>
      </c>
      <c r="G2422" t="s">
        <v>33</v>
      </c>
      <c r="H2422" t="s">
        <v>148</v>
      </c>
      <c r="I2422" t="s">
        <v>4885</v>
      </c>
      <c r="J2422">
        <v>9.9835510000000003</v>
      </c>
      <c r="K2422">
        <v>-84.015182999999993</v>
      </c>
      <c r="L2422" t="s">
        <v>1225</v>
      </c>
      <c r="M2422" t="s">
        <v>94</v>
      </c>
      <c r="N2422" t="s">
        <v>95</v>
      </c>
      <c r="O2422" t="s">
        <v>96</v>
      </c>
      <c r="P2422">
        <v>1</v>
      </c>
      <c r="Q2422" t="s">
        <v>155</v>
      </c>
      <c r="S2422" t="str">
        <f>_xlfn.XLOOKUP(UNIVERSO[[#This Row],[Ruta]],'[1]CUOTA RUTA'!A:A,'[1]CUOTA RUTA'!D:D)</f>
        <v>Cargar</v>
      </c>
    </row>
    <row r="2423" spans="1:19" x14ac:dyDescent="0.25">
      <c r="A2423">
        <v>1500734962</v>
      </c>
      <c r="B2423" t="s">
        <v>4886</v>
      </c>
      <c r="C2423" t="s">
        <v>19</v>
      </c>
      <c r="D2423" t="s">
        <v>324</v>
      </c>
      <c r="E2423" t="s">
        <v>21</v>
      </c>
      <c r="F2423" t="s">
        <v>51</v>
      </c>
      <c r="G2423" t="s">
        <v>23</v>
      </c>
      <c r="H2423" t="s">
        <v>390</v>
      </c>
      <c r="I2423" t="s">
        <v>4887</v>
      </c>
      <c r="J2423">
        <v>10.32549</v>
      </c>
      <c r="K2423">
        <v>-84.431030000000007</v>
      </c>
      <c r="L2423" t="s">
        <v>1225</v>
      </c>
      <c r="M2423" t="s">
        <v>327</v>
      </c>
      <c r="N2423" t="s">
        <v>328</v>
      </c>
      <c r="O2423" t="s">
        <v>329</v>
      </c>
      <c r="P2423">
        <v>22</v>
      </c>
      <c r="Q2423" t="s">
        <v>30</v>
      </c>
      <c r="S2423" t="str">
        <f>_xlfn.XLOOKUP(UNIVERSO[[#This Row],[Ruta]],'[1]CUOTA RUTA'!A:A,'[1]CUOTA RUTA'!D:D)</f>
        <v>Cargar</v>
      </c>
    </row>
    <row r="2424" spans="1:19" x14ac:dyDescent="0.25">
      <c r="A2424">
        <v>1500735046</v>
      </c>
      <c r="B2424" t="s">
        <v>4888</v>
      </c>
      <c r="C2424" t="s">
        <v>19</v>
      </c>
      <c r="D2424" t="s">
        <v>208</v>
      </c>
      <c r="E2424" t="s">
        <v>21</v>
      </c>
      <c r="F2424" t="s">
        <v>22</v>
      </c>
      <c r="G2424" t="s">
        <v>33</v>
      </c>
      <c r="H2424" t="s">
        <v>417</v>
      </c>
      <c r="I2424" t="s">
        <v>4889</v>
      </c>
      <c r="J2424">
        <v>10.32060008</v>
      </c>
      <c r="K2424">
        <v>-83.913890960000003</v>
      </c>
      <c r="L2424" t="s">
        <v>1225</v>
      </c>
      <c r="M2424" t="s">
        <v>189</v>
      </c>
      <c r="N2424" t="s">
        <v>211</v>
      </c>
      <c r="O2424" t="s">
        <v>212</v>
      </c>
      <c r="P2424">
        <v>3</v>
      </c>
      <c r="Q2424" t="s">
        <v>101</v>
      </c>
      <c r="S2424" t="str">
        <f>_xlfn.XLOOKUP(UNIVERSO[[#This Row],[Ruta]],'[1]CUOTA RUTA'!A:A,'[1]CUOTA RUTA'!D:D)</f>
        <v>Cargar</v>
      </c>
    </row>
    <row r="2425" spans="1:19" x14ac:dyDescent="0.25">
      <c r="A2425">
        <v>1500735091</v>
      </c>
      <c r="B2425" t="s">
        <v>4890</v>
      </c>
      <c r="C2425" t="s">
        <v>19</v>
      </c>
      <c r="D2425" t="s">
        <v>349</v>
      </c>
      <c r="E2425" t="s">
        <v>21</v>
      </c>
      <c r="F2425" t="s">
        <v>22</v>
      </c>
      <c r="G2425" t="s">
        <v>23</v>
      </c>
      <c r="H2425" t="s">
        <v>356</v>
      </c>
      <c r="I2425" t="s">
        <v>4891</v>
      </c>
      <c r="J2425">
        <v>10.15019961</v>
      </c>
      <c r="K2425">
        <v>-85.452785009999999</v>
      </c>
      <c r="L2425" t="s">
        <v>1225</v>
      </c>
      <c r="M2425" t="s">
        <v>352</v>
      </c>
      <c r="N2425" t="s">
        <v>353</v>
      </c>
      <c r="O2425" t="s">
        <v>354</v>
      </c>
      <c r="P2425">
        <v>13</v>
      </c>
      <c r="Q2425" t="s">
        <v>161</v>
      </c>
      <c r="S2425" t="str">
        <f>_xlfn.XLOOKUP(UNIVERSO[[#This Row],[Ruta]],'[1]CUOTA RUTA'!A:A,'[1]CUOTA RUTA'!D:D)</f>
        <v>Cargar</v>
      </c>
    </row>
    <row r="2426" spans="1:19" x14ac:dyDescent="0.25">
      <c r="A2426">
        <v>1500735239</v>
      </c>
      <c r="B2426" t="s">
        <v>3526</v>
      </c>
      <c r="C2426" t="s">
        <v>19</v>
      </c>
      <c r="D2426" t="s">
        <v>32</v>
      </c>
      <c r="E2426" t="s">
        <v>21</v>
      </c>
      <c r="F2426" t="s">
        <v>51</v>
      </c>
      <c r="G2426" t="s">
        <v>23</v>
      </c>
      <c r="H2426" t="s">
        <v>127</v>
      </c>
      <c r="I2426" t="s">
        <v>4892</v>
      </c>
      <c r="J2426">
        <v>9.7918266666669993</v>
      </c>
      <c r="K2426">
        <v>-84.096258333329999</v>
      </c>
      <c r="L2426" t="s">
        <v>1225</v>
      </c>
      <c r="M2426" t="s">
        <v>54</v>
      </c>
      <c r="N2426" t="s">
        <v>129</v>
      </c>
      <c r="O2426" t="s">
        <v>130</v>
      </c>
      <c r="P2426">
        <v>22</v>
      </c>
      <c r="Q2426" t="s">
        <v>30</v>
      </c>
      <c r="S2426" t="str">
        <f>_xlfn.XLOOKUP(UNIVERSO[[#This Row],[Ruta]],'[1]CUOTA RUTA'!A:A,'[1]CUOTA RUTA'!D:D)</f>
        <v>Cargar</v>
      </c>
    </row>
    <row r="2427" spans="1:19" x14ac:dyDescent="0.25">
      <c r="A2427">
        <v>1500735252</v>
      </c>
      <c r="B2427" t="s">
        <v>4893</v>
      </c>
      <c r="C2427" t="s">
        <v>19</v>
      </c>
      <c r="D2427" t="s">
        <v>208</v>
      </c>
      <c r="E2427" t="s">
        <v>21</v>
      </c>
      <c r="F2427" t="s">
        <v>22</v>
      </c>
      <c r="G2427" t="s">
        <v>33</v>
      </c>
      <c r="H2427" t="s">
        <v>1794</v>
      </c>
      <c r="I2427" t="s">
        <v>4894</v>
      </c>
      <c r="J2427">
        <v>10.359992</v>
      </c>
      <c r="K2427">
        <v>-83.880657999999997</v>
      </c>
      <c r="L2427" t="s">
        <v>1225</v>
      </c>
      <c r="M2427" t="s">
        <v>189</v>
      </c>
      <c r="N2427" t="s">
        <v>211</v>
      </c>
      <c r="O2427" t="s">
        <v>212</v>
      </c>
      <c r="P2427">
        <v>3</v>
      </c>
      <c r="Q2427" t="s">
        <v>101</v>
      </c>
      <c r="S2427" t="str">
        <f>_xlfn.XLOOKUP(UNIVERSO[[#This Row],[Ruta]],'[1]CUOTA RUTA'!A:A,'[1]CUOTA RUTA'!D:D)</f>
        <v>Cargar</v>
      </c>
    </row>
    <row r="2428" spans="1:19" x14ac:dyDescent="0.25">
      <c r="A2428">
        <v>1500735254</v>
      </c>
      <c r="B2428" t="s">
        <v>4895</v>
      </c>
      <c r="C2428" t="s">
        <v>19</v>
      </c>
      <c r="D2428" t="s">
        <v>20</v>
      </c>
      <c r="E2428" t="s">
        <v>21</v>
      </c>
      <c r="F2428" t="s">
        <v>22</v>
      </c>
      <c r="G2428" t="s">
        <v>23</v>
      </c>
      <c r="H2428" t="s">
        <v>24</v>
      </c>
      <c r="I2428" t="s">
        <v>4896</v>
      </c>
      <c r="J2428">
        <v>9.9918958500000006</v>
      </c>
      <c r="K2428">
        <v>-84.101139579999995</v>
      </c>
      <c r="L2428" t="s">
        <v>1225</v>
      </c>
      <c r="M2428" t="s">
        <v>27</v>
      </c>
      <c r="N2428" t="s">
        <v>28</v>
      </c>
      <c r="O2428" t="s">
        <v>29</v>
      </c>
      <c r="P2428">
        <v>18</v>
      </c>
      <c r="Q2428" t="s">
        <v>84</v>
      </c>
      <c r="S2428" t="str">
        <f>_xlfn.XLOOKUP(UNIVERSO[[#This Row],[Ruta]],'[1]CUOTA RUTA'!A:A,'[1]CUOTA RUTA'!D:D)</f>
        <v>Cargar</v>
      </c>
    </row>
    <row r="2429" spans="1:19" x14ac:dyDescent="0.25">
      <c r="A2429">
        <v>1500735383</v>
      </c>
      <c r="B2429" t="s">
        <v>4897</v>
      </c>
      <c r="C2429" t="s">
        <v>19</v>
      </c>
      <c r="D2429" t="s">
        <v>20</v>
      </c>
      <c r="E2429" t="s">
        <v>21</v>
      </c>
      <c r="F2429" t="s">
        <v>22</v>
      </c>
      <c r="G2429" t="s">
        <v>23</v>
      </c>
      <c r="H2429" t="s">
        <v>193</v>
      </c>
      <c r="I2429" t="s">
        <v>4898</v>
      </c>
      <c r="J2429">
        <v>9.9925700000000006</v>
      </c>
      <c r="K2429">
        <v>-84.233919999999998</v>
      </c>
      <c r="L2429" t="s">
        <v>1225</v>
      </c>
      <c r="M2429" t="s">
        <v>54</v>
      </c>
      <c r="N2429" t="s">
        <v>55</v>
      </c>
      <c r="O2429" t="s">
        <v>56</v>
      </c>
      <c r="P2429">
        <v>5</v>
      </c>
      <c r="Q2429" t="s">
        <v>117</v>
      </c>
      <c r="S2429" t="str">
        <f>_xlfn.XLOOKUP(UNIVERSO[[#This Row],[Ruta]],'[1]CUOTA RUTA'!A:A,'[1]CUOTA RUTA'!D:D)</f>
        <v>Cargar</v>
      </c>
    </row>
    <row r="2430" spans="1:19" x14ac:dyDescent="0.25">
      <c r="A2430">
        <v>1500735517</v>
      </c>
      <c r="B2430" t="s">
        <v>4899</v>
      </c>
      <c r="C2430" t="s">
        <v>19</v>
      </c>
      <c r="D2430" t="s">
        <v>266</v>
      </c>
      <c r="E2430" t="s">
        <v>21</v>
      </c>
      <c r="F2430" t="s">
        <v>22</v>
      </c>
      <c r="G2430" t="s">
        <v>33</v>
      </c>
      <c r="H2430" t="s">
        <v>267</v>
      </c>
      <c r="I2430" t="s">
        <v>4900</v>
      </c>
      <c r="J2430">
        <v>9.8550406000000006</v>
      </c>
      <c r="K2430">
        <v>-83.623258899999996</v>
      </c>
      <c r="L2430" t="s">
        <v>1225</v>
      </c>
      <c r="M2430" t="s">
        <v>189</v>
      </c>
      <c r="N2430" t="s">
        <v>269</v>
      </c>
      <c r="O2430" t="s">
        <v>270</v>
      </c>
      <c r="P2430">
        <v>20</v>
      </c>
      <c r="Q2430" t="s">
        <v>74</v>
      </c>
      <c r="S2430" t="str">
        <f>_xlfn.XLOOKUP(UNIVERSO[[#This Row],[Ruta]],'[1]CUOTA RUTA'!A:A,'[1]CUOTA RUTA'!D:D)</f>
        <v>Cargar</v>
      </c>
    </row>
    <row r="2431" spans="1:19" x14ac:dyDescent="0.25">
      <c r="A2431">
        <v>1500735696</v>
      </c>
      <c r="B2431" t="s">
        <v>4901</v>
      </c>
      <c r="C2431" t="s">
        <v>19</v>
      </c>
      <c r="D2431" t="s">
        <v>201</v>
      </c>
      <c r="E2431" t="s">
        <v>21</v>
      </c>
      <c r="F2431" t="s">
        <v>22</v>
      </c>
      <c r="G2431" t="s">
        <v>33</v>
      </c>
      <c r="H2431" t="s">
        <v>593</v>
      </c>
      <c r="I2431" t="s">
        <v>4902</v>
      </c>
      <c r="J2431">
        <v>9.9854708999999993</v>
      </c>
      <c r="K2431">
        <v>-84.772867300000001</v>
      </c>
      <c r="L2431" t="s">
        <v>1225</v>
      </c>
      <c r="M2431" t="s">
        <v>204</v>
      </c>
      <c r="N2431" t="s">
        <v>205</v>
      </c>
      <c r="O2431" t="s">
        <v>206</v>
      </c>
      <c r="P2431">
        <v>10</v>
      </c>
      <c r="Q2431" t="s">
        <v>136</v>
      </c>
      <c r="S2431" t="str">
        <f>_xlfn.XLOOKUP(UNIVERSO[[#This Row],[Ruta]],'[1]CUOTA RUTA'!A:A,'[1]CUOTA RUTA'!D:D)</f>
        <v>Cargar</v>
      </c>
    </row>
    <row r="2432" spans="1:19" x14ac:dyDescent="0.25">
      <c r="A2432">
        <v>1500735912</v>
      </c>
      <c r="B2432" t="s">
        <v>4903</v>
      </c>
      <c r="C2432" t="s">
        <v>19</v>
      </c>
      <c r="D2432" t="s">
        <v>32</v>
      </c>
      <c r="E2432" t="s">
        <v>21</v>
      </c>
      <c r="F2432" t="s">
        <v>22</v>
      </c>
      <c r="G2432" t="s">
        <v>33</v>
      </c>
      <c r="H2432" t="s">
        <v>879</v>
      </c>
      <c r="I2432" t="s">
        <v>4904</v>
      </c>
      <c r="J2432">
        <v>9.9206000000000003</v>
      </c>
      <c r="K2432">
        <v>-84.075159999999997</v>
      </c>
      <c r="L2432" t="s">
        <v>1225</v>
      </c>
      <c r="M2432" t="s">
        <v>71</v>
      </c>
      <c r="N2432" t="s">
        <v>72</v>
      </c>
      <c r="O2432" t="s">
        <v>73</v>
      </c>
      <c r="P2432">
        <v>2</v>
      </c>
      <c r="Q2432" t="s">
        <v>150</v>
      </c>
      <c r="S2432" t="str">
        <f>_xlfn.XLOOKUP(UNIVERSO[[#This Row],[Ruta]],'[1]CUOTA RUTA'!A:A,'[1]CUOTA RUTA'!D:D)</f>
        <v>Cargar</v>
      </c>
    </row>
    <row r="2433" spans="1:19" x14ac:dyDescent="0.25">
      <c r="A2433">
        <v>1500735939</v>
      </c>
      <c r="B2433" t="s">
        <v>4905</v>
      </c>
      <c r="C2433" t="s">
        <v>19</v>
      </c>
      <c r="D2433" t="s">
        <v>244</v>
      </c>
      <c r="E2433" t="s">
        <v>21</v>
      </c>
      <c r="F2433" t="s">
        <v>22</v>
      </c>
      <c r="G2433" t="s">
        <v>33</v>
      </c>
      <c r="H2433" t="s">
        <v>1233</v>
      </c>
      <c r="I2433" t="s">
        <v>4906</v>
      </c>
      <c r="J2433">
        <v>9.3532810000000008</v>
      </c>
      <c r="K2433">
        <v>-83.686750000000004</v>
      </c>
      <c r="L2433" t="s">
        <v>1225</v>
      </c>
      <c r="M2433" t="s">
        <v>46</v>
      </c>
      <c r="N2433" t="s">
        <v>247</v>
      </c>
      <c r="O2433" t="s">
        <v>248</v>
      </c>
      <c r="P2433">
        <v>14</v>
      </c>
      <c r="Q2433" t="s">
        <v>181</v>
      </c>
      <c r="S2433" t="str">
        <f>_xlfn.XLOOKUP(UNIVERSO[[#This Row],[Ruta]],'[1]CUOTA RUTA'!A:A,'[1]CUOTA RUTA'!D:D)</f>
        <v>Cargar</v>
      </c>
    </row>
    <row r="2434" spans="1:19" x14ac:dyDescent="0.25">
      <c r="A2434">
        <v>1500735990</v>
      </c>
      <c r="B2434" t="s">
        <v>4907</v>
      </c>
      <c r="C2434" t="s">
        <v>19</v>
      </c>
      <c r="D2434" t="s">
        <v>349</v>
      </c>
      <c r="E2434" t="s">
        <v>21</v>
      </c>
      <c r="F2434" t="s">
        <v>51</v>
      </c>
      <c r="G2434" t="s">
        <v>23</v>
      </c>
      <c r="H2434" t="s">
        <v>908</v>
      </c>
      <c r="I2434" t="s">
        <v>4908</v>
      </c>
      <c r="J2434">
        <v>10.26816</v>
      </c>
      <c r="K2434">
        <v>-85.583252000000002</v>
      </c>
      <c r="L2434" t="s">
        <v>1225</v>
      </c>
      <c r="M2434" t="s">
        <v>352</v>
      </c>
      <c r="N2434" t="s">
        <v>353</v>
      </c>
      <c r="O2434" t="s">
        <v>354</v>
      </c>
      <c r="P2434">
        <v>2</v>
      </c>
      <c r="Q2434" t="s">
        <v>150</v>
      </c>
      <c r="S2434" t="str">
        <f>_xlfn.XLOOKUP(UNIVERSO[[#This Row],[Ruta]],'[1]CUOTA RUTA'!A:A,'[1]CUOTA RUTA'!D:D)</f>
        <v>Cargar</v>
      </c>
    </row>
    <row r="2435" spans="1:19" x14ac:dyDescent="0.25">
      <c r="A2435">
        <v>1500736115</v>
      </c>
      <c r="B2435" t="s">
        <v>4909</v>
      </c>
      <c r="C2435" t="s">
        <v>19</v>
      </c>
      <c r="D2435" t="s">
        <v>201</v>
      </c>
      <c r="E2435" t="s">
        <v>21</v>
      </c>
      <c r="F2435" t="s">
        <v>22</v>
      </c>
      <c r="G2435" t="s">
        <v>33</v>
      </c>
      <c r="H2435" t="s">
        <v>334</v>
      </c>
      <c r="I2435" t="s">
        <v>4910</v>
      </c>
      <c r="J2435">
        <v>9.9933671999999998</v>
      </c>
      <c r="K2435">
        <v>-84.660262200000005</v>
      </c>
      <c r="L2435" t="s">
        <v>1225</v>
      </c>
      <c r="M2435" t="s">
        <v>204</v>
      </c>
      <c r="N2435" t="s">
        <v>205</v>
      </c>
      <c r="O2435" t="s">
        <v>206</v>
      </c>
      <c r="P2435">
        <v>14</v>
      </c>
      <c r="Q2435" t="s">
        <v>181</v>
      </c>
      <c r="S2435" t="str">
        <f>_xlfn.XLOOKUP(UNIVERSO[[#This Row],[Ruta]],'[1]CUOTA RUTA'!A:A,'[1]CUOTA RUTA'!D:D)</f>
        <v>Cargar</v>
      </c>
    </row>
    <row r="2436" spans="1:19" x14ac:dyDescent="0.25">
      <c r="A2436">
        <v>1500736187</v>
      </c>
      <c r="B2436" t="s">
        <v>4911</v>
      </c>
      <c r="C2436" t="s">
        <v>19</v>
      </c>
      <c r="D2436" t="s">
        <v>32</v>
      </c>
      <c r="E2436" t="s">
        <v>21</v>
      </c>
      <c r="F2436" t="s">
        <v>22</v>
      </c>
      <c r="G2436" t="s">
        <v>33</v>
      </c>
      <c r="H2436" t="s">
        <v>174</v>
      </c>
      <c r="I2436" t="s">
        <v>4912</v>
      </c>
      <c r="J2436">
        <v>9.9374149999999997</v>
      </c>
      <c r="K2436">
        <v>-84.079643000000004</v>
      </c>
      <c r="L2436" t="s">
        <v>1225</v>
      </c>
      <c r="M2436" t="s">
        <v>71</v>
      </c>
      <c r="N2436" t="s">
        <v>72</v>
      </c>
      <c r="O2436" t="s">
        <v>73</v>
      </c>
      <c r="P2436">
        <v>2</v>
      </c>
      <c r="Q2436" t="s">
        <v>150</v>
      </c>
      <c r="S2436" t="str">
        <f>_xlfn.XLOOKUP(UNIVERSO[[#This Row],[Ruta]],'[1]CUOTA RUTA'!A:A,'[1]CUOTA RUTA'!D:D)</f>
        <v>Cargar</v>
      </c>
    </row>
    <row r="2437" spans="1:19" x14ac:dyDescent="0.25">
      <c r="A2437">
        <v>1500736222</v>
      </c>
      <c r="B2437" t="s">
        <v>844</v>
      </c>
      <c r="C2437" t="s">
        <v>19</v>
      </c>
      <c r="D2437" t="s">
        <v>32</v>
      </c>
      <c r="E2437" t="s">
        <v>21</v>
      </c>
      <c r="F2437" t="s">
        <v>51</v>
      </c>
      <c r="G2437" t="s">
        <v>23</v>
      </c>
      <c r="H2437" t="s">
        <v>134</v>
      </c>
      <c r="I2437" t="s">
        <v>4913</v>
      </c>
      <c r="J2437">
        <v>9.9610610000000008</v>
      </c>
      <c r="K2437">
        <v>-84.078479000000002</v>
      </c>
      <c r="L2437" t="s">
        <v>1225</v>
      </c>
      <c r="M2437" t="s">
        <v>94</v>
      </c>
      <c r="N2437" t="s">
        <v>95</v>
      </c>
      <c r="O2437" t="s">
        <v>96</v>
      </c>
      <c r="P2437">
        <v>9</v>
      </c>
      <c r="Q2437" t="s">
        <v>80</v>
      </c>
      <c r="S2437" t="str">
        <f>_xlfn.XLOOKUP(UNIVERSO[[#This Row],[Ruta]],'[1]CUOTA RUTA'!A:A,'[1]CUOTA RUTA'!D:D)</f>
        <v>Cargar</v>
      </c>
    </row>
    <row r="2438" spans="1:19" x14ac:dyDescent="0.25">
      <c r="A2438">
        <v>1500736265</v>
      </c>
      <c r="B2438" t="s">
        <v>4914</v>
      </c>
      <c r="C2438" t="s">
        <v>19</v>
      </c>
      <c r="D2438" t="s">
        <v>186</v>
      </c>
      <c r="E2438" t="s">
        <v>21</v>
      </c>
      <c r="F2438" t="s">
        <v>22</v>
      </c>
      <c r="G2438" t="s">
        <v>64</v>
      </c>
      <c r="H2438" t="s">
        <v>237</v>
      </c>
      <c r="I2438" t="s">
        <v>4915</v>
      </c>
      <c r="J2438">
        <v>10.081522</v>
      </c>
      <c r="K2438">
        <v>-83.344196999999994</v>
      </c>
      <c r="L2438" t="s">
        <v>1225</v>
      </c>
      <c r="M2438" t="s">
        <v>189</v>
      </c>
      <c r="N2438" t="s">
        <v>190</v>
      </c>
      <c r="O2438" t="s">
        <v>191</v>
      </c>
      <c r="P2438">
        <v>21</v>
      </c>
      <c r="Q2438" t="s">
        <v>239</v>
      </c>
      <c r="S2438" t="str">
        <f>_xlfn.XLOOKUP(UNIVERSO[[#This Row],[Ruta]],'[1]CUOTA RUTA'!A:A,'[1]CUOTA RUTA'!D:D)</f>
        <v>Cargar</v>
      </c>
    </row>
    <row r="2439" spans="1:19" x14ac:dyDescent="0.25">
      <c r="A2439">
        <v>1500736291</v>
      </c>
      <c r="B2439" t="s">
        <v>4916</v>
      </c>
      <c r="C2439" t="s">
        <v>19</v>
      </c>
      <c r="D2439" t="s">
        <v>20</v>
      </c>
      <c r="E2439" t="s">
        <v>21</v>
      </c>
      <c r="F2439" t="s">
        <v>22</v>
      </c>
      <c r="G2439" t="s">
        <v>23</v>
      </c>
      <c r="H2439" t="s">
        <v>44</v>
      </c>
      <c r="I2439" t="s">
        <v>4917</v>
      </c>
      <c r="J2439">
        <v>10.063778299999999</v>
      </c>
      <c r="K2439">
        <v>-84.473583300000001</v>
      </c>
      <c r="L2439" t="s">
        <v>1225</v>
      </c>
      <c r="M2439" t="s">
        <v>46</v>
      </c>
      <c r="N2439" t="s">
        <v>47</v>
      </c>
      <c r="O2439" t="s">
        <v>48</v>
      </c>
      <c r="P2439">
        <v>7</v>
      </c>
      <c r="Q2439" t="s">
        <v>39</v>
      </c>
      <c r="S2439" t="str">
        <f>_xlfn.XLOOKUP(UNIVERSO[[#This Row],[Ruta]],'[1]CUOTA RUTA'!A:A,'[1]CUOTA RUTA'!D:D)</f>
        <v>Cargar</v>
      </c>
    </row>
    <row r="2440" spans="1:19" x14ac:dyDescent="0.25">
      <c r="A2440">
        <v>1500736341</v>
      </c>
      <c r="B2440" t="s">
        <v>4918</v>
      </c>
      <c r="C2440" t="s">
        <v>19</v>
      </c>
      <c r="D2440" t="s">
        <v>32</v>
      </c>
      <c r="E2440" t="s">
        <v>21</v>
      </c>
      <c r="F2440" t="s">
        <v>51</v>
      </c>
      <c r="G2440" t="s">
        <v>23</v>
      </c>
      <c r="H2440" t="s">
        <v>103</v>
      </c>
      <c r="I2440" t="s">
        <v>4919</v>
      </c>
      <c r="J2440">
        <v>9.9312366999999995</v>
      </c>
      <c r="K2440">
        <v>-84.075373299999995</v>
      </c>
      <c r="L2440" t="s">
        <v>1225</v>
      </c>
      <c r="M2440" t="s">
        <v>71</v>
      </c>
      <c r="N2440" t="s">
        <v>72</v>
      </c>
      <c r="O2440" t="s">
        <v>73</v>
      </c>
      <c r="P2440">
        <v>5</v>
      </c>
      <c r="Q2440" t="s">
        <v>117</v>
      </c>
      <c r="S2440" t="str">
        <f>_xlfn.XLOOKUP(UNIVERSO[[#This Row],[Ruta]],'[1]CUOTA RUTA'!A:A,'[1]CUOTA RUTA'!D:D)</f>
        <v>Cargar</v>
      </c>
    </row>
    <row r="2441" spans="1:19" x14ac:dyDescent="0.25">
      <c r="A2441">
        <v>1500736464</v>
      </c>
      <c r="B2441" t="s">
        <v>4920</v>
      </c>
      <c r="C2441" t="s">
        <v>19</v>
      </c>
      <c r="D2441" t="s">
        <v>349</v>
      </c>
      <c r="E2441" t="s">
        <v>21</v>
      </c>
      <c r="F2441" t="s">
        <v>22</v>
      </c>
      <c r="G2441" t="s">
        <v>23</v>
      </c>
      <c r="H2441" t="s">
        <v>448</v>
      </c>
      <c r="I2441" t="s">
        <v>4921</v>
      </c>
      <c r="J2441">
        <v>9.9537530000000007</v>
      </c>
      <c r="K2441">
        <v>-85.673190000000005</v>
      </c>
      <c r="L2441" t="s">
        <v>1225</v>
      </c>
      <c r="M2441" t="s">
        <v>352</v>
      </c>
      <c r="N2441" t="s">
        <v>353</v>
      </c>
      <c r="O2441" t="s">
        <v>354</v>
      </c>
      <c r="P2441">
        <v>7</v>
      </c>
      <c r="Q2441" t="s">
        <v>39</v>
      </c>
      <c r="S2441" t="str">
        <f>_xlfn.XLOOKUP(UNIVERSO[[#This Row],[Ruta]],'[1]CUOTA RUTA'!A:A,'[1]CUOTA RUTA'!D:D)</f>
        <v>Cargar</v>
      </c>
    </row>
    <row r="2442" spans="1:19" x14ac:dyDescent="0.25">
      <c r="A2442">
        <v>1500736569</v>
      </c>
      <c r="B2442" t="s">
        <v>4922</v>
      </c>
      <c r="C2442" t="s">
        <v>19</v>
      </c>
      <c r="D2442" t="s">
        <v>208</v>
      </c>
      <c r="E2442" t="s">
        <v>21</v>
      </c>
      <c r="F2442" t="s">
        <v>22</v>
      </c>
      <c r="G2442" t="s">
        <v>33</v>
      </c>
      <c r="H2442" t="s">
        <v>221</v>
      </c>
      <c r="I2442" t="s">
        <v>4923</v>
      </c>
      <c r="J2442">
        <v>10.4521</v>
      </c>
      <c r="K2442">
        <v>-84.024270000000001</v>
      </c>
      <c r="L2442" t="s">
        <v>1225</v>
      </c>
      <c r="M2442" t="s">
        <v>189</v>
      </c>
      <c r="N2442" t="s">
        <v>211</v>
      </c>
      <c r="O2442" t="s">
        <v>212</v>
      </c>
      <c r="P2442">
        <v>10</v>
      </c>
      <c r="Q2442" t="s">
        <v>136</v>
      </c>
      <c r="S2442" t="str">
        <f>_xlfn.XLOOKUP(UNIVERSO[[#This Row],[Ruta]],'[1]CUOTA RUTA'!A:A,'[1]CUOTA RUTA'!D:D)</f>
        <v>Cargar</v>
      </c>
    </row>
    <row r="2443" spans="1:19" x14ac:dyDescent="0.25">
      <c r="A2443">
        <v>1500736605</v>
      </c>
      <c r="B2443" t="s">
        <v>4924</v>
      </c>
      <c r="C2443" t="s">
        <v>19</v>
      </c>
      <c r="D2443" t="s">
        <v>208</v>
      </c>
      <c r="E2443" t="s">
        <v>21</v>
      </c>
      <c r="F2443" t="s">
        <v>22</v>
      </c>
      <c r="G2443" t="s">
        <v>23</v>
      </c>
      <c r="H2443" t="s">
        <v>502</v>
      </c>
      <c r="I2443" t="s">
        <v>4925</v>
      </c>
      <c r="J2443">
        <v>10.278230000000001</v>
      </c>
      <c r="K2443">
        <v>-83.668319999999994</v>
      </c>
      <c r="L2443" t="s">
        <v>1225</v>
      </c>
      <c r="M2443" t="s">
        <v>189</v>
      </c>
      <c r="N2443" t="s">
        <v>211</v>
      </c>
      <c r="O2443" t="s">
        <v>212</v>
      </c>
      <c r="P2443">
        <v>6</v>
      </c>
      <c r="Q2443" t="s">
        <v>49</v>
      </c>
      <c r="S2443" t="str">
        <f>_xlfn.XLOOKUP(UNIVERSO[[#This Row],[Ruta]],'[1]CUOTA RUTA'!A:A,'[1]CUOTA RUTA'!D:D)</f>
        <v>Cargar</v>
      </c>
    </row>
    <row r="2444" spans="1:19" x14ac:dyDescent="0.25">
      <c r="A2444">
        <v>1500736763</v>
      </c>
      <c r="B2444" t="s">
        <v>4926</v>
      </c>
      <c r="C2444" t="s">
        <v>19</v>
      </c>
      <c r="D2444" t="s">
        <v>32</v>
      </c>
      <c r="E2444" t="s">
        <v>21</v>
      </c>
      <c r="F2444" t="s">
        <v>22</v>
      </c>
      <c r="G2444" t="s">
        <v>64</v>
      </c>
      <c r="H2444" t="s">
        <v>716</v>
      </c>
      <c r="I2444" t="s">
        <v>4927</v>
      </c>
      <c r="J2444">
        <v>9.9238750000000007</v>
      </c>
      <c r="K2444">
        <v>-84.051254</v>
      </c>
      <c r="L2444" t="s">
        <v>1225</v>
      </c>
      <c r="M2444" t="s">
        <v>36</v>
      </c>
      <c r="N2444" t="s">
        <v>37</v>
      </c>
      <c r="O2444" t="s">
        <v>38</v>
      </c>
      <c r="P2444">
        <v>7</v>
      </c>
      <c r="Q2444" t="s">
        <v>39</v>
      </c>
      <c r="S2444" t="str">
        <f>_xlfn.XLOOKUP(UNIVERSO[[#This Row],[Ruta]],'[1]CUOTA RUTA'!A:A,'[1]CUOTA RUTA'!D:D)</f>
        <v>Cargar</v>
      </c>
    </row>
    <row r="2445" spans="1:19" x14ac:dyDescent="0.25">
      <c r="A2445">
        <v>1500736897</v>
      </c>
      <c r="B2445" t="s">
        <v>4928</v>
      </c>
      <c r="C2445" t="s">
        <v>19</v>
      </c>
      <c r="D2445" t="s">
        <v>266</v>
      </c>
      <c r="E2445" t="s">
        <v>21</v>
      </c>
      <c r="F2445" t="s">
        <v>22</v>
      </c>
      <c r="G2445" t="s">
        <v>33</v>
      </c>
      <c r="H2445" t="s">
        <v>407</v>
      </c>
      <c r="I2445" t="s">
        <v>4929</v>
      </c>
      <c r="J2445">
        <v>9.6531839999999995</v>
      </c>
      <c r="K2445">
        <v>-83.969747999999996</v>
      </c>
      <c r="L2445" t="s">
        <v>1225</v>
      </c>
      <c r="M2445" t="s">
        <v>409</v>
      </c>
      <c r="N2445" t="s">
        <v>410</v>
      </c>
      <c r="O2445" t="s">
        <v>411</v>
      </c>
      <c r="P2445">
        <v>23</v>
      </c>
      <c r="Q2445" t="s">
        <v>125</v>
      </c>
      <c r="S2445" t="str">
        <f>_xlfn.XLOOKUP(UNIVERSO[[#This Row],[Ruta]],'[1]CUOTA RUTA'!A:A,'[1]CUOTA RUTA'!D:D)</f>
        <v>Cargar</v>
      </c>
    </row>
    <row r="2446" spans="1:19" x14ac:dyDescent="0.25">
      <c r="A2446">
        <v>1500737062</v>
      </c>
      <c r="B2446" t="s">
        <v>4930</v>
      </c>
      <c r="C2446" t="s">
        <v>19</v>
      </c>
      <c r="D2446" t="s">
        <v>20</v>
      </c>
      <c r="E2446" t="s">
        <v>21</v>
      </c>
      <c r="F2446" t="s">
        <v>22</v>
      </c>
      <c r="G2446" t="s">
        <v>64</v>
      </c>
      <c r="H2446" t="s">
        <v>674</v>
      </c>
      <c r="I2446" t="s">
        <v>4931</v>
      </c>
      <c r="J2446">
        <v>10.114819880000001</v>
      </c>
      <c r="K2446">
        <v>-84.449763379999993</v>
      </c>
      <c r="L2446" t="s">
        <v>1225</v>
      </c>
      <c r="M2446" t="s">
        <v>46</v>
      </c>
      <c r="N2446" t="s">
        <v>47</v>
      </c>
      <c r="O2446" t="s">
        <v>48</v>
      </c>
      <c r="P2446">
        <v>6</v>
      </c>
      <c r="Q2446" t="s">
        <v>49</v>
      </c>
      <c r="S2446" t="str">
        <f>_xlfn.XLOOKUP(UNIVERSO[[#This Row],[Ruta]],'[1]CUOTA RUTA'!A:A,'[1]CUOTA RUTA'!D:D)</f>
        <v>Cargar</v>
      </c>
    </row>
    <row r="2447" spans="1:19" x14ac:dyDescent="0.25">
      <c r="A2447">
        <v>1500737105</v>
      </c>
      <c r="B2447" t="s">
        <v>4932</v>
      </c>
      <c r="C2447" t="s">
        <v>19</v>
      </c>
      <c r="D2447" t="s">
        <v>32</v>
      </c>
      <c r="E2447" t="s">
        <v>21</v>
      </c>
      <c r="F2447" t="s">
        <v>22</v>
      </c>
      <c r="G2447" t="s">
        <v>33</v>
      </c>
      <c r="H2447" t="s">
        <v>1345</v>
      </c>
      <c r="I2447" t="s">
        <v>4933</v>
      </c>
      <c r="J2447">
        <v>9.9261090000000003</v>
      </c>
      <c r="K2447">
        <v>-84.073190999999994</v>
      </c>
      <c r="L2447" t="s">
        <v>1225</v>
      </c>
      <c r="M2447" t="s">
        <v>71</v>
      </c>
      <c r="N2447" t="s">
        <v>72</v>
      </c>
      <c r="O2447" t="s">
        <v>73</v>
      </c>
      <c r="P2447">
        <v>5</v>
      </c>
      <c r="Q2447" t="s">
        <v>117</v>
      </c>
      <c r="S2447" t="str">
        <f>_xlfn.XLOOKUP(UNIVERSO[[#This Row],[Ruta]],'[1]CUOTA RUTA'!A:A,'[1]CUOTA RUTA'!D:D)</f>
        <v>Cargar</v>
      </c>
    </row>
    <row r="2448" spans="1:19" x14ac:dyDescent="0.25">
      <c r="A2448">
        <v>1500737180</v>
      </c>
      <c r="B2448" t="s">
        <v>4934</v>
      </c>
      <c r="C2448" t="s">
        <v>19</v>
      </c>
      <c r="D2448" t="s">
        <v>244</v>
      </c>
      <c r="E2448" t="s">
        <v>21</v>
      </c>
      <c r="F2448" t="s">
        <v>22</v>
      </c>
      <c r="G2448" t="s">
        <v>23</v>
      </c>
      <c r="H2448" t="s">
        <v>525</v>
      </c>
      <c r="I2448" t="s">
        <v>4935</v>
      </c>
      <c r="J2448">
        <v>9.5734519999999996</v>
      </c>
      <c r="K2448">
        <v>-84.545766</v>
      </c>
      <c r="L2448" t="s">
        <v>1225</v>
      </c>
      <c r="M2448" t="s">
        <v>46</v>
      </c>
      <c r="N2448" t="s">
        <v>247</v>
      </c>
      <c r="O2448" t="s">
        <v>248</v>
      </c>
      <c r="P2448">
        <v>23</v>
      </c>
      <c r="Q2448" t="s">
        <v>125</v>
      </c>
      <c r="S2448" t="str">
        <f>_xlfn.XLOOKUP(UNIVERSO[[#This Row],[Ruta]],'[1]CUOTA RUTA'!A:A,'[1]CUOTA RUTA'!D:D)</f>
        <v>Cargar</v>
      </c>
    </row>
    <row r="2449" spans="1:19" x14ac:dyDescent="0.25">
      <c r="A2449">
        <v>1500737193</v>
      </c>
      <c r="B2449" t="s">
        <v>4936</v>
      </c>
      <c r="C2449" t="s">
        <v>19</v>
      </c>
      <c r="D2449" t="s">
        <v>324</v>
      </c>
      <c r="E2449" t="s">
        <v>21</v>
      </c>
      <c r="F2449" t="s">
        <v>22</v>
      </c>
      <c r="G2449" t="s">
        <v>23</v>
      </c>
      <c r="H2449" t="s">
        <v>396</v>
      </c>
      <c r="I2449" t="s">
        <v>4937</v>
      </c>
      <c r="J2449">
        <v>10.342460000000001</v>
      </c>
      <c r="K2449">
        <v>-84.21593</v>
      </c>
      <c r="L2449" t="s">
        <v>1225</v>
      </c>
      <c r="M2449" t="s">
        <v>327</v>
      </c>
      <c r="N2449" t="s">
        <v>328</v>
      </c>
      <c r="O2449" t="s">
        <v>329</v>
      </c>
      <c r="P2449">
        <v>16</v>
      </c>
      <c r="Q2449" t="s">
        <v>60</v>
      </c>
      <c r="S2449" t="str">
        <f>_xlfn.XLOOKUP(UNIVERSO[[#This Row],[Ruta]],'[1]CUOTA RUTA'!A:A,'[1]CUOTA RUTA'!D:D)</f>
        <v>Cargar</v>
      </c>
    </row>
    <row r="2450" spans="1:19" x14ac:dyDescent="0.25">
      <c r="A2450">
        <v>1500737251</v>
      </c>
      <c r="B2450" t="s">
        <v>4938</v>
      </c>
      <c r="C2450" t="s">
        <v>19</v>
      </c>
      <c r="D2450" t="s">
        <v>337</v>
      </c>
      <c r="E2450" t="s">
        <v>21</v>
      </c>
      <c r="F2450" t="s">
        <v>22</v>
      </c>
      <c r="G2450" t="s">
        <v>23</v>
      </c>
      <c r="H2450" t="s">
        <v>451</v>
      </c>
      <c r="I2450" t="s">
        <v>4939</v>
      </c>
      <c r="J2450">
        <v>10.641303349999999</v>
      </c>
      <c r="K2450">
        <v>-85.433253750000006</v>
      </c>
      <c r="L2450" t="s">
        <v>1225</v>
      </c>
      <c r="M2450" t="s">
        <v>327</v>
      </c>
      <c r="N2450" t="s">
        <v>340</v>
      </c>
      <c r="O2450" t="s">
        <v>341</v>
      </c>
      <c r="P2450">
        <v>12</v>
      </c>
      <c r="Q2450" t="s">
        <v>42</v>
      </c>
      <c r="S2450" t="str">
        <f>_xlfn.XLOOKUP(UNIVERSO[[#This Row],[Ruta]],'[1]CUOTA RUTA'!A:A,'[1]CUOTA RUTA'!D:D)</f>
        <v>Cargar</v>
      </c>
    </row>
    <row r="2451" spans="1:19" x14ac:dyDescent="0.25">
      <c r="A2451">
        <v>1500737335</v>
      </c>
      <c r="B2451" t="s">
        <v>4940</v>
      </c>
      <c r="C2451" t="s">
        <v>19</v>
      </c>
      <c r="D2451" t="s">
        <v>32</v>
      </c>
      <c r="E2451" t="s">
        <v>21</v>
      </c>
      <c r="F2451" t="s">
        <v>22</v>
      </c>
      <c r="G2451" t="s">
        <v>64</v>
      </c>
      <c r="H2451" t="s">
        <v>92</v>
      </c>
      <c r="I2451" t="s">
        <v>4941</v>
      </c>
      <c r="J2451">
        <v>9.9617839999999998</v>
      </c>
      <c r="K2451">
        <v>-84.033591999999999</v>
      </c>
      <c r="L2451" t="s">
        <v>1225</v>
      </c>
      <c r="M2451" t="s">
        <v>94</v>
      </c>
      <c r="N2451" t="s">
        <v>95</v>
      </c>
      <c r="O2451" t="s">
        <v>96</v>
      </c>
      <c r="P2451">
        <v>8</v>
      </c>
      <c r="Q2451" t="s">
        <v>97</v>
      </c>
      <c r="S2451" t="str">
        <f>_xlfn.XLOOKUP(UNIVERSO[[#This Row],[Ruta]],'[1]CUOTA RUTA'!A:A,'[1]CUOTA RUTA'!D:D)</f>
        <v>Cargar</v>
      </c>
    </row>
    <row r="2452" spans="1:19" x14ac:dyDescent="0.25">
      <c r="A2452">
        <v>1500737473</v>
      </c>
      <c r="B2452" t="s">
        <v>4942</v>
      </c>
      <c r="C2452" t="s">
        <v>19</v>
      </c>
      <c r="D2452" t="s">
        <v>208</v>
      </c>
      <c r="E2452" t="s">
        <v>21</v>
      </c>
      <c r="F2452" t="s">
        <v>22</v>
      </c>
      <c r="G2452" t="s">
        <v>33</v>
      </c>
      <c r="H2452" t="s">
        <v>631</v>
      </c>
      <c r="I2452" t="s">
        <v>4943</v>
      </c>
      <c r="J2452">
        <v>10.32513818</v>
      </c>
      <c r="K2452">
        <v>-83.651899880000002</v>
      </c>
      <c r="L2452" t="s">
        <v>1225</v>
      </c>
      <c r="M2452" t="s">
        <v>189</v>
      </c>
      <c r="N2452" t="s">
        <v>211</v>
      </c>
      <c r="O2452" t="s">
        <v>212</v>
      </c>
      <c r="P2452">
        <v>6</v>
      </c>
      <c r="Q2452" t="s">
        <v>49</v>
      </c>
      <c r="S2452" t="str">
        <f>_xlfn.XLOOKUP(UNIVERSO[[#This Row],[Ruta]],'[1]CUOTA RUTA'!A:A,'[1]CUOTA RUTA'!D:D)</f>
        <v>Cargar</v>
      </c>
    </row>
    <row r="2453" spans="1:19" x14ac:dyDescent="0.25">
      <c r="A2453">
        <v>1500737533</v>
      </c>
      <c r="B2453" t="s">
        <v>318</v>
      </c>
      <c r="C2453" t="s">
        <v>19</v>
      </c>
      <c r="D2453" t="s">
        <v>32</v>
      </c>
      <c r="E2453" t="s">
        <v>21</v>
      </c>
      <c r="F2453" t="s">
        <v>22</v>
      </c>
      <c r="G2453" t="s">
        <v>23</v>
      </c>
      <c r="H2453" t="s">
        <v>716</v>
      </c>
      <c r="I2453" t="s">
        <v>4944</v>
      </c>
      <c r="J2453">
        <v>9.9097000000000008</v>
      </c>
      <c r="K2453">
        <v>-84.072540000000004</v>
      </c>
      <c r="L2453" t="s">
        <v>1225</v>
      </c>
      <c r="M2453" t="s">
        <v>36</v>
      </c>
      <c r="N2453" t="s">
        <v>37</v>
      </c>
      <c r="O2453" t="s">
        <v>38</v>
      </c>
      <c r="P2453">
        <v>13</v>
      </c>
      <c r="Q2453" t="s">
        <v>161</v>
      </c>
      <c r="S2453" t="str">
        <f>_xlfn.XLOOKUP(UNIVERSO[[#This Row],[Ruta]],'[1]CUOTA RUTA'!A:A,'[1]CUOTA RUTA'!D:D)</f>
        <v>Cargar</v>
      </c>
    </row>
    <row r="2454" spans="1:19" x14ac:dyDescent="0.25">
      <c r="A2454">
        <v>1500737611</v>
      </c>
      <c r="B2454" t="s">
        <v>2326</v>
      </c>
      <c r="C2454" t="s">
        <v>19</v>
      </c>
      <c r="D2454" t="s">
        <v>266</v>
      </c>
      <c r="E2454" t="s">
        <v>21</v>
      </c>
      <c r="F2454" t="s">
        <v>22</v>
      </c>
      <c r="G2454" t="s">
        <v>33</v>
      </c>
      <c r="H2454" t="s">
        <v>267</v>
      </c>
      <c r="I2454" t="s">
        <v>4945</v>
      </c>
      <c r="J2454">
        <v>9.9045372900000004</v>
      </c>
      <c r="K2454">
        <v>-83.680278099999995</v>
      </c>
      <c r="L2454" t="s">
        <v>1225</v>
      </c>
      <c r="M2454" t="s">
        <v>189</v>
      </c>
      <c r="N2454" t="s">
        <v>269</v>
      </c>
      <c r="O2454" t="s">
        <v>270</v>
      </c>
      <c r="P2454">
        <v>20</v>
      </c>
      <c r="Q2454" t="s">
        <v>74</v>
      </c>
      <c r="S2454" t="str">
        <f>_xlfn.XLOOKUP(UNIVERSO[[#This Row],[Ruta]],'[1]CUOTA RUTA'!A:A,'[1]CUOTA RUTA'!D:D)</f>
        <v>Cargar</v>
      </c>
    </row>
    <row r="2455" spans="1:19" x14ac:dyDescent="0.25">
      <c r="A2455">
        <v>1500737666</v>
      </c>
      <c r="B2455" t="s">
        <v>4946</v>
      </c>
      <c r="C2455" t="s">
        <v>19</v>
      </c>
      <c r="D2455" t="s">
        <v>201</v>
      </c>
      <c r="E2455" t="s">
        <v>21</v>
      </c>
      <c r="F2455" t="s">
        <v>22</v>
      </c>
      <c r="G2455" t="s">
        <v>23</v>
      </c>
      <c r="H2455" t="s">
        <v>202</v>
      </c>
      <c r="I2455" t="s">
        <v>4947</v>
      </c>
      <c r="J2455">
        <v>9.9806030000000003</v>
      </c>
      <c r="K2455">
        <v>-84.72081</v>
      </c>
      <c r="L2455" t="s">
        <v>1225</v>
      </c>
      <c r="M2455" t="s">
        <v>204</v>
      </c>
      <c r="N2455" t="s">
        <v>205</v>
      </c>
      <c r="O2455" t="s">
        <v>206</v>
      </c>
      <c r="P2455">
        <v>8</v>
      </c>
      <c r="Q2455" t="s">
        <v>97</v>
      </c>
      <c r="S2455" t="str">
        <f>_xlfn.XLOOKUP(UNIVERSO[[#This Row],[Ruta]],'[1]CUOTA RUTA'!A:A,'[1]CUOTA RUTA'!D:D)</f>
        <v>Cargar</v>
      </c>
    </row>
    <row r="2456" spans="1:19" x14ac:dyDescent="0.25">
      <c r="A2456">
        <v>1500737695</v>
      </c>
      <c r="B2456" t="s">
        <v>4948</v>
      </c>
      <c r="C2456" t="s">
        <v>19</v>
      </c>
      <c r="D2456" t="s">
        <v>349</v>
      </c>
      <c r="E2456" t="s">
        <v>21</v>
      </c>
      <c r="F2456" t="s">
        <v>22</v>
      </c>
      <c r="G2456" t="s">
        <v>33</v>
      </c>
      <c r="H2456" t="s">
        <v>496</v>
      </c>
      <c r="I2456" t="s">
        <v>4949</v>
      </c>
      <c r="J2456">
        <v>10.271272</v>
      </c>
      <c r="K2456">
        <v>-85.581146000000004</v>
      </c>
      <c r="L2456" t="s">
        <v>1225</v>
      </c>
      <c r="M2456" t="s">
        <v>352</v>
      </c>
      <c r="N2456" t="s">
        <v>353</v>
      </c>
      <c r="O2456" t="s">
        <v>354</v>
      </c>
      <c r="P2456">
        <v>2</v>
      </c>
      <c r="Q2456" t="s">
        <v>150</v>
      </c>
      <c r="S2456" t="str">
        <f>_xlfn.XLOOKUP(UNIVERSO[[#This Row],[Ruta]],'[1]CUOTA RUTA'!A:A,'[1]CUOTA RUTA'!D:D)</f>
        <v>Cargar</v>
      </c>
    </row>
    <row r="2457" spans="1:19" x14ac:dyDescent="0.25">
      <c r="A2457">
        <v>1500737728</v>
      </c>
      <c r="B2457" t="s">
        <v>4950</v>
      </c>
      <c r="C2457" t="s">
        <v>19</v>
      </c>
      <c r="D2457" t="s">
        <v>20</v>
      </c>
      <c r="E2457" t="s">
        <v>21</v>
      </c>
      <c r="F2457" t="s">
        <v>22</v>
      </c>
      <c r="G2457" t="s">
        <v>64</v>
      </c>
      <c r="H2457" t="s">
        <v>308</v>
      </c>
      <c r="I2457" t="s">
        <v>4951</v>
      </c>
      <c r="J2457">
        <v>9.8595699999999997</v>
      </c>
      <c r="K2457">
        <v>-84.291420000000002</v>
      </c>
      <c r="L2457" t="s">
        <v>1225</v>
      </c>
      <c r="M2457" t="s">
        <v>54</v>
      </c>
      <c r="N2457" t="s">
        <v>55</v>
      </c>
      <c r="O2457" t="s">
        <v>56</v>
      </c>
      <c r="P2457">
        <v>22</v>
      </c>
      <c r="Q2457" t="s">
        <v>30</v>
      </c>
      <c r="S2457" t="str">
        <f>_xlfn.XLOOKUP(UNIVERSO[[#This Row],[Ruta]],'[1]CUOTA RUTA'!A:A,'[1]CUOTA RUTA'!D:D)</f>
        <v>Cargar</v>
      </c>
    </row>
    <row r="2458" spans="1:19" x14ac:dyDescent="0.25">
      <c r="A2458">
        <v>1500737779</v>
      </c>
      <c r="B2458" t="s">
        <v>4952</v>
      </c>
      <c r="C2458" t="s">
        <v>19</v>
      </c>
      <c r="D2458" t="s">
        <v>32</v>
      </c>
      <c r="E2458" t="s">
        <v>21</v>
      </c>
      <c r="F2458" t="s">
        <v>22</v>
      </c>
      <c r="G2458" t="s">
        <v>23</v>
      </c>
      <c r="H2458" t="s">
        <v>716</v>
      </c>
      <c r="I2458" t="s">
        <v>4953</v>
      </c>
      <c r="J2458">
        <v>9.9121729999999992</v>
      </c>
      <c r="K2458">
        <v>-84.068942000000007</v>
      </c>
      <c r="L2458" t="s">
        <v>1225</v>
      </c>
      <c r="M2458" t="s">
        <v>36</v>
      </c>
      <c r="N2458" t="s">
        <v>37</v>
      </c>
      <c r="O2458" t="s">
        <v>38</v>
      </c>
      <c r="P2458">
        <v>12</v>
      </c>
      <c r="Q2458" t="s">
        <v>42</v>
      </c>
      <c r="S2458" t="str">
        <f>_xlfn.XLOOKUP(UNIVERSO[[#This Row],[Ruta]],'[1]CUOTA RUTA'!A:A,'[1]CUOTA RUTA'!D:D)</f>
        <v>Cargar</v>
      </c>
    </row>
    <row r="2459" spans="1:19" x14ac:dyDescent="0.25">
      <c r="A2459">
        <v>1500737821</v>
      </c>
      <c r="B2459" t="s">
        <v>4954</v>
      </c>
      <c r="C2459" t="s">
        <v>19</v>
      </c>
      <c r="D2459" t="s">
        <v>337</v>
      </c>
      <c r="E2459" t="s">
        <v>21</v>
      </c>
      <c r="F2459" t="s">
        <v>22</v>
      </c>
      <c r="G2459" t="s">
        <v>33</v>
      </c>
      <c r="H2459" t="s">
        <v>824</v>
      </c>
      <c r="I2459" t="s">
        <v>4955</v>
      </c>
      <c r="J2459">
        <v>11.01598568</v>
      </c>
      <c r="K2459">
        <v>-85.724368209999994</v>
      </c>
      <c r="L2459" t="s">
        <v>1225</v>
      </c>
      <c r="M2459" t="s">
        <v>327</v>
      </c>
      <c r="N2459" t="s">
        <v>340</v>
      </c>
      <c r="O2459" t="s">
        <v>341</v>
      </c>
      <c r="P2459">
        <v>15</v>
      </c>
      <c r="Q2459" t="s">
        <v>231</v>
      </c>
      <c r="S2459" t="str">
        <f>_xlfn.XLOOKUP(UNIVERSO[[#This Row],[Ruta]],'[1]CUOTA RUTA'!A:A,'[1]CUOTA RUTA'!D:D)</f>
        <v>Cargar</v>
      </c>
    </row>
    <row r="2460" spans="1:19" x14ac:dyDescent="0.25">
      <c r="A2460">
        <v>1500737960</v>
      </c>
      <c r="B2460" t="s">
        <v>4956</v>
      </c>
      <c r="C2460" t="s">
        <v>19</v>
      </c>
      <c r="D2460" t="s">
        <v>266</v>
      </c>
      <c r="E2460" t="s">
        <v>21</v>
      </c>
      <c r="F2460" t="s">
        <v>22</v>
      </c>
      <c r="G2460" t="s">
        <v>33</v>
      </c>
      <c r="H2460" t="s">
        <v>703</v>
      </c>
      <c r="I2460" t="s">
        <v>4957</v>
      </c>
      <c r="J2460">
        <v>9.8474000000000004</v>
      </c>
      <c r="K2460">
        <v>-83.936599999999999</v>
      </c>
      <c r="L2460" t="s">
        <v>1225</v>
      </c>
      <c r="M2460" t="s">
        <v>36</v>
      </c>
      <c r="N2460" t="s">
        <v>316</v>
      </c>
      <c r="O2460" t="s">
        <v>317</v>
      </c>
      <c r="P2460">
        <v>17</v>
      </c>
      <c r="Q2460" t="s">
        <v>287</v>
      </c>
      <c r="S2460" t="str">
        <f>_xlfn.XLOOKUP(UNIVERSO[[#This Row],[Ruta]],'[1]CUOTA RUTA'!A:A,'[1]CUOTA RUTA'!D:D)</f>
        <v>Cargar</v>
      </c>
    </row>
    <row r="2461" spans="1:19" x14ac:dyDescent="0.25">
      <c r="A2461">
        <v>1500737980</v>
      </c>
      <c r="B2461" t="s">
        <v>4958</v>
      </c>
      <c r="C2461" t="s">
        <v>19</v>
      </c>
      <c r="D2461" t="s">
        <v>32</v>
      </c>
      <c r="E2461" t="s">
        <v>21</v>
      </c>
      <c r="F2461" t="s">
        <v>22</v>
      </c>
      <c r="G2461" t="s">
        <v>33</v>
      </c>
      <c r="H2461" t="s">
        <v>34</v>
      </c>
      <c r="I2461" t="s">
        <v>4959</v>
      </c>
      <c r="J2461">
        <v>9.9816740999999993</v>
      </c>
      <c r="K2461">
        <v>-84.089506</v>
      </c>
      <c r="L2461" t="s">
        <v>1225</v>
      </c>
      <c r="M2461" t="s">
        <v>36</v>
      </c>
      <c r="N2461" t="s">
        <v>37</v>
      </c>
      <c r="O2461" t="s">
        <v>38</v>
      </c>
      <c r="P2461">
        <v>1</v>
      </c>
      <c r="Q2461" t="s">
        <v>155</v>
      </c>
      <c r="S2461" t="str">
        <f>_xlfn.XLOOKUP(UNIVERSO[[#This Row],[Ruta]],'[1]CUOTA RUTA'!A:A,'[1]CUOTA RUTA'!D:D)</f>
        <v>Cargar</v>
      </c>
    </row>
    <row r="2462" spans="1:19" x14ac:dyDescent="0.25">
      <c r="A2462">
        <v>1500738118</v>
      </c>
      <c r="B2462" t="s">
        <v>4960</v>
      </c>
      <c r="C2462" t="s">
        <v>19</v>
      </c>
      <c r="D2462" t="s">
        <v>266</v>
      </c>
      <c r="E2462" t="s">
        <v>21</v>
      </c>
      <c r="F2462" t="s">
        <v>22</v>
      </c>
      <c r="G2462" t="s">
        <v>33</v>
      </c>
      <c r="H2462" t="s">
        <v>706</v>
      </c>
      <c r="I2462" t="s">
        <v>4961</v>
      </c>
      <c r="J2462">
        <v>9.8572980000000001</v>
      </c>
      <c r="K2462">
        <v>-83.932567000000006</v>
      </c>
      <c r="L2462" t="s">
        <v>1225</v>
      </c>
      <c r="M2462" t="s">
        <v>36</v>
      </c>
      <c r="N2462" t="s">
        <v>316</v>
      </c>
      <c r="O2462" t="s">
        <v>317</v>
      </c>
      <c r="P2462">
        <v>18</v>
      </c>
      <c r="Q2462" t="s">
        <v>84</v>
      </c>
      <c r="S2462" t="str">
        <f>_xlfn.XLOOKUP(UNIVERSO[[#This Row],[Ruta]],'[1]CUOTA RUTA'!A:A,'[1]CUOTA RUTA'!D:D)</f>
        <v>Cargar</v>
      </c>
    </row>
    <row r="2463" spans="1:19" x14ac:dyDescent="0.25">
      <c r="A2463">
        <v>1500738145</v>
      </c>
      <c r="B2463" t="s">
        <v>4962</v>
      </c>
      <c r="C2463" t="s">
        <v>19</v>
      </c>
      <c r="D2463" t="s">
        <v>349</v>
      </c>
      <c r="E2463" t="s">
        <v>21</v>
      </c>
      <c r="F2463" t="s">
        <v>22</v>
      </c>
      <c r="G2463" t="s">
        <v>33</v>
      </c>
      <c r="H2463" t="s">
        <v>908</v>
      </c>
      <c r="I2463" t="s">
        <v>4963</v>
      </c>
      <c r="J2463">
        <v>10.059028</v>
      </c>
      <c r="K2463">
        <v>-85.418315000000007</v>
      </c>
      <c r="L2463" t="s">
        <v>1225</v>
      </c>
      <c r="M2463" t="s">
        <v>352</v>
      </c>
      <c r="N2463" t="s">
        <v>353</v>
      </c>
      <c r="O2463" t="s">
        <v>354</v>
      </c>
      <c r="P2463">
        <v>16</v>
      </c>
      <c r="Q2463" t="s">
        <v>60</v>
      </c>
      <c r="S2463" t="str">
        <f>_xlfn.XLOOKUP(UNIVERSO[[#This Row],[Ruta]],'[1]CUOTA RUTA'!A:A,'[1]CUOTA RUTA'!D:D)</f>
        <v>Cargar</v>
      </c>
    </row>
    <row r="2464" spans="1:19" x14ac:dyDescent="0.25">
      <c r="A2464">
        <v>1500738227</v>
      </c>
      <c r="B2464" t="s">
        <v>2508</v>
      </c>
      <c r="C2464" t="s">
        <v>19</v>
      </c>
      <c r="D2464" t="s">
        <v>32</v>
      </c>
      <c r="E2464" t="s">
        <v>21</v>
      </c>
      <c r="F2464" t="s">
        <v>22</v>
      </c>
      <c r="G2464" t="s">
        <v>23</v>
      </c>
      <c r="H2464" t="s">
        <v>1113</v>
      </c>
      <c r="I2464" t="s">
        <v>4964</v>
      </c>
      <c r="J2464">
        <v>9.9393139999999995</v>
      </c>
      <c r="K2464">
        <v>-84.030458999999993</v>
      </c>
      <c r="L2464" t="s">
        <v>1225</v>
      </c>
      <c r="M2464" t="s">
        <v>36</v>
      </c>
      <c r="N2464" t="s">
        <v>37</v>
      </c>
      <c r="O2464" t="s">
        <v>38</v>
      </c>
      <c r="P2464">
        <v>8</v>
      </c>
      <c r="Q2464" t="s">
        <v>97</v>
      </c>
      <c r="S2464" t="str">
        <f>_xlfn.XLOOKUP(UNIVERSO[[#This Row],[Ruta]],'[1]CUOTA RUTA'!A:A,'[1]CUOTA RUTA'!D:D)</f>
        <v>Cargar</v>
      </c>
    </row>
    <row r="2465" spans="1:19" x14ac:dyDescent="0.25">
      <c r="A2465">
        <v>1500738276</v>
      </c>
      <c r="B2465" t="s">
        <v>4965</v>
      </c>
      <c r="C2465" t="s">
        <v>19</v>
      </c>
      <c r="D2465" t="s">
        <v>32</v>
      </c>
      <c r="E2465" t="s">
        <v>21</v>
      </c>
      <c r="F2465" t="s">
        <v>22</v>
      </c>
      <c r="G2465" t="s">
        <v>33</v>
      </c>
      <c r="H2465" t="s">
        <v>115</v>
      </c>
      <c r="I2465" t="s">
        <v>4966</v>
      </c>
      <c r="J2465">
        <v>9.9466649999999994</v>
      </c>
      <c r="K2465">
        <v>-84.077830000000006</v>
      </c>
      <c r="L2465" t="s">
        <v>1225</v>
      </c>
      <c r="M2465" t="s">
        <v>36</v>
      </c>
      <c r="N2465" t="s">
        <v>37</v>
      </c>
      <c r="O2465" t="s">
        <v>38</v>
      </c>
      <c r="P2465">
        <v>5</v>
      </c>
      <c r="Q2465" t="s">
        <v>117</v>
      </c>
      <c r="S2465" t="str">
        <f>_xlfn.XLOOKUP(UNIVERSO[[#This Row],[Ruta]],'[1]CUOTA RUTA'!A:A,'[1]CUOTA RUTA'!D:D)</f>
        <v>Cargar</v>
      </c>
    </row>
    <row r="2466" spans="1:19" x14ac:dyDescent="0.25">
      <c r="A2466">
        <v>1500738400</v>
      </c>
      <c r="B2466" t="s">
        <v>4967</v>
      </c>
      <c r="C2466" t="s">
        <v>19</v>
      </c>
      <c r="D2466" t="s">
        <v>324</v>
      </c>
      <c r="E2466" t="s">
        <v>21</v>
      </c>
      <c r="F2466" t="s">
        <v>22</v>
      </c>
      <c r="G2466" t="s">
        <v>23</v>
      </c>
      <c r="H2466" t="s">
        <v>511</v>
      </c>
      <c r="I2466" t="s">
        <v>4968</v>
      </c>
      <c r="J2466">
        <v>10.45994</v>
      </c>
      <c r="K2466">
        <v>-84.588993000000002</v>
      </c>
      <c r="L2466" t="s">
        <v>1225</v>
      </c>
      <c r="M2466" t="s">
        <v>327</v>
      </c>
      <c r="N2466" t="s">
        <v>328</v>
      </c>
      <c r="O2466" t="s">
        <v>329</v>
      </c>
      <c r="P2466">
        <v>13</v>
      </c>
      <c r="Q2466" t="s">
        <v>161</v>
      </c>
      <c r="S2466" t="str">
        <f>_xlfn.XLOOKUP(UNIVERSO[[#This Row],[Ruta]],'[1]CUOTA RUTA'!A:A,'[1]CUOTA RUTA'!D:D)</f>
        <v>Cargar</v>
      </c>
    </row>
    <row r="2467" spans="1:19" x14ac:dyDescent="0.25">
      <c r="A2467">
        <v>1500738478</v>
      </c>
      <c r="B2467" t="s">
        <v>4969</v>
      </c>
      <c r="C2467" t="s">
        <v>19</v>
      </c>
      <c r="D2467" t="s">
        <v>20</v>
      </c>
      <c r="E2467" t="s">
        <v>21</v>
      </c>
      <c r="F2467" t="s">
        <v>22</v>
      </c>
      <c r="G2467" t="s">
        <v>33</v>
      </c>
      <c r="H2467" t="s">
        <v>44</v>
      </c>
      <c r="I2467" t="s">
        <v>4970</v>
      </c>
      <c r="J2467">
        <v>10.078410999999999</v>
      </c>
      <c r="K2467">
        <v>-84.412290600000006</v>
      </c>
      <c r="L2467" t="s">
        <v>1225</v>
      </c>
      <c r="M2467" t="s">
        <v>46</v>
      </c>
      <c r="N2467" t="s">
        <v>47</v>
      </c>
      <c r="O2467" t="s">
        <v>48</v>
      </c>
      <c r="P2467">
        <v>6</v>
      </c>
      <c r="Q2467" t="s">
        <v>49</v>
      </c>
      <c r="S2467" t="str">
        <f>_xlfn.XLOOKUP(UNIVERSO[[#This Row],[Ruta]],'[1]CUOTA RUTA'!A:A,'[1]CUOTA RUTA'!D:D)</f>
        <v>Cargar</v>
      </c>
    </row>
    <row r="2468" spans="1:19" x14ac:dyDescent="0.25">
      <c r="A2468">
        <v>1500738508</v>
      </c>
      <c r="B2468" t="s">
        <v>4971</v>
      </c>
      <c r="C2468" t="s">
        <v>19</v>
      </c>
      <c r="D2468" t="s">
        <v>337</v>
      </c>
      <c r="E2468" t="s">
        <v>21</v>
      </c>
      <c r="F2468" t="s">
        <v>51</v>
      </c>
      <c r="G2468" t="s">
        <v>23</v>
      </c>
      <c r="H2468" t="s">
        <v>483</v>
      </c>
      <c r="I2468" t="s">
        <v>4972</v>
      </c>
      <c r="J2468">
        <v>10.516237569999999</v>
      </c>
      <c r="K2468">
        <v>-85.578585029999999</v>
      </c>
      <c r="L2468" t="s">
        <v>1225</v>
      </c>
      <c r="M2468" t="s">
        <v>327</v>
      </c>
      <c r="N2468" t="s">
        <v>340</v>
      </c>
      <c r="O2468" t="s">
        <v>341</v>
      </c>
      <c r="P2468">
        <v>16</v>
      </c>
      <c r="Q2468" t="s">
        <v>60</v>
      </c>
      <c r="S2468" t="str">
        <f>_xlfn.XLOOKUP(UNIVERSO[[#This Row],[Ruta]],'[1]CUOTA RUTA'!A:A,'[1]CUOTA RUTA'!D:D)</f>
        <v>Cargar</v>
      </c>
    </row>
    <row r="2469" spans="1:19" x14ac:dyDescent="0.25">
      <c r="A2469">
        <v>1500738526</v>
      </c>
      <c r="B2469" t="s">
        <v>4973</v>
      </c>
      <c r="C2469" t="s">
        <v>19</v>
      </c>
      <c r="D2469" t="s">
        <v>20</v>
      </c>
      <c r="E2469" t="s">
        <v>21</v>
      </c>
      <c r="F2469" t="s">
        <v>22</v>
      </c>
      <c r="G2469" t="s">
        <v>64</v>
      </c>
      <c r="H2469" t="s">
        <v>674</v>
      </c>
      <c r="I2469" t="s">
        <v>4974</v>
      </c>
      <c r="J2469">
        <v>10.1348567</v>
      </c>
      <c r="K2469">
        <v>-84.435843300000002</v>
      </c>
      <c r="L2469" t="s">
        <v>1225</v>
      </c>
      <c r="M2469" t="s">
        <v>46</v>
      </c>
      <c r="N2469" t="s">
        <v>47</v>
      </c>
      <c r="O2469" t="s">
        <v>48</v>
      </c>
      <c r="P2469">
        <v>6</v>
      </c>
      <c r="Q2469" t="s">
        <v>49</v>
      </c>
      <c r="S2469" t="str">
        <f>_xlfn.XLOOKUP(UNIVERSO[[#This Row],[Ruta]],'[1]CUOTA RUTA'!A:A,'[1]CUOTA RUTA'!D:D)</f>
        <v>Cargar</v>
      </c>
    </row>
    <row r="2470" spans="1:19" x14ac:dyDescent="0.25">
      <c r="A2470">
        <v>1500738559</v>
      </c>
      <c r="B2470" t="s">
        <v>4975</v>
      </c>
      <c r="C2470" t="s">
        <v>19</v>
      </c>
      <c r="D2470" t="s">
        <v>324</v>
      </c>
      <c r="E2470" t="s">
        <v>21</v>
      </c>
      <c r="F2470" t="s">
        <v>22</v>
      </c>
      <c r="G2470" t="s">
        <v>33</v>
      </c>
      <c r="H2470" t="s">
        <v>557</v>
      </c>
      <c r="I2470" t="s">
        <v>4976</v>
      </c>
      <c r="J2470">
        <v>10.482402824740999</v>
      </c>
      <c r="K2470">
        <v>-84.679491944259993</v>
      </c>
      <c r="L2470" t="s">
        <v>1225</v>
      </c>
      <c r="M2470" t="s">
        <v>327</v>
      </c>
      <c r="N2470" t="s">
        <v>328</v>
      </c>
      <c r="O2470" t="s">
        <v>329</v>
      </c>
      <c r="P2470">
        <v>21</v>
      </c>
      <c r="Q2470" t="s">
        <v>239</v>
      </c>
      <c r="S2470" t="str">
        <f>_xlfn.XLOOKUP(UNIVERSO[[#This Row],[Ruta]],'[1]CUOTA RUTA'!A:A,'[1]CUOTA RUTA'!D:D)</f>
        <v>Cargar</v>
      </c>
    </row>
    <row r="2471" spans="1:19" x14ac:dyDescent="0.25">
      <c r="A2471">
        <v>1500738565</v>
      </c>
      <c r="B2471" t="s">
        <v>4977</v>
      </c>
      <c r="C2471" t="s">
        <v>19</v>
      </c>
      <c r="D2471" t="s">
        <v>32</v>
      </c>
      <c r="E2471" t="s">
        <v>21</v>
      </c>
      <c r="F2471" t="s">
        <v>22</v>
      </c>
      <c r="G2471" t="s">
        <v>64</v>
      </c>
      <c r="H2471" t="s">
        <v>89</v>
      </c>
      <c r="I2471" t="s">
        <v>4978</v>
      </c>
      <c r="J2471">
        <v>9.8853939999999998</v>
      </c>
      <c r="K2471">
        <v>-84.087967000000006</v>
      </c>
      <c r="L2471" t="s">
        <v>1225</v>
      </c>
      <c r="M2471" t="s">
        <v>71</v>
      </c>
      <c r="N2471" t="s">
        <v>72</v>
      </c>
      <c r="O2471" t="s">
        <v>73</v>
      </c>
      <c r="P2471">
        <v>17</v>
      </c>
      <c r="Q2471" t="s">
        <v>287</v>
      </c>
      <c r="S2471" t="str">
        <f>_xlfn.XLOOKUP(UNIVERSO[[#This Row],[Ruta]],'[1]CUOTA RUTA'!A:A,'[1]CUOTA RUTA'!D:D)</f>
        <v>Cargar</v>
      </c>
    </row>
    <row r="2472" spans="1:19" x14ac:dyDescent="0.25">
      <c r="A2472">
        <v>1500738585</v>
      </c>
      <c r="B2472" t="s">
        <v>4979</v>
      </c>
      <c r="C2472" t="s">
        <v>19</v>
      </c>
      <c r="D2472" t="s">
        <v>32</v>
      </c>
      <c r="E2472" t="s">
        <v>21</v>
      </c>
      <c r="F2472" t="s">
        <v>22</v>
      </c>
      <c r="G2472" t="s">
        <v>23</v>
      </c>
      <c r="H2472" t="s">
        <v>134</v>
      </c>
      <c r="I2472" t="s">
        <v>4980</v>
      </c>
      <c r="J2472">
        <v>9.9480027</v>
      </c>
      <c r="K2472">
        <v>-84.086779699999994</v>
      </c>
      <c r="L2472" t="s">
        <v>1225</v>
      </c>
      <c r="M2472" t="s">
        <v>94</v>
      </c>
      <c r="N2472" t="s">
        <v>95</v>
      </c>
      <c r="O2472" t="s">
        <v>96</v>
      </c>
      <c r="P2472">
        <v>11</v>
      </c>
      <c r="Q2472" t="s">
        <v>108</v>
      </c>
      <c r="S2472" t="str">
        <f>_xlfn.XLOOKUP(UNIVERSO[[#This Row],[Ruta]],'[1]CUOTA RUTA'!A:A,'[1]CUOTA RUTA'!D:D)</f>
        <v>Cargar</v>
      </c>
    </row>
    <row r="2473" spans="1:19" x14ac:dyDescent="0.25">
      <c r="A2473">
        <v>1500738594</v>
      </c>
      <c r="B2473" t="s">
        <v>4981</v>
      </c>
      <c r="C2473" t="s">
        <v>19</v>
      </c>
      <c r="D2473" t="s">
        <v>32</v>
      </c>
      <c r="E2473" t="s">
        <v>21</v>
      </c>
      <c r="F2473" t="s">
        <v>51</v>
      </c>
      <c r="G2473" t="s">
        <v>23</v>
      </c>
      <c r="H2473" t="s">
        <v>441</v>
      </c>
      <c r="I2473" t="s">
        <v>4982</v>
      </c>
      <c r="J2473">
        <v>9.8652466666669998</v>
      </c>
      <c r="K2473">
        <v>-84.051558333329993</v>
      </c>
      <c r="L2473" t="s">
        <v>1225</v>
      </c>
      <c r="M2473" t="s">
        <v>71</v>
      </c>
      <c r="N2473" t="s">
        <v>72</v>
      </c>
      <c r="O2473" t="s">
        <v>73</v>
      </c>
      <c r="P2473">
        <v>20</v>
      </c>
      <c r="Q2473" t="s">
        <v>74</v>
      </c>
      <c r="S2473" t="str">
        <f>_xlfn.XLOOKUP(UNIVERSO[[#This Row],[Ruta]],'[1]CUOTA RUTA'!A:A,'[1]CUOTA RUTA'!D:D)</f>
        <v>Cargar</v>
      </c>
    </row>
    <row r="2474" spans="1:19" x14ac:dyDescent="0.25">
      <c r="A2474">
        <v>1500738673</v>
      </c>
      <c r="B2474" t="s">
        <v>4983</v>
      </c>
      <c r="C2474" t="s">
        <v>19</v>
      </c>
      <c r="D2474" t="s">
        <v>32</v>
      </c>
      <c r="E2474" t="s">
        <v>21</v>
      </c>
      <c r="F2474" t="s">
        <v>22</v>
      </c>
      <c r="G2474" t="s">
        <v>23</v>
      </c>
      <c r="H2474" t="s">
        <v>716</v>
      </c>
      <c r="I2474" t="s">
        <v>4984</v>
      </c>
      <c r="J2474">
        <v>9.9198090000000008</v>
      </c>
      <c r="K2474">
        <v>-84.039603999999997</v>
      </c>
      <c r="L2474" t="s">
        <v>1225</v>
      </c>
      <c r="M2474" t="s">
        <v>36</v>
      </c>
      <c r="N2474" t="s">
        <v>37</v>
      </c>
      <c r="O2474" t="s">
        <v>38</v>
      </c>
      <c r="P2474">
        <v>10</v>
      </c>
      <c r="Q2474" t="s">
        <v>136</v>
      </c>
      <c r="S2474" t="str">
        <f>_xlfn.XLOOKUP(UNIVERSO[[#This Row],[Ruta]],'[1]CUOTA RUTA'!A:A,'[1]CUOTA RUTA'!D:D)</f>
        <v>Cargar</v>
      </c>
    </row>
    <row r="2475" spans="1:19" x14ac:dyDescent="0.25">
      <c r="A2475">
        <v>1500738682</v>
      </c>
      <c r="B2475" t="s">
        <v>4985</v>
      </c>
      <c r="C2475" t="s">
        <v>19</v>
      </c>
      <c r="D2475" t="s">
        <v>324</v>
      </c>
      <c r="E2475" t="s">
        <v>21</v>
      </c>
      <c r="F2475" t="s">
        <v>22</v>
      </c>
      <c r="G2475" t="s">
        <v>33</v>
      </c>
      <c r="H2475" t="s">
        <v>325</v>
      </c>
      <c r="I2475" t="s">
        <v>4986</v>
      </c>
      <c r="J2475">
        <v>10.361660000000001</v>
      </c>
      <c r="K2475">
        <v>-84.588849999999994</v>
      </c>
      <c r="L2475" t="s">
        <v>1225</v>
      </c>
      <c r="M2475" t="s">
        <v>327</v>
      </c>
      <c r="N2475" t="s">
        <v>328</v>
      </c>
      <c r="O2475" t="s">
        <v>329</v>
      </c>
      <c r="P2475">
        <v>13</v>
      </c>
      <c r="Q2475" t="s">
        <v>161</v>
      </c>
      <c r="S2475" t="str">
        <f>_xlfn.XLOOKUP(UNIVERSO[[#This Row],[Ruta]],'[1]CUOTA RUTA'!A:A,'[1]CUOTA RUTA'!D:D)</f>
        <v>Cargar</v>
      </c>
    </row>
    <row r="2476" spans="1:19" x14ac:dyDescent="0.25">
      <c r="A2476">
        <v>1500738689</v>
      </c>
      <c r="B2476" t="s">
        <v>4987</v>
      </c>
      <c r="C2476" t="s">
        <v>19</v>
      </c>
      <c r="D2476" t="s">
        <v>208</v>
      </c>
      <c r="E2476" t="s">
        <v>21</v>
      </c>
      <c r="F2476" t="s">
        <v>22</v>
      </c>
      <c r="G2476" t="s">
        <v>23</v>
      </c>
      <c r="H2476" t="s">
        <v>224</v>
      </c>
      <c r="I2476" t="s">
        <v>4988</v>
      </c>
      <c r="J2476">
        <v>10.3418916</v>
      </c>
      <c r="K2476">
        <v>-83.9593706</v>
      </c>
      <c r="L2476" t="s">
        <v>1225</v>
      </c>
      <c r="M2476" t="s">
        <v>189</v>
      </c>
      <c r="N2476" t="s">
        <v>211</v>
      </c>
      <c r="O2476" t="s">
        <v>212</v>
      </c>
      <c r="P2476">
        <v>3</v>
      </c>
      <c r="Q2476" t="s">
        <v>101</v>
      </c>
      <c r="S2476" t="str">
        <f>_xlfn.XLOOKUP(UNIVERSO[[#This Row],[Ruta]],'[1]CUOTA RUTA'!A:A,'[1]CUOTA RUTA'!D:D)</f>
        <v>Cargar</v>
      </c>
    </row>
    <row r="2477" spans="1:19" x14ac:dyDescent="0.25">
      <c r="A2477">
        <v>1500738700</v>
      </c>
      <c r="B2477" t="s">
        <v>4989</v>
      </c>
      <c r="C2477" t="s">
        <v>19</v>
      </c>
      <c r="D2477" t="s">
        <v>266</v>
      </c>
      <c r="E2477" t="s">
        <v>21</v>
      </c>
      <c r="F2477" t="s">
        <v>22</v>
      </c>
      <c r="G2477" t="s">
        <v>23</v>
      </c>
      <c r="H2477" t="s">
        <v>1011</v>
      </c>
      <c r="I2477" t="s">
        <v>4990</v>
      </c>
      <c r="J2477">
        <v>9.9152515000000001</v>
      </c>
      <c r="K2477">
        <v>-83.892194099999998</v>
      </c>
      <c r="L2477" t="s">
        <v>1225</v>
      </c>
      <c r="M2477" t="s">
        <v>54</v>
      </c>
      <c r="N2477" t="s">
        <v>274</v>
      </c>
      <c r="O2477" t="s">
        <v>275</v>
      </c>
      <c r="P2477">
        <v>20</v>
      </c>
      <c r="Q2477" t="s">
        <v>74</v>
      </c>
      <c r="S2477" t="str">
        <f>_xlfn.XLOOKUP(UNIVERSO[[#This Row],[Ruta]],'[1]CUOTA RUTA'!A:A,'[1]CUOTA RUTA'!D:D)</f>
        <v>Cargar</v>
      </c>
    </row>
    <row r="2478" spans="1:19" x14ac:dyDescent="0.25">
      <c r="A2478">
        <v>1500738755</v>
      </c>
      <c r="B2478" t="s">
        <v>4991</v>
      </c>
      <c r="C2478" t="s">
        <v>19</v>
      </c>
      <c r="D2478" t="s">
        <v>32</v>
      </c>
      <c r="E2478" t="s">
        <v>21</v>
      </c>
      <c r="F2478" t="s">
        <v>22</v>
      </c>
      <c r="G2478" t="s">
        <v>33</v>
      </c>
      <c r="H2478" t="s">
        <v>179</v>
      </c>
      <c r="I2478" t="s">
        <v>4992</v>
      </c>
      <c r="J2478">
        <v>9.8835809999999995</v>
      </c>
      <c r="K2478">
        <v>-84.031069000000002</v>
      </c>
      <c r="L2478" t="s">
        <v>1225</v>
      </c>
      <c r="M2478" t="s">
        <v>36</v>
      </c>
      <c r="N2478" t="s">
        <v>37</v>
      </c>
      <c r="O2478" t="s">
        <v>38</v>
      </c>
      <c r="P2478">
        <v>16</v>
      </c>
      <c r="Q2478" t="s">
        <v>60</v>
      </c>
      <c r="S2478" t="str">
        <f>_xlfn.XLOOKUP(UNIVERSO[[#This Row],[Ruta]],'[1]CUOTA RUTA'!A:A,'[1]CUOTA RUTA'!D:D)</f>
        <v>Cargar</v>
      </c>
    </row>
    <row r="2479" spans="1:19" x14ac:dyDescent="0.25">
      <c r="A2479">
        <v>1500738981</v>
      </c>
      <c r="B2479" t="s">
        <v>4993</v>
      </c>
      <c r="C2479" t="s">
        <v>19</v>
      </c>
      <c r="D2479" t="s">
        <v>324</v>
      </c>
      <c r="E2479" t="s">
        <v>21</v>
      </c>
      <c r="F2479" t="s">
        <v>51</v>
      </c>
      <c r="G2479" t="s">
        <v>23</v>
      </c>
      <c r="H2479" t="s">
        <v>396</v>
      </c>
      <c r="I2479" t="s">
        <v>4994</v>
      </c>
      <c r="J2479">
        <v>10.52793</v>
      </c>
      <c r="K2479">
        <v>-84.478309999999993</v>
      </c>
      <c r="L2479" t="s">
        <v>1225</v>
      </c>
      <c r="M2479" t="s">
        <v>327</v>
      </c>
      <c r="N2479" t="s">
        <v>328</v>
      </c>
      <c r="O2479" t="s">
        <v>329</v>
      </c>
      <c r="P2479">
        <v>20</v>
      </c>
      <c r="Q2479" t="s">
        <v>74</v>
      </c>
      <c r="S2479" t="str">
        <f>_xlfn.XLOOKUP(UNIVERSO[[#This Row],[Ruta]],'[1]CUOTA RUTA'!A:A,'[1]CUOTA RUTA'!D:D)</f>
        <v>Cargar</v>
      </c>
    </row>
    <row r="2480" spans="1:19" x14ac:dyDescent="0.25">
      <c r="A2480">
        <v>1500739037</v>
      </c>
      <c r="B2480" t="s">
        <v>424</v>
      </c>
      <c r="C2480" t="s">
        <v>19</v>
      </c>
      <c r="D2480" t="s">
        <v>208</v>
      </c>
      <c r="E2480" t="s">
        <v>21</v>
      </c>
      <c r="F2480" t="s">
        <v>22</v>
      </c>
      <c r="G2480" t="s">
        <v>64</v>
      </c>
      <c r="H2480" t="s">
        <v>1794</v>
      </c>
      <c r="I2480" t="s">
        <v>4995</v>
      </c>
      <c r="J2480">
        <v>10.384228</v>
      </c>
      <c r="K2480">
        <v>-83.955001999999993</v>
      </c>
      <c r="L2480" t="s">
        <v>1225</v>
      </c>
      <c r="M2480" t="s">
        <v>189</v>
      </c>
      <c r="N2480" t="s">
        <v>211</v>
      </c>
      <c r="O2480" t="s">
        <v>212</v>
      </c>
      <c r="P2480">
        <v>10</v>
      </c>
      <c r="Q2480" t="s">
        <v>136</v>
      </c>
      <c r="S2480" t="str">
        <f>_xlfn.XLOOKUP(UNIVERSO[[#This Row],[Ruta]],'[1]CUOTA RUTA'!A:A,'[1]CUOTA RUTA'!D:D)</f>
        <v>Cargar</v>
      </c>
    </row>
    <row r="2481" spans="1:19" x14ac:dyDescent="0.25">
      <c r="A2481">
        <v>1500739047</v>
      </c>
      <c r="B2481" t="s">
        <v>1463</v>
      </c>
      <c r="C2481" t="s">
        <v>19</v>
      </c>
      <c r="D2481" t="s">
        <v>20</v>
      </c>
      <c r="E2481" t="s">
        <v>21</v>
      </c>
      <c r="F2481" t="s">
        <v>22</v>
      </c>
      <c r="G2481" t="s">
        <v>23</v>
      </c>
      <c r="H2481" t="s">
        <v>277</v>
      </c>
      <c r="I2481" t="s">
        <v>4996</v>
      </c>
      <c r="J2481">
        <v>9.917643</v>
      </c>
      <c r="K2481">
        <v>-84.130481000000003</v>
      </c>
      <c r="L2481" t="s">
        <v>1225</v>
      </c>
      <c r="M2481" t="s">
        <v>54</v>
      </c>
      <c r="N2481" t="s">
        <v>55</v>
      </c>
      <c r="O2481" t="s">
        <v>56</v>
      </c>
      <c r="P2481">
        <v>13</v>
      </c>
      <c r="Q2481" t="s">
        <v>161</v>
      </c>
      <c r="S2481" t="str">
        <f>_xlfn.XLOOKUP(UNIVERSO[[#This Row],[Ruta]],'[1]CUOTA RUTA'!A:A,'[1]CUOTA RUTA'!D:D)</f>
        <v>Cargar</v>
      </c>
    </row>
    <row r="2482" spans="1:19" x14ac:dyDescent="0.25">
      <c r="A2482">
        <v>1500739210</v>
      </c>
      <c r="B2482" t="s">
        <v>4997</v>
      </c>
      <c r="C2482" t="s">
        <v>19</v>
      </c>
      <c r="D2482" t="s">
        <v>20</v>
      </c>
      <c r="E2482" t="s">
        <v>21</v>
      </c>
      <c r="F2482" t="s">
        <v>22</v>
      </c>
      <c r="G2482" t="s">
        <v>23</v>
      </c>
      <c r="H2482" t="s">
        <v>143</v>
      </c>
      <c r="I2482" t="s">
        <v>4998</v>
      </c>
      <c r="J2482">
        <v>9.9476467</v>
      </c>
      <c r="K2482">
        <v>-84.134709999999998</v>
      </c>
      <c r="L2482" t="s">
        <v>1225</v>
      </c>
      <c r="M2482" t="s">
        <v>27</v>
      </c>
      <c r="N2482" t="s">
        <v>28</v>
      </c>
      <c r="O2482" t="s">
        <v>29</v>
      </c>
      <c r="P2482">
        <v>8</v>
      </c>
      <c r="Q2482" t="s">
        <v>97</v>
      </c>
      <c r="S2482" t="str">
        <f>_xlfn.XLOOKUP(UNIVERSO[[#This Row],[Ruta]],'[1]CUOTA RUTA'!A:A,'[1]CUOTA RUTA'!D:D)</f>
        <v>Cargar</v>
      </c>
    </row>
    <row r="2483" spans="1:19" x14ac:dyDescent="0.25">
      <c r="A2483">
        <v>1500739265</v>
      </c>
      <c r="B2483" t="s">
        <v>1753</v>
      </c>
      <c r="C2483" t="s">
        <v>19</v>
      </c>
      <c r="D2483" t="s">
        <v>20</v>
      </c>
      <c r="E2483" t="s">
        <v>21</v>
      </c>
      <c r="F2483" t="s">
        <v>22</v>
      </c>
      <c r="G2483" t="s">
        <v>23</v>
      </c>
      <c r="H2483" t="s">
        <v>308</v>
      </c>
      <c r="I2483" t="s">
        <v>4999</v>
      </c>
      <c r="J2483">
        <v>9.8468</v>
      </c>
      <c r="K2483">
        <v>-84.316280000000006</v>
      </c>
      <c r="L2483" t="s">
        <v>1225</v>
      </c>
      <c r="M2483" t="s">
        <v>54</v>
      </c>
      <c r="N2483" t="s">
        <v>55</v>
      </c>
      <c r="O2483" t="s">
        <v>56</v>
      </c>
      <c r="P2483">
        <v>22</v>
      </c>
      <c r="Q2483" t="s">
        <v>30</v>
      </c>
      <c r="S2483" t="str">
        <f>_xlfn.XLOOKUP(UNIVERSO[[#This Row],[Ruta]],'[1]CUOTA RUTA'!A:A,'[1]CUOTA RUTA'!D:D)</f>
        <v>Cargar</v>
      </c>
    </row>
    <row r="2484" spans="1:19" x14ac:dyDescent="0.25">
      <c r="A2484">
        <v>1500739381</v>
      </c>
      <c r="B2484" t="s">
        <v>5000</v>
      </c>
      <c r="C2484" t="s">
        <v>19</v>
      </c>
      <c r="D2484" t="s">
        <v>20</v>
      </c>
      <c r="E2484" t="s">
        <v>21</v>
      </c>
      <c r="F2484" t="s">
        <v>22</v>
      </c>
      <c r="G2484" t="s">
        <v>33</v>
      </c>
      <c r="H2484" t="s">
        <v>143</v>
      </c>
      <c r="I2484" t="s">
        <v>5001</v>
      </c>
      <c r="J2484">
        <v>9.9508299999999998</v>
      </c>
      <c r="K2484">
        <v>-84.117999999999995</v>
      </c>
      <c r="L2484" t="s">
        <v>1225</v>
      </c>
      <c r="M2484" t="s">
        <v>27</v>
      </c>
      <c r="N2484" t="s">
        <v>28</v>
      </c>
      <c r="O2484" t="s">
        <v>29</v>
      </c>
      <c r="P2484">
        <v>10</v>
      </c>
      <c r="Q2484" t="s">
        <v>136</v>
      </c>
      <c r="S2484" t="str">
        <f>_xlfn.XLOOKUP(UNIVERSO[[#This Row],[Ruta]],'[1]CUOTA RUTA'!A:A,'[1]CUOTA RUTA'!D:D)</f>
        <v>Cargar</v>
      </c>
    </row>
    <row r="2485" spans="1:19" x14ac:dyDescent="0.25">
      <c r="A2485">
        <v>1500739391</v>
      </c>
      <c r="B2485" t="s">
        <v>5002</v>
      </c>
      <c r="C2485" t="s">
        <v>19</v>
      </c>
      <c r="D2485" t="s">
        <v>266</v>
      </c>
      <c r="E2485" t="s">
        <v>21</v>
      </c>
      <c r="F2485" t="s">
        <v>22</v>
      </c>
      <c r="G2485" t="s">
        <v>33</v>
      </c>
      <c r="H2485" t="s">
        <v>267</v>
      </c>
      <c r="I2485" t="s">
        <v>5003</v>
      </c>
      <c r="J2485">
        <v>9.9168000000000003</v>
      </c>
      <c r="K2485">
        <v>-83.673299999999998</v>
      </c>
      <c r="L2485" t="s">
        <v>1225</v>
      </c>
      <c r="M2485" t="s">
        <v>189</v>
      </c>
      <c r="N2485" t="s">
        <v>269</v>
      </c>
      <c r="O2485" t="s">
        <v>270</v>
      </c>
      <c r="P2485">
        <v>22</v>
      </c>
      <c r="Q2485" t="s">
        <v>30</v>
      </c>
      <c r="S2485" t="str">
        <f>_xlfn.XLOOKUP(UNIVERSO[[#This Row],[Ruta]],'[1]CUOTA RUTA'!A:A,'[1]CUOTA RUTA'!D:D)</f>
        <v>Cargar</v>
      </c>
    </row>
    <row r="2486" spans="1:19" x14ac:dyDescent="0.25">
      <c r="A2486">
        <v>1500739402</v>
      </c>
      <c r="B2486" t="s">
        <v>5004</v>
      </c>
      <c r="C2486" t="s">
        <v>19</v>
      </c>
      <c r="D2486" t="s">
        <v>201</v>
      </c>
      <c r="E2486" t="s">
        <v>21</v>
      </c>
      <c r="F2486" t="s">
        <v>22</v>
      </c>
      <c r="G2486" t="s">
        <v>33</v>
      </c>
      <c r="H2486" t="s">
        <v>334</v>
      </c>
      <c r="I2486" t="s">
        <v>5005</v>
      </c>
      <c r="J2486">
        <v>9.9913862000000009</v>
      </c>
      <c r="K2486">
        <v>-84.664859800000002</v>
      </c>
      <c r="L2486" t="s">
        <v>1225</v>
      </c>
      <c r="M2486" t="s">
        <v>204</v>
      </c>
      <c r="N2486" t="s">
        <v>205</v>
      </c>
      <c r="O2486" t="s">
        <v>206</v>
      </c>
      <c r="P2486">
        <v>13</v>
      </c>
      <c r="Q2486" t="s">
        <v>161</v>
      </c>
      <c r="S2486" t="str">
        <f>_xlfn.XLOOKUP(UNIVERSO[[#This Row],[Ruta]],'[1]CUOTA RUTA'!A:A,'[1]CUOTA RUTA'!D:D)</f>
        <v>Cargar</v>
      </c>
    </row>
    <row r="2487" spans="1:19" x14ac:dyDescent="0.25">
      <c r="A2487">
        <v>1500739411</v>
      </c>
      <c r="B2487" t="s">
        <v>5006</v>
      </c>
      <c r="C2487" t="s">
        <v>19</v>
      </c>
      <c r="D2487" t="s">
        <v>266</v>
      </c>
      <c r="E2487" t="s">
        <v>21</v>
      </c>
      <c r="F2487" t="s">
        <v>22</v>
      </c>
      <c r="G2487" t="s">
        <v>33</v>
      </c>
      <c r="H2487" t="s">
        <v>272</v>
      </c>
      <c r="I2487" t="s">
        <v>5007</v>
      </c>
      <c r="J2487">
        <v>9.8739749999999997</v>
      </c>
      <c r="K2487">
        <v>-83.820324999999997</v>
      </c>
      <c r="L2487" t="s">
        <v>1225</v>
      </c>
      <c r="M2487" t="s">
        <v>54</v>
      </c>
      <c r="N2487" t="s">
        <v>274</v>
      </c>
      <c r="O2487" t="s">
        <v>275</v>
      </c>
      <c r="P2487">
        <v>21</v>
      </c>
      <c r="Q2487" t="s">
        <v>239</v>
      </c>
      <c r="S2487" t="str">
        <f>_xlfn.XLOOKUP(UNIVERSO[[#This Row],[Ruta]],'[1]CUOTA RUTA'!A:A,'[1]CUOTA RUTA'!D:D)</f>
        <v>Cargar</v>
      </c>
    </row>
    <row r="2488" spans="1:19" x14ac:dyDescent="0.25">
      <c r="A2488">
        <v>1500739517</v>
      </c>
      <c r="B2488" t="s">
        <v>1414</v>
      </c>
      <c r="C2488" t="s">
        <v>19</v>
      </c>
      <c r="D2488" t="s">
        <v>20</v>
      </c>
      <c r="E2488" t="s">
        <v>21</v>
      </c>
      <c r="F2488" t="s">
        <v>22</v>
      </c>
      <c r="G2488" t="s">
        <v>23</v>
      </c>
      <c r="H2488" t="s">
        <v>674</v>
      </c>
      <c r="I2488" t="s">
        <v>5008</v>
      </c>
      <c r="J2488">
        <v>10.107858999999999</v>
      </c>
      <c r="K2488">
        <v>-84.461826000000002</v>
      </c>
      <c r="L2488" t="s">
        <v>1225</v>
      </c>
      <c r="M2488" t="s">
        <v>46</v>
      </c>
      <c r="N2488" t="s">
        <v>47</v>
      </c>
      <c r="O2488" t="s">
        <v>48</v>
      </c>
      <c r="P2488">
        <v>6</v>
      </c>
      <c r="Q2488" t="s">
        <v>49</v>
      </c>
      <c r="S2488" t="str">
        <f>_xlfn.XLOOKUP(UNIVERSO[[#This Row],[Ruta]],'[1]CUOTA RUTA'!A:A,'[1]CUOTA RUTA'!D:D)</f>
        <v>Cargar</v>
      </c>
    </row>
    <row r="2489" spans="1:19" x14ac:dyDescent="0.25">
      <c r="A2489">
        <v>1500739655</v>
      </c>
      <c r="B2489" t="s">
        <v>5009</v>
      </c>
      <c r="C2489" t="s">
        <v>19</v>
      </c>
      <c r="D2489" t="s">
        <v>266</v>
      </c>
      <c r="E2489" t="s">
        <v>21</v>
      </c>
      <c r="F2489" t="s">
        <v>22</v>
      </c>
      <c r="G2489" t="s">
        <v>64</v>
      </c>
      <c r="H2489" t="s">
        <v>372</v>
      </c>
      <c r="I2489" t="s">
        <v>5010</v>
      </c>
      <c r="J2489">
        <v>9.8970462399999999</v>
      </c>
      <c r="K2489">
        <v>-83.681566380000007</v>
      </c>
      <c r="L2489" t="s">
        <v>1225</v>
      </c>
      <c r="M2489" t="s">
        <v>189</v>
      </c>
      <c r="N2489" t="s">
        <v>269</v>
      </c>
      <c r="O2489" t="s">
        <v>270</v>
      </c>
      <c r="P2489">
        <v>20</v>
      </c>
      <c r="Q2489" t="s">
        <v>74</v>
      </c>
      <c r="S2489" t="str">
        <f>_xlfn.XLOOKUP(UNIVERSO[[#This Row],[Ruta]],'[1]CUOTA RUTA'!A:A,'[1]CUOTA RUTA'!D:D)</f>
        <v>Cargar</v>
      </c>
    </row>
    <row r="2490" spans="1:19" x14ac:dyDescent="0.25">
      <c r="A2490">
        <v>1500739694</v>
      </c>
      <c r="B2490" t="s">
        <v>5011</v>
      </c>
      <c r="C2490" t="s">
        <v>19</v>
      </c>
      <c r="D2490" t="s">
        <v>186</v>
      </c>
      <c r="E2490" t="s">
        <v>21</v>
      </c>
      <c r="F2490" t="s">
        <v>22</v>
      </c>
      <c r="G2490" t="s">
        <v>64</v>
      </c>
      <c r="H2490" t="s">
        <v>241</v>
      </c>
      <c r="I2490" t="s">
        <v>5012</v>
      </c>
      <c r="J2490">
        <v>10.045750999999999</v>
      </c>
      <c r="K2490">
        <v>-83.223265999999995</v>
      </c>
      <c r="L2490" t="s">
        <v>1225</v>
      </c>
      <c r="M2490" t="s">
        <v>189</v>
      </c>
      <c r="N2490" t="s">
        <v>190</v>
      </c>
      <c r="O2490" t="s">
        <v>191</v>
      </c>
      <c r="P2490">
        <v>22</v>
      </c>
      <c r="Q2490" t="s">
        <v>30</v>
      </c>
      <c r="S2490" t="str">
        <f>_xlfn.XLOOKUP(UNIVERSO[[#This Row],[Ruta]],'[1]CUOTA RUTA'!A:A,'[1]CUOTA RUTA'!D:D)</f>
        <v>Cargar</v>
      </c>
    </row>
    <row r="2491" spans="1:19" x14ac:dyDescent="0.25">
      <c r="A2491">
        <v>1500739741</v>
      </c>
      <c r="B2491" t="s">
        <v>5013</v>
      </c>
      <c r="C2491" t="s">
        <v>19</v>
      </c>
      <c r="D2491" t="s">
        <v>20</v>
      </c>
      <c r="E2491" t="s">
        <v>21</v>
      </c>
      <c r="F2491" t="s">
        <v>22</v>
      </c>
      <c r="G2491" t="s">
        <v>23</v>
      </c>
      <c r="H2491" t="s">
        <v>193</v>
      </c>
      <c r="I2491" t="s">
        <v>5014</v>
      </c>
      <c r="J2491">
        <v>9.9999230000000008</v>
      </c>
      <c r="K2491">
        <v>-84.259939000000003</v>
      </c>
      <c r="L2491" t="s">
        <v>1225</v>
      </c>
      <c r="M2491" t="s">
        <v>54</v>
      </c>
      <c r="N2491" t="s">
        <v>55</v>
      </c>
      <c r="O2491" t="s">
        <v>56</v>
      </c>
      <c r="P2491">
        <v>7</v>
      </c>
      <c r="Q2491" t="s">
        <v>39</v>
      </c>
      <c r="S2491" t="str">
        <f>_xlfn.XLOOKUP(UNIVERSO[[#This Row],[Ruta]],'[1]CUOTA RUTA'!A:A,'[1]CUOTA RUTA'!D:D)</f>
        <v>Cargar</v>
      </c>
    </row>
    <row r="2492" spans="1:19" x14ac:dyDescent="0.25">
      <c r="A2492">
        <v>1500739876</v>
      </c>
      <c r="B2492" t="s">
        <v>2128</v>
      </c>
      <c r="C2492" t="s">
        <v>19</v>
      </c>
      <c r="D2492" t="s">
        <v>266</v>
      </c>
      <c r="E2492" t="s">
        <v>21</v>
      </c>
      <c r="F2492" t="s">
        <v>22</v>
      </c>
      <c r="G2492" t="s">
        <v>64</v>
      </c>
      <c r="H2492" t="s">
        <v>404</v>
      </c>
      <c r="I2492" t="s">
        <v>5015</v>
      </c>
      <c r="J2492">
        <v>9.842765</v>
      </c>
      <c r="K2492">
        <v>-83.877849999999995</v>
      </c>
      <c r="L2492" t="s">
        <v>1225</v>
      </c>
      <c r="M2492" t="s">
        <v>36</v>
      </c>
      <c r="N2492" t="s">
        <v>316</v>
      </c>
      <c r="O2492" t="s">
        <v>317</v>
      </c>
      <c r="P2492">
        <v>22</v>
      </c>
      <c r="Q2492" t="s">
        <v>30</v>
      </c>
      <c r="S2492" t="str">
        <f>_xlfn.XLOOKUP(UNIVERSO[[#This Row],[Ruta]],'[1]CUOTA RUTA'!A:A,'[1]CUOTA RUTA'!D:D)</f>
        <v>Cargar</v>
      </c>
    </row>
    <row r="2493" spans="1:19" x14ac:dyDescent="0.25">
      <c r="A2493">
        <v>1500740044</v>
      </c>
      <c r="B2493" t="s">
        <v>5016</v>
      </c>
      <c r="C2493" t="s">
        <v>19</v>
      </c>
      <c r="D2493" t="s">
        <v>266</v>
      </c>
      <c r="E2493" t="s">
        <v>21</v>
      </c>
      <c r="F2493" t="s">
        <v>22</v>
      </c>
      <c r="G2493" t="s">
        <v>33</v>
      </c>
      <c r="H2493" t="s">
        <v>321</v>
      </c>
      <c r="I2493" t="s">
        <v>5017</v>
      </c>
      <c r="J2493">
        <v>9.7869066999999994</v>
      </c>
      <c r="K2493">
        <v>-83.840273300000007</v>
      </c>
      <c r="L2493" t="s">
        <v>1225</v>
      </c>
      <c r="M2493" t="s">
        <v>54</v>
      </c>
      <c r="N2493" t="s">
        <v>274</v>
      </c>
      <c r="O2493" t="s">
        <v>275</v>
      </c>
      <c r="P2493">
        <v>23</v>
      </c>
      <c r="Q2493" t="s">
        <v>125</v>
      </c>
      <c r="S2493" t="str">
        <f>_xlfn.XLOOKUP(UNIVERSO[[#This Row],[Ruta]],'[1]CUOTA RUTA'!A:A,'[1]CUOTA RUTA'!D:D)</f>
        <v>Cargar</v>
      </c>
    </row>
    <row r="2494" spans="1:19" x14ac:dyDescent="0.25">
      <c r="A2494">
        <v>1500740068</v>
      </c>
      <c r="B2494" t="s">
        <v>5018</v>
      </c>
      <c r="C2494" t="s">
        <v>19</v>
      </c>
      <c r="D2494" t="s">
        <v>32</v>
      </c>
      <c r="E2494" t="s">
        <v>21</v>
      </c>
      <c r="F2494" t="s">
        <v>22</v>
      </c>
      <c r="G2494" t="s">
        <v>64</v>
      </c>
      <c r="H2494" t="s">
        <v>698</v>
      </c>
      <c r="I2494" t="s">
        <v>5019</v>
      </c>
      <c r="J2494">
        <v>9.9526420000000009</v>
      </c>
      <c r="K2494">
        <v>-84.054671999999997</v>
      </c>
      <c r="L2494" t="s">
        <v>1225</v>
      </c>
      <c r="M2494" t="s">
        <v>94</v>
      </c>
      <c r="N2494" t="s">
        <v>95</v>
      </c>
      <c r="O2494" t="s">
        <v>96</v>
      </c>
      <c r="P2494">
        <v>9</v>
      </c>
      <c r="Q2494" t="s">
        <v>80</v>
      </c>
      <c r="S2494" t="str">
        <f>_xlfn.XLOOKUP(UNIVERSO[[#This Row],[Ruta]],'[1]CUOTA RUTA'!A:A,'[1]CUOTA RUTA'!D:D)</f>
        <v>Cargar</v>
      </c>
    </row>
    <row r="2495" spans="1:19" x14ac:dyDescent="0.25">
      <c r="A2495">
        <v>1500740102</v>
      </c>
      <c r="B2495" t="s">
        <v>5020</v>
      </c>
      <c r="C2495" t="s">
        <v>19</v>
      </c>
      <c r="D2495" t="s">
        <v>349</v>
      </c>
      <c r="E2495" t="s">
        <v>21</v>
      </c>
      <c r="F2495" t="s">
        <v>51</v>
      </c>
      <c r="G2495" t="s">
        <v>23</v>
      </c>
      <c r="H2495" t="s">
        <v>356</v>
      </c>
      <c r="I2495" t="s">
        <v>5021</v>
      </c>
      <c r="J2495">
        <v>10.151823</v>
      </c>
      <c r="K2495">
        <v>-85.452888000000002</v>
      </c>
      <c r="L2495" t="s">
        <v>1225</v>
      </c>
      <c r="M2495" t="s">
        <v>352</v>
      </c>
      <c r="N2495" t="s">
        <v>353</v>
      </c>
      <c r="O2495" t="s">
        <v>354</v>
      </c>
      <c r="P2495">
        <v>13</v>
      </c>
      <c r="Q2495" t="s">
        <v>161</v>
      </c>
      <c r="S2495" t="str">
        <f>_xlfn.XLOOKUP(UNIVERSO[[#This Row],[Ruta]],'[1]CUOTA RUTA'!A:A,'[1]CUOTA RUTA'!D:D)</f>
        <v>Cargar</v>
      </c>
    </row>
    <row r="2496" spans="1:19" x14ac:dyDescent="0.25">
      <c r="A2496">
        <v>1500740173</v>
      </c>
      <c r="B2496" t="s">
        <v>5022</v>
      </c>
      <c r="C2496" t="s">
        <v>19</v>
      </c>
      <c r="D2496" t="s">
        <v>201</v>
      </c>
      <c r="E2496" t="s">
        <v>21</v>
      </c>
      <c r="F2496" t="s">
        <v>22</v>
      </c>
      <c r="G2496" t="s">
        <v>33</v>
      </c>
      <c r="H2496" t="s">
        <v>491</v>
      </c>
      <c r="I2496" t="s">
        <v>5023</v>
      </c>
      <c r="J2496">
        <v>9.8023138000000003</v>
      </c>
      <c r="K2496">
        <v>-84.606785599999995</v>
      </c>
      <c r="L2496" t="s">
        <v>1225</v>
      </c>
      <c r="M2496" t="s">
        <v>204</v>
      </c>
      <c r="N2496" t="s">
        <v>205</v>
      </c>
      <c r="O2496" t="s">
        <v>206</v>
      </c>
      <c r="P2496">
        <v>3</v>
      </c>
      <c r="Q2496" t="s">
        <v>101</v>
      </c>
      <c r="S2496" t="str">
        <f>_xlfn.XLOOKUP(UNIVERSO[[#This Row],[Ruta]],'[1]CUOTA RUTA'!A:A,'[1]CUOTA RUTA'!D:D)</f>
        <v>Cargar</v>
      </c>
    </row>
    <row r="2497" spans="1:19" x14ac:dyDescent="0.25">
      <c r="A2497">
        <v>1500740225</v>
      </c>
      <c r="B2497" t="s">
        <v>5024</v>
      </c>
      <c r="C2497" t="s">
        <v>19</v>
      </c>
      <c r="D2497" t="s">
        <v>20</v>
      </c>
      <c r="E2497" t="s">
        <v>21</v>
      </c>
      <c r="F2497" t="s">
        <v>22</v>
      </c>
      <c r="G2497" t="s">
        <v>64</v>
      </c>
      <c r="H2497" t="s">
        <v>280</v>
      </c>
      <c r="I2497" t="s">
        <v>5025</v>
      </c>
      <c r="J2497">
        <v>10.017526999999999</v>
      </c>
      <c r="K2497">
        <v>-84.222994</v>
      </c>
      <c r="L2497" t="s">
        <v>1225</v>
      </c>
      <c r="M2497" t="s">
        <v>54</v>
      </c>
      <c r="N2497" t="s">
        <v>55</v>
      </c>
      <c r="O2497" t="s">
        <v>56</v>
      </c>
      <c r="P2497">
        <v>2</v>
      </c>
      <c r="Q2497" t="s">
        <v>150</v>
      </c>
      <c r="S2497" t="str">
        <f>_xlfn.XLOOKUP(UNIVERSO[[#This Row],[Ruta]],'[1]CUOTA RUTA'!A:A,'[1]CUOTA RUTA'!D:D)</f>
        <v>Cargar</v>
      </c>
    </row>
    <row r="2498" spans="1:19" x14ac:dyDescent="0.25">
      <c r="A2498">
        <v>1500740255</v>
      </c>
      <c r="B2498" t="s">
        <v>5026</v>
      </c>
      <c r="C2498" t="s">
        <v>19</v>
      </c>
      <c r="D2498" t="s">
        <v>266</v>
      </c>
      <c r="E2498" t="s">
        <v>21</v>
      </c>
      <c r="F2498" t="s">
        <v>22</v>
      </c>
      <c r="G2498" t="s">
        <v>33</v>
      </c>
      <c r="H2498" t="s">
        <v>267</v>
      </c>
      <c r="I2498" t="s">
        <v>5027</v>
      </c>
      <c r="J2498">
        <v>9.9160159300000004</v>
      </c>
      <c r="K2498">
        <v>-83.674670390000003</v>
      </c>
      <c r="L2498" t="s">
        <v>1225</v>
      </c>
      <c r="M2498" t="s">
        <v>189</v>
      </c>
      <c r="N2498" t="s">
        <v>269</v>
      </c>
      <c r="O2498" t="s">
        <v>270</v>
      </c>
      <c r="P2498">
        <v>22</v>
      </c>
      <c r="Q2498" t="s">
        <v>30</v>
      </c>
      <c r="S2498" t="str">
        <f>_xlfn.XLOOKUP(UNIVERSO[[#This Row],[Ruta]],'[1]CUOTA RUTA'!A:A,'[1]CUOTA RUTA'!D:D)</f>
        <v>Cargar</v>
      </c>
    </row>
    <row r="2499" spans="1:19" x14ac:dyDescent="0.25">
      <c r="A2499">
        <v>1500740322</v>
      </c>
      <c r="B2499" t="s">
        <v>5028</v>
      </c>
      <c r="C2499" t="s">
        <v>19</v>
      </c>
      <c r="D2499" t="s">
        <v>32</v>
      </c>
      <c r="E2499" t="s">
        <v>21</v>
      </c>
      <c r="F2499" t="s">
        <v>22</v>
      </c>
      <c r="G2499" t="s">
        <v>33</v>
      </c>
      <c r="H2499" t="s">
        <v>112</v>
      </c>
      <c r="I2499" t="s">
        <v>5029</v>
      </c>
      <c r="J2499">
        <v>9.9724330000000005</v>
      </c>
      <c r="K2499">
        <v>-84.098461</v>
      </c>
      <c r="L2499" t="s">
        <v>1225</v>
      </c>
      <c r="M2499" t="s">
        <v>94</v>
      </c>
      <c r="N2499" t="s">
        <v>95</v>
      </c>
      <c r="O2499" t="s">
        <v>96</v>
      </c>
      <c r="P2499">
        <v>11</v>
      </c>
      <c r="Q2499" t="s">
        <v>108</v>
      </c>
      <c r="S2499" t="str">
        <f>_xlfn.XLOOKUP(UNIVERSO[[#This Row],[Ruta]],'[1]CUOTA RUTA'!A:A,'[1]CUOTA RUTA'!D:D)</f>
        <v>Cargar</v>
      </c>
    </row>
    <row r="2500" spans="1:19" x14ac:dyDescent="0.25">
      <c r="A2500">
        <v>1500740468</v>
      </c>
      <c r="B2500" t="s">
        <v>5030</v>
      </c>
      <c r="C2500" t="s">
        <v>19</v>
      </c>
      <c r="D2500" t="s">
        <v>266</v>
      </c>
      <c r="E2500" t="s">
        <v>21</v>
      </c>
      <c r="F2500" t="s">
        <v>22</v>
      </c>
      <c r="G2500" t="s">
        <v>64</v>
      </c>
      <c r="H2500" t="s">
        <v>267</v>
      </c>
      <c r="I2500" t="s">
        <v>5031</v>
      </c>
      <c r="J2500">
        <v>9.9086130000000008</v>
      </c>
      <c r="K2500">
        <v>-83.679306999999994</v>
      </c>
      <c r="L2500" t="s">
        <v>1225</v>
      </c>
      <c r="M2500" t="s">
        <v>189</v>
      </c>
      <c r="N2500" t="s">
        <v>269</v>
      </c>
      <c r="O2500" t="s">
        <v>270</v>
      </c>
      <c r="P2500">
        <v>21</v>
      </c>
      <c r="Q2500" t="s">
        <v>239</v>
      </c>
      <c r="S2500" t="str">
        <f>_xlfn.XLOOKUP(UNIVERSO[[#This Row],[Ruta]],'[1]CUOTA RUTA'!A:A,'[1]CUOTA RUTA'!D:D)</f>
        <v>Cargar</v>
      </c>
    </row>
    <row r="2501" spans="1:19" x14ac:dyDescent="0.25">
      <c r="A2501">
        <v>1500740535</v>
      </c>
      <c r="B2501" t="s">
        <v>5032</v>
      </c>
      <c r="C2501" t="s">
        <v>19</v>
      </c>
      <c r="D2501" t="s">
        <v>266</v>
      </c>
      <c r="E2501" t="s">
        <v>21</v>
      </c>
      <c r="F2501" t="s">
        <v>22</v>
      </c>
      <c r="G2501" t="s">
        <v>33</v>
      </c>
      <c r="H2501" t="s">
        <v>706</v>
      </c>
      <c r="I2501" t="s">
        <v>5033</v>
      </c>
      <c r="J2501">
        <v>9.8717039999999994</v>
      </c>
      <c r="K2501">
        <v>-83.942188999999999</v>
      </c>
      <c r="L2501" t="s">
        <v>1225</v>
      </c>
      <c r="M2501" t="s">
        <v>36</v>
      </c>
      <c r="N2501" t="s">
        <v>316</v>
      </c>
      <c r="O2501" t="s">
        <v>317</v>
      </c>
      <c r="P2501">
        <v>21</v>
      </c>
      <c r="Q2501" t="s">
        <v>239</v>
      </c>
      <c r="S2501" t="str">
        <f>_xlfn.XLOOKUP(UNIVERSO[[#This Row],[Ruta]],'[1]CUOTA RUTA'!A:A,'[1]CUOTA RUTA'!D:D)</f>
        <v>Cargar</v>
      </c>
    </row>
    <row r="2502" spans="1:19" x14ac:dyDescent="0.25">
      <c r="A2502">
        <v>1500740541</v>
      </c>
      <c r="B2502" t="s">
        <v>5034</v>
      </c>
      <c r="C2502" t="s">
        <v>19</v>
      </c>
      <c r="D2502" t="s">
        <v>337</v>
      </c>
      <c r="E2502" t="s">
        <v>21</v>
      </c>
      <c r="F2502" t="s">
        <v>22</v>
      </c>
      <c r="G2502" t="s">
        <v>33</v>
      </c>
      <c r="H2502" t="s">
        <v>451</v>
      </c>
      <c r="I2502" t="s">
        <v>5035</v>
      </c>
      <c r="J2502">
        <v>10.637535570000001</v>
      </c>
      <c r="K2502">
        <v>-85.443194379999994</v>
      </c>
      <c r="L2502" t="s">
        <v>1225</v>
      </c>
      <c r="M2502" t="s">
        <v>327</v>
      </c>
      <c r="N2502" t="s">
        <v>340</v>
      </c>
      <c r="O2502" t="s">
        <v>341</v>
      </c>
      <c r="P2502">
        <v>13</v>
      </c>
      <c r="Q2502" t="s">
        <v>161</v>
      </c>
      <c r="S2502" t="str">
        <f>_xlfn.XLOOKUP(UNIVERSO[[#This Row],[Ruta]],'[1]CUOTA RUTA'!A:A,'[1]CUOTA RUTA'!D:D)</f>
        <v>Cargar</v>
      </c>
    </row>
    <row r="2503" spans="1:19" x14ac:dyDescent="0.25">
      <c r="A2503">
        <v>1500740605</v>
      </c>
      <c r="B2503" t="s">
        <v>5036</v>
      </c>
      <c r="C2503" t="s">
        <v>19</v>
      </c>
      <c r="D2503" t="s">
        <v>324</v>
      </c>
      <c r="E2503" t="s">
        <v>21</v>
      </c>
      <c r="F2503" t="s">
        <v>22</v>
      </c>
      <c r="G2503" t="s">
        <v>33</v>
      </c>
      <c r="H2503" t="s">
        <v>331</v>
      </c>
      <c r="I2503" t="s">
        <v>5037</v>
      </c>
      <c r="J2503">
        <v>10.358858100000001</v>
      </c>
      <c r="K2503">
        <v>-84.287652399999999</v>
      </c>
      <c r="L2503" t="s">
        <v>1225</v>
      </c>
      <c r="M2503" t="s">
        <v>327</v>
      </c>
      <c r="N2503" t="s">
        <v>328</v>
      </c>
      <c r="O2503" t="s">
        <v>329</v>
      </c>
      <c r="P2503">
        <v>16</v>
      </c>
      <c r="Q2503" t="s">
        <v>60</v>
      </c>
      <c r="S2503" t="str">
        <f>_xlfn.XLOOKUP(UNIVERSO[[#This Row],[Ruta]],'[1]CUOTA RUTA'!A:A,'[1]CUOTA RUTA'!D:D)</f>
        <v>Cargar</v>
      </c>
    </row>
    <row r="2504" spans="1:19" x14ac:dyDescent="0.25">
      <c r="A2504">
        <v>1500740678</v>
      </c>
      <c r="B2504" t="s">
        <v>5038</v>
      </c>
      <c r="C2504" t="s">
        <v>19</v>
      </c>
      <c r="D2504" t="s">
        <v>32</v>
      </c>
      <c r="E2504" t="s">
        <v>21</v>
      </c>
      <c r="F2504" t="s">
        <v>22</v>
      </c>
      <c r="G2504" t="s">
        <v>33</v>
      </c>
      <c r="H2504" t="s">
        <v>179</v>
      </c>
      <c r="I2504" t="s">
        <v>5039</v>
      </c>
      <c r="J2504">
        <v>9.9088060000000002</v>
      </c>
      <c r="K2504">
        <v>-84.052760000000006</v>
      </c>
      <c r="L2504" t="s">
        <v>1225</v>
      </c>
      <c r="M2504" t="s">
        <v>36</v>
      </c>
      <c r="N2504" t="s">
        <v>37</v>
      </c>
      <c r="O2504" t="s">
        <v>38</v>
      </c>
      <c r="P2504">
        <v>11</v>
      </c>
      <c r="Q2504" t="s">
        <v>108</v>
      </c>
      <c r="S2504" t="str">
        <f>_xlfn.XLOOKUP(UNIVERSO[[#This Row],[Ruta]],'[1]CUOTA RUTA'!A:A,'[1]CUOTA RUTA'!D:D)</f>
        <v>Cargar</v>
      </c>
    </row>
    <row r="2505" spans="1:19" x14ac:dyDescent="0.25">
      <c r="A2505">
        <v>1500740690</v>
      </c>
      <c r="B2505" t="s">
        <v>5040</v>
      </c>
      <c r="C2505" t="s">
        <v>19</v>
      </c>
      <c r="D2505" t="s">
        <v>186</v>
      </c>
      <c r="E2505" t="s">
        <v>21</v>
      </c>
      <c r="F2505" t="s">
        <v>51</v>
      </c>
      <c r="G2505" t="s">
        <v>23</v>
      </c>
      <c r="H2505" t="s">
        <v>420</v>
      </c>
      <c r="I2505" t="s">
        <v>5041</v>
      </c>
      <c r="J2505">
        <v>9.7428740000000005</v>
      </c>
      <c r="K2505">
        <v>-82.952010999999999</v>
      </c>
      <c r="L2505" t="s">
        <v>1225</v>
      </c>
      <c r="M2505" t="s">
        <v>189</v>
      </c>
      <c r="N2505" t="s">
        <v>190</v>
      </c>
      <c r="O2505" t="s">
        <v>191</v>
      </c>
      <c r="P2505">
        <v>17</v>
      </c>
      <c r="Q2505" t="s">
        <v>287</v>
      </c>
      <c r="S2505" t="str">
        <f>_xlfn.XLOOKUP(UNIVERSO[[#This Row],[Ruta]],'[1]CUOTA RUTA'!A:A,'[1]CUOTA RUTA'!D:D)</f>
        <v>Cargar</v>
      </c>
    </row>
    <row r="2506" spans="1:19" x14ac:dyDescent="0.25">
      <c r="A2506">
        <v>1500740814</v>
      </c>
      <c r="B2506" t="s">
        <v>5042</v>
      </c>
      <c r="C2506" t="s">
        <v>19</v>
      </c>
      <c r="D2506" t="s">
        <v>266</v>
      </c>
      <c r="E2506" t="s">
        <v>21</v>
      </c>
      <c r="F2506" t="s">
        <v>22</v>
      </c>
      <c r="G2506" t="s">
        <v>64</v>
      </c>
      <c r="H2506" t="s">
        <v>407</v>
      </c>
      <c r="I2506" t="s">
        <v>5043</v>
      </c>
      <c r="J2506">
        <v>9.6554970000000004</v>
      </c>
      <c r="K2506">
        <v>-84.001509999999996</v>
      </c>
      <c r="L2506" t="s">
        <v>1225</v>
      </c>
      <c r="M2506" t="s">
        <v>409</v>
      </c>
      <c r="N2506" t="s">
        <v>410</v>
      </c>
      <c r="O2506" t="s">
        <v>411</v>
      </c>
      <c r="P2506">
        <v>22</v>
      </c>
      <c r="Q2506" t="s">
        <v>30</v>
      </c>
      <c r="S2506" t="str">
        <f>_xlfn.XLOOKUP(UNIVERSO[[#This Row],[Ruta]],'[1]CUOTA RUTA'!A:A,'[1]CUOTA RUTA'!D:D)</f>
        <v>Cargar</v>
      </c>
    </row>
    <row r="2507" spans="1:19" x14ac:dyDescent="0.25">
      <c r="A2507">
        <v>1500740931</v>
      </c>
      <c r="B2507" t="s">
        <v>5044</v>
      </c>
      <c r="C2507" t="s">
        <v>19</v>
      </c>
      <c r="D2507" t="s">
        <v>20</v>
      </c>
      <c r="E2507" t="s">
        <v>62</v>
      </c>
      <c r="F2507" t="s">
        <v>63</v>
      </c>
      <c r="G2507" t="s">
        <v>64</v>
      </c>
      <c r="H2507" t="s">
        <v>143</v>
      </c>
      <c r="I2507" t="s">
        <v>5045</v>
      </c>
      <c r="J2507">
        <v>9.9412114999999996</v>
      </c>
      <c r="K2507">
        <v>-84.125370099999998</v>
      </c>
      <c r="L2507" t="s">
        <v>1225</v>
      </c>
      <c r="M2507" t="s">
        <v>27</v>
      </c>
      <c r="N2507" t="s">
        <v>28</v>
      </c>
      <c r="O2507" t="s">
        <v>29</v>
      </c>
      <c r="P2507">
        <v>9</v>
      </c>
      <c r="Q2507" t="s">
        <v>80</v>
      </c>
      <c r="S2507" t="str">
        <f>_xlfn.XLOOKUP(UNIVERSO[[#This Row],[Ruta]],'[1]CUOTA RUTA'!A:A,'[1]CUOTA RUTA'!D:D)</f>
        <v>Cargar</v>
      </c>
    </row>
    <row r="2508" spans="1:19" x14ac:dyDescent="0.25">
      <c r="A2508">
        <v>1500741019</v>
      </c>
      <c r="B2508" t="s">
        <v>5046</v>
      </c>
      <c r="C2508" t="s">
        <v>19</v>
      </c>
      <c r="D2508" t="s">
        <v>337</v>
      </c>
      <c r="E2508" t="s">
        <v>21</v>
      </c>
      <c r="F2508" t="s">
        <v>51</v>
      </c>
      <c r="G2508" t="s">
        <v>23</v>
      </c>
      <c r="H2508" t="s">
        <v>1732</v>
      </c>
      <c r="I2508" t="s">
        <v>5047</v>
      </c>
      <c r="J2508">
        <v>10.44486255</v>
      </c>
      <c r="K2508">
        <v>-85.551684850000001</v>
      </c>
      <c r="L2508" t="s">
        <v>1225</v>
      </c>
      <c r="M2508" t="s">
        <v>327</v>
      </c>
      <c r="N2508" t="s">
        <v>340</v>
      </c>
      <c r="O2508" t="s">
        <v>341</v>
      </c>
      <c r="P2508">
        <v>16</v>
      </c>
      <c r="Q2508" t="s">
        <v>60</v>
      </c>
      <c r="S2508" t="str">
        <f>_xlfn.XLOOKUP(UNIVERSO[[#This Row],[Ruta]],'[1]CUOTA RUTA'!A:A,'[1]CUOTA RUTA'!D:D)</f>
        <v>Cargar</v>
      </c>
    </row>
    <row r="2509" spans="1:19" x14ac:dyDescent="0.25">
      <c r="A2509">
        <v>1500741062</v>
      </c>
      <c r="B2509" t="s">
        <v>5048</v>
      </c>
      <c r="C2509" t="s">
        <v>19</v>
      </c>
      <c r="D2509" t="s">
        <v>32</v>
      </c>
      <c r="E2509" t="s">
        <v>21</v>
      </c>
      <c r="F2509" t="s">
        <v>22</v>
      </c>
      <c r="G2509" t="s">
        <v>33</v>
      </c>
      <c r="H2509" t="s">
        <v>183</v>
      </c>
      <c r="I2509" t="s">
        <v>5049</v>
      </c>
      <c r="J2509">
        <v>9.9622930000000007</v>
      </c>
      <c r="K2509">
        <v>-84.075851999999998</v>
      </c>
      <c r="L2509" t="s">
        <v>1225</v>
      </c>
      <c r="M2509" t="s">
        <v>36</v>
      </c>
      <c r="N2509" t="s">
        <v>37</v>
      </c>
      <c r="O2509" t="s">
        <v>38</v>
      </c>
      <c r="P2509">
        <v>3</v>
      </c>
      <c r="Q2509" t="s">
        <v>101</v>
      </c>
      <c r="S2509" t="str">
        <f>_xlfn.XLOOKUP(UNIVERSO[[#This Row],[Ruta]],'[1]CUOTA RUTA'!A:A,'[1]CUOTA RUTA'!D:D)</f>
        <v>Cargar</v>
      </c>
    </row>
    <row r="2510" spans="1:19" x14ac:dyDescent="0.25">
      <c r="A2510">
        <v>1500741074</v>
      </c>
      <c r="B2510" t="s">
        <v>5050</v>
      </c>
      <c r="C2510" t="s">
        <v>19</v>
      </c>
      <c r="D2510" t="s">
        <v>32</v>
      </c>
      <c r="E2510" t="s">
        <v>21</v>
      </c>
      <c r="F2510" t="s">
        <v>22</v>
      </c>
      <c r="G2510" t="s">
        <v>33</v>
      </c>
      <c r="H2510" t="s">
        <v>69</v>
      </c>
      <c r="I2510" t="s">
        <v>5051</v>
      </c>
      <c r="J2510">
        <v>9.8817133333329998</v>
      </c>
      <c r="K2510">
        <v>-84.064721666660006</v>
      </c>
      <c r="L2510" t="s">
        <v>1225</v>
      </c>
      <c r="M2510" t="s">
        <v>71</v>
      </c>
      <c r="N2510" t="s">
        <v>72</v>
      </c>
      <c r="O2510" t="s">
        <v>73</v>
      </c>
      <c r="P2510">
        <v>19</v>
      </c>
      <c r="Q2510" t="s">
        <v>67</v>
      </c>
      <c r="S2510" t="str">
        <f>_xlfn.XLOOKUP(UNIVERSO[[#This Row],[Ruta]],'[1]CUOTA RUTA'!A:A,'[1]CUOTA RUTA'!D:D)</f>
        <v>Cargar</v>
      </c>
    </row>
    <row r="2511" spans="1:19" x14ac:dyDescent="0.25">
      <c r="A2511">
        <v>1500741092</v>
      </c>
      <c r="B2511" t="s">
        <v>5052</v>
      </c>
      <c r="C2511" t="s">
        <v>19</v>
      </c>
      <c r="D2511" t="s">
        <v>324</v>
      </c>
      <c r="E2511" t="s">
        <v>21</v>
      </c>
      <c r="F2511" t="s">
        <v>22</v>
      </c>
      <c r="G2511" t="s">
        <v>64</v>
      </c>
      <c r="H2511" t="s">
        <v>393</v>
      </c>
      <c r="I2511" t="s">
        <v>5053</v>
      </c>
      <c r="J2511">
        <v>10.373810000000001</v>
      </c>
      <c r="K2511">
        <v>-84.327839999999995</v>
      </c>
      <c r="L2511" t="s">
        <v>1225</v>
      </c>
      <c r="M2511" t="s">
        <v>327</v>
      </c>
      <c r="N2511" t="s">
        <v>328</v>
      </c>
      <c r="O2511" t="s">
        <v>329</v>
      </c>
      <c r="P2511">
        <v>16</v>
      </c>
      <c r="Q2511" t="s">
        <v>60</v>
      </c>
      <c r="S2511" t="str">
        <f>_xlfn.XLOOKUP(UNIVERSO[[#This Row],[Ruta]],'[1]CUOTA RUTA'!A:A,'[1]CUOTA RUTA'!D:D)</f>
        <v>Cargar</v>
      </c>
    </row>
    <row r="2512" spans="1:19" x14ac:dyDescent="0.25">
      <c r="A2512">
        <v>1500741124</v>
      </c>
      <c r="B2512" t="s">
        <v>5054</v>
      </c>
      <c r="C2512" t="s">
        <v>19</v>
      </c>
      <c r="D2512" t="s">
        <v>208</v>
      </c>
      <c r="E2512" t="s">
        <v>21</v>
      </c>
      <c r="F2512" t="s">
        <v>22</v>
      </c>
      <c r="G2512" t="s">
        <v>33</v>
      </c>
      <c r="H2512" t="s">
        <v>719</v>
      </c>
      <c r="I2512" t="s">
        <v>5055</v>
      </c>
      <c r="J2512">
        <v>10.448698630000001</v>
      </c>
      <c r="K2512">
        <v>-84.145137800000001</v>
      </c>
      <c r="L2512" t="s">
        <v>1225</v>
      </c>
      <c r="M2512" t="s">
        <v>189</v>
      </c>
      <c r="N2512" t="s">
        <v>211</v>
      </c>
      <c r="O2512" t="s">
        <v>212</v>
      </c>
      <c r="P2512">
        <v>11</v>
      </c>
      <c r="Q2512" t="s">
        <v>108</v>
      </c>
      <c r="S2512" t="str">
        <f>_xlfn.XLOOKUP(UNIVERSO[[#This Row],[Ruta]],'[1]CUOTA RUTA'!A:A,'[1]CUOTA RUTA'!D:D)</f>
        <v>Cargar</v>
      </c>
    </row>
    <row r="2513" spans="1:19" x14ac:dyDescent="0.25">
      <c r="A2513">
        <v>1500741159</v>
      </c>
      <c r="B2513" t="s">
        <v>5056</v>
      </c>
      <c r="C2513" t="s">
        <v>19</v>
      </c>
      <c r="D2513" t="s">
        <v>266</v>
      </c>
      <c r="E2513" t="s">
        <v>21</v>
      </c>
      <c r="F2513" t="s">
        <v>22</v>
      </c>
      <c r="G2513" t="s">
        <v>33</v>
      </c>
      <c r="H2513" t="s">
        <v>321</v>
      </c>
      <c r="I2513" t="s">
        <v>5057</v>
      </c>
      <c r="J2513">
        <v>9.7943383333330001</v>
      </c>
      <c r="K2513">
        <v>-83.857068333330005</v>
      </c>
      <c r="L2513" t="s">
        <v>1225</v>
      </c>
      <c r="M2513" t="s">
        <v>54</v>
      </c>
      <c r="N2513" t="s">
        <v>274</v>
      </c>
      <c r="O2513" t="s">
        <v>275</v>
      </c>
      <c r="P2513">
        <v>23</v>
      </c>
      <c r="Q2513" t="s">
        <v>125</v>
      </c>
      <c r="S2513" t="str">
        <f>_xlfn.XLOOKUP(UNIVERSO[[#This Row],[Ruta]],'[1]CUOTA RUTA'!A:A,'[1]CUOTA RUTA'!D:D)</f>
        <v>Cargar</v>
      </c>
    </row>
    <row r="2514" spans="1:19" x14ac:dyDescent="0.25">
      <c r="A2514">
        <v>1500741202</v>
      </c>
      <c r="B2514" t="s">
        <v>2792</v>
      </c>
      <c r="C2514" t="s">
        <v>19</v>
      </c>
      <c r="D2514" t="s">
        <v>32</v>
      </c>
      <c r="E2514" t="s">
        <v>21</v>
      </c>
      <c r="F2514" t="s">
        <v>22</v>
      </c>
      <c r="G2514" t="s">
        <v>33</v>
      </c>
      <c r="H2514" t="s">
        <v>92</v>
      </c>
      <c r="I2514" t="s">
        <v>5058</v>
      </c>
      <c r="J2514">
        <v>9.9637060000000002</v>
      </c>
      <c r="K2514">
        <v>-84.016565999999997</v>
      </c>
      <c r="L2514" t="s">
        <v>1225</v>
      </c>
      <c r="M2514" t="s">
        <v>94</v>
      </c>
      <c r="N2514" t="s">
        <v>95</v>
      </c>
      <c r="O2514" t="s">
        <v>96</v>
      </c>
      <c r="P2514">
        <v>3</v>
      </c>
      <c r="Q2514" t="s">
        <v>101</v>
      </c>
      <c r="S2514" t="str">
        <f>_xlfn.XLOOKUP(UNIVERSO[[#This Row],[Ruta]],'[1]CUOTA RUTA'!A:A,'[1]CUOTA RUTA'!D:D)</f>
        <v>Cargar</v>
      </c>
    </row>
    <row r="2515" spans="1:19" x14ac:dyDescent="0.25">
      <c r="A2515">
        <v>1500741313</v>
      </c>
      <c r="B2515" t="s">
        <v>5059</v>
      </c>
      <c r="C2515" t="s">
        <v>19</v>
      </c>
      <c r="D2515" t="s">
        <v>337</v>
      </c>
      <c r="E2515" t="s">
        <v>21</v>
      </c>
      <c r="F2515" t="s">
        <v>22</v>
      </c>
      <c r="G2515" t="s">
        <v>33</v>
      </c>
      <c r="H2515" t="s">
        <v>1732</v>
      </c>
      <c r="I2515" t="s">
        <v>5060</v>
      </c>
      <c r="J2515">
        <v>10.46981177</v>
      </c>
      <c r="K2515">
        <v>-84.969692359999996</v>
      </c>
      <c r="L2515" t="s">
        <v>1225</v>
      </c>
      <c r="M2515" t="s">
        <v>327</v>
      </c>
      <c r="N2515" t="s">
        <v>340</v>
      </c>
      <c r="O2515" t="s">
        <v>341</v>
      </c>
      <c r="P2515">
        <v>23</v>
      </c>
      <c r="Q2515" t="s">
        <v>125</v>
      </c>
      <c r="S2515" t="str">
        <f>_xlfn.XLOOKUP(UNIVERSO[[#This Row],[Ruta]],'[1]CUOTA RUTA'!A:A,'[1]CUOTA RUTA'!D:D)</f>
        <v>Cargar</v>
      </c>
    </row>
    <row r="2516" spans="1:19" x14ac:dyDescent="0.25">
      <c r="A2516">
        <v>1500741389</v>
      </c>
      <c r="B2516" t="s">
        <v>5061</v>
      </c>
      <c r="C2516" t="s">
        <v>19</v>
      </c>
      <c r="D2516" t="s">
        <v>266</v>
      </c>
      <c r="E2516" t="s">
        <v>21</v>
      </c>
      <c r="F2516" t="s">
        <v>22</v>
      </c>
      <c r="G2516" t="s">
        <v>33</v>
      </c>
      <c r="H2516" t="s">
        <v>404</v>
      </c>
      <c r="I2516" t="s">
        <v>5062</v>
      </c>
      <c r="J2516">
        <v>9.8639159999999997</v>
      </c>
      <c r="K2516">
        <v>-83.902726000000001</v>
      </c>
      <c r="L2516" t="s">
        <v>1225</v>
      </c>
      <c r="M2516" t="s">
        <v>36</v>
      </c>
      <c r="N2516" t="s">
        <v>316</v>
      </c>
      <c r="O2516" t="s">
        <v>317</v>
      </c>
      <c r="P2516">
        <v>16</v>
      </c>
      <c r="Q2516" t="s">
        <v>60</v>
      </c>
      <c r="S2516" t="str">
        <f>_xlfn.XLOOKUP(UNIVERSO[[#This Row],[Ruta]],'[1]CUOTA RUTA'!A:A,'[1]CUOTA RUTA'!D:D)</f>
        <v>Cargar</v>
      </c>
    </row>
    <row r="2517" spans="1:19" x14ac:dyDescent="0.25">
      <c r="A2517">
        <v>1500741512</v>
      </c>
      <c r="B2517" t="s">
        <v>4470</v>
      </c>
      <c r="C2517" t="s">
        <v>19</v>
      </c>
      <c r="D2517" t="s">
        <v>208</v>
      </c>
      <c r="E2517" t="s">
        <v>21</v>
      </c>
      <c r="F2517" t="s">
        <v>22</v>
      </c>
      <c r="G2517" t="s">
        <v>64</v>
      </c>
      <c r="H2517" t="s">
        <v>631</v>
      </c>
      <c r="I2517" t="s">
        <v>5063</v>
      </c>
      <c r="J2517">
        <v>10.1937</v>
      </c>
      <c r="K2517">
        <v>-83.388480000000001</v>
      </c>
      <c r="L2517" t="s">
        <v>1225</v>
      </c>
      <c r="M2517" t="s">
        <v>189</v>
      </c>
      <c r="N2517" t="s">
        <v>211</v>
      </c>
      <c r="O2517" t="s">
        <v>212</v>
      </c>
      <c r="P2517">
        <v>8</v>
      </c>
      <c r="Q2517" t="s">
        <v>97</v>
      </c>
      <c r="S2517" t="str">
        <f>_xlfn.XLOOKUP(UNIVERSO[[#This Row],[Ruta]],'[1]CUOTA RUTA'!A:A,'[1]CUOTA RUTA'!D:D)</f>
        <v>Cargar</v>
      </c>
    </row>
    <row r="2518" spans="1:19" x14ac:dyDescent="0.25">
      <c r="A2518">
        <v>1500900129</v>
      </c>
      <c r="B2518" t="s">
        <v>1330</v>
      </c>
      <c r="C2518" t="s">
        <v>19</v>
      </c>
      <c r="D2518" t="s">
        <v>20</v>
      </c>
      <c r="E2518" t="s">
        <v>21</v>
      </c>
      <c r="F2518" t="s">
        <v>51</v>
      </c>
      <c r="G2518" t="s">
        <v>23</v>
      </c>
      <c r="H2518" t="s">
        <v>277</v>
      </c>
      <c r="I2518" t="s">
        <v>5064</v>
      </c>
      <c r="J2518">
        <v>9.9204349999999994</v>
      </c>
      <c r="K2518">
        <v>-84.141098999999997</v>
      </c>
      <c r="L2518" t="s">
        <v>1225</v>
      </c>
      <c r="M2518" t="s">
        <v>54</v>
      </c>
      <c r="N2518" t="s">
        <v>55</v>
      </c>
      <c r="O2518" t="s">
        <v>56</v>
      </c>
      <c r="P2518">
        <v>12</v>
      </c>
      <c r="Q2518" t="s">
        <v>42</v>
      </c>
      <c r="S2518" t="str">
        <f>_xlfn.XLOOKUP(UNIVERSO[[#This Row],[Ruta]],'[1]CUOTA RUTA'!A:A,'[1]CUOTA RUTA'!D:D)</f>
        <v>Cargar</v>
      </c>
    </row>
    <row r="2519" spans="1:19" x14ac:dyDescent="0.25">
      <c r="A2519">
        <v>1501008267</v>
      </c>
      <c r="B2519" t="s">
        <v>5065</v>
      </c>
      <c r="C2519" t="s">
        <v>19</v>
      </c>
      <c r="D2519" t="s">
        <v>32</v>
      </c>
      <c r="E2519" t="s">
        <v>21</v>
      </c>
      <c r="F2519" t="s">
        <v>22</v>
      </c>
      <c r="G2519" t="s">
        <v>23</v>
      </c>
      <c r="H2519" t="s">
        <v>103</v>
      </c>
      <c r="I2519" t="s">
        <v>5066</v>
      </c>
      <c r="J2519">
        <v>9.9225659999999998</v>
      </c>
      <c r="K2519">
        <v>-84.116439999999997</v>
      </c>
      <c r="L2519" t="s">
        <v>1225</v>
      </c>
      <c r="M2519" t="s">
        <v>71</v>
      </c>
      <c r="N2519" t="s">
        <v>72</v>
      </c>
      <c r="O2519" t="s">
        <v>73</v>
      </c>
      <c r="P2519">
        <v>12</v>
      </c>
      <c r="Q2519" t="s">
        <v>42</v>
      </c>
      <c r="S2519" t="str">
        <f>_xlfn.XLOOKUP(UNIVERSO[[#This Row],[Ruta]],'[1]CUOTA RUTA'!A:A,'[1]CUOTA RUTA'!D:D)</f>
        <v>Cargar</v>
      </c>
    </row>
    <row r="2520" spans="1:19" x14ac:dyDescent="0.25">
      <c r="A2520">
        <v>1501808879</v>
      </c>
      <c r="B2520" t="s">
        <v>5067</v>
      </c>
      <c r="C2520" t="s">
        <v>19</v>
      </c>
      <c r="D2520" t="s">
        <v>20</v>
      </c>
      <c r="E2520" t="s">
        <v>21</v>
      </c>
      <c r="F2520" t="s">
        <v>22</v>
      </c>
      <c r="G2520" t="s">
        <v>23</v>
      </c>
      <c r="H2520" t="s">
        <v>193</v>
      </c>
      <c r="I2520" t="s">
        <v>5068</v>
      </c>
      <c r="J2520">
        <v>10.034700000000001</v>
      </c>
      <c r="K2520">
        <v>-84.212299999999999</v>
      </c>
      <c r="L2520" t="s">
        <v>1225</v>
      </c>
      <c r="M2520" t="s">
        <v>54</v>
      </c>
      <c r="N2520" t="s">
        <v>55</v>
      </c>
      <c r="O2520" t="s">
        <v>56</v>
      </c>
      <c r="P2520">
        <v>17</v>
      </c>
      <c r="Q2520" t="s">
        <v>287</v>
      </c>
      <c r="S2520" t="str">
        <f>_xlfn.XLOOKUP(UNIVERSO[[#This Row],[Ruta]],'[1]CUOTA RUTA'!A:A,'[1]CUOTA RUTA'!D:D)</f>
        <v>Cargar</v>
      </c>
    </row>
    <row r="2521" spans="1:19" x14ac:dyDescent="0.25">
      <c r="A2521">
        <v>1540000011</v>
      </c>
      <c r="B2521" t="s">
        <v>5069</v>
      </c>
      <c r="C2521" t="s">
        <v>19</v>
      </c>
      <c r="D2521" t="s">
        <v>20</v>
      </c>
      <c r="E2521" t="s">
        <v>21</v>
      </c>
      <c r="F2521" t="s">
        <v>22</v>
      </c>
      <c r="G2521" t="s">
        <v>23</v>
      </c>
      <c r="H2521" t="s">
        <v>1143</v>
      </c>
      <c r="I2521" t="s">
        <v>5070</v>
      </c>
      <c r="J2521">
        <v>10.0510517</v>
      </c>
      <c r="K2521">
        <v>-84.215800000000002</v>
      </c>
      <c r="L2521" t="s">
        <v>1225</v>
      </c>
      <c r="M2521" t="s">
        <v>54</v>
      </c>
      <c r="N2521" t="s">
        <v>55</v>
      </c>
      <c r="O2521" t="s">
        <v>56</v>
      </c>
      <c r="P2521">
        <v>19</v>
      </c>
      <c r="Q2521" t="s">
        <v>67</v>
      </c>
      <c r="S2521" t="str">
        <f>_xlfn.XLOOKUP(UNIVERSO[[#This Row],[Ruta]],'[1]CUOTA RUTA'!A:A,'[1]CUOTA RUTA'!D:D)</f>
        <v>Cargar</v>
      </c>
    </row>
    <row r="2522" spans="1:19" x14ac:dyDescent="0.25">
      <c r="A2522">
        <v>1540000021</v>
      </c>
      <c r="B2522" t="s">
        <v>5071</v>
      </c>
      <c r="C2522" t="s">
        <v>19</v>
      </c>
      <c r="D2522" t="s">
        <v>20</v>
      </c>
      <c r="E2522" t="s">
        <v>21</v>
      </c>
      <c r="F2522" t="s">
        <v>22</v>
      </c>
      <c r="G2522" t="s">
        <v>33</v>
      </c>
      <c r="H2522" t="s">
        <v>888</v>
      </c>
      <c r="I2522" t="s">
        <v>5072</v>
      </c>
      <c r="J2522">
        <v>9.9988279900000006</v>
      </c>
      <c r="K2522">
        <v>-84.128347460000001</v>
      </c>
      <c r="L2522" t="s">
        <v>1225</v>
      </c>
      <c r="M2522" t="s">
        <v>27</v>
      </c>
      <c r="N2522" t="s">
        <v>28</v>
      </c>
      <c r="O2522" t="s">
        <v>29</v>
      </c>
      <c r="P2522">
        <v>12</v>
      </c>
      <c r="Q2522" t="s">
        <v>42</v>
      </c>
      <c r="S2522" t="str">
        <f>_xlfn.XLOOKUP(UNIVERSO[[#This Row],[Ruta]],'[1]CUOTA RUTA'!A:A,'[1]CUOTA RUTA'!D:D)</f>
        <v>Cargar</v>
      </c>
    </row>
    <row r="2523" spans="1:19" x14ac:dyDescent="0.25">
      <c r="A2523">
        <v>1540000117</v>
      </c>
      <c r="B2523" t="s">
        <v>5073</v>
      </c>
      <c r="C2523" t="s">
        <v>19</v>
      </c>
      <c r="D2523" t="s">
        <v>20</v>
      </c>
      <c r="E2523" t="s">
        <v>21</v>
      </c>
      <c r="F2523" t="s">
        <v>22</v>
      </c>
      <c r="G2523" t="s">
        <v>33</v>
      </c>
      <c r="H2523" t="s">
        <v>1143</v>
      </c>
      <c r="I2523" t="s">
        <v>5074</v>
      </c>
      <c r="J2523">
        <v>10.051562000000001</v>
      </c>
      <c r="K2523">
        <v>-84.216279</v>
      </c>
      <c r="L2523" t="s">
        <v>1225</v>
      </c>
      <c r="M2523" t="s">
        <v>54</v>
      </c>
      <c r="N2523" t="s">
        <v>55</v>
      </c>
      <c r="O2523" t="s">
        <v>56</v>
      </c>
      <c r="P2523">
        <v>19</v>
      </c>
      <c r="Q2523" t="s">
        <v>67</v>
      </c>
      <c r="S2523" t="str">
        <f>_xlfn.XLOOKUP(UNIVERSO[[#This Row],[Ruta]],'[1]CUOTA RUTA'!A:A,'[1]CUOTA RUTA'!D:D)</f>
        <v>Cargar</v>
      </c>
    </row>
    <row r="2524" spans="1:19" x14ac:dyDescent="0.25">
      <c r="A2524">
        <v>1540000156</v>
      </c>
      <c r="B2524" t="s">
        <v>4464</v>
      </c>
      <c r="C2524" t="s">
        <v>19</v>
      </c>
      <c r="D2524" t="s">
        <v>349</v>
      </c>
      <c r="E2524" t="s">
        <v>21</v>
      </c>
      <c r="F2524" t="s">
        <v>51</v>
      </c>
      <c r="G2524" t="s">
        <v>23</v>
      </c>
      <c r="H2524" t="s">
        <v>908</v>
      </c>
      <c r="I2524" t="s">
        <v>5075</v>
      </c>
      <c r="J2524">
        <v>10.298347</v>
      </c>
      <c r="K2524">
        <v>-85.811761000000004</v>
      </c>
      <c r="L2524" t="s">
        <v>1225</v>
      </c>
      <c r="M2524" t="s">
        <v>352</v>
      </c>
      <c r="N2524" t="s">
        <v>353</v>
      </c>
      <c r="O2524" t="s">
        <v>354</v>
      </c>
      <c r="P2524">
        <v>4</v>
      </c>
      <c r="Q2524" t="s">
        <v>120</v>
      </c>
      <c r="S2524" t="str">
        <f>_xlfn.XLOOKUP(UNIVERSO[[#This Row],[Ruta]],'[1]CUOTA RUTA'!A:A,'[1]CUOTA RUTA'!D:D)</f>
        <v>Cargar</v>
      </c>
    </row>
    <row r="2525" spans="1:19" x14ac:dyDescent="0.25">
      <c r="A2525">
        <v>1540000231</v>
      </c>
      <c r="B2525" t="s">
        <v>5076</v>
      </c>
      <c r="C2525" t="s">
        <v>19</v>
      </c>
      <c r="D2525" t="s">
        <v>32</v>
      </c>
      <c r="E2525" t="s">
        <v>21</v>
      </c>
      <c r="F2525" t="s">
        <v>22</v>
      </c>
      <c r="G2525" t="s">
        <v>64</v>
      </c>
      <c r="H2525" t="s">
        <v>625</v>
      </c>
      <c r="I2525" t="s">
        <v>5077</v>
      </c>
      <c r="J2525">
        <v>9.9804130000000004</v>
      </c>
      <c r="K2525">
        <v>-84.066519999999997</v>
      </c>
      <c r="L2525" t="s">
        <v>1225</v>
      </c>
      <c r="M2525" t="s">
        <v>94</v>
      </c>
      <c r="N2525" t="s">
        <v>95</v>
      </c>
      <c r="O2525" t="s">
        <v>96</v>
      </c>
      <c r="P2525">
        <v>10</v>
      </c>
      <c r="Q2525" t="s">
        <v>136</v>
      </c>
      <c r="S2525" t="str">
        <f>_xlfn.XLOOKUP(UNIVERSO[[#This Row],[Ruta]],'[1]CUOTA RUTA'!A:A,'[1]CUOTA RUTA'!D:D)</f>
        <v>Cargar</v>
      </c>
    </row>
    <row r="2526" spans="1:19" x14ac:dyDescent="0.25">
      <c r="A2526">
        <v>1540000245</v>
      </c>
      <c r="B2526" t="s">
        <v>5078</v>
      </c>
      <c r="C2526" t="s">
        <v>19</v>
      </c>
      <c r="D2526" t="s">
        <v>266</v>
      </c>
      <c r="E2526" t="s">
        <v>21</v>
      </c>
      <c r="F2526" t="s">
        <v>22</v>
      </c>
      <c r="G2526" t="s">
        <v>33</v>
      </c>
      <c r="H2526" t="s">
        <v>267</v>
      </c>
      <c r="I2526" t="s">
        <v>5079</v>
      </c>
      <c r="J2526">
        <v>9.8495775900000009</v>
      </c>
      <c r="K2526">
        <v>-83.610938599999997</v>
      </c>
      <c r="L2526" t="s">
        <v>1225</v>
      </c>
      <c r="M2526" t="s">
        <v>189</v>
      </c>
      <c r="N2526" t="s">
        <v>269</v>
      </c>
      <c r="O2526" t="s">
        <v>270</v>
      </c>
      <c r="P2526">
        <v>20</v>
      </c>
      <c r="Q2526" t="s">
        <v>74</v>
      </c>
      <c r="S2526" t="str">
        <f>_xlfn.XLOOKUP(UNIVERSO[[#This Row],[Ruta]],'[1]CUOTA RUTA'!A:A,'[1]CUOTA RUTA'!D:D)</f>
        <v>Cargar</v>
      </c>
    </row>
    <row r="2527" spans="1:19" x14ac:dyDescent="0.25">
      <c r="A2527">
        <v>1540000302</v>
      </c>
      <c r="B2527" t="s">
        <v>5080</v>
      </c>
      <c r="C2527" t="s">
        <v>19</v>
      </c>
      <c r="D2527" t="s">
        <v>20</v>
      </c>
      <c r="E2527" t="s">
        <v>21</v>
      </c>
      <c r="F2527" t="s">
        <v>22</v>
      </c>
      <c r="G2527" t="s">
        <v>33</v>
      </c>
      <c r="H2527" t="s">
        <v>1143</v>
      </c>
      <c r="I2527" t="s">
        <v>5081</v>
      </c>
      <c r="J2527">
        <v>10.14035</v>
      </c>
      <c r="K2527">
        <v>-84.195229999999995</v>
      </c>
      <c r="L2527" t="s">
        <v>1225</v>
      </c>
      <c r="M2527" t="s">
        <v>54</v>
      </c>
      <c r="N2527" t="s">
        <v>55</v>
      </c>
      <c r="O2527" t="s">
        <v>56</v>
      </c>
      <c r="P2527">
        <v>18</v>
      </c>
      <c r="Q2527" t="s">
        <v>84</v>
      </c>
      <c r="S2527" t="str">
        <f>_xlfn.XLOOKUP(UNIVERSO[[#This Row],[Ruta]],'[1]CUOTA RUTA'!A:A,'[1]CUOTA RUTA'!D:D)</f>
        <v>Cargar</v>
      </c>
    </row>
    <row r="2528" spans="1:19" x14ac:dyDescent="0.25">
      <c r="A2528">
        <v>1540000406</v>
      </c>
      <c r="B2528" t="s">
        <v>5082</v>
      </c>
      <c r="C2528" t="s">
        <v>19</v>
      </c>
      <c r="D2528" t="s">
        <v>244</v>
      </c>
      <c r="E2528" t="s">
        <v>21</v>
      </c>
      <c r="F2528" t="s">
        <v>22</v>
      </c>
      <c r="G2528" t="s">
        <v>23</v>
      </c>
      <c r="H2528" t="s">
        <v>1233</v>
      </c>
      <c r="I2528" t="s">
        <v>5083</v>
      </c>
      <c r="J2528">
        <v>9.347505</v>
      </c>
      <c r="K2528">
        <v>-83.680201999999994</v>
      </c>
      <c r="L2528" t="s">
        <v>1225</v>
      </c>
      <c r="M2528" t="s">
        <v>46</v>
      </c>
      <c r="N2528" t="s">
        <v>247</v>
      </c>
      <c r="O2528" t="s">
        <v>248</v>
      </c>
      <c r="P2528">
        <v>13</v>
      </c>
      <c r="Q2528" t="s">
        <v>161</v>
      </c>
      <c r="S2528" t="str">
        <f>_xlfn.XLOOKUP(UNIVERSO[[#This Row],[Ruta]],'[1]CUOTA RUTA'!A:A,'[1]CUOTA RUTA'!D:D)</f>
        <v>Cargar</v>
      </c>
    </row>
    <row r="2529" spans="1:19" x14ac:dyDescent="0.25">
      <c r="A2529">
        <v>1540000506</v>
      </c>
      <c r="B2529" t="s">
        <v>3023</v>
      </c>
      <c r="C2529" t="s">
        <v>19</v>
      </c>
      <c r="D2529" t="s">
        <v>208</v>
      </c>
      <c r="E2529" t="s">
        <v>21</v>
      </c>
      <c r="F2529" t="s">
        <v>22</v>
      </c>
      <c r="G2529" t="s">
        <v>33</v>
      </c>
      <c r="H2529" t="s">
        <v>1794</v>
      </c>
      <c r="I2529" t="s">
        <v>5084</v>
      </c>
      <c r="J2529">
        <v>10.215623000000001</v>
      </c>
      <c r="K2529">
        <v>-83.785113999999993</v>
      </c>
      <c r="L2529" t="s">
        <v>1225</v>
      </c>
      <c r="M2529" t="s">
        <v>189</v>
      </c>
      <c r="N2529" t="s">
        <v>211</v>
      </c>
      <c r="O2529" t="s">
        <v>212</v>
      </c>
      <c r="P2529">
        <v>5</v>
      </c>
      <c r="Q2529" t="s">
        <v>117</v>
      </c>
      <c r="S2529" t="str">
        <f>_xlfn.XLOOKUP(UNIVERSO[[#This Row],[Ruta]],'[1]CUOTA RUTA'!A:A,'[1]CUOTA RUTA'!D:D)</f>
        <v>Cargar</v>
      </c>
    </row>
    <row r="2530" spans="1:19" x14ac:dyDescent="0.25">
      <c r="A2530">
        <v>1540000515</v>
      </c>
      <c r="B2530" t="s">
        <v>5085</v>
      </c>
      <c r="C2530" t="s">
        <v>19</v>
      </c>
      <c r="D2530" t="s">
        <v>324</v>
      </c>
      <c r="E2530" t="s">
        <v>21</v>
      </c>
      <c r="F2530" t="s">
        <v>22</v>
      </c>
      <c r="G2530" t="s">
        <v>33</v>
      </c>
      <c r="H2530" t="s">
        <v>325</v>
      </c>
      <c r="I2530" t="s">
        <v>5086</v>
      </c>
      <c r="J2530">
        <v>10.336605</v>
      </c>
      <c r="K2530">
        <v>-84.549026999999995</v>
      </c>
      <c r="L2530" t="s">
        <v>1225</v>
      </c>
      <c r="M2530" t="s">
        <v>327</v>
      </c>
      <c r="N2530" t="s">
        <v>328</v>
      </c>
      <c r="O2530" t="s">
        <v>329</v>
      </c>
      <c r="P2530">
        <v>14</v>
      </c>
      <c r="Q2530" t="s">
        <v>181</v>
      </c>
      <c r="S2530" t="str">
        <f>_xlfn.XLOOKUP(UNIVERSO[[#This Row],[Ruta]],'[1]CUOTA RUTA'!A:A,'[1]CUOTA RUTA'!D:D)</f>
        <v>Cargar</v>
      </c>
    </row>
    <row r="2531" spans="1:19" x14ac:dyDescent="0.25">
      <c r="A2531">
        <v>1540000571</v>
      </c>
      <c r="B2531" t="s">
        <v>5087</v>
      </c>
      <c r="C2531" t="s">
        <v>19</v>
      </c>
      <c r="D2531" t="s">
        <v>20</v>
      </c>
      <c r="E2531" t="s">
        <v>21</v>
      </c>
      <c r="F2531" t="s">
        <v>51</v>
      </c>
      <c r="G2531" t="s">
        <v>23</v>
      </c>
      <c r="H2531" t="s">
        <v>311</v>
      </c>
      <c r="I2531" t="s">
        <v>5088</v>
      </c>
      <c r="J2531">
        <v>9.9706200000000003</v>
      </c>
      <c r="K2531">
        <v>-84.223249999999993</v>
      </c>
      <c r="L2531" t="s">
        <v>1225</v>
      </c>
      <c r="M2531" t="s">
        <v>54</v>
      </c>
      <c r="N2531" t="s">
        <v>55</v>
      </c>
      <c r="O2531" t="s">
        <v>56</v>
      </c>
      <c r="P2531">
        <v>8</v>
      </c>
      <c r="Q2531" t="s">
        <v>97</v>
      </c>
      <c r="S2531" t="str">
        <f>_xlfn.XLOOKUP(UNIVERSO[[#This Row],[Ruta]],'[1]CUOTA RUTA'!A:A,'[1]CUOTA RUTA'!D:D)</f>
        <v>Cargar</v>
      </c>
    </row>
    <row r="2532" spans="1:19" x14ac:dyDescent="0.25">
      <c r="A2532">
        <v>1540000631</v>
      </c>
      <c r="B2532" t="s">
        <v>5089</v>
      </c>
      <c r="C2532" t="s">
        <v>19</v>
      </c>
      <c r="D2532" t="s">
        <v>186</v>
      </c>
      <c r="E2532" t="s">
        <v>21</v>
      </c>
      <c r="F2532" t="s">
        <v>22</v>
      </c>
      <c r="G2532" t="s">
        <v>33</v>
      </c>
      <c r="H2532" t="s">
        <v>420</v>
      </c>
      <c r="I2532" t="s">
        <v>5090</v>
      </c>
      <c r="J2532">
        <v>9.8382120000000004</v>
      </c>
      <c r="K2532">
        <v>-82.953339999999997</v>
      </c>
      <c r="L2532" t="s">
        <v>1225</v>
      </c>
      <c r="M2532" t="s">
        <v>189</v>
      </c>
      <c r="N2532" t="s">
        <v>190</v>
      </c>
      <c r="O2532" t="s">
        <v>191</v>
      </c>
      <c r="P2532">
        <v>17</v>
      </c>
      <c r="Q2532" t="s">
        <v>287</v>
      </c>
      <c r="S2532" t="str">
        <f>_xlfn.XLOOKUP(UNIVERSO[[#This Row],[Ruta]],'[1]CUOTA RUTA'!A:A,'[1]CUOTA RUTA'!D:D)</f>
        <v>Cargar</v>
      </c>
    </row>
    <row r="2533" spans="1:19" x14ac:dyDescent="0.25">
      <c r="A2533">
        <v>1540000654</v>
      </c>
      <c r="B2533" t="s">
        <v>5091</v>
      </c>
      <c r="C2533" t="s">
        <v>19</v>
      </c>
      <c r="D2533" t="s">
        <v>349</v>
      </c>
      <c r="E2533" t="s">
        <v>21</v>
      </c>
      <c r="F2533" t="s">
        <v>22</v>
      </c>
      <c r="G2533" t="s">
        <v>33</v>
      </c>
      <c r="H2533" t="s">
        <v>359</v>
      </c>
      <c r="I2533" t="s">
        <v>5092</v>
      </c>
      <c r="J2533">
        <v>10.257702</v>
      </c>
      <c r="K2533">
        <v>-85.826543999999998</v>
      </c>
      <c r="L2533" t="s">
        <v>1225</v>
      </c>
      <c r="M2533" t="s">
        <v>352</v>
      </c>
      <c r="N2533" t="s">
        <v>353</v>
      </c>
      <c r="O2533" t="s">
        <v>354</v>
      </c>
      <c r="P2533">
        <v>6</v>
      </c>
      <c r="Q2533" t="s">
        <v>49</v>
      </c>
      <c r="S2533" t="str">
        <f>_xlfn.XLOOKUP(UNIVERSO[[#This Row],[Ruta]],'[1]CUOTA RUTA'!A:A,'[1]CUOTA RUTA'!D:D)</f>
        <v>Cargar</v>
      </c>
    </row>
    <row r="2534" spans="1:19" x14ac:dyDescent="0.25">
      <c r="A2534">
        <v>1540000657</v>
      </c>
      <c r="B2534" t="s">
        <v>898</v>
      </c>
      <c r="C2534" t="s">
        <v>19</v>
      </c>
      <c r="D2534" t="s">
        <v>349</v>
      </c>
      <c r="E2534" t="s">
        <v>21</v>
      </c>
      <c r="F2534" t="s">
        <v>22</v>
      </c>
      <c r="G2534" t="s">
        <v>23</v>
      </c>
      <c r="H2534" t="s">
        <v>908</v>
      </c>
      <c r="I2534" t="s">
        <v>5093</v>
      </c>
      <c r="J2534">
        <v>10.260292</v>
      </c>
      <c r="K2534">
        <v>-85.586344999999994</v>
      </c>
      <c r="L2534" t="s">
        <v>1225</v>
      </c>
      <c r="M2534" t="s">
        <v>352</v>
      </c>
      <c r="N2534" t="s">
        <v>353</v>
      </c>
      <c r="O2534" t="s">
        <v>354</v>
      </c>
      <c r="P2534">
        <v>1</v>
      </c>
      <c r="Q2534" t="s">
        <v>155</v>
      </c>
      <c r="S2534" t="str">
        <f>_xlfn.XLOOKUP(UNIVERSO[[#This Row],[Ruta]],'[1]CUOTA RUTA'!A:A,'[1]CUOTA RUTA'!D:D)</f>
        <v>Cargar</v>
      </c>
    </row>
    <row r="2535" spans="1:19" x14ac:dyDescent="0.25">
      <c r="A2535">
        <v>1540000697</v>
      </c>
      <c r="B2535" t="s">
        <v>5094</v>
      </c>
      <c r="C2535" t="s">
        <v>19</v>
      </c>
      <c r="D2535" t="s">
        <v>208</v>
      </c>
      <c r="E2535" t="s">
        <v>21</v>
      </c>
      <c r="F2535" t="s">
        <v>22</v>
      </c>
      <c r="G2535" t="s">
        <v>64</v>
      </c>
      <c r="H2535" t="s">
        <v>631</v>
      </c>
      <c r="I2535" t="s">
        <v>5095</v>
      </c>
      <c r="J2535">
        <v>10.102980000000001</v>
      </c>
      <c r="K2535">
        <v>-83.468429999999998</v>
      </c>
      <c r="L2535" t="s">
        <v>1225</v>
      </c>
      <c r="M2535" t="s">
        <v>189</v>
      </c>
      <c r="N2535" t="s">
        <v>211</v>
      </c>
      <c r="O2535" t="s">
        <v>212</v>
      </c>
      <c r="P2535">
        <v>8</v>
      </c>
      <c r="Q2535" t="s">
        <v>97</v>
      </c>
      <c r="S2535" t="str">
        <f>_xlfn.XLOOKUP(UNIVERSO[[#This Row],[Ruta]],'[1]CUOTA RUTA'!A:A,'[1]CUOTA RUTA'!D:D)</f>
        <v>Cargar</v>
      </c>
    </row>
    <row r="2536" spans="1:19" x14ac:dyDescent="0.25">
      <c r="A2536">
        <v>1540000843</v>
      </c>
      <c r="B2536" t="s">
        <v>5096</v>
      </c>
      <c r="C2536" t="s">
        <v>19</v>
      </c>
      <c r="D2536" t="s">
        <v>20</v>
      </c>
      <c r="E2536" t="s">
        <v>21</v>
      </c>
      <c r="F2536" t="s">
        <v>22</v>
      </c>
      <c r="G2536" t="s">
        <v>33</v>
      </c>
      <c r="H2536" t="s">
        <v>674</v>
      </c>
      <c r="I2536" t="s">
        <v>5097</v>
      </c>
      <c r="J2536">
        <v>10.10238</v>
      </c>
      <c r="K2536">
        <v>-84.463229999999996</v>
      </c>
      <c r="L2536" t="s">
        <v>1225</v>
      </c>
      <c r="M2536" t="s">
        <v>46</v>
      </c>
      <c r="N2536" t="s">
        <v>47</v>
      </c>
      <c r="O2536" t="s">
        <v>48</v>
      </c>
      <c r="P2536">
        <v>6</v>
      </c>
      <c r="Q2536" t="s">
        <v>49</v>
      </c>
      <c r="S2536" t="str">
        <f>_xlfn.XLOOKUP(UNIVERSO[[#This Row],[Ruta]],'[1]CUOTA RUTA'!A:A,'[1]CUOTA RUTA'!D:D)</f>
        <v>Cargar</v>
      </c>
    </row>
    <row r="2537" spans="1:19" x14ac:dyDescent="0.25">
      <c r="A2537">
        <v>1540000858</v>
      </c>
      <c r="B2537" t="s">
        <v>5098</v>
      </c>
      <c r="C2537" t="s">
        <v>19</v>
      </c>
      <c r="D2537" t="s">
        <v>20</v>
      </c>
      <c r="E2537" t="s">
        <v>21</v>
      </c>
      <c r="F2537" t="s">
        <v>22</v>
      </c>
      <c r="G2537" t="s">
        <v>33</v>
      </c>
      <c r="H2537" t="s">
        <v>774</v>
      </c>
      <c r="I2537" t="s">
        <v>5099</v>
      </c>
      <c r="J2537">
        <v>9.9360283000000003</v>
      </c>
      <c r="K2537">
        <v>-84.225949999999997</v>
      </c>
      <c r="L2537" t="s">
        <v>1225</v>
      </c>
      <c r="M2537" t="s">
        <v>54</v>
      </c>
      <c r="N2537" t="s">
        <v>55</v>
      </c>
      <c r="O2537" t="s">
        <v>56</v>
      </c>
      <c r="P2537">
        <v>10</v>
      </c>
      <c r="Q2537" t="s">
        <v>136</v>
      </c>
      <c r="S2537" t="str">
        <f>_xlfn.XLOOKUP(UNIVERSO[[#This Row],[Ruta]],'[1]CUOTA RUTA'!A:A,'[1]CUOTA RUTA'!D:D)</f>
        <v>Cargar</v>
      </c>
    </row>
    <row r="2538" spans="1:19" x14ac:dyDescent="0.25">
      <c r="A2538">
        <v>1540000918</v>
      </c>
      <c r="B2538" t="s">
        <v>5100</v>
      </c>
      <c r="C2538" t="s">
        <v>19</v>
      </c>
      <c r="D2538" t="s">
        <v>244</v>
      </c>
      <c r="E2538" t="s">
        <v>21</v>
      </c>
      <c r="F2538" t="s">
        <v>22</v>
      </c>
      <c r="G2538" t="s">
        <v>33</v>
      </c>
      <c r="H2538" t="s">
        <v>566</v>
      </c>
      <c r="I2538" t="s">
        <v>5101</v>
      </c>
      <c r="J2538">
        <v>9.3737820000000003</v>
      </c>
      <c r="K2538">
        <v>-83.684280999999999</v>
      </c>
      <c r="L2538" t="s">
        <v>1225</v>
      </c>
      <c r="M2538" t="s">
        <v>46</v>
      </c>
      <c r="N2538" t="s">
        <v>247</v>
      </c>
      <c r="O2538" t="s">
        <v>248</v>
      </c>
      <c r="P2538">
        <v>15</v>
      </c>
      <c r="Q2538" t="s">
        <v>231</v>
      </c>
      <c r="S2538" t="str">
        <f>_xlfn.XLOOKUP(UNIVERSO[[#This Row],[Ruta]],'[1]CUOTA RUTA'!A:A,'[1]CUOTA RUTA'!D:D)</f>
        <v>Cargar</v>
      </c>
    </row>
    <row r="2539" spans="1:19" x14ac:dyDescent="0.25">
      <c r="A2539">
        <v>1540000998</v>
      </c>
      <c r="B2539" t="s">
        <v>5102</v>
      </c>
      <c r="C2539" t="s">
        <v>19</v>
      </c>
      <c r="D2539" t="s">
        <v>324</v>
      </c>
      <c r="E2539" t="s">
        <v>21</v>
      </c>
      <c r="F2539" t="s">
        <v>51</v>
      </c>
      <c r="G2539" t="s">
        <v>23</v>
      </c>
      <c r="H2539" t="s">
        <v>396</v>
      </c>
      <c r="I2539" t="s">
        <v>5103</v>
      </c>
      <c r="J2539">
        <v>10.34248</v>
      </c>
      <c r="K2539">
        <v>-84.215810000000005</v>
      </c>
      <c r="L2539" t="s">
        <v>1225</v>
      </c>
      <c r="M2539" t="s">
        <v>327</v>
      </c>
      <c r="N2539" t="s">
        <v>328</v>
      </c>
      <c r="O2539" t="s">
        <v>329</v>
      </c>
      <c r="P2539">
        <v>16</v>
      </c>
      <c r="Q2539" t="s">
        <v>60</v>
      </c>
      <c r="S2539" t="str">
        <f>_xlfn.XLOOKUP(UNIVERSO[[#This Row],[Ruta]],'[1]CUOTA RUTA'!A:A,'[1]CUOTA RUTA'!D:D)</f>
        <v>Cargar</v>
      </c>
    </row>
    <row r="2540" spans="1:19" x14ac:dyDescent="0.25">
      <c r="A2540">
        <v>1540001085</v>
      </c>
      <c r="B2540" t="s">
        <v>5104</v>
      </c>
      <c r="C2540" t="s">
        <v>19</v>
      </c>
      <c r="D2540" t="s">
        <v>201</v>
      </c>
      <c r="E2540" t="s">
        <v>21</v>
      </c>
      <c r="F2540" t="s">
        <v>22</v>
      </c>
      <c r="G2540" t="s">
        <v>23</v>
      </c>
      <c r="H2540" t="s">
        <v>491</v>
      </c>
      <c r="I2540" t="s">
        <v>5105</v>
      </c>
      <c r="J2540">
        <v>9.7176048999999995</v>
      </c>
      <c r="K2540">
        <v>-84.631798599999996</v>
      </c>
      <c r="L2540" t="s">
        <v>1225</v>
      </c>
      <c r="M2540" t="s">
        <v>204</v>
      </c>
      <c r="N2540" t="s">
        <v>205</v>
      </c>
      <c r="O2540" t="s">
        <v>206</v>
      </c>
      <c r="P2540">
        <v>4</v>
      </c>
      <c r="Q2540" t="s">
        <v>120</v>
      </c>
      <c r="S2540" t="str">
        <f>_xlfn.XLOOKUP(UNIVERSO[[#This Row],[Ruta]],'[1]CUOTA RUTA'!A:A,'[1]CUOTA RUTA'!D:D)</f>
        <v>Cargar</v>
      </c>
    </row>
    <row r="2541" spans="1:19" x14ac:dyDescent="0.25">
      <c r="A2541">
        <v>1540001102</v>
      </c>
      <c r="B2541" t="s">
        <v>5106</v>
      </c>
      <c r="C2541" t="s">
        <v>19</v>
      </c>
      <c r="D2541" t="s">
        <v>186</v>
      </c>
      <c r="E2541" t="s">
        <v>21</v>
      </c>
      <c r="F2541" t="s">
        <v>22</v>
      </c>
      <c r="G2541" t="s">
        <v>64</v>
      </c>
      <c r="H2541" t="s">
        <v>229</v>
      </c>
      <c r="I2541" t="s">
        <v>5107</v>
      </c>
      <c r="J2541">
        <v>9.9844270000000002</v>
      </c>
      <c r="K2541">
        <v>-83.041027999999997</v>
      </c>
      <c r="L2541" t="s">
        <v>1225</v>
      </c>
      <c r="M2541" t="s">
        <v>189</v>
      </c>
      <c r="N2541" t="s">
        <v>190</v>
      </c>
      <c r="O2541" t="s">
        <v>191</v>
      </c>
      <c r="P2541">
        <v>15</v>
      </c>
      <c r="Q2541" t="s">
        <v>231</v>
      </c>
      <c r="S2541" t="str">
        <f>_xlfn.XLOOKUP(UNIVERSO[[#This Row],[Ruta]],'[1]CUOTA RUTA'!A:A,'[1]CUOTA RUTA'!D:D)</f>
        <v>Cargar</v>
      </c>
    </row>
    <row r="2542" spans="1:19" x14ac:dyDescent="0.25">
      <c r="A2542">
        <v>1540001322</v>
      </c>
      <c r="B2542" t="s">
        <v>5108</v>
      </c>
      <c r="C2542" t="s">
        <v>19</v>
      </c>
      <c r="D2542" t="s">
        <v>201</v>
      </c>
      <c r="E2542" t="s">
        <v>21</v>
      </c>
      <c r="F2542" t="s">
        <v>22</v>
      </c>
      <c r="G2542" t="s">
        <v>33</v>
      </c>
      <c r="H2542" t="s">
        <v>533</v>
      </c>
      <c r="I2542" t="s">
        <v>5109</v>
      </c>
      <c r="J2542">
        <v>9.9142044589659992</v>
      </c>
      <c r="K2542">
        <v>-84.523961439740006</v>
      </c>
      <c r="L2542" t="s">
        <v>1225</v>
      </c>
      <c r="M2542" t="s">
        <v>204</v>
      </c>
      <c r="N2542" t="s">
        <v>205</v>
      </c>
      <c r="O2542" t="s">
        <v>206</v>
      </c>
      <c r="P2542">
        <v>2</v>
      </c>
      <c r="Q2542" t="s">
        <v>150</v>
      </c>
      <c r="S2542" t="str">
        <f>_xlfn.XLOOKUP(UNIVERSO[[#This Row],[Ruta]],'[1]CUOTA RUTA'!A:A,'[1]CUOTA RUTA'!D:D)</f>
        <v>Cargar</v>
      </c>
    </row>
    <row r="2543" spans="1:19" x14ac:dyDescent="0.25">
      <c r="A2543">
        <v>1540001426</v>
      </c>
      <c r="B2543" t="s">
        <v>5110</v>
      </c>
      <c r="C2543" t="s">
        <v>19</v>
      </c>
      <c r="D2543" t="s">
        <v>244</v>
      </c>
      <c r="E2543" t="s">
        <v>21</v>
      </c>
      <c r="F2543" t="s">
        <v>22</v>
      </c>
      <c r="G2543" t="s">
        <v>64</v>
      </c>
      <c r="H2543" t="s">
        <v>819</v>
      </c>
      <c r="I2543" t="s">
        <v>5111</v>
      </c>
      <c r="J2543">
        <v>9.6013040000000007</v>
      </c>
      <c r="K2543">
        <v>-84.306244000000007</v>
      </c>
      <c r="L2543" t="s">
        <v>1225</v>
      </c>
      <c r="M2543" t="s">
        <v>46</v>
      </c>
      <c r="N2543" t="s">
        <v>247</v>
      </c>
      <c r="O2543" t="s">
        <v>248</v>
      </c>
      <c r="P2543">
        <v>22</v>
      </c>
      <c r="Q2543" t="s">
        <v>30</v>
      </c>
      <c r="S2543" t="str">
        <f>_xlfn.XLOOKUP(UNIVERSO[[#This Row],[Ruta]],'[1]CUOTA RUTA'!A:A,'[1]CUOTA RUTA'!D:D)</f>
        <v>Cargar</v>
      </c>
    </row>
    <row r="2544" spans="1:19" x14ac:dyDescent="0.25">
      <c r="A2544">
        <v>1540001631</v>
      </c>
      <c r="B2544" t="s">
        <v>1463</v>
      </c>
      <c r="C2544" t="s">
        <v>19</v>
      </c>
      <c r="D2544" t="s">
        <v>20</v>
      </c>
      <c r="E2544" t="s">
        <v>21</v>
      </c>
      <c r="F2544" t="s">
        <v>22</v>
      </c>
      <c r="G2544" t="s">
        <v>23</v>
      </c>
      <c r="H2544" t="s">
        <v>52</v>
      </c>
      <c r="I2544" t="s">
        <v>5112</v>
      </c>
      <c r="J2544">
        <v>9.9203586999999995</v>
      </c>
      <c r="K2544">
        <v>-84.139561999999998</v>
      </c>
      <c r="L2544" t="s">
        <v>1225</v>
      </c>
      <c r="M2544" t="s">
        <v>54</v>
      </c>
      <c r="N2544" t="s">
        <v>55</v>
      </c>
      <c r="O2544" t="s">
        <v>56</v>
      </c>
      <c r="P2544">
        <v>12</v>
      </c>
      <c r="Q2544" t="s">
        <v>42</v>
      </c>
      <c r="S2544" t="str">
        <f>_xlfn.XLOOKUP(UNIVERSO[[#This Row],[Ruta]],'[1]CUOTA RUTA'!A:A,'[1]CUOTA RUTA'!D:D)</f>
        <v>Cargar</v>
      </c>
    </row>
    <row r="2545" spans="1:19" x14ac:dyDescent="0.25">
      <c r="A2545">
        <v>1540001677</v>
      </c>
      <c r="B2545" t="s">
        <v>5113</v>
      </c>
      <c r="C2545" t="s">
        <v>19</v>
      </c>
      <c r="D2545" t="s">
        <v>208</v>
      </c>
      <c r="E2545" t="s">
        <v>21</v>
      </c>
      <c r="F2545" t="s">
        <v>22</v>
      </c>
      <c r="G2545" t="s">
        <v>33</v>
      </c>
      <c r="H2545" t="s">
        <v>417</v>
      </c>
      <c r="I2545" t="s">
        <v>5114</v>
      </c>
      <c r="J2545">
        <v>10.21365846</v>
      </c>
      <c r="K2545">
        <v>-83.794454250000001</v>
      </c>
      <c r="L2545" t="s">
        <v>1225</v>
      </c>
      <c r="M2545" t="s">
        <v>189</v>
      </c>
      <c r="N2545" t="s">
        <v>211</v>
      </c>
      <c r="O2545" t="s">
        <v>212</v>
      </c>
      <c r="P2545">
        <v>4</v>
      </c>
      <c r="Q2545" t="s">
        <v>120</v>
      </c>
      <c r="S2545" t="str">
        <f>_xlfn.XLOOKUP(UNIVERSO[[#This Row],[Ruta]],'[1]CUOTA RUTA'!A:A,'[1]CUOTA RUTA'!D:D)</f>
        <v>Cargar</v>
      </c>
    </row>
    <row r="2546" spans="1:19" x14ac:dyDescent="0.25">
      <c r="A2546">
        <v>1540001704</v>
      </c>
      <c r="B2546" t="s">
        <v>5115</v>
      </c>
      <c r="C2546" t="s">
        <v>19</v>
      </c>
      <c r="D2546" t="s">
        <v>337</v>
      </c>
      <c r="E2546" t="s">
        <v>21</v>
      </c>
      <c r="F2546" t="s">
        <v>51</v>
      </c>
      <c r="G2546" t="s">
        <v>23</v>
      </c>
      <c r="H2546" t="s">
        <v>576</v>
      </c>
      <c r="I2546" t="s">
        <v>5116</v>
      </c>
      <c r="J2546">
        <v>10.645213999999999</v>
      </c>
      <c r="K2546">
        <v>-85.438991000000001</v>
      </c>
      <c r="L2546" t="s">
        <v>1225</v>
      </c>
      <c r="M2546" t="s">
        <v>327</v>
      </c>
      <c r="N2546" t="s">
        <v>340</v>
      </c>
      <c r="O2546" t="s">
        <v>341</v>
      </c>
      <c r="P2546">
        <v>12</v>
      </c>
      <c r="Q2546" t="s">
        <v>42</v>
      </c>
      <c r="S2546" t="str">
        <f>_xlfn.XLOOKUP(UNIVERSO[[#This Row],[Ruta]],'[1]CUOTA RUTA'!A:A,'[1]CUOTA RUTA'!D:D)</f>
        <v>Cargar</v>
      </c>
    </row>
    <row r="2547" spans="1:19" x14ac:dyDescent="0.25">
      <c r="A2547">
        <v>1540001771</v>
      </c>
      <c r="B2547" t="s">
        <v>5117</v>
      </c>
      <c r="C2547" t="s">
        <v>19</v>
      </c>
      <c r="D2547" t="s">
        <v>186</v>
      </c>
      <c r="E2547" t="s">
        <v>21</v>
      </c>
      <c r="F2547" t="s">
        <v>51</v>
      </c>
      <c r="G2547" t="s">
        <v>23</v>
      </c>
      <c r="H2547" t="s">
        <v>868</v>
      </c>
      <c r="I2547" t="s">
        <v>5118</v>
      </c>
      <c r="J2547">
        <v>9.9979420000000001</v>
      </c>
      <c r="K2547">
        <v>-83.031807000000001</v>
      </c>
      <c r="L2547" t="s">
        <v>1225</v>
      </c>
      <c r="M2547" t="s">
        <v>189</v>
      </c>
      <c r="N2547" t="s">
        <v>190</v>
      </c>
      <c r="O2547" t="s">
        <v>191</v>
      </c>
      <c r="P2547">
        <v>12</v>
      </c>
      <c r="Q2547" t="s">
        <v>42</v>
      </c>
      <c r="S2547" t="str">
        <f>_xlfn.XLOOKUP(UNIVERSO[[#This Row],[Ruta]],'[1]CUOTA RUTA'!A:A,'[1]CUOTA RUTA'!D:D)</f>
        <v>Cargar</v>
      </c>
    </row>
    <row r="2548" spans="1:19" x14ac:dyDescent="0.25">
      <c r="A2548">
        <v>1540001861</v>
      </c>
      <c r="B2548" t="s">
        <v>5119</v>
      </c>
      <c r="C2548" t="s">
        <v>19</v>
      </c>
      <c r="D2548" t="s">
        <v>20</v>
      </c>
      <c r="E2548" t="s">
        <v>21</v>
      </c>
      <c r="F2548" t="s">
        <v>22</v>
      </c>
      <c r="G2548" t="s">
        <v>23</v>
      </c>
      <c r="H2548" t="s">
        <v>1021</v>
      </c>
      <c r="I2548" t="s">
        <v>5120</v>
      </c>
      <c r="J2548">
        <v>10.025191</v>
      </c>
      <c r="K2548">
        <v>-84.281706</v>
      </c>
      <c r="L2548" t="s">
        <v>1225</v>
      </c>
      <c r="M2548" t="s">
        <v>46</v>
      </c>
      <c r="N2548" t="s">
        <v>47</v>
      </c>
      <c r="O2548" t="s">
        <v>48</v>
      </c>
      <c r="P2548">
        <v>11</v>
      </c>
      <c r="Q2548" t="s">
        <v>108</v>
      </c>
      <c r="S2548" t="str">
        <f>_xlfn.XLOOKUP(UNIVERSO[[#This Row],[Ruta]],'[1]CUOTA RUTA'!A:A,'[1]CUOTA RUTA'!D:D)</f>
        <v>Cargar</v>
      </c>
    </row>
    <row r="2549" spans="1:19" x14ac:dyDescent="0.25">
      <c r="A2549">
        <v>1540002016</v>
      </c>
      <c r="B2549" t="s">
        <v>5121</v>
      </c>
      <c r="C2549" t="s">
        <v>19</v>
      </c>
      <c r="D2549" t="s">
        <v>266</v>
      </c>
      <c r="E2549" t="s">
        <v>21</v>
      </c>
      <c r="F2549" t="s">
        <v>22</v>
      </c>
      <c r="G2549" t="s">
        <v>33</v>
      </c>
      <c r="H2549" t="s">
        <v>407</v>
      </c>
      <c r="I2549" t="s">
        <v>5122</v>
      </c>
      <c r="J2549">
        <v>9.6817279999999997</v>
      </c>
      <c r="K2549">
        <v>-84.039505000000005</v>
      </c>
      <c r="L2549" t="s">
        <v>1225</v>
      </c>
      <c r="M2549" t="s">
        <v>409</v>
      </c>
      <c r="N2549" t="s">
        <v>410</v>
      </c>
      <c r="O2549" t="s">
        <v>411</v>
      </c>
      <c r="P2549">
        <v>23</v>
      </c>
      <c r="Q2549" t="s">
        <v>125</v>
      </c>
      <c r="S2549" t="str">
        <f>_xlfn.XLOOKUP(UNIVERSO[[#This Row],[Ruta]],'[1]CUOTA RUTA'!A:A,'[1]CUOTA RUTA'!D:D)</f>
        <v>Cargar</v>
      </c>
    </row>
    <row r="2550" spans="1:19" x14ac:dyDescent="0.25">
      <c r="A2550">
        <v>1540002019</v>
      </c>
      <c r="B2550" t="s">
        <v>5123</v>
      </c>
      <c r="C2550" t="s">
        <v>19</v>
      </c>
      <c r="D2550" t="s">
        <v>32</v>
      </c>
      <c r="E2550" t="s">
        <v>21</v>
      </c>
      <c r="F2550" t="s">
        <v>22</v>
      </c>
      <c r="G2550" t="s">
        <v>23</v>
      </c>
      <c r="H2550" t="s">
        <v>1383</v>
      </c>
      <c r="I2550" t="s">
        <v>5124</v>
      </c>
      <c r="J2550">
        <v>9.9186979999999991</v>
      </c>
      <c r="K2550">
        <v>-84.080884999999995</v>
      </c>
      <c r="L2550" t="s">
        <v>1225</v>
      </c>
      <c r="M2550" t="s">
        <v>71</v>
      </c>
      <c r="N2550" t="s">
        <v>72</v>
      </c>
      <c r="O2550" t="s">
        <v>73</v>
      </c>
      <c r="P2550">
        <v>2</v>
      </c>
      <c r="Q2550" t="s">
        <v>150</v>
      </c>
      <c r="S2550" t="str">
        <f>_xlfn.XLOOKUP(UNIVERSO[[#This Row],[Ruta]],'[1]CUOTA RUTA'!A:A,'[1]CUOTA RUTA'!D:D)</f>
        <v>Cargar</v>
      </c>
    </row>
    <row r="2551" spans="1:19" x14ac:dyDescent="0.25">
      <c r="A2551">
        <v>1540002151</v>
      </c>
      <c r="B2551" t="s">
        <v>5125</v>
      </c>
      <c r="C2551" t="s">
        <v>19</v>
      </c>
      <c r="D2551" t="s">
        <v>266</v>
      </c>
      <c r="E2551" t="s">
        <v>21</v>
      </c>
      <c r="F2551" t="s">
        <v>22</v>
      </c>
      <c r="G2551" t="s">
        <v>33</v>
      </c>
      <c r="H2551" t="s">
        <v>372</v>
      </c>
      <c r="I2551" t="s">
        <v>5126</v>
      </c>
      <c r="J2551">
        <v>9.9082722699999994</v>
      </c>
      <c r="K2551">
        <v>-83.686987259999995</v>
      </c>
      <c r="L2551" t="s">
        <v>1225</v>
      </c>
      <c r="M2551" t="s">
        <v>189</v>
      </c>
      <c r="N2551" t="s">
        <v>269</v>
      </c>
      <c r="O2551" t="s">
        <v>270</v>
      </c>
      <c r="P2551">
        <v>21</v>
      </c>
      <c r="Q2551" t="s">
        <v>239</v>
      </c>
      <c r="S2551" t="str">
        <f>_xlfn.XLOOKUP(UNIVERSO[[#This Row],[Ruta]],'[1]CUOTA RUTA'!A:A,'[1]CUOTA RUTA'!D:D)</f>
        <v>Cargar</v>
      </c>
    </row>
    <row r="2552" spans="1:19" x14ac:dyDescent="0.25">
      <c r="A2552">
        <v>1540002183</v>
      </c>
      <c r="B2552" t="s">
        <v>5127</v>
      </c>
      <c r="C2552" t="s">
        <v>19</v>
      </c>
      <c r="D2552" t="s">
        <v>244</v>
      </c>
      <c r="E2552" t="s">
        <v>21</v>
      </c>
      <c r="F2552" t="s">
        <v>22</v>
      </c>
      <c r="G2552" t="s">
        <v>23</v>
      </c>
      <c r="H2552" t="s">
        <v>1233</v>
      </c>
      <c r="I2552" t="s">
        <v>5128</v>
      </c>
      <c r="J2552">
        <v>9.2876989999999999</v>
      </c>
      <c r="K2552">
        <v>-83.803624999999997</v>
      </c>
      <c r="L2552" t="s">
        <v>1225</v>
      </c>
      <c r="M2552" t="s">
        <v>46</v>
      </c>
      <c r="N2552" t="s">
        <v>247</v>
      </c>
      <c r="O2552" t="s">
        <v>248</v>
      </c>
      <c r="P2552">
        <v>16</v>
      </c>
      <c r="Q2552" t="s">
        <v>60</v>
      </c>
      <c r="S2552" t="str">
        <f>_xlfn.XLOOKUP(UNIVERSO[[#This Row],[Ruta]],'[1]CUOTA RUTA'!A:A,'[1]CUOTA RUTA'!D:D)</f>
        <v>Cargar</v>
      </c>
    </row>
    <row r="2553" spans="1:19" x14ac:dyDescent="0.25">
      <c r="A2553">
        <v>1540002199</v>
      </c>
      <c r="B2553" t="s">
        <v>5129</v>
      </c>
      <c r="C2553" t="s">
        <v>19</v>
      </c>
      <c r="D2553" t="s">
        <v>20</v>
      </c>
      <c r="E2553" t="s">
        <v>21</v>
      </c>
      <c r="F2553" t="s">
        <v>22</v>
      </c>
      <c r="G2553" t="s">
        <v>64</v>
      </c>
      <c r="H2553" t="s">
        <v>638</v>
      </c>
      <c r="I2553" t="s">
        <v>5130</v>
      </c>
      <c r="J2553">
        <v>10.00076</v>
      </c>
      <c r="K2553">
        <v>-84.219830000000002</v>
      </c>
      <c r="L2553" t="s">
        <v>1225</v>
      </c>
      <c r="M2553" t="s">
        <v>54</v>
      </c>
      <c r="N2553" t="s">
        <v>55</v>
      </c>
      <c r="O2553" t="s">
        <v>56</v>
      </c>
      <c r="P2553">
        <v>4</v>
      </c>
      <c r="Q2553" t="s">
        <v>120</v>
      </c>
      <c r="S2553" t="str">
        <f>_xlfn.XLOOKUP(UNIVERSO[[#This Row],[Ruta]],'[1]CUOTA RUTA'!A:A,'[1]CUOTA RUTA'!D:D)</f>
        <v>Cargar</v>
      </c>
    </row>
    <row r="2554" spans="1:19" x14ac:dyDescent="0.25">
      <c r="A2554">
        <v>1540002211</v>
      </c>
      <c r="B2554" t="s">
        <v>5131</v>
      </c>
      <c r="C2554" t="s">
        <v>19</v>
      </c>
      <c r="D2554" t="s">
        <v>32</v>
      </c>
      <c r="E2554" t="s">
        <v>21</v>
      </c>
      <c r="F2554" t="s">
        <v>22</v>
      </c>
      <c r="G2554" t="s">
        <v>23</v>
      </c>
      <c r="H2554" t="s">
        <v>134</v>
      </c>
      <c r="I2554" t="s">
        <v>5132</v>
      </c>
      <c r="J2554">
        <v>9.9772003100000006</v>
      </c>
      <c r="K2554">
        <v>-84.088127</v>
      </c>
      <c r="L2554" t="s">
        <v>1225</v>
      </c>
      <c r="M2554" t="s">
        <v>94</v>
      </c>
      <c r="N2554" t="s">
        <v>95</v>
      </c>
      <c r="O2554" t="s">
        <v>96</v>
      </c>
      <c r="P2554">
        <v>11</v>
      </c>
      <c r="Q2554" t="s">
        <v>108</v>
      </c>
      <c r="S2554" t="str">
        <f>_xlfn.XLOOKUP(UNIVERSO[[#This Row],[Ruta]],'[1]CUOTA RUTA'!A:A,'[1]CUOTA RUTA'!D:D)</f>
        <v>Cargar</v>
      </c>
    </row>
    <row r="2555" spans="1:19" x14ac:dyDescent="0.25">
      <c r="A2555">
        <v>1540002292</v>
      </c>
      <c r="B2555" t="s">
        <v>5133</v>
      </c>
      <c r="C2555" t="s">
        <v>19</v>
      </c>
      <c r="D2555" t="s">
        <v>201</v>
      </c>
      <c r="E2555" t="s">
        <v>21</v>
      </c>
      <c r="F2555" t="s">
        <v>22</v>
      </c>
      <c r="G2555" t="s">
        <v>33</v>
      </c>
      <c r="H2555" t="s">
        <v>202</v>
      </c>
      <c r="I2555" t="s">
        <v>5134</v>
      </c>
      <c r="J2555">
        <v>9.9857870000000002</v>
      </c>
      <c r="K2555">
        <v>-84.751367000000002</v>
      </c>
      <c r="L2555" t="s">
        <v>1225</v>
      </c>
      <c r="M2555" t="s">
        <v>204</v>
      </c>
      <c r="N2555" t="s">
        <v>205</v>
      </c>
      <c r="O2555" t="s">
        <v>206</v>
      </c>
      <c r="P2555">
        <v>9</v>
      </c>
      <c r="Q2555" t="s">
        <v>80</v>
      </c>
      <c r="S2555" t="str">
        <f>_xlfn.XLOOKUP(UNIVERSO[[#This Row],[Ruta]],'[1]CUOTA RUTA'!A:A,'[1]CUOTA RUTA'!D:D)</f>
        <v>Cargar</v>
      </c>
    </row>
    <row r="2556" spans="1:19" x14ac:dyDescent="0.25">
      <c r="A2556">
        <v>1540002302</v>
      </c>
      <c r="B2556" t="s">
        <v>5135</v>
      </c>
      <c r="C2556" t="s">
        <v>19</v>
      </c>
      <c r="D2556" t="s">
        <v>20</v>
      </c>
      <c r="E2556" t="s">
        <v>21</v>
      </c>
      <c r="F2556" t="s">
        <v>22</v>
      </c>
      <c r="G2556" t="s">
        <v>33</v>
      </c>
      <c r="H2556" t="s">
        <v>1143</v>
      </c>
      <c r="I2556" t="s">
        <v>5136</v>
      </c>
      <c r="J2556">
        <v>10.073741699999999</v>
      </c>
      <c r="K2556">
        <v>-84.200869999999995</v>
      </c>
      <c r="L2556" t="s">
        <v>1225</v>
      </c>
      <c r="M2556" t="s">
        <v>54</v>
      </c>
      <c r="N2556" t="s">
        <v>55</v>
      </c>
      <c r="O2556" t="s">
        <v>56</v>
      </c>
      <c r="P2556">
        <v>17</v>
      </c>
      <c r="Q2556" t="s">
        <v>287</v>
      </c>
      <c r="S2556" t="str">
        <f>_xlfn.XLOOKUP(UNIVERSO[[#This Row],[Ruta]],'[1]CUOTA RUTA'!A:A,'[1]CUOTA RUTA'!D:D)</f>
        <v>Cargar</v>
      </c>
    </row>
    <row r="2557" spans="1:19" x14ac:dyDescent="0.25">
      <c r="A2557">
        <v>1540002415</v>
      </c>
      <c r="B2557" t="s">
        <v>5137</v>
      </c>
      <c r="C2557" t="s">
        <v>19</v>
      </c>
      <c r="D2557" t="s">
        <v>349</v>
      </c>
      <c r="E2557" t="s">
        <v>21</v>
      </c>
      <c r="F2557" t="s">
        <v>51</v>
      </c>
      <c r="G2557" t="s">
        <v>23</v>
      </c>
      <c r="H2557" t="s">
        <v>350</v>
      </c>
      <c r="I2557" t="s">
        <v>5138</v>
      </c>
      <c r="J2557">
        <v>9.8803499600000002</v>
      </c>
      <c r="K2557">
        <v>-85.510379959999995</v>
      </c>
      <c r="L2557" t="s">
        <v>1225</v>
      </c>
      <c r="M2557" t="s">
        <v>352</v>
      </c>
      <c r="N2557" t="s">
        <v>353</v>
      </c>
      <c r="O2557" t="s">
        <v>354</v>
      </c>
      <c r="P2557">
        <v>8</v>
      </c>
      <c r="Q2557" t="s">
        <v>97</v>
      </c>
      <c r="S2557" t="str">
        <f>_xlfn.XLOOKUP(UNIVERSO[[#This Row],[Ruta]],'[1]CUOTA RUTA'!A:A,'[1]CUOTA RUTA'!D:D)</f>
        <v>Cargar</v>
      </c>
    </row>
    <row r="2558" spans="1:19" x14ac:dyDescent="0.25">
      <c r="A2558">
        <v>1540002419</v>
      </c>
      <c r="B2558" t="s">
        <v>5139</v>
      </c>
      <c r="C2558" t="s">
        <v>19</v>
      </c>
      <c r="D2558" t="s">
        <v>201</v>
      </c>
      <c r="E2558" t="s">
        <v>21</v>
      </c>
      <c r="F2558" t="s">
        <v>22</v>
      </c>
      <c r="G2558" t="s">
        <v>33</v>
      </c>
      <c r="H2558" t="s">
        <v>533</v>
      </c>
      <c r="I2558" t="s">
        <v>5140</v>
      </c>
      <c r="J2558">
        <v>9.93614</v>
      </c>
      <c r="K2558">
        <v>-84.523071000000002</v>
      </c>
      <c r="L2558" t="s">
        <v>1225</v>
      </c>
      <c r="M2558" t="s">
        <v>204</v>
      </c>
      <c r="N2558" t="s">
        <v>205</v>
      </c>
      <c r="O2558" t="s">
        <v>206</v>
      </c>
      <c r="P2558">
        <v>1</v>
      </c>
      <c r="Q2558" t="s">
        <v>155</v>
      </c>
      <c r="S2558" t="str">
        <f>_xlfn.XLOOKUP(UNIVERSO[[#This Row],[Ruta]],'[1]CUOTA RUTA'!A:A,'[1]CUOTA RUTA'!D:D)</f>
        <v>Cargar</v>
      </c>
    </row>
    <row r="2559" spans="1:19" x14ac:dyDescent="0.25">
      <c r="A2559">
        <v>1540002433</v>
      </c>
      <c r="B2559" t="s">
        <v>5141</v>
      </c>
      <c r="C2559" t="s">
        <v>19</v>
      </c>
      <c r="D2559" t="s">
        <v>208</v>
      </c>
      <c r="E2559" t="s">
        <v>21</v>
      </c>
      <c r="F2559" t="s">
        <v>22</v>
      </c>
      <c r="G2559" t="s">
        <v>33</v>
      </c>
      <c r="H2559" t="s">
        <v>417</v>
      </c>
      <c r="I2559" t="s">
        <v>5142</v>
      </c>
      <c r="J2559">
        <v>10.306317</v>
      </c>
      <c r="K2559">
        <v>-83.899056000000002</v>
      </c>
      <c r="L2559" t="s">
        <v>1225</v>
      </c>
      <c r="M2559" t="s">
        <v>189</v>
      </c>
      <c r="N2559" t="s">
        <v>211</v>
      </c>
      <c r="O2559" t="s">
        <v>212</v>
      </c>
      <c r="P2559">
        <v>11</v>
      </c>
      <c r="Q2559" t="s">
        <v>108</v>
      </c>
      <c r="S2559" t="str">
        <f>_xlfn.XLOOKUP(UNIVERSO[[#This Row],[Ruta]],'[1]CUOTA RUTA'!A:A,'[1]CUOTA RUTA'!D:D)</f>
        <v>Cargar</v>
      </c>
    </row>
    <row r="2560" spans="1:19" x14ac:dyDescent="0.25">
      <c r="A2560">
        <v>1540002627</v>
      </c>
      <c r="B2560" t="s">
        <v>4707</v>
      </c>
      <c r="C2560" t="s">
        <v>19</v>
      </c>
      <c r="D2560" t="s">
        <v>244</v>
      </c>
      <c r="E2560" t="s">
        <v>21</v>
      </c>
      <c r="F2560" t="s">
        <v>22</v>
      </c>
      <c r="G2560" t="s">
        <v>33</v>
      </c>
      <c r="H2560" t="s">
        <v>1294</v>
      </c>
      <c r="I2560" t="s">
        <v>5143</v>
      </c>
      <c r="J2560">
        <v>9.1839166999999993</v>
      </c>
      <c r="K2560">
        <v>-83.443833299999994</v>
      </c>
      <c r="L2560" t="s">
        <v>1225</v>
      </c>
      <c r="M2560" t="s">
        <v>46</v>
      </c>
      <c r="N2560" t="s">
        <v>247</v>
      </c>
      <c r="O2560" t="s">
        <v>248</v>
      </c>
      <c r="P2560">
        <v>12</v>
      </c>
      <c r="Q2560" t="s">
        <v>42</v>
      </c>
      <c r="S2560" t="str">
        <f>_xlfn.XLOOKUP(UNIVERSO[[#This Row],[Ruta]],'[1]CUOTA RUTA'!A:A,'[1]CUOTA RUTA'!D:D)</f>
        <v>Cargar</v>
      </c>
    </row>
    <row r="2561" spans="1:19" x14ac:dyDescent="0.25">
      <c r="A2561">
        <v>1540002633</v>
      </c>
      <c r="B2561" t="s">
        <v>5144</v>
      </c>
      <c r="C2561" t="s">
        <v>19</v>
      </c>
      <c r="D2561" t="s">
        <v>20</v>
      </c>
      <c r="E2561" t="s">
        <v>21</v>
      </c>
      <c r="F2561" t="s">
        <v>22</v>
      </c>
      <c r="G2561" t="s">
        <v>64</v>
      </c>
      <c r="H2561" t="s">
        <v>263</v>
      </c>
      <c r="I2561" t="s">
        <v>5145</v>
      </c>
      <c r="J2561">
        <v>10.098469769999999</v>
      </c>
      <c r="K2561">
        <v>-84.380859479999998</v>
      </c>
      <c r="L2561" t="s">
        <v>1225</v>
      </c>
      <c r="M2561" t="s">
        <v>46</v>
      </c>
      <c r="N2561" t="s">
        <v>47</v>
      </c>
      <c r="O2561" t="s">
        <v>48</v>
      </c>
      <c r="P2561">
        <v>1</v>
      </c>
      <c r="Q2561" t="s">
        <v>155</v>
      </c>
      <c r="S2561" t="str">
        <f>_xlfn.XLOOKUP(UNIVERSO[[#This Row],[Ruta]],'[1]CUOTA RUTA'!A:A,'[1]CUOTA RUTA'!D:D)</f>
        <v>Cargar</v>
      </c>
    </row>
    <row r="2562" spans="1:19" x14ac:dyDescent="0.25">
      <c r="A2562">
        <v>1540002814</v>
      </c>
      <c r="B2562" t="s">
        <v>4650</v>
      </c>
      <c r="C2562" t="s">
        <v>19</v>
      </c>
      <c r="D2562" t="s">
        <v>32</v>
      </c>
      <c r="E2562" t="s">
        <v>21</v>
      </c>
      <c r="F2562" t="s">
        <v>22</v>
      </c>
      <c r="G2562" t="s">
        <v>33</v>
      </c>
      <c r="H2562" t="s">
        <v>148</v>
      </c>
      <c r="I2562" t="s">
        <v>5146</v>
      </c>
      <c r="J2562">
        <v>9.9744150000000005</v>
      </c>
      <c r="K2562">
        <v>-84.025293000000005</v>
      </c>
      <c r="L2562" t="s">
        <v>1225</v>
      </c>
      <c r="M2562" t="s">
        <v>94</v>
      </c>
      <c r="N2562" t="s">
        <v>95</v>
      </c>
      <c r="O2562" t="s">
        <v>96</v>
      </c>
      <c r="P2562">
        <v>2</v>
      </c>
      <c r="Q2562" t="s">
        <v>150</v>
      </c>
      <c r="S2562" t="str">
        <f>_xlfn.XLOOKUP(UNIVERSO[[#This Row],[Ruta]],'[1]CUOTA RUTA'!A:A,'[1]CUOTA RUTA'!D:D)</f>
        <v>Cargar</v>
      </c>
    </row>
    <row r="2563" spans="1:19" x14ac:dyDescent="0.25">
      <c r="A2563">
        <v>1540002830</v>
      </c>
      <c r="B2563" t="s">
        <v>5147</v>
      </c>
      <c r="C2563" t="s">
        <v>19</v>
      </c>
      <c r="D2563" t="s">
        <v>324</v>
      </c>
      <c r="E2563" t="s">
        <v>62</v>
      </c>
      <c r="F2563" t="s">
        <v>63</v>
      </c>
      <c r="G2563" t="s">
        <v>64</v>
      </c>
      <c r="H2563" t="s">
        <v>557</v>
      </c>
      <c r="I2563" t="s">
        <v>5148</v>
      </c>
      <c r="J2563">
        <v>10.4704724</v>
      </c>
      <c r="K2563">
        <v>-84.645409700000002</v>
      </c>
      <c r="L2563" t="s">
        <v>1225</v>
      </c>
      <c r="M2563" t="s">
        <v>327</v>
      </c>
      <c r="N2563" t="s">
        <v>328</v>
      </c>
      <c r="O2563" t="s">
        <v>329</v>
      </c>
      <c r="P2563">
        <v>21</v>
      </c>
      <c r="Q2563" t="s">
        <v>239</v>
      </c>
      <c r="S2563" t="str">
        <f>_xlfn.XLOOKUP(UNIVERSO[[#This Row],[Ruta]],'[1]CUOTA RUTA'!A:A,'[1]CUOTA RUTA'!D:D)</f>
        <v>Cargar</v>
      </c>
    </row>
    <row r="2564" spans="1:19" x14ac:dyDescent="0.25">
      <c r="A2564">
        <v>1540002847</v>
      </c>
      <c r="B2564" t="s">
        <v>5149</v>
      </c>
      <c r="C2564" t="s">
        <v>19</v>
      </c>
      <c r="D2564" t="s">
        <v>266</v>
      </c>
      <c r="E2564" t="s">
        <v>21</v>
      </c>
      <c r="F2564" t="s">
        <v>22</v>
      </c>
      <c r="G2564" t="s">
        <v>33</v>
      </c>
      <c r="H2564" t="s">
        <v>1011</v>
      </c>
      <c r="I2564" t="s">
        <v>5150</v>
      </c>
      <c r="J2564">
        <v>9.8883159999999997</v>
      </c>
      <c r="K2564">
        <v>-83.938299000000001</v>
      </c>
      <c r="L2564" t="s">
        <v>1225</v>
      </c>
      <c r="M2564" t="s">
        <v>54</v>
      </c>
      <c r="N2564" t="s">
        <v>274</v>
      </c>
      <c r="O2564" t="s">
        <v>275</v>
      </c>
      <c r="P2564">
        <v>23</v>
      </c>
      <c r="Q2564" t="s">
        <v>125</v>
      </c>
      <c r="S2564" t="str">
        <f>_xlfn.XLOOKUP(UNIVERSO[[#This Row],[Ruta]],'[1]CUOTA RUTA'!A:A,'[1]CUOTA RUTA'!D:D)</f>
        <v>Cargar</v>
      </c>
    </row>
    <row r="2565" spans="1:19" x14ac:dyDescent="0.25">
      <c r="A2565">
        <v>1540002993</v>
      </c>
      <c r="B2565" t="s">
        <v>5151</v>
      </c>
      <c r="C2565" t="s">
        <v>19</v>
      </c>
      <c r="D2565" t="s">
        <v>208</v>
      </c>
      <c r="E2565" t="s">
        <v>21</v>
      </c>
      <c r="F2565" t="s">
        <v>22</v>
      </c>
      <c r="G2565" t="s">
        <v>64</v>
      </c>
      <c r="H2565" t="s">
        <v>631</v>
      </c>
      <c r="I2565" t="s">
        <v>5152</v>
      </c>
      <c r="J2565">
        <v>10.502858</v>
      </c>
      <c r="K2565">
        <v>-83.893328999999994</v>
      </c>
      <c r="L2565" t="s">
        <v>1225</v>
      </c>
      <c r="M2565" t="s">
        <v>189</v>
      </c>
      <c r="N2565" t="s">
        <v>211</v>
      </c>
      <c r="O2565" t="s">
        <v>212</v>
      </c>
      <c r="P2565">
        <v>11</v>
      </c>
      <c r="Q2565" t="s">
        <v>108</v>
      </c>
      <c r="S2565" t="str">
        <f>_xlfn.XLOOKUP(UNIVERSO[[#This Row],[Ruta]],'[1]CUOTA RUTA'!A:A,'[1]CUOTA RUTA'!D:D)</f>
        <v>Cargar</v>
      </c>
    </row>
    <row r="2566" spans="1:19" x14ac:dyDescent="0.25">
      <c r="A2566">
        <v>1540003106</v>
      </c>
      <c r="B2566" t="s">
        <v>5153</v>
      </c>
      <c r="C2566" t="s">
        <v>19</v>
      </c>
      <c r="D2566" t="s">
        <v>32</v>
      </c>
      <c r="E2566" t="s">
        <v>21</v>
      </c>
      <c r="F2566" t="s">
        <v>22</v>
      </c>
      <c r="G2566" t="s">
        <v>33</v>
      </c>
      <c r="H2566" t="s">
        <v>1383</v>
      </c>
      <c r="I2566" t="s">
        <v>5154</v>
      </c>
      <c r="J2566">
        <v>9.9174559999999996</v>
      </c>
      <c r="K2566">
        <v>-84.089571000000007</v>
      </c>
      <c r="L2566" t="s">
        <v>1225</v>
      </c>
      <c r="M2566" t="s">
        <v>71</v>
      </c>
      <c r="N2566" t="s">
        <v>72</v>
      </c>
      <c r="O2566" t="s">
        <v>73</v>
      </c>
      <c r="P2566">
        <v>4</v>
      </c>
      <c r="Q2566" t="s">
        <v>120</v>
      </c>
      <c r="S2566" t="str">
        <f>_xlfn.XLOOKUP(UNIVERSO[[#This Row],[Ruta]],'[1]CUOTA RUTA'!A:A,'[1]CUOTA RUTA'!D:D)</f>
        <v>Cargar</v>
      </c>
    </row>
    <row r="2567" spans="1:19" x14ac:dyDescent="0.25">
      <c r="A2567">
        <v>1540003319</v>
      </c>
      <c r="B2567" t="s">
        <v>5155</v>
      </c>
      <c r="C2567" t="s">
        <v>19</v>
      </c>
      <c r="D2567" t="s">
        <v>20</v>
      </c>
      <c r="E2567" t="s">
        <v>21</v>
      </c>
      <c r="F2567" t="s">
        <v>22</v>
      </c>
      <c r="G2567" t="s">
        <v>23</v>
      </c>
      <c r="H2567" t="s">
        <v>193</v>
      </c>
      <c r="I2567" t="s">
        <v>5156</v>
      </c>
      <c r="J2567">
        <v>9.9788099999999993</v>
      </c>
      <c r="K2567">
        <v>-84.380709999999993</v>
      </c>
      <c r="L2567" t="s">
        <v>1225</v>
      </c>
      <c r="M2567" t="s">
        <v>54</v>
      </c>
      <c r="N2567" t="s">
        <v>55</v>
      </c>
      <c r="O2567" t="s">
        <v>56</v>
      </c>
      <c r="P2567">
        <v>21</v>
      </c>
      <c r="Q2567" t="s">
        <v>239</v>
      </c>
      <c r="S2567" t="str">
        <f>_xlfn.XLOOKUP(UNIVERSO[[#This Row],[Ruta]],'[1]CUOTA RUTA'!A:A,'[1]CUOTA RUTA'!D:D)</f>
        <v>Cargar</v>
      </c>
    </row>
    <row r="2568" spans="1:19" x14ac:dyDescent="0.25">
      <c r="A2568">
        <v>1540003414</v>
      </c>
      <c r="B2568" t="s">
        <v>5157</v>
      </c>
      <c r="C2568" t="s">
        <v>19</v>
      </c>
      <c r="D2568" t="s">
        <v>266</v>
      </c>
      <c r="E2568" t="s">
        <v>21</v>
      </c>
      <c r="F2568" t="s">
        <v>22</v>
      </c>
      <c r="G2568" t="s">
        <v>33</v>
      </c>
      <c r="H2568" t="s">
        <v>267</v>
      </c>
      <c r="I2568" t="s">
        <v>5158</v>
      </c>
      <c r="J2568">
        <v>9.9760214000000005</v>
      </c>
      <c r="K2568">
        <v>-83.645126599999998</v>
      </c>
      <c r="L2568" t="s">
        <v>1225</v>
      </c>
      <c r="M2568" t="s">
        <v>189</v>
      </c>
      <c r="N2568" t="s">
        <v>269</v>
      </c>
      <c r="O2568" t="s">
        <v>270</v>
      </c>
      <c r="P2568">
        <v>23</v>
      </c>
      <c r="Q2568" t="s">
        <v>125</v>
      </c>
      <c r="S2568" t="str">
        <f>_xlfn.XLOOKUP(UNIVERSO[[#This Row],[Ruta]],'[1]CUOTA RUTA'!A:A,'[1]CUOTA RUTA'!D:D)</f>
        <v>Cargar</v>
      </c>
    </row>
    <row r="2569" spans="1:19" x14ac:dyDescent="0.25">
      <c r="A2569">
        <v>1540003441</v>
      </c>
      <c r="B2569" t="s">
        <v>1178</v>
      </c>
      <c r="C2569" t="s">
        <v>19</v>
      </c>
      <c r="D2569" t="s">
        <v>324</v>
      </c>
      <c r="E2569" t="s">
        <v>21</v>
      </c>
      <c r="F2569" t="s">
        <v>51</v>
      </c>
      <c r="G2569" t="s">
        <v>23</v>
      </c>
      <c r="H2569" t="s">
        <v>331</v>
      </c>
      <c r="I2569" t="s">
        <v>5159</v>
      </c>
      <c r="J2569">
        <v>10.456185</v>
      </c>
      <c r="K2569">
        <v>-84.273317000000006</v>
      </c>
      <c r="L2569" t="s">
        <v>1225</v>
      </c>
      <c r="M2569" t="s">
        <v>327</v>
      </c>
      <c r="N2569" t="s">
        <v>328</v>
      </c>
      <c r="O2569" t="s">
        <v>329</v>
      </c>
      <c r="P2569">
        <v>17</v>
      </c>
      <c r="Q2569" t="s">
        <v>287</v>
      </c>
      <c r="S2569" t="str">
        <f>_xlfn.XLOOKUP(UNIVERSO[[#This Row],[Ruta]],'[1]CUOTA RUTA'!A:A,'[1]CUOTA RUTA'!D:D)</f>
        <v>Cargar</v>
      </c>
    </row>
    <row r="2570" spans="1:19" x14ac:dyDescent="0.25">
      <c r="A2570">
        <v>1540003614</v>
      </c>
      <c r="B2570" t="s">
        <v>5160</v>
      </c>
      <c r="C2570" t="s">
        <v>19</v>
      </c>
      <c r="D2570" t="s">
        <v>208</v>
      </c>
      <c r="E2570" t="s">
        <v>21</v>
      </c>
      <c r="F2570" t="s">
        <v>22</v>
      </c>
      <c r="G2570" t="s">
        <v>33</v>
      </c>
      <c r="H2570" t="s">
        <v>616</v>
      </c>
      <c r="I2570" t="s">
        <v>5161</v>
      </c>
      <c r="J2570">
        <v>10.095034</v>
      </c>
      <c r="K2570">
        <v>-83.507344000000003</v>
      </c>
      <c r="L2570" t="s">
        <v>1225</v>
      </c>
      <c r="M2570" t="s">
        <v>189</v>
      </c>
      <c r="N2570" t="s">
        <v>211</v>
      </c>
      <c r="O2570" t="s">
        <v>212</v>
      </c>
      <c r="P2570">
        <v>8</v>
      </c>
      <c r="Q2570" t="s">
        <v>97</v>
      </c>
      <c r="S2570" t="str">
        <f>_xlfn.XLOOKUP(UNIVERSO[[#This Row],[Ruta]],'[1]CUOTA RUTA'!A:A,'[1]CUOTA RUTA'!D:D)</f>
        <v>Cargar</v>
      </c>
    </row>
    <row r="2571" spans="1:19" x14ac:dyDescent="0.25">
      <c r="A2571">
        <v>1540003621</v>
      </c>
      <c r="B2571" t="s">
        <v>5162</v>
      </c>
      <c r="C2571" t="s">
        <v>19</v>
      </c>
      <c r="D2571" t="s">
        <v>32</v>
      </c>
      <c r="E2571" t="s">
        <v>21</v>
      </c>
      <c r="F2571" t="s">
        <v>22</v>
      </c>
      <c r="G2571" t="s">
        <v>33</v>
      </c>
      <c r="H2571" t="s">
        <v>115</v>
      </c>
      <c r="I2571" t="s">
        <v>5163</v>
      </c>
      <c r="J2571">
        <v>9.9555600000000002</v>
      </c>
      <c r="K2571">
        <v>-84.083740000000006</v>
      </c>
      <c r="L2571" t="s">
        <v>1225</v>
      </c>
      <c r="M2571" t="s">
        <v>36</v>
      </c>
      <c r="N2571" t="s">
        <v>37</v>
      </c>
      <c r="O2571" t="s">
        <v>38</v>
      </c>
      <c r="P2571">
        <v>2</v>
      </c>
      <c r="Q2571" t="s">
        <v>150</v>
      </c>
      <c r="S2571" t="str">
        <f>_xlfn.XLOOKUP(UNIVERSO[[#This Row],[Ruta]],'[1]CUOTA RUTA'!A:A,'[1]CUOTA RUTA'!D:D)</f>
        <v>Cargar</v>
      </c>
    </row>
    <row r="2572" spans="1:19" x14ac:dyDescent="0.25">
      <c r="A2572">
        <v>1540003702</v>
      </c>
      <c r="B2572" t="s">
        <v>5164</v>
      </c>
      <c r="C2572" t="s">
        <v>19</v>
      </c>
      <c r="D2572" t="s">
        <v>349</v>
      </c>
      <c r="E2572" t="s">
        <v>21</v>
      </c>
      <c r="F2572" t="s">
        <v>22</v>
      </c>
      <c r="G2572" t="s">
        <v>33</v>
      </c>
      <c r="H2572" t="s">
        <v>359</v>
      </c>
      <c r="I2572" t="s">
        <v>5165</v>
      </c>
      <c r="J2572">
        <v>9.9951050000000006</v>
      </c>
      <c r="K2572">
        <v>-85.252544</v>
      </c>
      <c r="L2572" t="s">
        <v>1225</v>
      </c>
      <c r="M2572" t="s">
        <v>352</v>
      </c>
      <c r="N2572" t="s">
        <v>353</v>
      </c>
      <c r="O2572" t="s">
        <v>354</v>
      </c>
      <c r="P2572">
        <v>15</v>
      </c>
      <c r="Q2572" t="s">
        <v>231</v>
      </c>
      <c r="S2572" t="str">
        <f>_xlfn.XLOOKUP(UNIVERSO[[#This Row],[Ruta]],'[1]CUOTA RUTA'!A:A,'[1]CUOTA RUTA'!D:D)</f>
        <v>Cargar</v>
      </c>
    </row>
    <row r="2573" spans="1:19" x14ac:dyDescent="0.25">
      <c r="A2573">
        <v>1540004009</v>
      </c>
      <c r="B2573" t="s">
        <v>5166</v>
      </c>
      <c r="C2573" t="s">
        <v>19</v>
      </c>
      <c r="D2573" t="s">
        <v>186</v>
      </c>
      <c r="E2573" t="s">
        <v>21</v>
      </c>
      <c r="F2573" t="s">
        <v>22</v>
      </c>
      <c r="G2573" t="s">
        <v>64</v>
      </c>
      <c r="H2573" t="s">
        <v>420</v>
      </c>
      <c r="I2573" t="s">
        <v>5167</v>
      </c>
      <c r="J2573">
        <v>9.7680059999999997</v>
      </c>
      <c r="K2573">
        <v>-82.899818999999994</v>
      </c>
      <c r="L2573" t="s">
        <v>1225</v>
      </c>
      <c r="M2573" t="s">
        <v>189</v>
      </c>
      <c r="N2573" t="s">
        <v>190</v>
      </c>
      <c r="O2573" t="s">
        <v>191</v>
      </c>
      <c r="P2573">
        <v>17</v>
      </c>
      <c r="Q2573" t="s">
        <v>287</v>
      </c>
      <c r="S2573" t="str">
        <f>_xlfn.XLOOKUP(UNIVERSO[[#This Row],[Ruta]],'[1]CUOTA RUTA'!A:A,'[1]CUOTA RUTA'!D:D)</f>
        <v>Cargar</v>
      </c>
    </row>
    <row r="2574" spans="1:19" x14ac:dyDescent="0.25">
      <c r="A2574">
        <v>1540004204</v>
      </c>
      <c r="B2574" t="s">
        <v>5168</v>
      </c>
      <c r="C2574" t="s">
        <v>19</v>
      </c>
      <c r="D2574" t="s">
        <v>186</v>
      </c>
      <c r="E2574" t="s">
        <v>62</v>
      </c>
      <c r="F2574" t="s">
        <v>63</v>
      </c>
      <c r="G2574" t="s">
        <v>64</v>
      </c>
      <c r="H2574" t="s">
        <v>241</v>
      </c>
      <c r="I2574" t="s">
        <v>5169</v>
      </c>
      <c r="J2574">
        <v>9.9855199999999993</v>
      </c>
      <c r="K2574">
        <v>-83.091989999999996</v>
      </c>
      <c r="L2574" t="s">
        <v>1225</v>
      </c>
      <c r="M2574" t="s">
        <v>189</v>
      </c>
      <c r="N2574" t="s">
        <v>190</v>
      </c>
      <c r="O2574" t="s">
        <v>191</v>
      </c>
      <c r="P2574">
        <v>23</v>
      </c>
      <c r="Q2574" t="s">
        <v>125</v>
      </c>
      <c r="S2574" t="str">
        <f>_xlfn.XLOOKUP(UNIVERSO[[#This Row],[Ruta]],'[1]CUOTA RUTA'!A:A,'[1]CUOTA RUTA'!D:D)</f>
        <v>Cargar</v>
      </c>
    </row>
    <row r="2575" spans="1:19" x14ac:dyDescent="0.25">
      <c r="A2575">
        <v>1540004391</v>
      </c>
      <c r="B2575" t="s">
        <v>5170</v>
      </c>
      <c r="C2575" t="s">
        <v>19</v>
      </c>
      <c r="D2575" t="s">
        <v>244</v>
      </c>
      <c r="E2575" t="s">
        <v>21</v>
      </c>
      <c r="F2575" t="s">
        <v>22</v>
      </c>
      <c r="G2575" t="s">
        <v>23</v>
      </c>
      <c r="H2575" t="s">
        <v>525</v>
      </c>
      <c r="I2575" t="s">
        <v>5171</v>
      </c>
      <c r="J2575">
        <v>9.5749589999999998</v>
      </c>
      <c r="K2575">
        <v>-84.555321000000006</v>
      </c>
      <c r="L2575" t="s">
        <v>1225</v>
      </c>
      <c r="M2575" t="s">
        <v>46</v>
      </c>
      <c r="N2575" t="s">
        <v>247</v>
      </c>
      <c r="O2575" t="s">
        <v>248</v>
      </c>
      <c r="P2575">
        <v>23</v>
      </c>
      <c r="Q2575" t="s">
        <v>125</v>
      </c>
      <c r="S2575" t="str">
        <f>_xlfn.XLOOKUP(UNIVERSO[[#This Row],[Ruta]],'[1]CUOTA RUTA'!A:A,'[1]CUOTA RUTA'!D:D)</f>
        <v>Cargar</v>
      </c>
    </row>
    <row r="2576" spans="1:19" x14ac:dyDescent="0.25">
      <c r="A2576">
        <v>1540004450</v>
      </c>
      <c r="B2576" t="s">
        <v>2853</v>
      </c>
      <c r="C2576" t="s">
        <v>19</v>
      </c>
      <c r="D2576" t="s">
        <v>266</v>
      </c>
      <c r="E2576" t="s">
        <v>21</v>
      </c>
      <c r="F2576" t="s">
        <v>22</v>
      </c>
      <c r="G2576" t="s">
        <v>23</v>
      </c>
      <c r="H2576" t="s">
        <v>366</v>
      </c>
      <c r="I2576" t="s">
        <v>5172</v>
      </c>
      <c r="J2576">
        <v>9.8401016666669996</v>
      </c>
      <c r="K2576">
        <v>-83.930666666660002</v>
      </c>
      <c r="L2576" t="s">
        <v>1225</v>
      </c>
      <c r="M2576" t="s">
        <v>36</v>
      </c>
      <c r="N2576" t="s">
        <v>316</v>
      </c>
      <c r="O2576" t="s">
        <v>317</v>
      </c>
      <c r="P2576">
        <v>18</v>
      </c>
      <c r="Q2576" t="s">
        <v>84</v>
      </c>
      <c r="S2576" t="str">
        <f>_xlfn.XLOOKUP(UNIVERSO[[#This Row],[Ruta]],'[1]CUOTA RUTA'!A:A,'[1]CUOTA RUTA'!D:D)</f>
        <v>Cargar</v>
      </c>
    </row>
    <row r="2577" spans="1:19" x14ac:dyDescent="0.25">
      <c r="A2577">
        <v>1540004452</v>
      </c>
      <c r="B2577" t="s">
        <v>5173</v>
      </c>
      <c r="C2577" t="s">
        <v>19</v>
      </c>
      <c r="D2577" t="s">
        <v>32</v>
      </c>
      <c r="E2577" t="s">
        <v>21</v>
      </c>
      <c r="F2577" t="s">
        <v>22</v>
      </c>
      <c r="G2577" t="s">
        <v>64</v>
      </c>
      <c r="H2577" t="s">
        <v>115</v>
      </c>
      <c r="I2577" t="s">
        <v>5174</v>
      </c>
      <c r="J2577">
        <v>9.9589210000000001</v>
      </c>
      <c r="K2577">
        <v>-84.081230000000005</v>
      </c>
      <c r="L2577" t="s">
        <v>1225</v>
      </c>
      <c r="M2577" t="s">
        <v>36</v>
      </c>
      <c r="N2577" t="s">
        <v>37</v>
      </c>
      <c r="O2577" t="s">
        <v>38</v>
      </c>
      <c r="P2577">
        <v>2</v>
      </c>
      <c r="Q2577" t="s">
        <v>150</v>
      </c>
      <c r="S2577" t="str">
        <f>_xlfn.XLOOKUP(UNIVERSO[[#This Row],[Ruta]],'[1]CUOTA RUTA'!A:A,'[1]CUOTA RUTA'!D:D)</f>
        <v>Cargar</v>
      </c>
    </row>
    <row r="2578" spans="1:19" x14ac:dyDescent="0.25">
      <c r="A2578">
        <v>1540004573</v>
      </c>
      <c r="B2578" t="s">
        <v>5175</v>
      </c>
      <c r="C2578" t="s">
        <v>19</v>
      </c>
      <c r="D2578" t="s">
        <v>20</v>
      </c>
      <c r="E2578" t="s">
        <v>21</v>
      </c>
      <c r="F2578" t="s">
        <v>22</v>
      </c>
      <c r="G2578" t="s">
        <v>33</v>
      </c>
      <c r="H2578" t="s">
        <v>458</v>
      </c>
      <c r="I2578" t="s">
        <v>5176</v>
      </c>
      <c r="J2578">
        <v>9.9856189999999998</v>
      </c>
      <c r="K2578">
        <v>-84.250823800000006</v>
      </c>
      <c r="L2578" t="s">
        <v>1225</v>
      </c>
      <c r="M2578" t="s">
        <v>54</v>
      </c>
      <c r="N2578" t="s">
        <v>55</v>
      </c>
      <c r="O2578" t="s">
        <v>56</v>
      </c>
      <c r="P2578">
        <v>5</v>
      </c>
      <c r="Q2578" t="s">
        <v>117</v>
      </c>
      <c r="S2578" t="str">
        <f>_xlfn.XLOOKUP(UNIVERSO[[#This Row],[Ruta]],'[1]CUOTA RUTA'!A:A,'[1]CUOTA RUTA'!D:D)</f>
        <v>Cargar</v>
      </c>
    </row>
    <row r="2579" spans="1:19" x14ac:dyDescent="0.25">
      <c r="A2579">
        <v>1540004580</v>
      </c>
      <c r="B2579" t="s">
        <v>3377</v>
      </c>
      <c r="C2579" t="s">
        <v>19</v>
      </c>
      <c r="D2579" t="s">
        <v>349</v>
      </c>
      <c r="E2579" t="s">
        <v>21</v>
      </c>
      <c r="F2579" t="s">
        <v>22</v>
      </c>
      <c r="G2579" t="s">
        <v>33</v>
      </c>
      <c r="H2579" t="s">
        <v>711</v>
      </c>
      <c r="I2579" t="s">
        <v>5177</v>
      </c>
      <c r="J2579">
        <v>9.919969</v>
      </c>
      <c r="K2579">
        <v>-85.105485000000002</v>
      </c>
      <c r="L2579" t="s">
        <v>1225</v>
      </c>
      <c r="M2579" t="s">
        <v>352</v>
      </c>
      <c r="N2579" t="s">
        <v>353</v>
      </c>
      <c r="O2579" t="s">
        <v>354</v>
      </c>
      <c r="P2579">
        <v>10</v>
      </c>
      <c r="Q2579" t="s">
        <v>136</v>
      </c>
      <c r="S2579" t="str">
        <f>_xlfn.XLOOKUP(UNIVERSO[[#This Row],[Ruta]],'[1]CUOTA RUTA'!A:A,'[1]CUOTA RUTA'!D:D)</f>
        <v>Cargar</v>
      </c>
    </row>
    <row r="2580" spans="1:19" x14ac:dyDescent="0.25">
      <c r="A2580">
        <v>1540004632</v>
      </c>
      <c r="B2580" t="s">
        <v>808</v>
      </c>
      <c r="C2580" t="s">
        <v>19</v>
      </c>
      <c r="D2580" t="s">
        <v>569</v>
      </c>
      <c r="E2580" t="s">
        <v>21</v>
      </c>
      <c r="F2580" t="s">
        <v>22</v>
      </c>
      <c r="G2580" t="s">
        <v>33</v>
      </c>
      <c r="H2580" t="s">
        <v>570</v>
      </c>
      <c r="I2580" t="s">
        <v>5178</v>
      </c>
      <c r="J2580">
        <v>8.961411</v>
      </c>
      <c r="K2580">
        <v>-83.458370000000002</v>
      </c>
      <c r="L2580" t="s">
        <v>1225</v>
      </c>
      <c r="M2580" t="s">
        <v>572</v>
      </c>
      <c r="N2580" t="s">
        <v>573</v>
      </c>
      <c r="O2580" t="s">
        <v>574</v>
      </c>
      <c r="P2580">
        <v>21</v>
      </c>
      <c r="Q2580" t="s">
        <v>239</v>
      </c>
      <c r="S2580" t="str">
        <f>_xlfn.XLOOKUP(UNIVERSO[[#This Row],[Ruta]],'[1]CUOTA RUTA'!A:A,'[1]CUOTA RUTA'!D:D)</f>
        <v>Cargar</v>
      </c>
    </row>
    <row r="2581" spans="1:19" x14ac:dyDescent="0.25">
      <c r="A2581">
        <v>1540004695</v>
      </c>
      <c r="B2581" t="s">
        <v>5179</v>
      </c>
      <c r="C2581" t="s">
        <v>19</v>
      </c>
      <c r="D2581" t="s">
        <v>20</v>
      </c>
      <c r="E2581" t="s">
        <v>21</v>
      </c>
      <c r="F2581" t="s">
        <v>22</v>
      </c>
      <c r="G2581" t="s">
        <v>64</v>
      </c>
      <c r="H2581" t="s">
        <v>743</v>
      </c>
      <c r="I2581" t="s">
        <v>5180</v>
      </c>
      <c r="J2581">
        <v>9.9237599999999997</v>
      </c>
      <c r="K2581">
        <v>-84.391750000000002</v>
      </c>
      <c r="L2581" t="s">
        <v>1225</v>
      </c>
      <c r="M2581" t="s">
        <v>46</v>
      </c>
      <c r="N2581" t="s">
        <v>47</v>
      </c>
      <c r="O2581" t="s">
        <v>48</v>
      </c>
      <c r="P2581">
        <v>12</v>
      </c>
      <c r="Q2581" t="s">
        <v>42</v>
      </c>
      <c r="S2581" t="str">
        <f>_xlfn.XLOOKUP(UNIVERSO[[#This Row],[Ruta]],'[1]CUOTA RUTA'!A:A,'[1]CUOTA RUTA'!D:D)</f>
        <v>Cargar</v>
      </c>
    </row>
    <row r="2582" spans="1:19" x14ac:dyDescent="0.25">
      <c r="A2582">
        <v>1540004842</v>
      </c>
      <c r="B2582" t="s">
        <v>5181</v>
      </c>
      <c r="C2582" t="s">
        <v>19</v>
      </c>
      <c r="D2582" t="s">
        <v>32</v>
      </c>
      <c r="E2582" t="s">
        <v>21</v>
      </c>
      <c r="F2582" t="s">
        <v>22</v>
      </c>
      <c r="G2582" t="s">
        <v>33</v>
      </c>
      <c r="H2582" t="s">
        <v>65</v>
      </c>
      <c r="I2582" t="s">
        <v>5182</v>
      </c>
      <c r="J2582">
        <v>9.9078180000000007</v>
      </c>
      <c r="K2582">
        <v>-83.980525</v>
      </c>
      <c r="L2582" t="s">
        <v>1225</v>
      </c>
      <c r="M2582" t="s">
        <v>36</v>
      </c>
      <c r="N2582" t="s">
        <v>37</v>
      </c>
      <c r="O2582" t="s">
        <v>38</v>
      </c>
      <c r="P2582">
        <v>19</v>
      </c>
      <c r="Q2582" t="s">
        <v>67</v>
      </c>
      <c r="S2582" t="str">
        <f>_xlfn.XLOOKUP(UNIVERSO[[#This Row],[Ruta]],'[1]CUOTA RUTA'!A:A,'[1]CUOTA RUTA'!D:D)</f>
        <v>Cargar</v>
      </c>
    </row>
    <row r="2583" spans="1:19" x14ac:dyDescent="0.25">
      <c r="A2583">
        <v>1540005771</v>
      </c>
      <c r="B2583" t="s">
        <v>5183</v>
      </c>
      <c r="C2583" t="s">
        <v>19</v>
      </c>
      <c r="D2583" t="s">
        <v>208</v>
      </c>
      <c r="E2583" t="s">
        <v>21</v>
      </c>
      <c r="F2583" t="s">
        <v>22</v>
      </c>
      <c r="G2583" t="s">
        <v>64</v>
      </c>
      <c r="H2583" t="s">
        <v>502</v>
      </c>
      <c r="I2583" t="s">
        <v>5184</v>
      </c>
      <c r="J2583">
        <v>10.386683</v>
      </c>
      <c r="K2583">
        <v>-83.654611000000003</v>
      </c>
      <c r="L2583" t="s">
        <v>1225</v>
      </c>
      <c r="M2583" t="s">
        <v>189</v>
      </c>
      <c r="N2583" t="s">
        <v>211</v>
      </c>
      <c r="O2583" t="s">
        <v>212</v>
      </c>
      <c r="P2583">
        <v>7</v>
      </c>
      <c r="Q2583" t="s">
        <v>39</v>
      </c>
      <c r="S2583" t="str">
        <f>_xlfn.XLOOKUP(UNIVERSO[[#This Row],[Ruta]],'[1]CUOTA RUTA'!A:A,'[1]CUOTA RUTA'!D:D)</f>
        <v>Cargar</v>
      </c>
    </row>
    <row r="2584" spans="1:19" x14ac:dyDescent="0.25">
      <c r="A2584">
        <v>1540005832</v>
      </c>
      <c r="B2584" t="s">
        <v>5185</v>
      </c>
      <c r="C2584" t="s">
        <v>19</v>
      </c>
      <c r="D2584" t="s">
        <v>32</v>
      </c>
      <c r="E2584" t="s">
        <v>21</v>
      </c>
      <c r="F2584" t="s">
        <v>22</v>
      </c>
      <c r="G2584" t="s">
        <v>33</v>
      </c>
      <c r="H2584" t="s">
        <v>138</v>
      </c>
      <c r="I2584" t="s">
        <v>5186</v>
      </c>
      <c r="J2584">
        <v>9.9495839999999998</v>
      </c>
      <c r="K2584">
        <v>-84.054799000000003</v>
      </c>
      <c r="L2584" t="s">
        <v>1225</v>
      </c>
      <c r="M2584" t="s">
        <v>36</v>
      </c>
      <c r="N2584" t="s">
        <v>37</v>
      </c>
      <c r="O2584" t="s">
        <v>38</v>
      </c>
      <c r="P2584">
        <v>22</v>
      </c>
      <c r="Q2584" t="s">
        <v>30</v>
      </c>
      <c r="S2584" t="str">
        <f>_xlfn.XLOOKUP(UNIVERSO[[#This Row],[Ruta]],'[1]CUOTA RUTA'!A:A,'[1]CUOTA RUTA'!D:D)</f>
        <v>Cargar</v>
      </c>
    </row>
    <row r="2585" spans="1:19" x14ac:dyDescent="0.25">
      <c r="A2585">
        <v>1540005911</v>
      </c>
      <c r="B2585" t="s">
        <v>5187</v>
      </c>
      <c r="C2585" t="s">
        <v>19</v>
      </c>
      <c r="D2585" t="s">
        <v>32</v>
      </c>
      <c r="E2585" t="s">
        <v>21</v>
      </c>
      <c r="F2585" t="s">
        <v>22</v>
      </c>
      <c r="G2585" t="s">
        <v>64</v>
      </c>
      <c r="H2585" t="s">
        <v>159</v>
      </c>
      <c r="I2585" t="s">
        <v>5188</v>
      </c>
      <c r="J2585">
        <v>9.8909219999999998</v>
      </c>
      <c r="K2585">
        <v>-84.104279000000005</v>
      </c>
      <c r="L2585" t="s">
        <v>1225</v>
      </c>
      <c r="M2585" t="s">
        <v>71</v>
      </c>
      <c r="N2585" t="s">
        <v>72</v>
      </c>
      <c r="O2585" t="s">
        <v>73</v>
      </c>
      <c r="P2585">
        <v>14</v>
      </c>
      <c r="Q2585" t="s">
        <v>181</v>
      </c>
      <c r="S2585" t="str">
        <f>_xlfn.XLOOKUP(UNIVERSO[[#This Row],[Ruta]],'[1]CUOTA RUTA'!A:A,'[1]CUOTA RUTA'!D:D)</f>
        <v>Cargar</v>
      </c>
    </row>
    <row r="2586" spans="1:19" x14ac:dyDescent="0.25">
      <c r="A2586">
        <v>1540005964</v>
      </c>
      <c r="B2586" t="s">
        <v>5189</v>
      </c>
      <c r="C2586" t="s">
        <v>19</v>
      </c>
      <c r="D2586" t="s">
        <v>32</v>
      </c>
      <c r="E2586" t="s">
        <v>21</v>
      </c>
      <c r="F2586" t="s">
        <v>22</v>
      </c>
      <c r="G2586" t="s">
        <v>33</v>
      </c>
      <c r="H2586" t="s">
        <v>174</v>
      </c>
      <c r="I2586" t="s">
        <v>5190</v>
      </c>
      <c r="J2586">
        <v>9.9375180000000007</v>
      </c>
      <c r="K2586">
        <v>-84.084147000000002</v>
      </c>
      <c r="L2586" t="s">
        <v>1225</v>
      </c>
      <c r="M2586" t="s">
        <v>71</v>
      </c>
      <c r="N2586" t="s">
        <v>72</v>
      </c>
      <c r="O2586" t="s">
        <v>73</v>
      </c>
      <c r="P2586">
        <v>1</v>
      </c>
      <c r="Q2586" t="s">
        <v>155</v>
      </c>
      <c r="S2586" t="str">
        <f>_xlfn.XLOOKUP(UNIVERSO[[#This Row],[Ruta]],'[1]CUOTA RUTA'!A:A,'[1]CUOTA RUTA'!D:D)</f>
        <v>Cargar</v>
      </c>
    </row>
    <row r="2587" spans="1:19" x14ac:dyDescent="0.25">
      <c r="A2587">
        <v>1540005996</v>
      </c>
      <c r="B2587" t="s">
        <v>5191</v>
      </c>
      <c r="C2587" t="s">
        <v>19</v>
      </c>
      <c r="D2587" t="s">
        <v>32</v>
      </c>
      <c r="E2587" t="s">
        <v>21</v>
      </c>
      <c r="F2587" t="s">
        <v>22</v>
      </c>
      <c r="G2587" t="s">
        <v>64</v>
      </c>
      <c r="H2587" t="s">
        <v>698</v>
      </c>
      <c r="I2587" t="s">
        <v>5192</v>
      </c>
      <c r="J2587">
        <v>9.9520491</v>
      </c>
      <c r="K2587">
        <v>-84.050856499999995</v>
      </c>
      <c r="L2587" t="s">
        <v>1225</v>
      </c>
      <c r="M2587" t="s">
        <v>94</v>
      </c>
      <c r="N2587" t="s">
        <v>95</v>
      </c>
      <c r="O2587" t="s">
        <v>96</v>
      </c>
      <c r="P2587">
        <v>9</v>
      </c>
      <c r="Q2587" t="s">
        <v>80</v>
      </c>
      <c r="S2587" t="str">
        <f>_xlfn.XLOOKUP(UNIVERSO[[#This Row],[Ruta]],'[1]CUOTA RUTA'!A:A,'[1]CUOTA RUTA'!D:D)</f>
        <v>Cargar</v>
      </c>
    </row>
    <row r="2588" spans="1:19" x14ac:dyDescent="0.25">
      <c r="A2588">
        <v>1540006206</v>
      </c>
      <c r="B2588" t="s">
        <v>5193</v>
      </c>
      <c r="C2588" t="s">
        <v>19</v>
      </c>
      <c r="D2588" t="s">
        <v>20</v>
      </c>
      <c r="E2588" t="s">
        <v>21</v>
      </c>
      <c r="F2588" t="s">
        <v>22</v>
      </c>
      <c r="G2588" t="s">
        <v>64</v>
      </c>
      <c r="H2588" t="s">
        <v>901</v>
      </c>
      <c r="I2588" t="s">
        <v>5194</v>
      </c>
      <c r="J2588">
        <v>10.02708</v>
      </c>
      <c r="K2588">
        <v>-84.417850000000001</v>
      </c>
      <c r="L2588" t="s">
        <v>1225</v>
      </c>
      <c r="M2588" t="s">
        <v>46</v>
      </c>
      <c r="N2588" t="s">
        <v>47</v>
      </c>
      <c r="O2588" t="s">
        <v>48</v>
      </c>
      <c r="P2588">
        <v>9</v>
      </c>
      <c r="Q2588" t="s">
        <v>80</v>
      </c>
      <c r="S2588" t="str">
        <f>_xlfn.XLOOKUP(UNIVERSO[[#This Row],[Ruta]],'[1]CUOTA RUTA'!A:A,'[1]CUOTA RUTA'!D:D)</f>
        <v>Cargar</v>
      </c>
    </row>
    <row r="2589" spans="1:19" x14ac:dyDescent="0.25">
      <c r="A2589">
        <v>1540006323</v>
      </c>
      <c r="B2589" t="s">
        <v>5195</v>
      </c>
      <c r="C2589" t="s">
        <v>19</v>
      </c>
      <c r="D2589" t="s">
        <v>32</v>
      </c>
      <c r="E2589" t="s">
        <v>21</v>
      </c>
      <c r="F2589" t="s">
        <v>22</v>
      </c>
      <c r="G2589" t="s">
        <v>33</v>
      </c>
      <c r="H2589" t="s">
        <v>1383</v>
      </c>
      <c r="I2589" t="s">
        <v>5196</v>
      </c>
      <c r="J2589">
        <v>9.9061810000000001</v>
      </c>
      <c r="K2589">
        <v>-84.094021999999995</v>
      </c>
      <c r="L2589" t="s">
        <v>1225</v>
      </c>
      <c r="M2589" t="s">
        <v>71</v>
      </c>
      <c r="N2589" t="s">
        <v>72</v>
      </c>
      <c r="O2589" t="s">
        <v>73</v>
      </c>
      <c r="P2589">
        <v>6</v>
      </c>
      <c r="Q2589" t="s">
        <v>49</v>
      </c>
      <c r="S2589" t="str">
        <f>_xlfn.XLOOKUP(UNIVERSO[[#This Row],[Ruta]],'[1]CUOTA RUTA'!A:A,'[1]CUOTA RUTA'!D:D)</f>
        <v>Cargar</v>
      </c>
    </row>
    <row r="2590" spans="1:19" x14ac:dyDescent="0.25">
      <c r="A2590">
        <v>1540006364</v>
      </c>
      <c r="B2590" t="s">
        <v>5197</v>
      </c>
      <c r="C2590" t="s">
        <v>19</v>
      </c>
      <c r="D2590" t="s">
        <v>20</v>
      </c>
      <c r="E2590" t="s">
        <v>21</v>
      </c>
      <c r="F2590" t="s">
        <v>22</v>
      </c>
      <c r="G2590" t="s">
        <v>23</v>
      </c>
      <c r="H2590" t="s">
        <v>638</v>
      </c>
      <c r="I2590" t="s">
        <v>5198</v>
      </c>
      <c r="J2590">
        <v>10.010102099999999</v>
      </c>
      <c r="K2590">
        <v>-84.213135399999999</v>
      </c>
      <c r="L2590" t="s">
        <v>1225</v>
      </c>
      <c r="M2590" t="s">
        <v>54</v>
      </c>
      <c r="N2590" t="s">
        <v>55</v>
      </c>
      <c r="O2590" t="s">
        <v>56</v>
      </c>
      <c r="P2590">
        <v>4</v>
      </c>
      <c r="Q2590" t="s">
        <v>120</v>
      </c>
      <c r="S2590" t="str">
        <f>_xlfn.XLOOKUP(UNIVERSO[[#This Row],[Ruta]],'[1]CUOTA RUTA'!A:A,'[1]CUOTA RUTA'!D:D)</f>
        <v>Cargar</v>
      </c>
    </row>
    <row r="2591" spans="1:19" x14ac:dyDescent="0.25">
      <c r="A2591">
        <v>1540006372</v>
      </c>
      <c r="B2591" t="s">
        <v>5199</v>
      </c>
      <c r="C2591" t="s">
        <v>19</v>
      </c>
      <c r="D2591" t="s">
        <v>186</v>
      </c>
      <c r="E2591" t="s">
        <v>21</v>
      </c>
      <c r="F2591" t="s">
        <v>22</v>
      </c>
      <c r="G2591" t="s">
        <v>23</v>
      </c>
      <c r="H2591" t="s">
        <v>237</v>
      </c>
      <c r="I2591" t="s">
        <v>5200</v>
      </c>
      <c r="J2591">
        <v>10.077211999999999</v>
      </c>
      <c r="K2591">
        <v>-83.290443999999994</v>
      </c>
      <c r="L2591" t="s">
        <v>1225</v>
      </c>
      <c r="M2591" t="s">
        <v>189</v>
      </c>
      <c r="N2591" t="s">
        <v>190</v>
      </c>
      <c r="O2591" t="s">
        <v>191</v>
      </c>
      <c r="P2591">
        <v>20</v>
      </c>
      <c r="Q2591" t="s">
        <v>74</v>
      </c>
      <c r="S2591" t="str">
        <f>_xlfn.XLOOKUP(UNIVERSO[[#This Row],[Ruta]],'[1]CUOTA RUTA'!A:A,'[1]CUOTA RUTA'!D:D)</f>
        <v>Cargar</v>
      </c>
    </row>
    <row r="2592" spans="1:19" x14ac:dyDescent="0.25">
      <c r="A2592">
        <v>1540006477</v>
      </c>
      <c r="B2592" t="s">
        <v>5201</v>
      </c>
      <c r="C2592" t="s">
        <v>19</v>
      </c>
      <c r="D2592" t="s">
        <v>32</v>
      </c>
      <c r="E2592" t="s">
        <v>21</v>
      </c>
      <c r="F2592" t="s">
        <v>22</v>
      </c>
      <c r="G2592" t="s">
        <v>33</v>
      </c>
      <c r="H2592" t="s">
        <v>1383</v>
      </c>
      <c r="I2592" t="s">
        <v>5202</v>
      </c>
      <c r="J2592">
        <v>9.9040630000000007</v>
      </c>
      <c r="K2592">
        <v>-84.092416999999998</v>
      </c>
      <c r="L2592" t="s">
        <v>1225</v>
      </c>
      <c r="M2592" t="s">
        <v>71</v>
      </c>
      <c r="N2592" t="s">
        <v>72</v>
      </c>
      <c r="O2592" t="s">
        <v>73</v>
      </c>
      <c r="P2592">
        <v>6</v>
      </c>
      <c r="Q2592" t="s">
        <v>49</v>
      </c>
      <c r="S2592" t="str">
        <f>_xlfn.XLOOKUP(UNIVERSO[[#This Row],[Ruta]],'[1]CUOTA RUTA'!A:A,'[1]CUOTA RUTA'!D:D)</f>
        <v>Cargar</v>
      </c>
    </row>
    <row r="2593" spans="1:19" x14ac:dyDescent="0.25">
      <c r="A2593">
        <v>1540006512</v>
      </c>
      <c r="B2593" t="s">
        <v>5203</v>
      </c>
      <c r="C2593" t="s">
        <v>19</v>
      </c>
      <c r="D2593" t="s">
        <v>20</v>
      </c>
      <c r="E2593" t="s">
        <v>21</v>
      </c>
      <c r="F2593" t="s">
        <v>22</v>
      </c>
      <c r="G2593" t="s">
        <v>33</v>
      </c>
      <c r="H2593" t="s">
        <v>518</v>
      </c>
      <c r="I2593" t="s">
        <v>5204</v>
      </c>
      <c r="J2593">
        <v>9.9894870000000004</v>
      </c>
      <c r="K2593">
        <v>-84.098809000000003</v>
      </c>
      <c r="L2593" t="s">
        <v>1225</v>
      </c>
      <c r="M2593" t="s">
        <v>27</v>
      </c>
      <c r="N2593" t="s">
        <v>28</v>
      </c>
      <c r="O2593" t="s">
        <v>29</v>
      </c>
      <c r="P2593">
        <v>19</v>
      </c>
      <c r="Q2593" t="s">
        <v>67</v>
      </c>
      <c r="S2593" t="str">
        <f>_xlfn.XLOOKUP(UNIVERSO[[#This Row],[Ruta]],'[1]CUOTA RUTA'!A:A,'[1]CUOTA RUTA'!D:D)</f>
        <v>Cargar</v>
      </c>
    </row>
    <row r="2594" spans="1:19" x14ac:dyDescent="0.25">
      <c r="A2594">
        <v>1540006555</v>
      </c>
      <c r="B2594" t="s">
        <v>5205</v>
      </c>
      <c r="C2594" t="s">
        <v>19</v>
      </c>
      <c r="D2594" t="s">
        <v>244</v>
      </c>
      <c r="E2594" t="s">
        <v>21</v>
      </c>
      <c r="F2594" t="s">
        <v>22</v>
      </c>
      <c r="G2594" t="s">
        <v>33</v>
      </c>
      <c r="H2594" t="s">
        <v>525</v>
      </c>
      <c r="I2594" t="s">
        <v>5206</v>
      </c>
      <c r="J2594">
        <v>9.5370489999999997</v>
      </c>
      <c r="K2594">
        <v>-84.394678999999996</v>
      </c>
      <c r="L2594" t="s">
        <v>1225</v>
      </c>
      <c r="M2594" t="s">
        <v>46</v>
      </c>
      <c r="N2594" t="s">
        <v>247</v>
      </c>
      <c r="O2594" t="s">
        <v>248</v>
      </c>
      <c r="P2594">
        <v>23</v>
      </c>
      <c r="Q2594" t="s">
        <v>125</v>
      </c>
      <c r="S2594" t="str">
        <f>_xlfn.XLOOKUP(UNIVERSO[[#This Row],[Ruta]],'[1]CUOTA RUTA'!A:A,'[1]CUOTA RUTA'!D:D)</f>
        <v>Cargar</v>
      </c>
    </row>
    <row r="2595" spans="1:19" x14ac:dyDescent="0.25">
      <c r="A2595">
        <v>1540006755</v>
      </c>
      <c r="B2595" t="s">
        <v>762</v>
      </c>
      <c r="C2595" t="s">
        <v>19</v>
      </c>
      <c r="D2595" t="s">
        <v>201</v>
      </c>
      <c r="E2595" t="s">
        <v>21</v>
      </c>
      <c r="F2595" t="s">
        <v>22</v>
      </c>
      <c r="G2595" t="s">
        <v>33</v>
      </c>
      <c r="H2595" t="s">
        <v>593</v>
      </c>
      <c r="I2595" t="s">
        <v>5207</v>
      </c>
      <c r="J2595">
        <v>9.9826864000000004</v>
      </c>
      <c r="K2595">
        <v>-84.775690600000004</v>
      </c>
      <c r="L2595" t="s">
        <v>1225</v>
      </c>
      <c r="M2595" t="s">
        <v>204</v>
      </c>
      <c r="N2595" t="s">
        <v>205</v>
      </c>
      <c r="O2595" t="s">
        <v>206</v>
      </c>
      <c r="P2595">
        <v>10</v>
      </c>
      <c r="Q2595" t="s">
        <v>136</v>
      </c>
      <c r="S2595" t="str">
        <f>_xlfn.XLOOKUP(UNIVERSO[[#This Row],[Ruta]],'[1]CUOTA RUTA'!A:A,'[1]CUOTA RUTA'!D:D)</f>
        <v>Cargar</v>
      </c>
    </row>
    <row r="2596" spans="1:19" x14ac:dyDescent="0.25">
      <c r="A2596">
        <v>1540006798</v>
      </c>
      <c r="B2596" t="s">
        <v>5208</v>
      </c>
      <c r="C2596" t="s">
        <v>19</v>
      </c>
      <c r="D2596" t="s">
        <v>208</v>
      </c>
      <c r="E2596" t="s">
        <v>21</v>
      </c>
      <c r="F2596" t="s">
        <v>22</v>
      </c>
      <c r="G2596" t="s">
        <v>64</v>
      </c>
      <c r="H2596" t="s">
        <v>1794</v>
      </c>
      <c r="I2596" t="s">
        <v>5209</v>
      </c>
      <c r="J2596">
        <v>10.32045377</v>
      </c>
      <c r="K2596">
        <v>-83.942730490000002</v>
      </c>
      <c r="L2596" t="s">
        <v>1225</v>
      </c>
      <c r="M2596" t="s">
        <v>189</v>
      </c>
      <c r="N2596" t="s">
        <v>211</v>
      </c>
      <c r="O2596" t="s">
        <v>212</v>
      </c>
      <c r="P2596">
        <v>3</v>
      </c>
      <c r="Q2596" t="s">
        <v>101</v>
      </c>
      <c r="S2596" t="str">
        <f>_xlfn.XLOOKUP(UNIVERSO[[#This Row],[Ruta]],'[1]CUOTA RUTA'!A:A,'[1]CUOTA RUTA'!D:D)</f>
        <v>Cargar</v>
      </c>
    </row>
    <row r="2597" spans="1:19" x14ac:dyDescent="0.25">
      <c r="A2597">
        <v>1540006901</v>
      </c>
      <c r="B2597" t="s">
        <v>3303</v>
      </c>
      <c r="C2597" t="s">
        <v>19</v>
      </c>
      <c r="D2597" t="s">
        <v>349</v>
      </c>
      <c r="E2597" t="s">
        <v>21</v>
      </c>
      <c r="F2597" t="s">
        <v>22</v>
      </c>
      <c r="G2597" t="s">
        <v>64</v>
      </c>
      <c r="H2597" t="s">
        <v>711</v>
      </c>
      <c r="I2597" t="s">
        <v>5210</v>
      </c>
      <c r="J2597">
        <v>9.8786909999999999</v>
      </c>
      <c r="K2597">
        <v>-85.165702999999993</v>
      </c>
      <c r="L2597" t="s">
        <v>1225</v>
      </c>
      <c r="M2597" t="s">
        <v>352</v>
      </c>
      <c r="N2597" t="s">
        <v>353</v>
      </c>
      <c r="O2597" t="s">
        <v>354</v>
      </c>
      <c r="P2597">
        <v>10</v>
      </c>
      <c r="Q2597" t="s">
        <v>136</v>
      </c>
      <c r="S2597" t="str">
        <f>_xlfn.XLOOKUP(UNIVERSO[[#This Row],[Ruta]],'[1]CUOTA RUTA'!A:A,'[1]CUOTA RUTA'!D:D)</f>
        <v>Cargar</v>
      </c>
    </row>
    <row r="2598" spans="1:19" x14ac:dyDescent="0.25">
      <c r="A2598">
        <v>1540006969</v>
      </c>
      <c r="B2598" t="s">
        <v>5211</v>
      </c>
      <c r="C2598" t="s">
        <v>19</v>
      </c>
      <c r="D2598" t="s">
        <v>186</v>
      </c>
      <c r="E2598" t="s">
        <v>21</v>
      </c>
      <c r="F2598" t="s">
        <v>22</v>
      </c>
      <c r="G2598" t="s">
        <v>23</v>
      </c>
      <c r="H2598" t="s">
        <v>237</v>
      </c>
      <c r="I2598" t="s">
        <v>5212</v>
      </c>
      <c r="J2598">
        <v>10.089681000000001</v>
      </c>
      <c r="K2598">
        <v>-83.341747999999995</v>
      </c>
      <c r="L2598" t="s">
        <v>1225</v>
      </c>
      <c r="M2598" t="s">
        <v>189</v>
      </c>
      <c r="N2598" t="s">
        <v>190</v>
      </c>
      <c r="O2598" t="s">
        <v>191</v>
      </c>
      <c r="P2598">
        <v>21</v>
      </c>
      <c r="Q2598" t="s">
        <v>239</v>
      </c>
      <c r="S2598" t="str">
        <f>_xlfn.XLOOKUP(UNIVERSO[[#This Row],[Ruta]],'[1]CUOTA RUTA'!A:A,'[1]CUOTA RUTA'!D:D)</f>
        <v>Cargar</v>
      </c>
    </row>
    <row r="2599" spans="1:19" x14ac:dyDescent="0.25">
      <c r="A2599">
        <v>1540007135</v>
      </c>
      <c r="B2599" t="s">
        <v>5213</v>
      </c>
      <c r="C2599" t="s">
        <v>19</v>
      </c>
      <c r="D2599" t="s">
        <v>20</v>
      </c>
      <c r="E2599" t="s">
        <v>21</v>
      </c>
      <c r="F2599" t="s">
        <v>22</v>
      </c>
      <c r="G2599" t="s">
        <v>33</v>
      </c>
      <c r="H2599" t="s">
        <v>1021</v>
      </c>
      <c r="I2599" t="s">
        <v>5214</v>
      </c>
      <c r="J2599">
        <v>10.028086</v>
      </c>
      <c r="K2599">
        <v>-84.300593000000006</v>
      </c>
      <c r="L2599" t="s">
        <v>1225</v>
      </c>
      <c r="M2599" t="s">
        <v>46</v>
      </c>
      <c r="N2599" t="s">
        <v>47</v>
      </c>
      <c r="O2599" t="s">
        <v>48</v>
      </c>
      <c r="P2599">
        <v>5</v>
      </c>
      <c r="Q2599" t="s">
        <v>117</v>
      </c>
      <c r="S2599" t="str">
        <f>_xlfn.XLOOKUP(UNIVERSO[[#This Row],[Ruta]],'[1]CUOTA RUTA'!A:A,'[1]CUOTA RUTA'!D:D)</f>
        <v>Cargar</v>
      </c>
    </row>
    <row r="2600" spans="1:19" x14ac:dyDescent="0.25">
      <c r="A2600">
        <v>1540007612</v>
      </c>
      <c r="B2600" t="s">
        <v>5215</v>
      </c>
      <c r="C2600" t="s">
        <v>19</v>
      </c>
      <c r="D2600" t="s">
        <v>20</v>
      </c>
      <c r="E2600" t="s">
        <v>21</v>
      </c>
      <c r="F2600" t="s">
        <v>22</v>
      </c>
      <c r="G2600" t="s">
        <v>23</v>
      </c>
      <c r="H2600" t="s">
        <v>311</v>
      </c>
      <c r="I2600" t="s">
        <v>5216</v>
      </c>
      <c r="J2600">
        <v>9.9788189999999997</v>
      </c>
      <c r="K2600">
        <v>-84.225479000000007</v>
      </c>
      <c r="L2600" t="s">
        <v>1225</v>
      </c>
      <c r="M2600" t="s">
        <v>54</v>
      </c>
      <c r="N2600" t="s">
        <v>55</v>
      </c>
      <c r="O2600" t="s">
        <v>56</v>
      </c>
      <c r="P2600">
        <v>8</v>
      </c>
      <c r="Q2600" t="s">
        <v>97</v>
      </c>
      <c r="S2600" t="str">
        <f>_xlfn.XLOOKUP(UNIVERSO[[#This Row],[Ruta]],'[1]CUOTA RUTA'!A:A,'[1]CUOTA RUTA'!D:D)</f>
        <v>Cargar</v>
      </c>
    </row>
    <row r="2601" spans="1:19" x14ac:dyDescent="0.25">
      <c r="A2601">
        <v>1540007662</v>
      </c>
      <c r="B2601" t="s">
        <v>5217</v>
      </c>
      <c r="C2601" t="s">
        <v>19</v>
      </c>
      <c r="D2601" t="s">
        <v>244</v>
      </c>
      <c r="E2601" t="s">
        <v>21</v>
      </c>
      <c r="F2601" t="s">
        <v>22</v>
      </c>
      <c r="G2601" t="s">
        <v>33</v>
      </c>
      <c r="H2601" t="s">
        <v>566</v>
      </c>
      <c r="I2601" t="s">
        <v>5218</v>
      </c>
      <c r="J2601">
        <v>9.1705181000000007</v>
      </c>
      <c r="K2601">
        <v>-83.336491899999999</v>
      </c>
      <c r="L2601" t="s">
        <v>1225</v>
      </c>
      <c r="M2601" t="s">
        <v>46</v>
      </c>
      <c r="N2601" t="s">
        <v>247</v>
      </c>
      <c r="O2601" t="s">
        <v>248</v>
      </c>
      <c r="P2601">
        <v>12</v>
      </c>
      <c r="Q2601" t="s">
        <v>42</v>
      </c>
      <c r="S2601" t="str">
        <f>_xlfn.XLOOKUP(UNIVERSO[[#This Row],[Ruta]],'[1]CUOTA RUTA'!A:A,'[1]CUOTA RUTA'!D:D)</f>
        <v>Cargar</v>
      </c>
    </row>
    <row r="2602" spans="1:19" x14ac:dyDescent="0.25">
      <c r="A2602">
        <v>1540007688</v>
      </c>
      <c r="B2602" t="s">
        <v>5219</v>
      </c>
      <c r="C2602" t="s">
        <v>19</v>
      </c>
      <c r="D2602" t="s">
        <v>20</v>
      </c>
      <c r="E2602" t="s">
        <v>21</v>
      </c>
      <c r="F2602" t="s">
        <v>22</v>
      </c>
      <c r="G2602" t="s">
        <v>64</v>
      </c>
      <c r="H2602" t="s">
        <v>901</v>
      </c>
      <c r="I2602" t="s">
        <v>5220</v>
      </c>
      <c r="J2602">
        <v>10.057924699999999</v>
      </c>
      <c r="K2602">
        <v>-84.366922299999999</v>
      </c>
      <c r="L2602" t="s">
        <v>1225</v>
      </c>
      <c r="M2602" t="s">
        <v>46</v>
      </c>
      <c r="N2602" t="s">
        <v>47</v>
      </c>
      <c r="O2602" t="s">
        <v>48</v>
      </c>
      <c r="P2602">
        <v>5</v>
      </c>
      <c r="Q2602" t="s">
        <v>117</v>
      </c>
      <c r="S2602" t="str">
        <f>_xlfn.XLOOKUP(UNIVERSO[[#This Row],[Ruta]],'[1]CUOTA RUTA'!A:A,'[1]CUOTA RUTA'!D:D)</f>
        <v>Cargar</v>
      </c>
    </row>
    <row r="2603" spans="1:19" x14ac:dyDescent="0.25">
      <c r="A2603">
        <v>1540007742</v>
      </c>
      <c r="B2603" t="s">
        <v>5221</v>
      </c>
      <c r="C2603" t="s">
        <v>19</v>
      </c>
      <c r="D2603" t="s">
        <v>20</v>
      </c>
      <c r="E2603" t="s">
        <v>21</v>
      </c>
      <c r="F2603" t="s">
        <v>22</v>
      </c>
      <c r="G2603" t="s">
        <v>23</v>
      </c>
      <c r="H2603" t="s">
        <v>193</v>
      </c>
      <c r="I2603" t="s">
        <v>5222</v>
      </c>
      <c r="J2603">
        <v>9.9936161999999999</v>
      </c>
      <c r="K2603">
        <v>-84.269598500000001</v>
      </c>
      <c r="L2603" t="s">
        <v>1225</v>
      </c>
      <c r="M2603" t="s">
        <v>54</v>
      </c>
      <c r="N2603" t="s">
        <v>55</v>
      </c>
      <c r="O2603" t="s">
        <v>56</v>
      </c>
      <c r="P2603">
        <v>6</v>
      </c>
      <c r="Q2603" t="s">
        <v>49</v>
      </c>
      <c r="S2603" t="str">
        <f>_xlfn.XLOOKUP(UNIVERSO[[#This Row],[Ruta]],'[1]CUOTA RUTA'!A:A,'[1]CUOTA RUTA'!D:D)</f>
        <v>Cargar</v>
      </c>
    </row>
    <row r="2604" spans="1:19" x14ac:dyDescent="0.25">
      <c r="A2604">
        <v>1540007831</v>
      </c>
      <c r="B2604" t="s">
        <v>5223</v>
      </c>
      <c r="C2604" t="s">
        <v>19</v>
      </c>
      <c r="D2604" t="s">
        <v>20</v>
      </c>
      <c r="E2604" t="s">
        <v>21</v>
      </c>
      <c r="F2604" t="s">
        <v>22</v>
      </c>
      <c r="G2604" t="s">
        <v>64</v>
      </c>
      <c r="H2604" t="s">
        <v>743</v>
      </c>
      <c r="I2604" t="s">
        <v>5224</v>
      </c>
      <c r="J2604">
        <v>10.006181700000001</v>
      </c>
      <c r="K2604">
        <v>-84.293461699999995</v>
      </c>
      <c r="L2604" t="s">
        <v>1225</v>
      </c>
      <c r="M2604" t="s">
        <v>46</v>
      </c>
      <c r="N2604" t="s">
        <v>47</v>
      </c>
      <c r="O2604" t="s">
        <v>48</v>
      </c>
      <c r="P2604">
        <v>11</v>
      </c>
      <c r="Q2604" t="s">
        <v>108</v>
      </c>
      <c r="S2604" t="str">
        <f>_xlfn.XLOOKUP(UNIVERSO[[#This Row],[Ruta]],'[1]CUOTA RUTA'!A:A,'[1]CUOTA RUTA'!D:D)</f>
        <v>Cargar</v>
      </c>
    </row>
    <row r="2605" spans="1:19" x14ac:dyDescent="0.25">
      <c r="A2605">
        <v>1540007890</v>
      </c>
      <c r="B2605" t="s">
        <v>5225</v>
      </c>
      <c r="C2605" t="s">
        <v>19</v>
      </c>
      <c r="D2605" t="s">
        <v>244</v>
      </c>
      <c r="E2605" t="s">
        <v>21</v>
      </c>
      <c r="F2605" t="s">
        <v>22</v>
      </c>
      <c r="G2605" t="s">
        <v>33</v>
      </c>
      <c r="H2605" t="s">
        <v>245</v>
      </c>
      <c r="I2605" t="s">
        <v>5226</v>
      </c>
      <c r="J2605">
        <v>9.2832799999999995</v>
      </c>
      <c r="K2605">
        <v>-83.674465999999995</v>
      </c>
      <c r="L2605" t="s">
        <v>1225</v>
      </c>
      <c r="M2605" t="s">
        <v>46</v>
      </c>
      <c r="N2605" t="s">
        <v>247</v>
      </c>
      <c r="O2605" t="s">
        <v>248</v>
      </c>
      <c r="P2605">
        <v>13</v>
      </c>
      <c r="Q2605" t="s">
        <v>161</v>
      </c>
      <c r="S2605" t="str">
        <f>_xlfn.XLOOKUP(UNIVERSO[[#This Row],[Ruta]],'[1]CUOTA RUTA'!A:A,'[1]CUOTA RUTA'!D:D)</f>
        <v>Cargar</v>
      </c>
    </row>
    <row r="2606" spans="1:19" x14ac:dyDescent="0.25">
      <c r="A2606">
        <v>1540007930</v>
      </c>
      <c r="B2606" t="s">
        <v>307</v>
      </c>
      <c r="C2606" t="s">
        <v>19</v>
      </c>
      <c r="D2606" t="s">
        <v>32</v>
      </c>
      <c r="E2606" t="s">
        <v>21</v>
      </c>
      <c r="F2606" t="s">
        <v>51</v>
      </c>
      <c r="G2606" t="s">
        <v>23</v>
      </c>
      <c r="H2606" t="s">
        <v>86</v>
      </c>
      <c r="I2606" t="s">
        <v>5227</v>
      </c>
      <c r="J2606">
        <v>9.9137400000000007</v>
      </c>
      <c r="K2606">
        <v>-84.084861000000004</v>
      </c>
      <c r="L2606" t="s">
        <v>1225</v>
      </c>
      <c r="M2606" t="s">
        <v>71</v>
      </c>
      <c r="N2606" t="s">
        <v>72</v>
      </c>
      <c r="O2606" t="s">
        <v>73</v>
      </c>
      <c r="P2606">
        <v>3</v>
      </c>
      <c r="Q2606" t="s">
        <v>101</v>
      </c>
      <c r="S2606" t="str">
        <f>_xlfn.XLOOKUP(UNIVERSO[[#This Row],[Ruta]],'[1]CUOTA RUTA'!A:A,'[1]CUOTA RUTA'!D:D)</f>
        <v>Cargar</v>
      </c>
    </row>
    <row r="2607" spans="1:19" x14ac:dyDescent="0.25">
      <c r="A2607">
        <v>1540007980</v>
      </c>
      <c r="B2607" t="s">
        <v>5228</v>
      </c>
      <c r="C2607" t="s">
        <v>19</v>
      </c>
      <c r="D2607" t="s">
        <v>32</v>
      </c>
      <c r="E2607" t="s">
        <v>21</v>
      </c>
      <c r="F2607" t="s">
        <v>22</v>
      </c>
      <c r="G2607" t="s">
        <v>64</v>
      </c>
      <c r="H2607" t="s">
        <v>76</v>
      </c>
      <c r="I2607" t="s">
        <v>5229</v>
      </c>
      <c r="J2607">
        <v>9.9655780000000007</v>
      </c>
      <c r="K2607">
        <v>-84.001784999999998</v>
      </c>
      <c r="L2607" t="s">
        <v>1225</v>
      </c>
      <c r="M2607" t="s">
        <v>36</v>
      </c>
      <c r="N2607" t="s">
        <v>37</v>
      </c>
      <c r="O2607" t="s">
        <v>38</v>
      </c>
      <c r="P2607">
        <v>21</v>
      </c>
      <c r="Q2607" t="s">
        <v>239</v>
      </c>
      <c r="S2607" t="str">
        <f>_xlfn.XLOOKUP(UNIVERSO[[#This Row],[Ruta]],'[1]CUOTA RUTA'!A:A,'[1]CUOTA RUTA'!D:D)</f>
        <v>Cargar</v>
      </c>
    </row>
    <row r="2608" spans="1:19" x14ac:dyDescent="0.25">
      <c r="A2608">
        <v>1540008134</v>
      </c>
      <c r="B2608" t="s">
        <v>5230</v>
      </c>
      <c r="C2608" t="s">
        <v>19</v>
      </c>
      <c r="D2608" t="s">
        <v>337</v>
      </c>
      <c r="E2608" t="s">
        <v>21</v>
      </c>
      <c r="F2608" t="s">
        <v>51</v>
      </c>
      <c r="G2608" t="s">
        <v>23</v>
      </c>
      <c r="H2608" t="s">
        <v>451</v>
      </c>
      <c r="I2608" t="s">
        <v>5231</v>
      </c>
      <c r="J2608">
        <v>10.63987279</v>
      </c>
      <c r="K2608">
        <v>-85.446861220000002</v>
      </c>
      <c r="L2608" t="s">
        <v>1225</v>
      </c>
      <c r="M2608" t="s">
        <v>327</v>
      </c>
      <c r="N2608" t="s">
        <v>340</v>
      </c>
      <c r="O2608" t="s">
        <v>341</v>
      </c>
      <c r="P2608">
        <v>13</v>
      </c>
      <c r="Q2608" t="s">
        <v>161</v>
      </c>
      <c r="S2608" t="str">
        <f>_xlfn.XLOOKUP(UNIVERSO[[#This Row],[Ruta]],'[1]CUOTA RUTA'!A:A,'[1]CUOTA RUTA'!D:D)</f>
        <v>Cargar</v>
      </c>
    </row>
    <row r="2609" spans="1:19" x14ac:dyDescent="0.25">
      <c r="A2609">
        <v>1540009149</v>
      </c>
      <c r="B2609" t="s">
        <v>5232</v>
      </c>
      <c r="C2609" t="s">
        <v>19</v>
      </c>
      <c r="D2609" t="s">
        <v>266</v>
      </c>
      <c r="E2609" t="s">
        <v>21</v>
      </c>
      <c r="F2609" t="s">
        <v>22</v>
      </c>
      <c r="G2609" t="s">
        <v>64</v>
      </c>
      <c r="H2609" t="s">
        <v>321</v>
      </c>
      <c r="I2609" t="s">
        <v>5233</v>
      </c>
      <c r="J2609">
        <v>9.9015593000000006</v>
      </c>
      <c r="K2609">
        <v>-83.731076099999996</v>
      </c>
      <c r="L2609" t="s">
        <v>1225</v>
      </c>
      <c r="M2609" t="s">
        <v>54</v>
      </c>
      <c r="N2609" t="s">
        <v>274</v>
      </c>
      <c r="O2609" t="s">
        <v>275</v>
      </c>
      <c r="P2609">
        <v>24</v>
      </c>
      <c r="Q2609" t="s">
        <v>947</v>
      </c>
      <c r="S2609" t="str">
        <f>_xlfn.XLOOKUP(UNIVERSO[[#This Row],[Ruta]],'[1]CUOTA RUTA'!A:A,'[1]CUOTA RUTA'!D:D)</f>
        <v>Cargar</v>
      </c>
    </row>
    <row r="2610" spans="1:19" x14ac:dyDescent="0.25">
      <c r="A2610">
        <v>1540009163</v>
      </c>
      <c r="B2610" t="s">
        <v>5234</v>
      </c>
      <c r="C2610" t="s">
        <v>19</v>
      </c>
      <c r="D2610" t="s">
        <v>244</v>
      </c>
      <c r="E2610" t="s">
        <v>21</v>
      </c>
      <c r="F2610" t="s">
        <v>22</v>
      </c>
      <c r="G2610" t="s">
        <v>33</v>
      </c>
      <c r="H2610" t="s">
        <v>566</v>
      </c>
      <c r="I2610" t="s">
        <v>5235</v>
      </c>
      <c r="J2610">
        <v>9.3704909999999995</v>
      </c>
      <c r="K2610">
        <v>-83.699146999999996</v>
      </c>
      <c r="L2610" t="s">
        <v>1225</v>
      </c>
      <c r="M2610" t="s">
        <v>46</v>
      </c>
      <c r="N2610" t="s">
        <v>247</v>
      </c>
      <c r="O2610" t="s">
        <v>248</v>
      </c>
      <c r="P2610">
        <v>14</v>
      </c>
      <c r="Q2610" t="s">
        <v>181</v>
      </c>
      <c r="S2610" t="str">
        <f>_xlfn.XLOOKUP(UNIVERSO[[#This Row],[Ruta]],'[1]CUOTA RUTA'!A:A,'[1]CUOTA RUTA'!D:D)</f>
        <v>Cargar</v>
      </c>
    </row>
    <row r="2611" spans="1:19" x14ac:dyDescent="0.25">
      <c r="A2611">
        <v>1540009165</v>
      </c>
      <c r="B2611" t="s">
        <v>5236</v>
      </c>
      <c r="C2611" t="s">
        <v>19</v>
      </c>
      <c r="D2611" t="s">
        <v>32</v>
      </c>
      <c r="E2611" t="s">
        <v>21</v>
      </c>
      <c r="F2611" t="s">
        <v>51</v>
      </c>
      <c r="G2611" t="s">
        <v>23</v>
      </c>
      <c r="H2611" t="s">
        <v>441</v>
      </c>
      <c r="I2611" t="s">
        <v>5237</v>
      </c>
      <c r="J2611">
        <v>9.8622666666670007</v>
      </c>
      <c r="K2611">
        <v>-84.093106666660006</v>
      </c>
      <c r="L2611" t="s">
        <v>1225</v>
      </c>
      <c r="M2611" t="s">
        <v>71</v>
      </c>
      <c r="N2611" t="s">
        <v>72</v>
      </c>
      <c r="O2611" t="s">
        <v>73</v>
      </c>
      <c r="P2611">
        <v>15</v>
      </c>
      <c r="Q2611" t="s">
        <v>231</v>
      </c>
      <c r="S2611" t="str">
        <f>_xlfn.XLOOKUP(UNIVERSO[[#This Row],[Ruta]],'[1]CUOTA RUTA'!A:A,'[1]CUOTA RUTA'!D:D)</f>
        <v>Cargar</v>
      </c>
    </row>
    <row r="2612" spans="1:19" x14ac:dyDescent="0.25">
      <c r="A2612">
        <v>1540009195</v>
      </c>
      <c r="B2612" t="s">
        <v>4464</v>
      </c>
      <c r="C2612" t="s">
        <v>19</v>
      </c>
      <c r="D2612" t="s">
        <v>201</v>
      </c>
      <c r="E2612" t="s">
        <v>21</v>
      </c>
      <c r="F2612" t="s">
        <v>51</v>
      </c>
      <c r="G2612" t="s">
        <v>23</v>
      </c>
      <c r="H2612" t="s">
        <v>533</v>
      </c>
      <c r="I2612" t="s">
        <v>5238</v>
      </c>
      <c r="J2612">
        <v>9.9179360317880008</v>
      </c>
      <c r="K2612">
        <v>-84.503987376609999</v>
      </c>
      <c r="L2612" t="s">
        <v>1225</v>
      </c>
      <c r="M2612" t="s">
        <v>204</v>
      </c>
      <c r="N2612" t="s">
        <v>205</v>
      </c>
      <c r="O2612" t="s">
        <v>206</v>
      </c>
      <c r="P2612">
        <v>2</v>
      </c>
      <c r="Q2612" t="s">
        <v>150</v>
      </c>
      <c r="S2612" t="str">
        <f>_xlfn.XLOOKUP(UNIVERSO[[#This Row],[Ruta]],'[1]CUOTA RUTA'!A:A,'[1]CUOTA RUTA'!D:D)</f>
        <v>Cargar</v>
      </c>
    </row>
    <row r="2613" spans="1:19" x14ac:dyDescent="0.25">
      <c r="A2613">
        <v>1540009196</v>
      </c>
      <c r="B2613" t="s">
        <v>5239</v>
      </c>
      <c r="C2613" t="s">
        <v>19</v>
      </c>
      <c r="D2613" t="s">
        <v>349</v>
      </c>
      <c r="E2613" t="s">
        <v>21</v>
      </c>
      <c r="F2613" t="s">
        <v>51</v>
      </c>
      <c r="G2613" t="s">
        <v>23</v>
      </c>
      <c r="H2613" t="s">
        <v>908</v>
      </c>
      <c r="I2613" t="s">
        <v>5240</v>
      </c>
      <c r="J2613">
        <v>10.270885</v>
      </c>
      <c r="K2613">
        <v>-85.667846999999995</v>
      </c>
      <c r="L2613" t="s">
        <v>1225</v>
      </c>
      <c r="M2613" t="s">
        <v>352</v>
      </c>
      <c r="N2613" t="s">
        <v>353</v>
      </c>
      <c r="O2613" t="s">
        <v>354</v>
      </c>
      <c r="P2613">
        <v>4</v>
      </c>
      <c r="Q2613" t="s">
        <v>120</v>
      </c>
      <c r="S2613" t="str">
        <f>_xlfn.XLOOKUP(UNIVERSO[[#This Row],[Ruta]],'[1]CUOTA RUTA'!A:A,'[1]CUOTA RUTA'!D:D)</f>
        <v>Cargar</v>
      </c>
    </row>
    <row r="2614" spans="1:19" x14ac:dyDescent="0.25">
      <c r="A2614">
        <v>1540009234</v>
      </c>
      <c r="B2614" t="s">
        <v>5241</v>
      </c>
      <c r="C2614" t="s">
        <v>19</v>
      </c>
      <c r="D2614" t="s">
        <v>201</v>
      </c>
      <c r="E2614" t="s">
        <v>21</v>
      </c>
      <c r="F2614" t="s">
        <v>51</v>
      </c>
      <c r="G2614" t="s">
        <v>23</v>
      </c>
      <c r="H2614" t="s">
        <v>794</v>
      </c>
      <c r="I2614" t="s">
        <v>5242</v>
      </c>
      <c r="J2614">
        <v>9.6249116000000008</v>
      </c>
      <c r="K2614">
        <v>-84.623063299999998</v>
      </c>
      <c r="L2614" t="s">
        <v>1225</v>
      </c>
      <c r="M2614" t="s">
        <v>204</v>
      </c>
      <c r="N2614" t="s">
        <v>205</v>
      </c>
      <c r="O2614" t="s">
        <v>206</v>
      </c>
      <c r="P2614">
        <v>5</v>
      </c>
      <c r="Q2614" t="s">
        <v>117</v>
      </c>
      <c r="S2614" t="str">
        <f>_xlfn.XLOOKUP(UNIVERSO[[#This Row],[Ruta]],'[1]CUOTA RUTA'!A:A,'[1]CUOTA RUTA'!D:D)</f>
        <v>Cargar</v>
      </c>
    </row>
    <row r="2615" spans="1:19" x14ac:dyDescent="0.25">
      <c r="A2615">
        <v>1540009505</v>
      </c>
      <c r="B2615" t="s">
        <v>5243</v>
      </c>
      <c r="C2615" t="s">
        <v>19</v>
      </c>
      <c r="D2615" t="s">
        <v>32</v>
      </c>
      <c r="E2615" t="s">
        <v>21</v>
      </c>
      <c r="F2615" t="s">
        <v>22</v>
      </c>
      <c r="G2615" t="s">
        <v>23</v>
      </c>
      <c r="H2615" t="s">
        <v>103</v>
      </c>
      <c r="I2615" t="s">
        <v>5244</v>
      </c>
      <c r="J2615">
        <v>9.9403100000000002</v>
      </c>
      <c r="K2615">
        <v>-84.084946000000002</v>
      </c>
      <c r="L2615" t="s">
        <v>1225</v>
      </c>
      <c r="M2615" t="s">
        <v>71</v>
      </c>
      <c r="N2615" t="s">
        <v>72</v>
      </c>
      <c r="O2615" t="s">
        <v>73</v>
      </c>
      <c r="P2615">
        <v>1</v>
      </c>
      <c r="Q2615" t="s">
        <v>155</v>
      </c>
      <c r="S2615" t="str">
        <f>_xlfn.XLOOKUP(UNIVERSO[[#This Row],[Ruta]],'[1]CUOTA RUTA'!A:A,'[1]CUOTA RUTA'!D:D)</f>
        <v>Cargar</v>
      </c>
    </row>
    <row r="2616" spans="1:19" x14ac:dyDescent="0.25">
      <c r="A2616">
        <v>1540009531</v>
      </c>
      <c r="B2616" t="s">
        <v>5245</v>
      </c>
      <c r="C2616" t="s">
        <v>19</v>
      </c>
      <c r="D2616" t="s">
        <v>244</v>
      </c>
      <c r="E2616" t="s">
        <v>21</v>
      </c>
      <c r="F2616" t="s">
        <v>22</v>
      </c>
      <c r="G2616" t="s">
        <v>33</v>
      </c>
      <c r="H2616" t="s">
        <v>566</v>
      </c>
      <c r="I2616" t="s">
        <v>5246</v>
      </c>
      <c r="J2616">
        <v>9.3681680000000007</v>
      </c>
      <c r="K2616">
        <v>-83.695419999999999</v>
      </c>
      <c r="L2616" t="s">
        <v>1225</v>
      </c>
      <c r="M2616" t="s">
        <v>46</v>
      </c>
      <c r="N2616" t="s">
        <v>247</v>
      </c>
      <c r="O2616" t="s">
        <v>248</v>
      </c>
      <c r="P2616">
        <v>14</v>
      </c>
      <c r="Q2616" t="s">
        <v>181</v>
      </c>
      <c r="S2616" t="str">
        <f>_xlfn.XLOOKUP(UNIVERSO[[#This Row],[Ruta]],'[1]CUOTA RUTA'!A:A,'[1]CUOTA RUTA'!D:D)</f>
        <v>Cargar</v>
      </c>
    </row>
    <row r="2617" spans="1:19" x14ac:dyDescent="0.25">
      <c r="A2617">
        <v>1540009543</v>
      </c>
      <c r="B2617" t="s">
        <v>5247</v>
      </c>
      <c r="C2617" t="s">
        <v>19</v>
      </c>
      <c r="D2617" t="s">
        <v>266</v>
      </c>
      <c r="E2617" t="s">
        <v>21</v>
      </c>
      <c r="F2617" t="s">
        <v>22</v>
      </c>
      <c r="G2617" t="s">
        <v>23</v>
      </c>
      <c r="H2617" t="s">
        <v>314</v>
      </c>
      <c r="I2617" t="s">
        <v>5248</v>
      </c>
      <c r="J2617">
        <v>9.8698979999999992</v>
      </c>
      <c r="K2617">
        <v>-83.904788999999994</v>
      </c>
      <c r="L2617" t="s">
        <v>1225</v>
      </c>
      <c r="M2617" t="s">
        <v>36</v>
      </c>
      <c r="N2617" t="s">
        <v>316</v>
      </c>
      <c r="O2617" t="s">
        <v>317</v>
      </c>
      <c r="P2617">
        <v>16</v>
      </c>
      <c r="Q2617" t="s">
        <v>60</v>
      </c>
      <c r="S2617" t="str">
        <f>_xlfn.XLOOKUP(UNIVERSO[[#This Row],[Ruta]],'[1]CUOTA RUTA'!A:A,'[1]CUOTA RUTA'!D:D)</f>
        <v>Cargar</v>
      </c>
    </row>
    <row r="2618" spans="1:19" x14ac:dyDescent="0.25">
      <c r="A2618">
        <v>1540009644</v>
      </c>
      <c r="B2618" t="s">
        <v>5249</v>
      </c>
      <c r="C2618" t="s">
        <v>19</v>
      </c>
      <c r="D2618" t="s">
        <v>20</v>
      </c>
      <c r="E2618" t="s">
        <v>21</v>
      </c>
      <c r="F2618" t="s">
        <v>22</v>
      </c>
      <c r="G2618" t="s">
        <v>64</v>
      </c>
      <c r="H2618" t="s">
        <v>250</v>
      </c>
      <c r="I2618" t="s">
        <v>5250</v>
      </c>
      <c r="J2618">
        <v>10.021129999999999</v>
      </c>
      <c r="K2618">
        <v>-84.240880000000004</v>
      </c>
      <c r="L2618" t="s">
        <v>1225</v>
      </c>
      <c r="M2618" t="s">
        <v>46</v>
      </c>
      <c r="N2618" t="s">
        <v>47</v>
      </c>
      <c r="O2618" t="s">
        <v>48</v>
      </c>
      <c r="P2618">
        <v>3</v>
      </c>
      <c r="Q2618" t="s">
        <v>101</v>
      </c>
      <c r="S2618" t="str">
        <f>_xlfn.XLOOKUP(UNIVERSO[[#This Row],[Ruta]],'[1]CUOTA RUTA'!A:A,'[1]CUOTA RUTA'!D:D)</f>
        <v>Cargar</v>
      </c>
    </row>
    <row r="2619" spans="1:19" x14ac:dyDescent="0.25">
      <c r="A2619">
        <v>1540009721</v>
      </c>
      <c r="B2619" t="s">
        <v>5251</v>
      </c>
      <c r="C2619" t="s">
        <v>19</v>
      </c>
      <c r="D2619" t="s">
        <v>337</v>
      </c>
      <c r="E2619" t="s">
        <v>21</v>
      </c>
      <c r="F2619" t="s">
        <v>22</v>
      </c>
      <c r="G2619" t="s">
        <v>23</v>
      </c>
      <c r="H2619" t="s">
        <v>1732</v>
      </c>
      <c r="I2619" t="s">
        <v>5252</v>
      </c>
      <c r="J2619">
        <v>10.441601</v>
      </c>
      <c r="K2619">
        <v>-85.548309000000003</v>
      </c>
      <c r="L2619" t="s">
        <v>1225</v>
      </c>
      <c r="M2619" t="s">
        <v>327</v>
      </c>
      <c r="N2619" t="s">
        <v>340</v>
      </c>
      <c r="O2619" t="s">
        <v>341</v>
      </c>
      <c r="P2619">
        <v>16</v>
      </c>
      <c r="Q2619" t="s">
        <v>60</v>
      </c>
      <c r="S2619" t="str">
        <f>_xlfn.XLOOKUP(UNIVERSO[[#This Row],[Ruta]],'[1]CUOTA RUTA'!A:A,'[1]CUOTA RUTA'!D:D)</f>
        <v>Cargar</v>
      </c>
    </row>
    <row r="2620" spans="1:19" x14ac:dyDescent="0.25">
      <c r="A2620">
        <v>1540009736</v>
      </c>
      <c r="B2620" t="s">
        <v>5253</v>
      </c>
      <c r="C2620" t="s">
        <v>19</v>
      </c>
      <c r="D2620" t="s">
        <v>208</v>
      </c>
      <c r="E2620" t="s">
        <v>21</v>
      </c>
      <c r="F2620" t="s">
        <v>22</v>
      </c>
      <c r="G2620" t="s">
        <v>33</v>
      </c>
      <c r="H2620" t="s">
        <v>616</v>
      </c>
      <c r="I2620" t="s">
        <v>5254</v>
      </c>
      <c r="J2620">
        <v>10.348369999999999</v>
      </c>
      <c r="K2620">
        <v>-83.718340999999995</v>
      </c>
      <c r="L2620" t="s">
        <v>1225</v>
      </c>
      <c r="M2620" t="s">
        <v>189</v>
      </c>
      <c r="N2620" t="s">
        <v>211</v>
      </c>
      <c r="O2620" t="s">
        <v>212</v>
      </c>
      <c r="P2620">
        <v>2</v>
      </c>
      <c r="Q2620" t="s">
        <v>150</v>
      </c>
      <c r="S2620" t="str">
        <f>_xlfn.XLOOKUP(UNIVERSO[[#This Row],[Ruta]],'[1]CUOTA RUTA'!A:A,'[1]CUOTA RUTA'!D:D)</f>
        <v>Cargar</v>
      </c>
    </row>
    <row r="2621" spans="1:19" x14ac:dyDescent="0.25">
      <c r="A2621">
        <v>1540009791</v>
      </c>
      <c r="B2621" t="s">
        <v>5255</v>
      </c>
      <c r="C2621" t="s">
        <v>19</v>
      </c>
      <c r="D2621" t="s">
        <v>20</v>
      </c>
      <c r="E2621" t="s">
        <v>21</v>
      </c>
      <c r="F2621" t="s">
        <v>22</v>
      </c>
      <c r="G2621" t="s">
        <v>33</v>
      </c>
      <c r="H2621" t="s">
        <v>308</v>
      </c>
      <c r="I2621" t="s">
        <v>5256</v>
      </c>
      <c r="J2621">
        <v>9.8157516999999999</v>
      </c>
      <c r="K2621">
        <v>-84.276541699999996</v>
      </c>
      <c r="L2621" t="s">
        <v>1225</v>
      </c>
      <c r="M2621" t="s">
        <v>54</v>
      </c>
      <c r="N2621" t="s">
        <v>55</v>
      </c>
      <c r="O2621" t="s">
        <v>56</v>
      </c>
      <c r="P2621">
        <v>23</v>
      </c>
      <c r="Q2621" t="s">
        <v>125</v>
      </c>
      <c r="S2621" t="str">
        <f>_xlfn.XLOOKUP(UNIVERSO[[#This Row],[Ruta]],'[1]CUOTA RUTA'!A:A,'[1]CUOTA RUTA'!D:D)</f>
        <v>Cargar</v>
      </c>
    </row>
    <row r="2622" spans="1:19" x14ac:dyDescent="0.25">
      <c r="A2622">
        <v>1540009842</v>
      </c>
      <c r="B2622" t="s">
        <v>5257</v>
      </c>
      <c r="C2622" t="s">
        <v>19</v>
      </c>
      <c r="D2622" t="s">
        <v>208</v>
      </c>
      <c r="E2622" t="s">
        <v>21</v>
      </c>
      <c r="F2622" t="s">
        <v>22</v>
      </c>
      <c r="G2622" t="s">
        <v>64</v>
      </c>
      <c r="H2622" t="s">
        <v>616</v>
      </c>
      <c r="I2622" t="s">
        <v>5258</v>
      </c>
      <c r="J2622">
        <v>10.454675</v>
      </c>
      <c r="K2622">
        <v>-84.009118000000001</v>
      </c>
      <c r="L2622" t="s">
        <v>1225</v>
      </c>
      <c r="M2622" t="s">
        <v>189</v>
      </c>
      <c r="N2622" t="s">
        <v>211</v>
      </c>
      <c r="O2622" t="s">
        <v>212</v>
      </c>
      <c r="P2622">
        <v>10</v>
      </c>
      <c r="Q2622" t="s">
        <v>136</v>
      </c>
      <c r="S2622" t="str">
        <f>_xlfn.XLOOKUP(UNIVERSO[[#This Row],[Ruta]],'[1]CUOTA RUTA'!A:A,'[1]CUOTA RUTA'!D:D)</f>
        <v>Cargar</v>
      </c>
    </row>
    <row r="2623" spans="1:19" x14ac:dyDescent="0.25">
      <c r="A2623">
        <v>1540010159</v>
      </c>
      <c r="B2623" t="s">
        <v>5259</v>
      </c>
      <c r="C2623" t="s">
        <v>19</v>
      </c>
      <c r="D2623" t="s">
        <v>32</v>
      </c>
      <c r="E2623" t="s">
        <v>21</v>
      </c>
      <c r="F2623" t="s">
        <v>22</v>
      </c>
      <c r="G2623" t="s">
        <v>23</v>
      </c>
      <c r="H2623" t="s">
        <v>34</v>
      </c>
      <c r="I2623" t="s">
        <v>5260</v>
      </c>
      <c r="J2623">
        <v>9.9256820000000001</v>
      </c>
      <c r="K2623">
        <v>-83.997608</v>
      </c>
      <c r="L2623" t="s">
        <v>1225</v>
      </c>
      <c r="M2623" t="s">
        <v>36</v>
      </c>
      <c r="N2623" t="s">
        <v>37</v>
      </c>
      <c r="O2623" t="s">
        <v>38</v>
      </c>
      <c r="P2623">
        <v>19</v>
      </c>
      <c r="Q2623" t="s">
        <v>67</v>
      </c>
      <c r="S2623" t="str">
        <f>_xlfn.XLOOKUP(UNIVERSO[[#This Row],[Ruta]],'[1]CUOTA RUTA'!A:A,'[1]CUOTA RUTA'!D:D)</f>
        <v>Cargar</v>
      </c>
    </row>
    <row r="2624" spans="1:19" x14ac:dyDescent="0.25">
      <c r="A2624">
        <v>1540010160</v>
      </c>
      <c r="B2624" t="s">
        <v>5261</v>
      </c>
      <c r="C2624" t="s">
        <v>19</v>
      </c>
      <c r="D2624" t="s">
        <v>32</v>
      </c>
      <c r="E2624" t="s">
        <v>21</v>
      </c>
      <c r="F2624" t="s">
        <v>22</v>
      </c>
      <c r="G2624" t="s">
        <v>23</v>
      </c>
      <c r="H2624" t="s">
        <v>76</v>
      </c>
      <c r="I2624" t="s">
        <v>5262</v>
      </c>
      <c r="J2624">
        <v>9.9405640000000002</v>
      </c>
      <c r="K2624">
        <v>-84.053100999999998</v>
      </c>
      <c r="L2624" t="s">
        <v>1225</v>
      </c>
      <c r="M2624" t="s">
        <v>36</v>
      </c>
      <c r="N2624" t="s">
        <v>37</v>
      </c>
      <c r="O2624" t="s">
        <v>38</v>
      </c>
      <c r="P2624">
        <v>23</v>
      </c>
      <c r="Q2624" t="s">
        <v>125</v>
      </c>
      <c r="S2624" t="str">
        <f>_xlfn.XLOOKUP(UNIVERSO[[#This Row],[Ruta]],'[1]CUOTA RUTA'!A:A,'[1]CUOTA RUTA'!D:D)</f>
        <v>Cargar</v>
      </c>
    </row>
    <row r="2625" spans="1:19" x14ac:dyDescent="0.25">
      <c r="A2625">
        <v>1540010228</v>
      </c>
      <c r="B2625" t="s">
        <v>5263</v>
      </c>
      <c r="C2625" t="s">
        <v>19</v>
      </c>
      <c r="D2625" t="s">
        <v>32</v>
      </c>
      <c r="E2625" t="s">
        <v>21</v>
      </c>
      <c r="F2625" t="s">
        <v>22</v>
      </c>
      <c r="G2625" t="s">
        <v>64</v>
      </c>
      <c r="H2625" t="s">
        <v>92</v>
      </c>
      <c r="I2625" t="s">
        <v>5264</v>
      </c>
      <c r="J2625">
        <v>9.965719</v>
      </c>
      <c r="K2625">
        <v>-84.031502000000003</v>
      </c>
      <c r="L2625" t="s">
        <v>1225</v>
      </c>
      <c r="M2625" t="s">
        <v>94</v>
      </c>
      <c r="N2625" t="s">
        <v>95</v>
      </c>
      <c r="O2625" t="s">
        <v>96</v>
      </c>
      <c r="P2625">
        <v>8</v>
      </c>
      <c r="Q2625" t="s">
        <v>97</v>
      </c>
      <c r="S2625" t="str">
        <f>_xlfn.XLOOKUP(UNIVERSO[[#This Row],[Ruta]],'[1]CUOTA RUTA'!A:A,'[1]CUOTA RUTA'!D:D)</f>
        <v>Cargar</v>
      </c>
    </row>
    <row r="2626" spans="1:19" x14ac:dyDescent="0.25">
      <c r="A2626">
        <v>1540010614</v>
      </c>
      <c r="B2626" t="s">
        <v>5265</v>
      </c>
      <c r="C2626" t="s">
        <v>19</v>
      </c>
      <c r="D2626" t="s">
        <v>208</v>
      </c>
      <c r="E2626" t="s">
        <v>21</v>
      </c>
      <c r="F2626" t="s">
        <v>51</v>
      </c>
      <c r="G2626" t="s">
        <v>23</v>
      </c>
      <c r="H2626" t="s">
        <v>224</v>
      </c>
      <c r="I2626" t="s">
        <v>5266</v>
      </c>
      <c r="J2626">
        <v>10.32052</v>
      </c>
      <c r="K2626">
        <v>-83.886129999999994</v>
      </c>
      <c r="L2626" t="s">
        <v>1225</v>
      </c>
      <c r="M2626" t="s">
        <v>189</v>
      </c>
      <c r="N2626" t="s">
        <v>211</v>
      </c>
      <c r="O2626" t="s">
        <v>212</v>
      </c>
      <c r="P2626">
        <v>3</v>
      </c>
      <c r="Q2626" t="s">
        <v>101</v>
      </c>
      <c r="S2626" t="str">
        <f>_xlfn.XLOOKUP(UNIVERSO[[#This Row],[Ruta]],'[1]CUOTA RUTA'!A:A,'[1]CUOTA RUTA'!D:D)</f>
        <v>Cargar</v>
      </c>
    </row>
    <row r="2627" spans="1:19" x14ac:dyDescent="0.25">
      <c r="A2627">
        <v>1540010691</v>
      </c>
      <c r="B2627" t="s">
        <v>5267</v>
      </c>
      <c r="C2627" t="s">
        <v>19</v>
      </c>
      <c r="D2627" t="s">
        <v>186</v>
      </c>
      <c r="E2627" t="s">
        <v>21</v>
      </c>
      <c r="F2627" t="s">
        <v>22</v>
      </c>
      <c r="G2627" t="s">
        <v>23</v>
      </c>
      <c r="H2627" t="s">
        <v>420</v>
      </c>
      <c r="I2627" t="s">
        <v>5268</v>
      </c>
      <c r="J2627">
        <v>9.9242860000000004</v>
      </c>
      <c r="K2627">
        <v>-83.037919000000002</v>
      </c>
      <c r="L2627" t="s">
        <v>1225</v>
      </c>
      <c r="M2627" t="s">
        <v>189</v>
      </c>
      <c r="N2627" t="s">
        <v>190</v>
      </c>
      <c r="O2627" t="s">
        <v>191</v>
      </c>
      <c r="P2627">
        <v>16</v>
      </c>
      <c r="Q2627" t="s">
        <v>60</v>
      </c>
      <c r="S2627" t="str">
        <f>_xlfn.XLOOKUP(UNIVERSO[[#This Row],[Ruta]],'[1]CUOTA RUTA'!A:A,'[1]CUOTA RUTA'!D:D)</f>
        <v>Cargar</v>
      </c>
    </row>
    <row r="2628" spans="1:19" x14ac:dyDescent="0.25">
      <c r="A2628">
        <v>1540010778</v>
      </c>
      <c r="B2628" t="s">
        <v>5269</v>
      </c>
      <c r="C2628" t="s">
        <v>19</v>
      </c>
      <c r="D2628" t="s">
        <v>337</v>
      </c>
      <c r="E2628" t="s">
        <v>21</v>
      </c>
      <c r="F2628" t="s">
        <v>51</v>
      </c>
      <c r="G2628" t="s">
        <v>23</v>
      </c>
      <c r="H2628" t="s">
        <v>346</v>
      </c>
      <c r="I2628" t="s">
        <v>5270</v>
      </c>
      <c r="J2628">
        <v>10.43936414</v>
      </c>
      <c r="K2628">
        <v>-85.790237559999994</v>
      </c>
      <c r="L2628" t="s">
        <v>1225</v>
      </c>
      <c r="M2628" t="s">
        <v>327</v>
      </c>
      <c r="N2628" t="s">
        <v>340</v>
      </c>
      <c r="O2628" t="s">
        <v>341</v>
      </c>
      <c r="P2628">
        <v>18</v>
      </c>
      <c r="Q2628" t="s">
        <v>84</v>
      </c>
      <c r="S2628" t="str">
        <f>_xlfn.XLOOKUP(UNIVERSO[[#This Row],[Ruta]],'[1]CUOTA RUTA'!A:A,'[1]CUOTA RUTA'!D:D)</f>
        <v>Cargar</v>
      </c>
    </row>
    <row r="2629" spans="1:19" x14ac:dyDescent="0.25">
      <c r="A2629">
        <v>1540010795</v>
      </c>
      <c r="B2629" t="s">
        <v>5271</v>
      </c>
      <c r="C2629" t="s">
        <v>19</v>
      </c>
      <c r="D2629" t="s">
        <v>337</v>
      </c>
      <c r="E2629" t="s">
        <v>21</v>
      </c>
      <c r="F2629" t="s">
        <v>22</v>
      </c>
      <c r="G2629" t="s">
        <v>33</v>
      </c>
      <c r="H2629" t="s">
        <v>401</v>
      </c>
      <c r="I2629" t="s">
        <v>5272</v>
      </c>
      <c r="J2629">
        <v>10.63533</v>
      </c>
      <c r="K2629">
        <v>-85.421750000000003</v>
      </c>
      <c r="L2629" t="s">
        <v>1225</v>
      </c>
      <c r="M2629" t="s">
        <v>327</v>
      </c>
      <c r="N2629" t="s">
        <v>340</v>
      </c>
      <c r="O2629" t="s">
        <v>341</v>
      </c>
      <c r="P2629">
        <v>14</v>
      </c>
      <c r="Q2629" t="s">
        <v>181</v>
      </c>
      <c r="S2629" t="str">
        <f>_xlfn.XLOOKUP(UNIVERSO[[#This Row],[Ruta]],'[1]CUOTA RUTA'!A:A,'[1]CUOTA RUTA'!D:D)</f>
        <v>Cargar</v>
      </c>
    </row>
    <row r="2630" spans="1:19" x14ac:dyDescent="0.25">
      <c r="A2630">
        <v>1540010814</v>
      </c>
      <c r="B2630" t="s">
        <v>5273</v>
      </c>
      <c r="C2630" t="s">
        <v>19</v>
      </c>
      <c r="D2630" t="s">
        <v>20</v>
      </c>
      <c r="E2630" t="s">
        <v>21</v>
      </c>
      <c r="F2630" t="s">
        <v>22</v>
      </c>
      <c r="G2630" t="s">
        <v>33</v>
      </c>
      <c r="H2630" t="s">
        <v>975</v>
      </c>
      <c r="I2630" t="s">
        <v>5274</v>
      </c>
      <c r="J2630">
        <v>10.001785999999999</v>
      </c>
      <c r="K2630">
        <v>-84.109037000000001</v>
      </c>
      <c r="L2630" t="s">
        <v>1225</v>
      </c>
      <c r="M2630" t="s">
        <v>27</v>
      </c>
      <c r="N2630" t="s">
        <v>28</v>
      </c>
      <c r="O2630" t="s">
        <v>29</v>
      </c>
      <c r="P2630">
        <v>18</v>
      </c>
      <c r="Q2630" t="s">
        <v>84</v>
      </c>
      <c r="S2630" t="str">
        <f>_xlfn.XLOOKUP(UNIVERSO[[#This Row],[Ruta]],'[1]CUOTA RUTA'!A:A,'[1]CUOTA RUTA'!D:D)</f>
        <v>Cargar</v>
      </c>
    </row>
    <row r="2631" spans="1:19" x14ac:dyDescent="0.25">
      <c r="A2631">
        <v>1540010830</v>
      </c>
      <c r="B2631" t="s">
        <v>5275</v>
      </c>
      <c r="C2631" t="s">
        <v>19</v>
      </c>
      <c r="D2631" t="s">
        <v>208</v>
      </c>
      <c r="E2631" t="s">
        <v>21</v>
      </c>
      <c r="F2631" t="s">
        <v>22</v>
      </c>
      <c r="G2631" t="s">
        <v>64</v>
      </c>
      <c r="H2631" t="s">
        <v>218</v>
      </c>
      <c r="I2631" t="s">
        <v>5276</v>
      </c>
      <c r="J2631">
        <v>10.290368000000001</v>
      </c>
      <c r="K2631">
        <v>-83.820400000000006</v>
      </c>
      <c r="L2631" t="s">
        <v>1225</v>
      </c>
      <c r="M2631" t="s">
        <v>189</v>
      </c>
      <c r="N2631" t="s">
        <v>211</v>
      </c>
      <c r="O2631" t="s">
        <v>212</v>
      </c>
      <c r="P2631">
        <v>2</v>
      </c>
      <c r="Q2631" t="s">
        <v>150</v>
      </c>
      <c r="S2631" t="str">
        <f>_xlfn.XLOOKUP(UNIVERSO[[#This Row],[Ruta]],'[1]CUOTA RUTA'!A:A,'[1]CUOTA RUTA'!D:D)</f>
        <v>Cargar</v>
      </c>
    </row>
    <row r="2632" spans="1:19" x14ac:dyDescent="0.25">
      <c r="A2632">
        <v>1540010884</v>
      </c>
      <c r="B2632" t="s">
        <v>5277</v>
      </c>
      <c r="C2632" t="s">
        <v>19</v>
      </c>
      <c r="D2632" t="s">
        <v>208</v>
      </c>
      <c r="E2632" t="s">
        <v>21</v>
      </c>
      <c r="F2632" t="s">
        <v>22</v>
      </c>
      <c r="G2632" t="s">
        <v>33</v>
      </c>
      <c r="H2632" t="s">
        <v>209</v>
      </c>
      <c r="I2632" t="s">
        <v>5278</v>
      </c>
      <c r="J2632">
        <v>10.234095</v>
      </c>
      <c r="K2632">
        <v>-83.896821000000003</v>
      </c>
      <c r="L2632" t="s">
        <v>1225</v>
      </c>
      <c r="M2632" t="s">
        <v>189</v>
      </c>
      <c r="N2632" t="s">
        <v>211</v>
      </c>
      <c r="O2632" t="s">
        <v>212</v>
      </c>
      <c r="P2632">
        <v>4</v>
      </c>
      <c r="Q2632" t="s">
        <v>120</v>
      </c>
      <c r="S2632" t="str">
        <f>_xlfn.XLOOKUP(UNIVERSO[[#This Row],[Ruta]],'[1]CUOTA RUTA'!A:A,'[1]CUOTA RUTA'!D:D)</f>
        <v>Cargar</v>
      </c>
    </row>
    <row r="2633" spans="1:19" x14ac:dyDescent="0.25">
      <c r="A2633">
        <v>1540010994</v>
      </c>
      <c r="B2633" t="s">
        <v>5279</v>
      </c>
      <c r="C2633" t="s">
        <v>19</v>
      </c>
      <c r="D2633" t="s">
        <v>208</v>
      </c>
      <c r="E2633" t="s">
        <v>21</v>
      </c>
      <c r="F2633" t="s">
        <v>22</v>
      </c>
      <c r="G2633" t="s">
        <v>23</v>
      </c>
      <c r="H2633" t="s">
        <v>224</v>
      </c>
      <c r="I2633" t="s">
        <v>5280</v>
      </c>
      <c r="J2633">
        <v>10.452722899999999</v>
      </c>
      <c r="K2633">
        <v>-84.010629199999997</v>
      </c>
      <c r="L2633" t="s">
        <v>1225</v>
      </c>
      <c r="M2633" t="s">
        <v>189</v>
      </c>
      <c r="N2633" t="s">
        <v>211</v>
      </c>
      <c r="O2633" t="s">
        <v>212</v>
      </c>
      <c r="P2633">
        <v>10</v>
      </c>
      <c r="Q2633" t="s">
        <v>136</v>
      </c>
      <c r="S2633" t="str">
        <f>_xlfn.XLOOKUP(UNIVERSO[[#This Row],[Ruta]],'[1]CUOTA RUTA'!A:A,'[1]CUOTA RUTA'!D:D)</f>
        <v>Cargar</v>
      </c>
    </row>
    <row r="2634" spans="1:19" x14ac:dyDescent="0.25">
      <c r="A2634">
        <v>1540010995</v>
      </c>
      <c r="B2634" t="s">
        <v>5281</v>
      </c>
      <c r="C2634" t="s">
        <v>19</v>
      </c>
      <c r="D2634" t="s">
        <v>208</v>
      </c>
      <c r="E2634" t="s">
        <v>21</v>
      </c>
      <c r="F2634" t="s">
        <v>22</v>
      </c>
      <c r="G2634" t="s">
        <v>33</v>
      </c>
      <c r="H2634" t="s">
        <v>1794</v>
      </c>
      <c r="I2634" t="s">
        <v>5282</v>
      </c>
      <c r="J2634">
        <v>10.17234695</v>
      </c>
      <c r="K2634">
        <v>-83.783670259999994</v>
      </c>
      <c r="L2634" t="s">
        <v>1225</v>
      </c>
      <c r="M2634" t="s">
        <v>189</v>
      </c>
      <c r="N2634" t="s">
        <v>211</v>
      </c>
      <c r="O2634" t="s">
        <v>212</v>
      </c>
      <c r="P2634">
        <v>6</v>
      </c>
      <c r="Q2634" t="s">
        <v>49</v>
      </c>
      <c r="S2634" t="str">
        <f>_xlfn.XLOOKUP(UNIVERSO[[#This Row],[Ruta]],'[1]CUOTA RUTA'!A:A,'[1]CUOTA RUTA'!D:D)</f>
        <v>Cargar</v>
      </c>
    </row>
    <row r="2635" spans="1:19" x14ac:dyDescent="0.25">
      <c r="A2635">
        <v>1540011001</v>
      </c>
      <c r="B2635" t="s">
        <v>5283</v>
      </c>
      <c r="C2635" t="s">
        <v>19</v>
      </c>
      <c r="D2635" t="s">
        <v>324</v>
      </c>
      <c r="E2635" t="s">
        <v>21</v>
      </c>
      <c r="F2635" t="s">
        <v>22</v>
      </c>
      <c r="G2635" t="s">
        <v>33</v>
      </c>
      <c r="H2635" t="s">
        <v>511</v>
      </c>
      <c r="I2635" t="s">
        <v>5284</v>
      </c>
      <c r="J2635">
        <v>10.484565099999999</v>
      </c>
      <c r="K2635">
        <v>-84.570501500000006</v>
      </c>
      <c r="L2635" t="s">
        <v>1225</v>
      </c>
      <c r="M2635" t="s">
        <v>327</v>
      </c>
      <c r="N2635" t="s">
        <v>328</v>
      </c>
      <c r="O2635" t="s">
        <v>329</v>
      </c>
      <c r="P2635">
        <v>13</v>
      </c>
      <c r="Q2635" t="s">
        <v>161</v>
      </c>
      <c r="S2635" t="str">
        <f>_xlfn.XLOOKUP(UNIVERSO[[#This Row],[Ruta]],'[1]CUOTA RUTA'!A:A,'[1]CUOTA RUTA'!D:D)</f>
        <v>Cargar</v>
      </c>
    </row>
    <row r="2636" spans="1:19" x14ac:dyDescent="0.25">
      <c r="A2636">
        <v>1540011013</v>
      </c>
      <c r="B2636" t="s">
        <v>5285</v>
      </c>
      <c r="C2636" t="s">
        <v>19</v>
      </c>
      <c r="D2636" t="s">
        <v>32</v>
      </c>
      <c r="E2636" t="s">
        <v>62</v>
      </c>
      <c r="F2636" t="s">
        <v>63</v>
      </c>
      <c r="G2636" t="s">
        <v>64</v>
      </c>
      <c r="H2636" t="s">
        <v>159</v>
      </c>
      <c r="I2636" t="s">
        <v>5286</v>
      </c>
      <c r="J2636">
        <v>9.9050080000000005</v>
      </c>
      <c r="K2636">
        <v>-84.098622000000006</v>
      </c>
      <c r="L2636" t="s">
        <v>1225</v>
      </c>
      <c r="M2636" t="s">
        <v>71</v>
      </c>
      <c r="N2636" t="s">
        <v>72</v>
      </c>
      <c r="O2636" t="s">
        <v>73</v>
      </c>
      <c r="P2636">
        <v>9</v>
      </c>
      <c r="Q2636" t="s">
        <v>80</v>
      </c>
      <c r="S2636" t="str">
        <f>_xlfn.XLOOKUP(UNIVERSO[[#This Row],[Ruta]],'[1]CUOTA RUTA'!A:A,'[1]CUOTA RUTA'!D:D)</f>
        <v>Cargar</v>
      </c>
    </row>
    <row r="2637" spans="1:19" x14ac:dyDescent="0.25">
      <c r="A2637">
        <v>1540011022</v>
      </c>
      <c r="B2637" t="s">
        <v>5287</v>
      </c>
      <c r="C2637" t="s">
        <v>19</v>
      </c>
      <c r="D2637" t="s">
        <v>324</v>
      </c>
      <c r="E2637" t="s">
        <v>21</v>
      </c>
      <c r="F2637" t="s">
        <v>22</v>
      </c>
      <c r="G2637" t="s">
        <v>33</v>
      </c>
      <c r="H2637" t="s">
        <v>396</v>
      </c>
      <c r="I2637" t="s">
        <v>5288</v>
      </c>
      <c r="J2637">
        <v>10.338623999999999</v>
      </c>
      <c r="K2637">
        <v>-84.581314000000006</v>
      </c>
      <c r="L2637" t="s">
        <v>1225</v>
      </c>
      <c r="M2637" t="s">
        <v>327</v>
      </c>
      <c r="N2637" t="s">
        <v>328</v>
      </c>
      <c r="O2637" t="s">
        <v>329</v>
      </c>
      <c r="P2637">
        <v>13</v>
      </c>
      <c r="Q2637" t="s">
        <v>161</v>
      </c>
      <c r="S2637" t="str">
        <f>_xlfn.XLOOKUP(UNIVERSO[[#This Row],[Ruta]],'[1]CUOTA RUTA'!A:A,'[1]CUOTA RUTA'!D:D)</f>
        <v>Cargar</v>
      </c>
    </row>
    <row r="2638" spans="1:19" x14ac:dyDescent="0.25">
      <c r="A2638">
        <v>1540011098</v>
      </c>
      <c r="B2638" t="s">
        <v>5289</v>
      </c>
      <c r="C2638" t="s">
        <v>19</v>
      </c>
      <c r="D2638" t="s">
        <v>20</v>
      </c>
      <c r="E2638" t="s">
        <v>21</v>
      </c>
      <c r="F2638" t="s">
        <v>22</v>
      </c>
      <c r="G2638" t="s">
        <v>33</v>
      </c>
      <c r="H2638" t="s">
        <v>308</v>
      </c>
      <c r="I2638" t="s">
        <v>5290</v>
      </c>
      <c r="J2638">
        <v>9.9133382999999995</v>
      </c>
      <c r="K2638">
        <v>-84.447675000000004</v>
      </c>
      <c r="L2638" t="s">
        <v>1225</v>
      </c>
      <c r="M2638" t="s">
        <v>54</v>
      </c>
      <c r="N2638" t="s">
        <v>55</v>
      </c>
      <c r="O2638" t="s">
        <v>56</v>
      </c>
      <c r="P2638">
        <v>21</v>
      </c>
      <c r="Q2638" t="s">
        <v>239</v>
      </c>
      <c r="S2638" t="str">
        <f>_xlfn.XLOOKUP(UNIVERSO[[#This Row],[Ruta]],'[1]CUOTA RUTA'!A:A,'[1]CUOTA RUTA'!D:D)</f>
        <v>Cargar</v>
      </c>
    </row>
    <row r="2639" spans="1:19" x14ac:dyDescent="0.25">
      <c r="A2639">
        <v>1540011134</v>
      </c>
      <c r="B2639" t="s">
        <v>5291</v>
      </c>
      <c r="C2639" t="s">
        <v>19</v>
      </c>
      <c r="D2639" t="s">
        <v>244</v>
      </c>
      <c r="E2639" t="s">
        <v>21</v>
      </c>
      <c r="F2639" t="s">
        <v>22</v>
      </c>
      <c r="G2639" t="s">
        <v>64</v>
      </c>
      <c r="H2639" t="s">
        <v>245</v>
      </c>
      <c r="I2639" t="s">
        <v>5292</v>
      </c>
      <c r="J2639">
        <v>9.1710060000000002</v>
      </c>
      <c r="K2639">
        <v>-83.738155000000006</v>
      </c>
      <c r="L2639" t="s">
        <v>1225</v>
      </c>
      <c r="M2639" t="s">
        <v>46</v>
      </c>
      <c r="N2639" t="s">
        <v>247</v>
      </c>
      <c r="O2639" t="s">
        <v>248</v>
      </c>
      <c r="P2639">
        <v>19</v>
      </c>
      <c r="Q2639" t="s">
        <v>67</v>
      </c>
      <c r="S2639" t="str">
        <f>_xlfn.XLOOKUP(UNIVERSO[[#This Row],[Ruta]],'[1]CUOTA RUTA'!A:A,'[1]CUOTA RUTA'!D:D)</f>
        <v>Cargar</v>
      </c>
    </row>
    <row r="2640" spans="1:19" x14ac:dyDescent="0.25">
      <c r="A2640">
        <v>1540011197</v>
      </c>
      <c r="B2640" t="s">
        <v>5293</v>
      </c>
      <c r="C2640" t="s">
        <v>19</v>
      </c>
      <c r="D2640" t="s">
        <v>32</v>
      </c>
      <c r="E2640" t="s">
        <v>21</v>
      </c>
      <c r="F2640" t="s">
        <v>22</v>
      </c>
      <c r="G2640" t="s">
        <v>33</v>
      </c>
      <c r="H2640" t="s">
        <v>148</v>
      </c>
      <c r="I2640" t="s">
        <v>5294</v>
      </c>
      <c r="J2640">
        <v>9.9825400000000002</v>
      </c>
      <c r="K2640">
        <v>-84.016945000000007</v>
      </c>
      <c r="L2640" t="s">
        <v>1225</v>
      </c>
      <c r="M2640" t="s">
        <v>94</v>
      </c>
      <c r="N2640" t="s">
        <v>95</v>
      </c>
      <c r="O2640" t="s">
        <v>96</v>
      </c>
      <c r="P2640">
        <v>1</v>
      </c>
      <c r="Q2640" t="s">
        <v>155</v>
      </c>
      <c r="S2640" t="str">
        <f>_xlfn.XLOOKUP(UNIVERSO[[#This Row],[Ruta]],'[1]CUOTA RUTA'!A:A,'[1]CUOTA RUTA'!D:D)</f>
        <v>Cargar</v>
      </c>
    </row>
    <row r="2641" spans="1:19" x14ac:dyDescent="0.25">
      <c r="A2641">
        <v>1540011238</v>
      </c>
      <c r="B2641" t="s">
        <v>5295</v>
      </c>
      <c r="C2641" t="s">
        <v>19</v>
      </c>
      <c r="D2641" t="s">
        <v>20</v>
      </c>
      <c r="E2641" t="s">
        <v>21</v>
      </c>
      <c r="F2641" t="s">
        <v>22</v>
      </c>
      <c r="G2641" t="s">
        <v>33</v>
      </c>
      <c r="H2641" t="s">
        <v>674</v>
      </c>
      <c r="I2641" t="s">
        <v>5296</v>
      </c>
      <c r="J2641">
        <v>10.18924</v>
      </c>
      <c r="K2641">
        <v>-84.391399000000007</v>
      </c>
      <c r="L2641" t="s">
        <v>1225</v>
      </c>
      <c r="M2641" t="s">
        <v>46</v>
      </c>
      <c r="N2641" t="s">
        <v>47</v>
      </c>
      <c r="O2641" t="s">
        <v>48</v>
      </c>
      <c r="P2641">
        <v>1</v>
      </c>
      <c r="Q2641" t="s">
        <v>155</v>
      </c>
      <c r="S2641" t="str">
        <f>_xlfn.XLOOKUP(UNIVERSO[[#This Row],[Ruta]],'[1]CUOTA RUTA'!A:A,'[1]CUOTA RUTA'!D:D)</f>
        <v>Cargar</v>
      </c>
    </row>
    <row r="2642" spans="1:19" x14ac:dyDescent="0.25">
      <c r="A2642">
        <v>1540011292</v>
      </c>
      <c r="B2642" t="s">
        <v>3226</v>
      </c>
      <c r="C2642" t="s">
        <v>19</v>
      </c>
      <c r="D2642" t="s">
        <v>32</v>
      </c>
      <c r="E2642" t="s">
        <v>21</v>
      </c>
      <c r="F2642" t="s">
        <v>22</v>
      </c>
      <c r="G2642" t="s">
        <v>64</v>
      </c>
      <c r="H2642" t="s">
        <v>148</v>
      </c>
      <c r="I2642" t="s">
        <v>5297</v>
      </c>
      <c r="J2642">
        <v>9.9902350000000002</v>
      </c>
      <c r="K2642">
        <v>-84.019234999999995</v>
      </c>
      <c r="L2642" t="s">
        <v>1225</v>
      </c>
      <c r="M2642" t="s">
        <v>94</v>
      </c>
      <c r="N2642" t="s">
        <v>95</v>
      </c>
      <c r="O2642" t="s">
        <v>96</v>
      </c>
      <c r="P2642">
        <v>3</v>
      </c>
      <c r="Q2642" t="s">
        <v>101</v>
      </c>
      <c r="S2642" t="str">
        <f>_xlfn.XLOOKUP(UNIVERSO[[#This Row],[Ruta]],'[1]CUOTA RUTA'!A:A,'[1]CUOTA RUTA'!D:D)</f>
        <v>Cargar</v>
      </c>
    </row>
    <row r="2643" spans="1:19" x14ac:dyDescent="0.25">
      <c r="A2643">
        <v>1540011437</v>
      </c>
      <c r="B2643" t="s">
        <v>5298</v>
      </c>
      <c r="C2643" t="s">
        <v>19</v>
      </c>
      <c r="D2643" t="s">
        <v>337</v>
      </c>
      <c r="E2643" t="s">
        <v>21</v>
      </c>
      <c r="F2643" t="s">
        <v>51</v>
      </c>
      <c r="G2643" t="s">
        <v>23</v>
      </c>
      <c r="H2643" t="s">
        <v>576</v>
      </c>
      <c r="I2643" t="s">
        <v>5299</v>
      </c>
      <c r="J2643">
        <v>10.547122999999999</v>
      </c>
      <c r="K2643">
        <v>-85.589749999999995</v>
      </c>
      <c r="L2643" t="s">
        <v>1225</v>
      </c>
      <c r="M2643" t="s">
        <v>327</v>
      </c>
      <c r="N2643" t="s">
        <v>340</v>
      </c>
      <c r="O2643" t="s">
        <v>341</v>
      </c>
      <c r="P2643">
        <v>16</v>
      </c>
      <c r="Q2643" t="s">
        <v>60</v>
      </c>
      <c r="S2643" t="str">
        <f>_xlfn.XLOOKUP(UNIVERSO[[#This Row],[Ruta]],'[1]CUOTA RUTA'!A:A,'[1]CUOTA RUTA'!D:D)</f>
        <v>Cargar</v>
      </c>
    </row>
    <row r="2644" spans="1:19" x14ac:dyDescent="0.25">
      <c r="A2644">
        <v>1540011487</v>
      </c>
      <c r="B2644" t="s">
        <v>5300</v>
      </c>
      <c r="C2644" t="s">
        <v>19</v>
      </c>
      <c r="D2644" t="s">
        <v>186</v>
      </c>
      <c r="E2644" t="s">
        <v>21</v>
      </c>
      <c r="F2644" t="s">
        <v>22</v>
      </c>
      <c r="G2644" t="s">
        <v>33</v>
      </c>
      <c r="H2644" t="s">
        <v>420</v>
      </c>
      <c r="I2644" t="s">
        <v>5301</v>
      </c>
      <c r="J2644">
        <v>9.9236310000000003</v>
      </c>
      <c r="K2644">
        <v>-83.033723800000004</v>
      </c>
      <c r="L2644" t="s">
        <v>1225</v>
      </c>
      <c r="M2644" t="s">
        <v>189</v>
      </c>
      <c r="N2644" t="s">
        <v>190</v>
      </c>
      <c r="O2644" t="s">
        <v>191</v>
      </c>
      <c r="P2644">
        <v>16</v>
      </c>
      <c r="Q2644" t="s">
        <v>60</v>
      </c>
      <c r="S2644" t="str">
        <f>_xlfn.XLOOKUP(UNIVERSO[[#This Row],[Ruta]],'[1]CUOTA RUTA'!A:A,'[1]CUOTA RUTA'!D:D)</f>
        <v>Cargar</v>
      </c>
    </row>
    <row r="2645" spans="1:19" x14ac:dyDescent="0.25">
      <c r="A2645">
        <v>1540011547</v>
      </c>
      <c r="B2645" t="s">
        <v>5302</v>
      </c>
      <c r="C2645" t="s">
        <v>19</v>
      </c>
      <c r="D2645" t="s">
        <v>244</v>
      </c>
      <c r="E2645" t="s">
        <v>21</v>
      </c>
      <c r="F2645" t="s">
        <v>22</v>
      </c>
      <c r="G2645" t="s">
        <v>64</v>
      </c>
      <c r="H2645" t="s">
        <v>1233</v>
      </c>
      <c r="I2645" t="s">
        <v>5303</v>
      </c>
      <c r="J2645">
        <v>9.361148</v>
      </c>
      <c r="K2645">
        <v>-83.679899000000006</v>
      </c>
      <c r="L2645" t="s">
        <v>1225</v>
      </c>
      <c r="M2645" t="s">
        <v>46</v>
      </c>
      <c r="N2645" t="s">
        <v>247</v>
      </c>
      <c r="O2645" t="s">
        <v>248</v>
      </c>
      <c r="P2645">
        <v>14</v>
      </c>
      <c r="Q2645" t="s">
        <v>181</v>
      </c>
      <c r="S2645" t="str">
        <f>_xlfn.XLOOKUP(UNIVERSO[[#This Row],[Ruta]],'[1]CUOTA RUTA'!A:A,'[1]CUOTA RUTA'!D:D)</f>
        <v>Cargar</v>
      </c>
    </row>
    <row r="2646" spans="1:19" x14ac:dyDescent="0.25">
      <c r="A2646">
        <v>1540011592</v>
      </c>
      <c r="B2646" t="s">
        <v>5304</v>
      </c>
      <c r="C2646" t="s">
        <v>19</v>
      </c>
      <c r="D2646" t="s">
        <v>208</v>
      </c>
      <c r="E2646" t="s">
        <v>21</v>
      </c>
      <c r="F2646" t="s">
        <v>22</v>
      </c>
      <c r="G2646" t="s">
        <v>64</v>
      </c>
      <c r="H2646" t="s">
        <v>631</v>
      </c>
      <c r="I2646" t="s">
        <v>5305</v>
      </c>
      <c r="J2646">
        <v>10.51416</v>
      </c>
      <c r="K2646">
        <v>-83.98724</v>
      </c>
      <c r="L2646" t="s">
        <v>1225</v>
      </c>
      <c r="M2646" t="s">
        <v>189</v>
      </c>
      <c r="N2646" t="s">
        <v>211</v>
      </c>
      <c r="O2646" t="s">
        <v>212</v>
      </c>
      <c r="P2646">
        <v>10</v>
      </c>
      <c r="Q2646" t="s">
        <v>136</v>
      </c>
      <c r="S2646" t="str">
        <f>_xlfn.XLOOKUP(UNIVERSO[[#This Row],[Ruta]],'[1]CUOTA RUTA'!A:A,'[1]CUOTA RUTA'!D:D)</f>
        <v>Cargar</v>
      </c>
    </row>
    <row r="2647" spans="1:19" x14ac:dyDescent="0.25">
      <c r="A2647">
        <v>1540011665</v>
      </c>
      <c r="B2647" t="s">
        <v>5306</v>
      </c>
      <c r="C2647" t="s">
        <v>19</v>
      </c>
      <c r="D2647" t="s">
        <v>324</v>
      </c>
      <c r="E2647" t="s">
        <v>21</v>
      </c>
      <c r="F2647" t="s">
        <v>22</v>
      </c>
      <c r="G2647" t="s">
        <v>23</v>
      </c>
      <c r="H2647" t="s">
        <v>396</v>
      </c>
      <c r="I2647" t="s">
        <v>5307</v>
      </c>
      <c r="J2647">
        <v>10.406563</v>
      </c>
      <c r="K2647">
        <v>-84.219395000000006</v>
      </c>
      <c r="L2647" t="s">
        <v>1225</v>
      </c>
      <c r="M2647" t="s">
        <v>327</v>
      </c>
      <c r="N2647" t="s">
        <v>328</v>
      </c>
      <c r="O2647" t="s">
        <v>329</v>
      </c>
      <c r="P2647">
        <v>17</v>
      </c>
      <c r="Q2647" t="s">
        <v>287</v>
      </c>
      <c r="S2647" t="str">
        <f>_xlfn.XLOOKUP(UNIVERSO[[#This Row],[Ruta]],'[1]CUOTA RUTA'!A:A,'[1]CUOTA RUTA'!D:D)</f>
        <v>Cargar</v>
      </c>
    </row>
    <row r="2648" spans="1:19" x14ac:dyDescent="0.25">
      <c r="A2648">
        <v>1540011761</v>
      </c>
      <c r="B2648" t="s">
        <v>5308</v>
      </c>
      <c r="C2648" t="s">
        <v>19</v>
      </c>
      <c r="D2648" t="s">
        <v>186</v>
      </c>
      <c r="E2648" t="s">
        <v>21</v>
      </c>
      <c r="F2648" t="s">
        <v>51</v>
      </c>
      <c r="G2648" t="s">
        <v>23</v>
      </c>
      <c r="H2648" t="s">
        <v>237</v>
      </c>
      <c r="I2648" t="s">
        <v>5309</v>
      </c>
      <c r="J2648">
        <v>10.086316999999999</v>
      </c>
      <c r="K2648">
        <v>-83.341318999999999</v>
      </c>
      <c r="L2648" t="s">
        <v>1225</v>
      </c>
      <c r="M2648" t="s">
        <v>189</v>
      </c>
      <c r="N2648" t="s">
        <v>190</v>
      </c>
      <c r="O2648" t="s">
        <v>191</v>
      </c>
      <c r="P2648">
        <v>21</v>
      </c>
      <c r="Q2648" t="s">
        <v>239</v>
      </c>
      <c r="S2648" t="str">
        <f>_xlfn.XLOOKUP(UNIVERSO[[#This Row],[Ruta]],'[1]CUOTA RUTA'!A:A,'[1]CUOTA RUTA'!D:D)</f>
        <v>Cargar</v>
      </c>
    </row>
    <row r="2649" spans="1:19" x14ac:dyDescent="0.25">
      <c r="A2649">
        <v>1540011764</v>
      </c>
      <c r="B2649" t="s">
        <v>5310</v>
      </c>
      <c r="C2649" t="s">
        <v>19</v>
      </c>
      <c r="D2649" t="s">
        <v>20</v>
      </c>
      <c r="E2649" t="s">
        <v>21</v>
      </c>
      <c r="F2649" t="s">
        <v>22</v>
      </c>
      <c r="G2649" t="s">
        <v>33</v>
      </c>
      <c r="H2649" t="s">
        <v>44</v>
      </c>
      <c r="I2649" t="s">
        <v>5311</v>
      </c>
      <c r="J2649">
        <v>10.070145999999999</v>
      </c>
      <c r="K2649">
        <v>-84.435653000000002</v>
      </c>
      <c r="L2649" t="s">
        <v>1225</v>
      </c>
      <c r="M2649" t="s">
        <v>46</v>
      </c>
      <c r="N2649" t="s">
        <v>47</v>
      </c>
      <c r="O2649" t="s">
        <v>48</v>
      </c>
      <c r="P2649">
        <v>8</v>
      </c>
      <c r="Q2649" t="s">
        <v>97</v>
      </c>
      <c r="S2649" t="str">
        <f>_xlfn.XLOOKUP(UNIVERSO[[#This Row],[Ruta]],'[1]CUOTA RUTA'!A:A,'[1]CUOTA RUTA'!D:D)</f>
        <v>Cargar</v>
      </c>
    </row>
    <row r="2650" spans="1:19" x14ac:dyDescent="0.25">
      <c r="A2650">
        <v>1540011813</v>
      </c>
      <c r="B2650" t="s">
        <v>5312</v>
      </c>
      <c r="C2650" t="s">
        <v>19</v>
      </c>
      <c r="D2650" t="s">
        <v>208</v>
      </c>
      <c r="E2650" t="s">
        <v>21</v>
      </c>
      <c r="F2650" t="s">
        <v>22</v>
      </c>
      <c r="G2650" t="s">
        <v>33</v>
      </c>
      <c r="H2650" t="s">
        <v>218</v>
      </c>
      <c r="I2650" t="s">
        <v>5313</v>
      </c>
      <c r="J2650">
        <v>10.241868</v>
      </c>
      <c r="K2650">
        <v>-83.786541999999997</v>
      </c>
      <c r="L2650" t="s">
        <v>1225</v>
      </c>
      <c r="M2650" t="s">
        <v>189</v>
      </c>
      <c r="N2650" t="s">
        <v>211</v>
      </c>
      <c r="O2650" t="s">
        <v>212</v>
      </c>
      <c r="P2650">
        <v>5</v>
      </c>
      <c r="Q2650" t="s">
        <v>117</v>
      </c>
      <c r="S2650" t="str">
        <f>_xlfn.XLOOKUP(UNIVERSO[[#This Row],[Ruta]],'[1]CUOTA RUTA'!A:A,'[1]CUOTA RUTA'!D:D)</f>
        <v>Cargar</v>
      </c>
    </row>
    <row r="2651" spans="1:19" x14ac:dyDescent="0.25">
      <c r="A2651">
        <v>1540011814</v>
      </c>
      <c r="B2651" t="s">
        <v>5314</v>
      </c>
      <c r="C2651" t="s">
        <v>19</v>
      </c>
      <c r="D2651" t="s">
        <v>208</v>
      </c>
      <c r="E2651" t="s">
        <v>62</v>
      </c>
      <c r="F2651" t="s">
        <v>63</v>
      </c>
      <c r="G2651" t="s">
        <v>64</v>
      </c>
      <c r="H2651" t="s">
        <v>616</v>
      </c>
      <c r="I2651" t="s">
        <v>5315</v>
      </c>
      <c r="J2651">
        <v>10.456189999999999</v>
      </c>
      <c r="K2651">
        <v>-84.008088999999998</v>
      </c>
      <c r="L2651" t="s">
        <v>1225</v>
      </c>
      <c r="M2651" t="s">
        <v>189</v>
      </c>
      <c r="N2651" t="s">
        <v>211</v>
      </c>
      <c r="O2651" t="s">
        <v>212</v>
      </c>
      <c r="P2651">
        <v>10</v>
      </c>
      <c r="Q2651" t="s">
        <v>136</v>
      </c>
      <c r="S2651" t="str">
        <f>_xlfn.XLOOKUP(UNIVERSO[[#This Row],[Ruta]],'[1]CUOTA RUTA'!A:A,'[1]CUOTA RUTA'!D:D)</f>
        <v>Cargar</v>
      </c>
    </row>
    <row r="2652" spans="1:19" x14ac:dyDescent="0.25">
      <c r="A2652">
        <v>1540011827</v>
      </c>
      <c r="B2652" t="s">
        <v>5316</v>
      </c>
      <c r="C2652" t="s">
        <v>19</v>
      </c>
      <c r="D2652" t="s">
        <v>20</v>
      </c>
      <c r="E2652" t="s">
        <v>21</v>
      </c>
      <c r="F2652" t="s">
        <v>22</v>
      </c>
      <c r="G2652" t="s">
        <v>33</v>
      </c>
      <c r="H2652" t="s">
        <v>743</v>
      </c>
      <c r="I2652" t="s">
        <v>5317</v>
      </c>
      <c r="J2652">
        <v>9.9779320210000009</v>
      </c>
      <c r="K2652">
        <v>-84.378601250000003</v>
      </c>
      <c r="L2652" t="s">
        <v>1225</v>
      </c>
      <c r="M2652" t="s">
        <v>46</v>
      </c>
      <c r="N2652" t="s">
        <v>47</v>
      </c>
      <c r="O2652" t="s">
        <v>48</v>
      </c>
      <c r="P2652">
        <v>10</v>
      </c>
      <c r="Q2652" t="s">
        <v>136</v>
      </c>
      <c r="S2652" t="str">
        <f>_xlfn.XLOOKUP(UNIVERSO[[#This Row],[Ruta]],'[1]CUOTA RUTA'!A:A,'[1]CUOTA RUTA'!D:D)</f>
        <v>Cargar</v>
      </c>
    </row>
    <row r="2653" spans="1:19" x14ac:dyDescent="0.25">
      <c r="A2653">
        <v>1540011849</v>
      </c>
      <c r="B2653" t="s">
        <v>5318</v>
      </c>
      <c r="C2653" t="s">
        <v>19</v>
      </c>
      <c r="D2653" t="s">
        <v>349</v>
      </c>
      <c r="E2653" t="s">
        <v>21</v>
      </c>
      <c r="F2653" t="s">
        <v>22</v>
      </c>
      <c r="G2653" t="s">
        <v>64</v>
      </c>
      <c r="H2653" t="s">
        <v>359</v>
      </c>
      <c r="I2653" t="s">
        <v>5319</v>
      </c>
      <c r="J2653">
        <v>10.114772</v>
      </c>
      <c r="K2653">
        <v>-85.453828000000001</v>
      </c>
      <c r="L2653" t="s">
        <v>1225</v>
      </c>
      <c r="M2653" t="s">
        <v>352</v>
      </c>
      <c r="N2653" t="s">
        <v>353</v>
      </c>
      <c r="O2653" t="s">
        <v>354</v>
      </c>
      <c r="P2653">
        <v>14</v>
      </c>
      <c r="Q2653" t="s">
        <v>181</v>
      </c>
      <c r="S2653" t="str">
        <f>_xlfn.XLOOKUP(UNIVERSO[[#This Row],[Ruta]],'[1]CUOTA RUTA'!A:A,'[1]CUOTA RUTA'!D:D)</f>
        <v>Cargar</v>
      </c>
    </row>
    <row r="2654" spans="1:19" x14ac:dyDescent="0.25">
      <c r="A2654">
        <v>1540011855</v>
      </c>
      <c r="B2654" t="s">
        <v>5320</v>
      </c>
      <c r="C2654" t="s">
        <v>19</v>
      </c>
      <c r="D2654" t="s">
        <v>32</v>
      </c>
      <c r="E2654" t="s">
        <v>21</v>
      </c>
      <c r="F2654" t="s">
        <v>22</v>
      </c>
      <c r="G2654" t="s">
        <v>23</v>
      </c>
      <c r="H2654" t="s">
        <v>103</v>
      </c>
      <c r="I2654" t="s">
        <v>5321</v>
      </c>
      <c r="J2654">
        <v>9.9154366666670004</v>
      </c>
      <c r="K2654">
        <v>-84.102191666660005</v>
      </c>
      <c r="L2654" t="s">
        <v>1225</v>
      </c>
      <c r="M2654" t="s">
        <v>71</v>
      </c>
      <c r="N2654" t="s">
        <v>72</v>
      </c>
      <c r="O2654" t="s">
        <v>73</v>
      </c>
      <c r="P2654">
        <v>10</v>
      </c>
      <c r="Q2654" t="s">
        <v>136</v>
      </c>
      <c r="S2654" t="str">
        <f>_xlfn.XLOOKUP(UNIVERSO[[#This Row],[Ruta]],'[1]CUOTA RUTA'!A:A,'[1]CUOTA RUTA'!D:D)</f>
        <v>Cargar</v>
      </c>
    </row>
    <row r="2655" spans="1:19" x14ac:dyDescent="0.25">
      <c r="A2655">
        <v>1540011930</v>
      </c>
      <c r="B2655" t="s">
        <v>5322</v>
      </c>
      <c r="C2655" t="s">
        <v>19</v>
      </c>
      <c r="D2655" t="s">
        <v>208</v>
      </c>
      <c r="E2655" t="s">
        <v>21</v>
      </c>
      <c r="F2655" t="s">
        <v>22</v>
      </c>
      <c r="G2655" t="s">
        <v>23</v>
      </c>
      <c r="H2655" t="s">
        <v>224</v>
      </c>
      <c r="I2655" t="s">
        <v>5323</v>
      </c>
      <c r="J2655">
        <v>10.21331</v>
      </c>
      <c r="K2655">
        <v>-83.680289999999999</v>
      </c>
      <c r="L2655" t="s">
        <v>1225</v>
      </c>
      <c r="M2655" t="s">
        <v>189</v>
      </c>
      <c r="N2655" t="s">
        <v>211</v>
      </c>
      <c r="O2655" t="s">
        <v>212</v>
      </c>
      <c r="P2655">
        <v>6</v>
      </c>
      <c r="Q2655" t="s">
        <v>49</v>
      </c>
      <c r="S2655" t="str">
        <f>_xlfn.XLOOKUP(UNIVERSO[[#This Row],[Ruta]],'[1]CUOTA RUTA'!A:A,'[1]CUOTA RUTA'!D:D)</f>
        <v>Cargar</v>
      </c>
    </row>
    <row r="2656" spans="1:19" x14ac:dyDescent="0.25">
      <c r="A2656">
        <v>1540012068</v>
      </c>
      <c r="B2656" t="s">
        <v>5324</v>
      </c>
      <c r="C2656" t="s">
        <v>19</v>
      </c>
      <c r="D2656" t="s">
        <v>266</v>
      </c>
      <c r="E2656" t="s">
        <v>21</v>
      </c>
      <c r="F2656" t="s">
        <v>22</v>
      </c>
      <c r="G2656" t="s">
        <v>33</v>
      </c>
      <c r="H2656" t="s">
        <v>407</v>
      </c>
      <c r="I2656" t="s">
        <v>5325</v>
      </c>
      <c r="J2656">
        <v>9.6758400000000009</v>
      </c>
      <c r="K2656">
        <v>-84.057406999999998</v>
      </c>
      <c r="L2656" t="s">
        <v>1225</v>
      </c>
      <c r="M2656" t="s">
        <v>409</v>
      </c>
      <c r="N2656" t="s">
        <v>410</v>
      </c>
      <c r="O2656" t="s">
        <v>411</v>
      </c>
      <c r="P2656">
        <v>23</v>
      </c>
      <c r="Q2656" t="s">
        <v>125</v>
      </c>
      <c r="S2656" t="str">
        <f>_xlfn.XLOOKUP(UNIVERSO[[#This Row],[Ruta]],'[1]CUOTA RUTA'!A:A,'[1]CUOTA RUTA'!D:D)</f>
        <v>Cargar</v>
      </c>
    </row>
    <row r="2657" spans="1:19" x14ac:dyDescent="0.25">
      <c r="A2657">
        <v>1540012090</v>
      </c>
      <c r="B2657" t="s">
        <v>5326</v>
      </c>
      <c r="C2657" t="s">
        <v>19</v>
      </c>
      <c r="D2657" t="s">
        <v>20</v>
      </c>
      <c r="E2657" t="s">
        <v>21</v>
      </c>
      <c r="F2657" t="s">
        <v>22</v>
      </c>
      <c r="G2657" t="s">
        <v>33</v>
      </c>
      <c r="H2657" t="s">
        <v>674</v>
      </c>
      <c r="I2657" t="s">
        <v>5327</v>
      </c>
      <c r="J2657">
        <v>10.1854678</v>
      </c>
      <c r="K2657">
        <v>-84.392032099999994</v>
      </c>
      <c r="L2657" t="s">
        <v>1225</v>
      </c>
      <c r="M2657" t="s">
        <v>46</v>
      </c>
      <c r="N2657" t="s">
        <v>47</v>
      </c>
      <c r="O2657" t="s">
        <v>48</v>
      </c>
      <c r="P2657">
        <v>1</v>
      </c>
      <c r="Q2657" t="s">
        <v>155</v>
      </c>
      <c r="S2657" t="str">
        <f>_xlfn.XLOOKUP(UNIVERSO[[#This Row],[Ruta]],'[1]CUOTA RUTA'!A:A,'[1]CUOTA RUTA'!D:D)</f>
        <v>Cargar</v>
      </c>
    </row>
    <row r="2658" spans="1:19" x14ac:dyDescent="0.25">
      <c r="A2658">
        <v>1540012168</v>
      </c>
      <c r="B2658" t="s">
        <v>5328</v>
      </c>
      <c r="C2658" t="s">
        <v>19</v>
      </c>
      <c r="D2658" t="s">
        <v>208</v>
      </c>
      <c r="E2658" t="s">
        <v>21</v>
      </c>
      <c r="F2658" t="s">
        <v>51</v>
      </c>
      <c r="G2658" t="s">
        <v>23</v>
      </c>
      <c r="H2658" t="s">
        <v>224</v>
      </c>
      <c r="I2658" t="s">
        <v>5329</v>
      </c>
      <c r="J2658">
        <v>10.213380000000001</v>
      </c>
      <c r="K2658">
        <v>-83.785309999999996</v>
      </c>
      <c r="L2658" t="s">
        <v>1225</v>
      </c>
      <c r="M2658" t="s">
        <v>189</v>
      </c>
      <c r="N2658" t="s">
        <v>211</v>
      </c>
      <c r="O2658" t="s">
        <v>212</v>
      </c>
      <c r="P2658">
        <v>5</v>
      </c>
      <c r="Q2658" t="s">
        <v>117</v>
      </c>
      <c r="S2658" t="str">
        <f>_xlfn.XLOOKUP(UNIVERSO[[#This Row],[Ruta]],'[1]CUOTA RUTA'!A:A,'[1]CUOTA RUTA'!D:D)</f>
        <v>Cargar</v>
      </c>
    </row>
    <row r="2659" spans="1:19" x14ac:dyDescent="0.25">
      <c r="A2659">
        <v>1540012175</v>
      </c>
      <c r="B2659" t="s">
        <v>5330</v>
      </c>
      <c r="C2659" t="s">
        <v>19</v>
      </c>
      <c r="D2659" t="s">
        <v>349</v>
      </c>
      <c r="E2659" t="s">
        <v>21</v>
      </c>
      <c r="F2659" t="s">
        <v>22</v>
      </c>
      <c r="G2659" t="s">
        <v>23</v>
      </c>
      <c r="H2659" t="s">
        <v>908</v>
      </c>
      <c r="I2659" t="s">
        <v>5331</v>
      </c>
      <c r="J2659">
        <v>10.059187</v>
      </c>
      <c r="K2659">
        <v>-85.418684999999996</v>
      </c>
      <c r="L2659" t="s">
        <v>1225</v>
      </c>
      <c r="M2659" t="s">
        <v>352</v>
      </c>
      <c r="N2659" t="s">
        <v>353</v>
      </c>
      <c r="O2659" t="s">
        <v>354</v>
      </c>
      <c r="P2659">
        <v>16</v>
      </c>
      <c r="Q2659" t="s">
        <v>60</v>
      </c>
      <c r="S2659" t="str">
        <f>_xlfn.XLOOKUP(UNIVERSO[[#This Row],[Ruta]],'[1]CUOTA RUTA'!A:A,'[1]CUOTA RUTA'!D:D)</f>
        <v>Cargar</v>
      </c>
    </row>
    <row r="2660" spans="1:19" x14ac:dyDescent="0.25">
      <c r="A2660">
        <v>1540012182</v>
      </c>
      <c r="B2660" t="s">
        <v>5332</v>
      </c>
      <c r="C2660" t="s">
        <v>19</v>
      </c>
      <c r="D2660" t="s">
        <v>201</v>
      </c>
      <c r="E2660" t="s">
        <v>21</v>
      </c>
      <c r="F2660" t="s">
        <v>22</v>
      </c>
      <c r="G2660" t="s">
        <v>23</v>
      </c>
      <c r="H2660" t="s">
        <v>491</v>
      </c>
      <c r="I2660" t="s">
        <v>5333</v>
      </c>
      <c r="J2660">
        <v>9.6659208999999997</v>
      </c>
      <c r="K2660">
        <v>-84.634268800000001</v>
      </c>
      <c r="L2660" t="s">
        <v>1225</v>
      </c>
      <c r="M2660" t="s">
        <v>204</v>
      </c>
      <c r="N2660" t="s">
        <v>205</v>
      </c>
      <c r="O2660" t="s">
        <v>206</v>
      </c>
      <c r="P2660">
        <v>5</v>
      </c>
      <c r="Q2660" t="s">
        <v>117</v>
      </c>
      <c r="S2660" t="str">
        <f>_xlfn.XLOOKUP(UNIVERSO[[#This Row],[Ruta]],'[1]CUOTA RUTA'!A:A,'[1]CUOTA RUTA'!D:D)</f>
        <v>Cargar</v>
      </c>
    </row>
    <row r="2661" spans="1:19" x14ac:dyDescent="0.25">
      <c r="A2661">
        <v>1540012225</v>
      </c>
      <c r="B2661" t="s">
        <v>808</v>
      </c>
      <c r="C2661" t="s">
        <v>19</v>
      </c>
      <c r="D2661" t="s">
        <v>244</v>
      </c>
      <c r="E2661" t="s">
        <v>21</v>
      </c>
      <c r="F2661" t="s">
        <v>22</v>
      </c>
      <c r="G2661" t="s">
        <v>33</v>
      </c>
      <c r="H2661" t="s">
        <v>566</v>
      </c>
      <c r="I2661" t="s">
        <v>5334</v>
      </c>
      <c r="J2661">
        <v>9.1726466999999996</v>
      </c>
      <c r="K2661">
        <v>-83.337342199999995</v>
      </c>
      <c r="L2661" t="s">
        <v>1225</v>
      </c>
      <c r="M2661" t="s">
        <v>46</v>
      </c>
      <c r="N2661" t="s">
        <v>247</v>
      </c>
      <c r="O2661" t="s">
        <v>248</v>
      </c>
      <c r="P2661">
        <v>12</v>
      </c>
      <c r="Q2661" t="s">
        <v>42</v>
      </c>
      <c r="S2661" t="str">
        <f>_xlfn.XLOOKUP(UNIVERSO[[#This Row],[Ruta]],'[1]CUOTA RUTA'!A:A,'[1]CUOTA RUTA'!D:D)</f>
        <v>Cargar</v>
      </c>
    </row>
    <row r="2662" spans="1:19" x14ac:dyDescent="0.25">
      <c r="A2662">
        <v>1540012310</v>
      </c>
      <c r="B2662" t="s">
        <v>5335</v>
      </c>
      <c r="C2662" t="s">
        <v>19</v>
      </c>
      <c r="D2662" t="s">
        <v>266</v>
      </c>
      <c r="E2662" t="s">
        <v>21</v>
      </c>
      <c r="F2662" t="s">
        <v>22</v>
      </c>
      <c r="G2662" t="s">
        <v>23</v>
      </c>
      <c r="H2662" t="s">
        <v>404</v>
      </c>
      <c r="I2662" t="s">
        <v>5336</v>
      </c>
      <c r="J2662">
        <v>9.8654460000000004</v>
      </c>
      <c r="K2662">
        <v>-83.892443999999998</v>
      </c>
      <c r="L2662" t="s">
        <v>1225</v>
      </c>
      <c r="M2662" t="s">
        <v>36</v>
      </c>
      <c r="N2662" t="s">
        <v>316</v>
      </c>
      <c r="O2662" t="s">
        <v>317</v>
      </c>
      <c r="P2662">
        <v>17</v>
      </c>
      <c r="Q2662" t="s">
        <v>287</v>
      </c>
      <c r="S2662" t="str">
        <f>_xlfn.XLOOKUP(UNIVERSO[[#This Row],[Ruta]],'[1]CUOTA RUTA'!A:A,'[1]CUOTA RUTA'!D:D)</f>
        <v>Cargar</v>
      </c>
    </row>
    <row r="2663" spans="1:19" x14ac:dyDescent="0.25">
      <c r="A2663">
        <v>1540012329</v>
      </c>
      <c r="B2663" t="s">
        <v>5337</v>
      </c>
      <c r="C2663" t="s">
        <v>19</v>
      </c>
      <c r="D2663" t="s">
        <v>208</v>
      </c>
      <c r="E2663" t="s">
        <v>21</v>
      </c>
      <c r="F2663" t="s">
        <v>22</v>
      </c>
      <c r="G2663" t="s">
        <v>64</v>
      </c>
      <c r="H2663" t="s">
        <v>417</v>
      </c>
      <c r="I2663" t="s">
        <v>5338</v>
      </c>
      <c r="J2663">
        <v>10.29275928</v>
      </c>
      <c r="K2663">
        <v>-83.924302560000001</v>
      </c>
      <c r="L2663" t="s">
        <v>1225</v>
      </c>
      <c r="M2663" t="s">
        <v>189</v>
      </c>
      <c r="N2663" t="s">
        <v>211</v>
      </c>
      <c r="O2663" t="s">
        <v>212</v>
      </c>
      <c r="P2663">
        <v>3</v>
      </c>
      <c r="Q2663" t="s">
        <v>101</v>
      </c>
      <c r="S2663" t="str">
        <f>_xlfn.XLOOKUP(UNIVERSO[[#This Row],[Ruta]],'[1]CUOTA RUTA'!A:A,'[1]CUOTA RUTA'!D:D)</f>
        <v>Cargar</v>
      </c>
    </row>
    <row r="2664" spans="1:19" x14ac:dyDescent="0.25">
      <c r="A2664">
        <v>1540012344</v>
      </c>
      <c r="B2664" t="s">
        <v>5339</v>
      </c>
      <c r="C2664" t="s">
        <v>19</v>
      </c>
      <c r="D2664" t="s">
        <v>32</v>
      </c>
      <c r="E2664" t="s">
        <v>21</v>
      </c>
      <c r="F2664" t="s">
        <v>22</v>
      </c>
      <c r="G2664" t="s">
        <v>33</v>
      </c>
      <c r="H2664" t="s">
        <v>103</v>
      </c>
      <c r="I2664" t="s">
        <v>5340</v>
      </c>
      <c r="J2664">
        <v>9.9255990000000001</v>
      </c>
      <c r="K2664">
        <v>-84.112325999999996</v>
      </c>
      <c r="L2664" t="s">
        <v>1225</v>
      </c>
      <c r="M2664" t="s">
        <v>71</v>
      </c>
      <c r="N2664" t="s">
        <v>72</v>
      </c>
      <c r="O2664" t="s">
        <v>73</v>
      </c>
      <c r="P2664">
        <v>12</v>
      </c>
      <c r="Q2664" t="s">
        <v>42</v>
      </c>
      <c r="S2664" t="str">
        <f>_xlfn.XLOOKUP(UNIVERSO[[#This Row],[Ruta]],'[1]CUOTA RUTA'!A:A,'[1]CUOTA RUTA'!D:D)</f>
        <v>Cargar</v>
      </c>
    </row>
    <row r="2665" spans="1:19" x14ac:dyDescent="0.25">
      <c r="A2665">
        <v>1540012377</v>
      </c>
      <c r="B2665" t="s">
        <v>5341</v>
      </c>
      <c r="C2665" t="s">
        <v>19</v>
      </c>
      <c r="D2665" t="s">
        <v>208</v>
      </c>
      <c r="E2665" t="s">
        <v>21</v>
      </c>
      <c r="F2665" t="s">
        <v>22</v>
      </c>
      <c r="G2665" t="s">
        <v>64</v>
      </c>
      <c r="H2665" t="s">
        <v>502</v>
      </c>
      <c r="I2665" t="s">
        <v>5342</v>
      </c>
      <c r="J2665">
        <v>10.388418</v>
      </c>
      <c r="K2665">
        <v>-83.715539000000007</v>
      </c>
      <c r="L2665" t="s">
        <v>1225</v>
      </c>
      <c r="M2665" t="s">
        <v>189</v>
      </c>
      <c r="N2665" t="s">
        <v>211</v>
      </c>
      <c r="O2665" t="s">
        <v>212</v>
      </c>
      <c r="P2665">
        <v>2</v>
      </c>
      <c r="Q2665" t="s">
        <v>150</v>
      </c>
      <c r="S2665" t="str">
        <f>_xlfn.XLOOKUP(UNIVERSO[[#This Row],[Ruta]],'[1]CUOTA RUTA'!A:A,'[1]CUOTA RUTA'!D:D)</f>
        <v>Cargar</v>
      </c>
    </row>
    <row r="2666" spans="1:19" x14ac:dyDescent="0.25">
      <c r="A2666">
        <v>1540012496</v>
      </c>
      <c r="B2666" t="s">
        <v>5343</v>
      </c>
      <c r="C2666" t="s">
        <v>19</v>
      </c>
      <c r="D2666" t="s">
        <v>349</v>
      </c>
      <c r="E2666" t="s">
        <v>21</v>
      </c>
      <c r="F2666" t="s">
        <v>22</v>
      </c>
      <c r="G2666" t="s">
        <v>33</v>
      </c>
      <c r="H2666" t="s">
        <v>496</v>
      </c>
      <c r="I2666" t="s">
        <v>5344</v>
      </c>
      <c r="J2666">
        <v>10.14536</v>
      </c>
      <c r="K2666">
        <v>-85.451347999999996</v>
      </c>
      <c r="L2666" t="s">
        <v>1225</v>
      </c>
      <c r="M2666" t="s">
        <v>352</v>
      </c>
      <c r="N2666" t="s">
        <v>353</v>
      </c>
      <c r="O2666" t="s">
        <v>354</v>
      </c>
      <c r="P2666">
        <v>12</v>
      </c>
      <c r="Q2666" t="s">
        <v>42</v>
      </c>
      <c r="S2666" t="str">
        <f>_xlfn.XLOOKUP(UNIVERSO[[#This Row],[Ruta]],'[1]CUOTA RUTA'!A:A,'[1]CUOTA RUTA'!D:D)</f>
        <v>Cargar</v>
      </c>
    </row>
    <row r="2667" spans="1:19" x14ac:dyDescent="0.25">
      <c r="A2667">
        <v>1540012502</v>
      </c>
      <c r="B2667" t="s">
        <v>5345</v>
      </c>
      <c r="C2667" t="s">
        <v>19</v>
      </c>
      <c r="D2667" t="s">
        <v>201</v>
      </c>
      <c r="E2667" t="s">
        <v>21</v>
      </c>
      <c r="F2667" t="s">
        <v>22</v>
      </c>
      <c r="G2667" t="s">
        <v>23</v>
      </c>
      <c r="H2667" t="s">
        <v>528</v>
      </c>
      <c r="I2667" t="s">
        <v>5346</v>
      </c>
      <c r="J2667">
        <v>10.246312</v>
      </c>
      <c r="K2667">
        <v>-85.008972</v>
      </c>
      <c r="L2667" t="s">
        <v>1225</v>
      </c>
      <c r="M2667" t="s">
        <v>327</v>
      </c>
      <c r="N2667" t="s">
        <v>530</v>
      </c>
      <c r="O2667" t="s">
        <v>531</v>
      </c>
      <c r="P2667">
        <v>1</v>
      </c>
      <c r="Q2667" t="s">
        <v>155</v>
      </c>
      <c r="S2667" t="str">
        <f>_xlfn.XLOOKUP(UNIVERSO[[#This Row],[Ruta]],'[1]CUOTA RUTA'!A:A,'[1]CUOTA RUTA'!D:D)</f>
        <v>Cargar</v>
      </c>
    </row>
    <row r="2668" spans="1:19" x14ac:dyDescent="0.25">
      <c r="A2668">
        <v>1540012518</v>
      </c>
      <c r="B2668" t="s">
        <v>5347</v>
      </c>
      <c r="C2668" t="s">
        <v>19</v>
      </c>
      <c r="D2668" t="s">
        <v>20</v>
      </c>
      <c r="E2668" t="s">
        <v>21</v>
      </c>
      <c r="F2668" t="s">
        <v>22</v>
      </c>
      <c r="G2668" t="s">
        <v>33</v>
      </c>
      <c r="H2668" t="s">
        <v>308</v>
      </c>
      <c r="I2668" t="s">
        <v>5348</v>
      </c>
      <c r="J2668">
        <v>9.8343617000000005</v>
      </c>
      <c r="K2668">
        <v>-84.209739999999996</v>
      </c>
      <c r="L2668" t="s">
        <v>1225</v>
      </c>
      <c r="M2668" t="s">
        <v>54</v>
      </c>
      <c r="N2668" t="s">
        <v>55</v>
      </c>
      <c r="O2668" t="s">
        <v>56</v>
      </c>
      <c r="P2668">
        <v>23</v>
      </c>
      <c r="Q2668" t="s">
        <v>125</v>
      </c>
      <c r="S2668" t="str">
        <f>_xlfn.XLOOKUP(UNIVERSO[[#This Row],[Ruta]],'[1]CUOTA RUTA'!A:A,'[1]CUOTA RUTA'!D:D)</f>
        <v>Cargar</v>
      </c>
    </row>
    <row r="2669" spans="1:19" x14ac:dyDescent="0.25">
      <c r="A2669">
        <v>1540012533</v>
      </c>
      <c r="B2669" t="s">
        <v>5349</v>
      </c>
      <c r="C2669" t="s">
        <v>19</v>
      </c>
      <c r="D2669" t="s">
        <v>266</v>
      </c>
      <c r="E2669" t="s">
        <v>21</v>
      </c>
      <c r="F2669" t="s">
        <v>22</v>
      </c>
      <c r="G2669" t="s">
        <v>33</v>
      </c>
      <c r="H2669" t="s">
        <v>267</v>
      </c>
      <c r="I2669" t="s">
        <v>5350</v>
      </c>
      <c r="J2669">
        <v>9.9175806499999997</v>
      </c>
      <c r="K2669">
        <v>-83.675398639999997</v>
      </c>
      <c r="L2669" t="s">
        <v>1225</v>
      </c>
      <c r="M2669" t="s">
        <v>189</v>
      </c>
      <c r="N2669" t="s">
        <v>269</v>
      </c>
      <c r="O2669" t="s">
        <v>270</v>
      </c>
      <c r="P2669">
        <v>22</v>
      </c>
      <c r="Q2669" t="s">
        <v>30</v>
      </c>
      <c r="S2669" t="str">
        <f>_xlfn.XLOOKUP(UNIVERSO[[#This Row],[Ruta]],'[1]CUOTA RUTA'!A:A,'[1]CUOTA RUTA'!D:D)</f>
        <v>Cargar</v>
      </c>
    </row>
    <row r="2670" spans="1:19" x14ac:dyDescent="0.25">
      <c r="A2670">
        <v>1540012548</v>
      </c>
      <c r="B2670" t="s">
        <v>5351</v>
      </c>
      <c r="C2670" t="s">
        <v>19</v>
      </c>
      <c r="D2670" t="s">
        <v>208</v>
      </c>
      <c r="E2670" t="s">
        <v>21</v>
      </c>
      <c r="F2670" t="s">
        <v>22</v>
      </c>
      <c r="G2670" t="s">
        <v>64</v>
      </c>
      <c r="H2670" t="s">
        <v>218</v>
      </c>
      <c r="I2670" t="s">
        <v>5352</v>
      </c>
      <c r="J2670">
        <v>10.22343834</v>
      </c>
      <c r="K2670">
        <v>-83.783021939999998</v>
      </c>
      <c r="L2670" t="s">
        <v>1225</v>
      </c>
      <c r="M2670" t="s">
        <v>189</v>
      </c>
      <c r="N2670" t="s">
        <v>211</v>
      </c>
      <c r="O2670" t="s">
        <v>212</v>
      </c>
      <c r="P2670">
        <v>5</v>
      </c>
      <c r="Q2670" t="s">
        <v>117</v>
      </c>
      <c r="S2670" t="str">
        <f>_xlfn.XLOOKUP(UNIVERSO[[#This Row],[Ruta]],'[1]CUOTA RUTA'!A:A,'[1]CUOTA RUTA'!D:D)</f>
        <v>Cargar</v>
      </c>
    </row>
    <row r="2671" spans="1:19" x14ac:dyDescent="0.25">
      <c r="A2671">
        <v>1540012564</v>
      </c>
      <c r="B2671" t="s">
        <v>5353</v>
      </c>
      <c r="C2671" t="s">
        <v>19</v>
      </c>
      <c r="D2671" t="s">
        <v>32</v>
      </c>
      <c r="E2671" t="s">
        <v>21</v>
      </c>
      <c r="F2671" t="s">
        <v>22</v>
      </c>
      <c r="G2671" t="s">
        <v>23</v>
      </c>
      <c r="H2671" t="s">
        <v>134</v>
      </c>
      <c r="I2671" t="s">
        <v>5354</v>
      </c>
      <c r="J2671">
        <v>9.9805650000000004</v>
      </c>
      <c r="K2671">
        <v>-84.093681700000005</v>
      </c>
      <c r="L2671" t="s">
        <v>1225</v>
      </c>
      <c r="M2671" t="s">
        <v>94</v>
      </c>
      <c r="N2671" t="s">
        <v>95</v>
      </c>
      <c r="O2671" t="s">
        <v>96</v>
      </c>
      <c r="P2671">
        <v>10</v>
      </c>
      <c r="Q2671" t="s">
        <v>136</v>
      </c>
      <c r="S2671" t="str">
        <f>_xlfn.XLOOKUP(UNIVERSO[[#This Row],[Ruta]],'[1]CUOTA RUTA'!A:A,'[1]CUOTA RUTA'!D:D)</f>
        <v>Cargar</v>
      </c>
    </row>
    <row r="2672" spans="1:19" x14ac:dyDescent="0.25">
      <c r="A2672">
        <v>1540012590</v>
      </c>
      <c r="B2672" t="s">
        <v>5355</v>
      </c>
      <c r="C2672" t="s">
        <v>19</v>
      </c>
      <c r="D2672" t="s">
        <v>569</v>
      </c>
      <c r="E2672" t="s">
        <v>21</v>
      </c>
      <c r="F2672" t="s">
        <v>22</v>
      </c>
      <c r="G2672" t="s">
        <v>33</v>
      </c>
      <c r="H2672" t="s">
        <v>2023</v>
      </c>
      <c r="I2672" t="s">
        <v>5356</v>
      </c>
      <c r="J2672">
        <v>8.9649747000000009</v>
      </c>
      <c r="K2672">
        <v>-83.525667499999997</v>
      </c>
      <c r="L2672" t="s">
        <v>1225</v>
      </c>
      <c r="M2672" t="s">
        <v>572</v>
      </c>
      <c r="N2672" t="s">
        <v>573</v>
      </c>
      <c r="O2672" t="s">
        <v>574</v>
      </c>
      <c r="P2672">
        <v>22</v>
      </c>
      <c r="Q2672" t="s">
        <v>30</v>
      </c>
      <c r="S2672" t="str">
        <f>_xlfn.XLOOKUP(UNIVERSO[[#This Row],[Ruta]],'[1]CUOTA RUTA'!A:A,'[1]CUOTA RUTA'!D:D)</f>
        <v>Cargar</v>
      </c>
    </row>
    <row r="2673" spans="1:19" x14ac:dyDescent="0.25">
      <c r="A2673">
        <v>1540012630</v>
      </c>
      <c r="B2673" t="s">
        <v>3478</v>
      </c>
      <c r="C2673" t="s">
        <v>19</v>
      </c>
      <c r="D2673" t="s">
        <v>266</v>
      </c>
      <c r="E2673" t="s">
        <v>21</v>
      </c>
      <c r="F2673" t="s">
        <v>22</v>
      </c>
      <c r="G2673" t="s">
        <v>64</v>
      </c>
      <c r="H2673" t="s">
        <v>321</v>
      </c>
      <c r="I2673" t="s">
        <v>5357</v>
      </c>
      <c r="J2673">
        <v>9.7696079000000005</v>
      </c>
      <c r="K2673">
        <v>-84.007723299999995</v>
      </c>
      <c r="L2673" t="s">
        <v>1225</v>
      </c>
      <c r="M2673" t="s">
        <v>54</v>
      </c>
      <c r="N2673" t="s">
        <v>274</v>
      </c>
      <c r="O2673" t="s">
        <v>275</v>
      </c>
      <c r="P2673">
        <v>23</v>
      </c>
      <c r="Q2673" t="s">
        <v>125</v>
      </c>
      <c r="S2673" t="str">
        <f>_xlfn.XLOOKUP(UNIVERSO[[#This Row],[Ruta]],'[1]CUOTA RUTA'!A:A,'[1]CUOTA RUTA'!D:D)</f>
        <v>Cargar</v>
      </c>
    </row>
    <row r="2674" spans="1:19" x14ac:dyDescent="0.25">
      <c r="A2674">
        <v>1540012638</v>
      </c>
      <c r="B2674" t="s">
        <v>5358</v>
      </c>
      <c r="C2674" t="s">
        <v>19</v>
      </c>
      <c r="D2674" t="s">
        <v>244</v>
      </c>
      <c r="E2674" t="s">
        <v>21</v>
      </c>
      <c r="F2674" t="s">
        <v>22</v>
      </c>
      <c r="G2674" t="s">
        <v>33</v>
      </c>
      <c r="H2674" t="s">
        <v>767</v>
      </c>
      <c r="I2674" t="s">
        <v>5359</v>
      </c>
      <c r="J2674">
        <v>9.4200555000000001</v>
      </c>
      <c r="K2674">
        <v>-83.659260599999996</v>
      </c>
      <c r="L2674" t="s">
        <v>1225</v>
      </c>
      <c r="M2674" t="s">
        <v>46</v>
      </c>
      <c r="N2674" t="s">
        <v>247</v>
      </c>
      <c r="O2674" t="s">
        <v>248</v>
      </c>
      <c r="P2674">
        <v>18</v>
      </c>
      <c r="Q2674" t="s">
        <v>84</v>
      </c>
      <c r="S2674" t="str">
        <f>_xlfn.XLOOKUP(UNIVERSO[[#This Row],[Ruta]],'[1]CUOTA RUTA'!A:A,'[1]CUOTA RUTA'!D:D)</f>
        <v>Cargar</v>
      </c>
    </row>
    <row r="2675" spans="1:19" x14ac:dyDescent="0.25">
      <c r="A2675">
        <v>1540012644</v>
      </c>
      <c r="B2675" t="s">
        <v>5360</v>
      </c>
      <c r="C2675" t="s">
        <v>19</v>
      </c>
      <c r="D2675" t="s">
        <v>349</v>
      </c>
      <c r="E2675" t="s">
        <v>21</v>
      </c>
      <c r="F2675" t="s">
        <v>22</v>
      </c>
      <c r="G2675" t="s">
        <v>33</v>
      </c>
      <c r="H2675" t="s">
        <v>350</v>
      </c>
      <c r="I2675" t="s">
        <v>5361</v>
      </c>
      <c r="J2675">
        <v>10.258217370000001</v>
      </c>
      <c r="K2675">
        <v>-85.578703849999997</v>
      </c>
      <c r="L2675" t="s">
        <v>1225</v>
      </c>
      <c r="M2675" t="s">
        <v>352</v>
      </c>
      <c r="N2675" t="s">
        <v>353</v>
      </c>
      <c r="O2675" t="s">
        <v>354</v>
      </c>
      <c r="P2675">
        <v>2</v>
      </c>
      <c r="Q2675" t="s">
        <v>150</v>
      </c>
      <c r="S2675" t="str">
        <f>_xlfn.XLOOKUP(UNIVERSO[[#This Row],[Ruta]],'[1]CUOTA RUTA'!A:A,'[1]CUOTA RUTA'!D:D)</f>
        <v>Cargar</v>
      </c>
    </row>
    <row r="2676" spans="1:19" x14ac:dyDescent="0.25">
      <c r="A2676">
        <v>1540012676</v>
      </c>
      <c r="B2676" t="s">
        <v>5362</v>
      </c>
      <c r="C2676" t="s">
        <v>19</v>
      </c>
      <c r="D2676" t="s">
        <v>337</v>
      </c>
      <c r="E2676" t="s">
        <v>21</v>
      </c>
      <c r="F2676" t="s">
        <v>51</v>
      </c>
      <c r="G2676" t="s">
        <v>23</v>
      </c>
      <c r="H2676" t="s">
        <v>451</v>
      </c>
      <c r="I2676" t="s">
        <v>5363</v>
      </c>
      <c r="J2676">
        <v>10.64155261</v>
      </c>
      <c r="K2676">
        <v>-85.446723359999993</v>
      </c>
      <c r="L2676" t="s">
        <v>1225</v>
      </c>
      <c r="M2676" t="s">
        <v>327</v>
      </c>
      <c r="N2676" t="s">
        <v>340</v>
      </c>
      <c r="O2676" t="s">
        <v>341</v>
      </c>
      <c r="P2676">
        <v>13</v>
      </c>
      <c r="Q2676" t="s">
        <v>161</v>
      </c>
      <c r="S2676" t="str">
        <f>_xlfn.XLOOKUP(UNIVERSO[[#This Row],[Ruta]],'[1]CUOTA RUTA'!A:A,'[1]CUOTA RUTA'!D:D)</f>
        <v>Cargar</v>
      </c>
    </row>
    <row r="2677" spans="1:19" x14ac:dyDescent="0.25">
      <c r="A2677">
        <v>1540012696</v>
      </c>
      <c r="B2677" t="s">
        <v>5364</v>
      </c>
      <c r="C2677" t="s">
        <v>19</v>
      </c>
      <c r="D2677" t="s">
        <v>244</v>
      </c>
      <c r="E2677" t="s">
        <v>21</v>
      </c>
      <c r="F2677" t="s">
        <v>22</v>
      </c>
      <c r="G2677" t="s">
        <v>33</v>
      </c>
      <c r="H2677" t="s">
        <v>857</v>
      </c>
      <c r="I2677" t="s">
        <v>5365</v>
      </c>
      <c r="J2677">
        <v>9.4012270000000004</v>
      </c>
      <c r="K2677">
        <v>-83.703089000000006</v>
      </c>
      <c r="L2677" t="s">
        <v>1225</v>
      </c>
      <c r="M2677" t="s">
        <v>46</v>
      </c>
      <c r="N2677" t="s">
        <v>247</v>
      </c>
      <c r="O2677" t="s">
        <v>248</v>
      </c>
      <c r="P2677">
        <v>17</v>
      </c>
      <c r="Q2677" t="s">
        <v>287</v>
      </c>
      <c r="S2677" t="str">
        <f>_xlfn.XLOOKUP(UNIVERSO[[#This Row],[Ruta]],'[1]CUOTA RUTA'!A:A,'[1]CUOTA RUTA'!D:D)</f>
        <v>Cargar</v>
      </c>
    </row>
    <row r="2678" spans="1:19" x14ac:dyDescent="0.25">
      <c r="A2678">
        <v>1540012721</v>
      </c>
      <c r="B2678" t="s">
        <v>5366</v>
      </c>
      <c r="C2678" t="s">
        <v>19</v>
      </c>
      <c r="D2678" t="s">
        <v>32</v>
      </c>
      <c r="E2678" t="s">
        <v>21</v>
      </c>
      <c r="F2678" t="s">
        <v>22</v>
      </c>
      <c r="G2678" t="s">
        <v>33</v>
      </c>
      <c r="H2678" t="s">
        <v>112</v>
      </c>
      <c r="I2678" t="s">
        <v>5367</v>
      </c>
      <c r="J2678">
        <v>9.9545700000000004</v>
      </c>
      <c r="K2678">
        <v>-84.103433999999993</v>
      </c>
      <c r="L2678" t="s">
        <v>1225</v>
      </c>
      <c r="M2678" t="s">
        <v>94</v>
      </c>
      <c r="N2678" t="s">
        <v>95</v>
      </c>
      <c r="O2678" t="s">
        <v>96</v>
      </c>
      <c r="P2678">
        <v>12</v>
      </c>
      <c r="Q2678" t="s">
        <v>42</v>
      </c>
      <c r="S2678" t="str">
        <f>_xlfn.XLOOKUP(UNIVERSO[[#This Row],[Ruta]],'[1]CUOTA RUTA'!A:A,'[1]CUOTA RUTA'!D:D)</f>
        <v>Cargar</v>
      </c>
    </row>
    <row r="2679" spans="1:19" x14ac:dyDescent="0.25">
      <c r="A2679">
        <v>1540012724</v>
      </c>
      <c r="B2679" t="s">
        <v>5368</v>
      </c>
      <c r="C2679" t="s">
        <v>19</v>
      </c>
      <c r="D2679" t="s">
        <v>32</v>
      </c>
      <c r="E2679" t="s">
        <v>21</v>
      </c>
      <c r="F2679" t="s">
        <v>22</v>
      </c>
      <c r="G2679" t="s">
        <v>33</v>
      </c>
      <c r="H2679" t="s">
        <v>106</v>
      </c>
      <c r="I2679" t="s">
        <v>5369</v>
      </c>
      <c r="J2679">
        <v>9.9162320000000008</v>
      </c>
      <c r="K2679">
        <v>-84.108108999999999</v>
      </c>
      <c r="L2679" t="s">
        <v>1225</v>
      </c>
      <c r="M2679" t="s">
        <v>71</v>
      </c>
      <c r="N2679" t="s">
        <v>72</v>
      </c>
      <c r="O2679" t="s">
        <v>73</v>
      </c>
      <c r="P2679">
        <v>10</v>
      </c>
      <c r="Q2679" t="s">
        <v>136</v>
      </c>
      <c r="S2679" t="str">
        <f>_xlfn.XLOOKUP(UNIVERSO[[#This Row],[Ruta]],'[1]CUOTA RUTA'!A:A,'[1]CUOTA RUTA'!D:D)</f>
        <v>Cargar</v>
      </c>
    </row>
    <row r="2680" spans="1:19" x14ac:dyDescent="0.25">
      <c r="A2680">
        <v>1540012728</v>
      </c>
      <c r="B2680" t="s">
        <v>5370</v>
      </c>
      <c r="C2680" t="s">
        <v>19</v>
      </c>
      <c r="D2680" t="s">
        <v>32</v>
      </c>
      <c r="E2680" t="s">
        <v>21</v>
      </c>
      <c r="F2680" t="s">
        <v>22</v>
      </c>
      <c r="G2680" t="s">
        <v>64</v>
      </c>
      <c r="H2680" t="s">
        <v>1113</v>
      </c>
      <c r="I2680" t="s">
        <v>5371</v>
      </c>
      <c r="J2680">
        <v>9.9408480000000008</v>
      </c>
      <c r="K2680">
        <v>-84.033877000000004</v>
      </c>
      <c r="L2680" t="s">
        <v>1225</v>
      </c>
      <c r="M2680" t="s">
        <v>36</v>
      </c>
      <c r="N2680" t="s">
        <v>37</v>
      </c>
      <c r="O2680" t="s">
        <v>38</v>
      </c>
      <c r="P2680">
        <v>8</v>
      </c>
      <c r="Q2680" t="s">
        <v>97</v>
      </c>
      <c r="S2680" t="str">
        <f>_xlfn.XLOOKUP(UNIVERSO[[#This Row],[Ruta]],'[1]CUOTA RUTA'!A:A,'[1]CUOTA RUTA'!D:D)</f>
        <v>Cargar</v>
      </c>
    </row>
    <row r="2681" spans="1:19" x14ac:dyDescent="0.25">
      <c r="A2681">
        <v>1540012747</v>
      </c>
      <c r="B2681" t="s">
        <v>5372</v>
      </c>
      <c r="C2681" t="s">
        <v>19</v>
      </c>
      <c r="D2681" t="s">
        <v>20</v>
      </c>
      <c r="E2681" t="s">
        <v>62</v>
      </c>
      <c r="F2681" t="s">
        <v>63</v>
      </c>
      <c r="G2681" t="s">
        <v>64</v>
      </c>
      <c r="H2681" t="s">
        <v>303</v>
      </c>
      <c r="I2681" t="s">
        <v>5373</v>
      </c>
      <c r="J2681">
        <v>9.9992699999999992</v>
      </c>
      <c r="K2681">
        <v>-84.188910000000007</v>
      </c>
      <c r="L2681" t="s">
        <v>1225</v>
      </c>
      <c r="M2681" t="s">
        <v>54</v>
      </c>
      <c r="N2681" t="s">
        <v>55</v>
      </c>
      <c r="O2681" t="s">
        <v>56</v>
      </c>
      <c r="P2681">
        <v>15</v>
      </c>
      <c r="Q2681" t="s">
        <v>231</v>
      </c>
      <c r="S2681" t="str">
        <f>_xlfn.XLOOKUP(UNIVERSO[[#This Row],[Ruta]],'[1]CUOTA RUTA'!A:A,'[1]CUOTA RUTA'!D:D)</f>
        <v>Cargar</v>
      </c>
    </row>
    <row r="2682" spans="1:19" x14ac:dyDescent="0.25">
      <c r="A2682">
        <v>1540012753</v>
      </c>
      <c r="B2682" t="s">
        <v>5374</v>
      </c>
      <c r="C2682" t="s">
        <v>19</v>
      </c>
      <c r="D2682" t="s">
        <v>201</v>
      </c>
      <c r="E2682" t="s">
        <v>21</v>
      </c>
      <c r="F2682" t="s">
        <v>22</v>
      </c>
      <c r="G2682" t="s">
        <v>33</v>
      </c>
      <c r="H2682" t="s">
        <v>202</v>
      </c>
      <c r="I2682" t="s">
        <v>5375</v>
      </c>
      <c r="J2682">
        <v>9.9830430000000003</v>
      </c>
      <c r="K2682">
        <v>-84.734179999999995</v>
      </c>
      <c r="L2682" t="s">
        <v>1225</v>
      </c>
      <c r="M2682" t="s">
        <v>204</v>
      </c>
      <c r="N2682" t="s">
        <v>205</v>
      </c>
      <c r="O2682" t="s">
        <v>206</v>
      </c>
      <c r="P2682">
        <v>9</v>
      </c>
      <c r="Q2682" t="s">
        <v>80</v>
      </c>
      <c r="S2682" t="str">
        <f>_xlfn.XLOOKUP(UNIVERSO[[#This Row],[Ruta]],'[1]CUOTA RUTA'!A:A,'[1]CUOTA RUTA'!D:D)</f>
        <v>Cargar</v>
      </c>
    </row>
    <row r="2683" spans="1:19" x14ac:dyDescent="0.25">
      <c r="A2683">
        <v>1540012786</v>
      </c>
      <c r="B2683" t="s">
        <v>5376</v>
      </c>
      <c r="C2683" t="s">
        <v>19</v>
      </c>
      <c r="D2683" t="s">
        <v>201</v>
      </c>
      <c r="E2683" t="s">
        <v>21</v>
      </c>
      <c r="F2683" t="s">
        <v>51</v>
      </c>
      <c r="G2683" t="s">
        <v>23</v>
      </c>
      <c r="H2683" t="s">
        <v>794</v>
      </c>
      <c r="I2683" t="s">
        <v>5377</v>
      </c>
      <c r="J2683">
        <v>9.6187342000000005</v>
      </c>
      <c r="K2683">
        <v>-84.632941799999998</v>
      </c>
      <c r="L2683" t="s">
        <v>1225</v>
      </c>
      <c r="M2683" t="s">
        <v>204</v>
      </c>
      <c r="N2683" t="s">
        <v>205</v>
      </c>
      <c r="O2683" t="s">
        <v>206</v>
      </c>
      <c r="P2683">
        <v>5</v>
      </c>
      <c r="Q2683" t="s">
        <v>117</v>
      </c>
      <c r="S2683" t="str">
        <f>_xlfn.XLOOKUP(UNIVERSO[[#This Row],[Ruta]],'[1]CUOTA RUTA'!A:A,'[1]CUOTA RUTA'!D:D)</f>
        <v>Cargar</v>
      </c>
    </row>
    <row r="2684" spans="1:19" x14ac:dyDescent="0.25">
      <c r="A2684">
        <v>1540012792</v>
      </c>
      <c r="B2684" t="s">
        <v>5378</v>
      </c>
      <c r="C2684" t="s">
        <v>19</v>
      </c>
      <c r="D2684" t="s">
        <v>266</v>
      </c>
      <c r="E2684" t="s">
        <v>21</v>
      </c>
      <c r="F2684" t="s">
        <v>22</v>
      </c>
      <c r="G2684" t="s">
        <v>33</v>
      </c>
      <c r="H2684" t="s">
        <v>314</v>
      </c>
      <c r="I2684" t="s">
        <v>5379</v>
      </c>
      <c r="J2684">
        <v>9.8793206999999992</v>
      </c>
      <c r="K2684">
        <v>-83.926719000000006</v>
      </c>
      <c r="L2684" t="s">
        <v>1225</v>
      </c>
      <c r="M2684" t="s">
        <v>36</v>
      </c>
      <c r="N2684" t="s">
        <v>316</v>
      </c>
      <c r="O2684" t="s">
        <v>317</v>
      </c>
      <c r="P2684">
        <v>21</v>
      </c>
      <c r="Q2684" t="s">
        <v>239</v>
      </c>
      <c r="S2684" t="str">
        <f>_xlfn.XLOOKUP(UNIVERSO[[#This Row],[Ruta]],'[1]CUOTA RUTA'!A:A,'[1]CUOTA RUTA'!D:D)</f>
        <v>Cargar</v>
      </c>
    </row>
    <row r="2685" spans="1:19" x14ac:dyDescent="0.25">
      <c r="A2685">
        <v>1540012798</v>
      </c>
      <c r="B2685" t="s">
        <v>5380</v>
      </c>
      <c r="C2685" t="s">
        <v>19</v>
      </c>
      <c r="D2685" t="s">
        <v>266</v>
      </c>
      <c r="E2685" t="s">
        <v>21</v>
      </c>
      <c r="F2685" t="s">
        <v>22</v>
      </c>
      <c r="G2685" t="s">
        <v>64</v>
      </c>
      <c r="H2685" t="s">
        <v>407</v>
      </c>
      <c r="I2685" t="s">
        <v>5381</v>
      </c>
      <c r="J2685">
        <v>9.6713299999999993</v>
      </c>
      <c r="K2685">
        <v>-83.904669999999996</v>
      </c>
      <c r="L2685" t="s">
        <v>1225</v>
      </c>
      <c r="M2685" t="s">
        <v>409</v>
      </c>
      <c r="N2685" t="s">
        <v>410</v>
      </c>
      <c r="O2685" t="s">
        <v>411</v>
      </c>
      <c r="P2685">
        <v>23</v>
      </c>
      <c r="Q2685" t="s">
        <v>125</v>
      </c>
      <c r="S2685" t="str">
        <f>_xlfn.XLOOKUP(UNIVERSO[[#This Row],[Ruta]],'[1]CUOTA RUTA'!A:A,'[1]CUOTA RUTA'!D:D)</f>
        <v>Cargar</v>
      </c>
    </row>
    <row r="2686" spans="1:19" x14ac:dyDescent="0.25">
      <c r="A2686">
        <v>1540012812</v>
      </c>
      <c r="B2686" t="s">
        <v>5382</v>
      </c>
      <c r="C2686" t="s">
        <v>19</v>
      </c>
      <c r="D2686" t="s">
        <v>32</v>
      </c>
      <c r="E2686" t="s">
        <v>21</v>
      </c>
      <c r="F2686" t="s">
        <v>22</v>
      </c>
      <c r="G2686" t="s">
        <v>64</v>
      </c>
      <c r="H2686" t="s">
        <v>625</v>
      </c>
      <c r="I2686" t="s">
        <v>5383</v>
      </c>
      <c r="J2686">
        <v>9.9794400000000003</v>
      </c>
      <c r="K2686">
        <v>-84.072130000000001</v>
      </c>
      <c r="L2686" t="s">
        <v>1225</v>
      </c>
      <c r="M2686" t="s">
        <v>94</v>
      </c>
      <c r="N2686" t="s">
        <v>95</v>
      </c>
      <c r="O2686" t="s">
        <v>96</v>
      </c>
      <c r="P2686">
        <v>10</v>
      </c>
      <c r="Q2686" t="s">
        <v>136</v>
      </c>
      <c r="S2686" t="str">
        <f>_xlfn.XLOOKUP(UNIVERSO[[#This Row],[Ruta]],'[1]CUOTA RUTA'!A:A,'[1]CUOTA RUTA'!D:D)</f>
        <v>Cargar</v>
      </c>
    </row>
    <row r="2687" spans="1:19" x14ac:dyDescent="0.25">
      <c r="A2687">
        <v>1540012862</v>
      </c>
      <c r="B2687" t="s">
        <v>5384</v>
      </c>
      <c r="C2687" t="s">
        <v>19</v>
      </c>
      <c r="D2687" t="s">
        <v>32</v>
      </c>
      <c r="E2687" t="s">
        <v>21</v>
      </c>
      <c r="F2687" t="s">
        <v>22</v>
      </c>
      <c r="G2687" t="s">
        <v>33</v>
      </c>
      <c r="H2687" t="s">
        <v>716</v>
      </c>
      <c r="I2687" t="s">
        <v>5385</v>
      </c>
      <c r="J2687">
        <v>9.9086750000000006</v>
      </c>
      <c r="K2687">
        <v>-84.064449999999994</v>
      </c>
      <c r="L2687" t="s">
        <v>1225</v>
      </c>
      <c r="M2687" t="s">
        <v>36</v>
      </c>
      <c r="N2687" t="s">
        <v>37</v>
      </c>
      <c r="O2687" t="s">
        <v>38</v>
      </c>
      <c r="P2687">
        <v>12</v>
      </c>
      <c r="Q2687" t="s">
        <v>42</v>
      </c>
      <c r="S2687" t="str">
        <f>_xlfn.XLOOKUP(UNIVERSO[[#This Row],[Ruta]],'[1]CUOTA RUTA'!A:A,'[1]CUOTA RUTA'!D:D)</f>
        <v>Cargar</v>
      </c>
    </row>
    <row r="2688" spans="1:19" x14ac:dyDescent="0.25">
      <c r="A2688">
        <v>1540012907</v>
      </c>
      <c r="B2688" t="s">
        <v>5386</v>
      </c>
      <c r="C2688" t="s">
        <v>19</v>
      </c>
      <c r="D2688" t="s">
        <v>32</v>
      </c>
      <c r="E2688" t="s">
        <v>21</v>
      </c>
      <c r="F2688" t="s">
        <v>22</v>
      </c>
      <c r="G2688" t="s">
        <v>33</v>
      </c>
      <c r="H2688" t="s">
        <v>148</v>
      </c>
      <c r="I2688" t="s">
        <v>5387</v>
      </c>
      <c r="J2688">
        <v>10.005908333333</v>
      </c>
      <c r="K2688">
        <v>-84.016388333329999</v>
      </c>
      <c r="L2688" t="s">
        <v>1225</v>
      </c>
      <c r="M2688" t="s">
        <v>94</v>
      </c>
      <c r="N2688" t="s">
        <v>95</v>
      </c>
      <c r="O2688" t="s">
        <v>96</v>
      </c>
      <c r="P2688">
        <v>5</v>
      </c>
      <c r="Q2688" t="s">
        <v>117</v>
      </c>
      <c r="S2688" t="str">
        <f>_xlfn.XLOOKUP(UNIVERSO[[#This Row],[Ruta]],'[1]CUOTA RUTA'!A:A,'[1]CUOTA RUTA'!D:D)</f>
        <v>Cargar</v>
      </c>
    </row>
    <row r="2689" spans="1:19" x14ac:dyDescent="0.25">
      <c r="A2689">
        <v>1540012919</v>
      </c>
      <c r="B2689" t="s">
        <v>5388</v>
      </c>
      <c r="C2689" t="s">
        <v>19</v>
      </c>
      <c r="D2689" t="s">
        <v>324</v>
      </c>
      <c r="E2689" t="s">
        <v>21</v>
      </c>
      <c r="F2689" t="s">
        <v>22</v>
      </c>
      <c r="G2689" t="s">
        <v>64</v>
      </c>
      <c r="H2689" t="s">
        <v>331</v>
      </c>
      <c r="I2689" t="s">
        <v>5389</v>
      </c>
      <c r="J2689">
        <v>10.405150000000001</v>
      </c>
      <c r="K2689">
        <v>-84.218986999999998</v>
      </c>
      <c r="L2689" t="s">
        <v>1225</v>
      </c>
      <c r="M2689" t="s">
        <v>327</v>
      </c>
      <c r="N2689" t="s">
        <v>328</v>
      </c>
      <c r="O2689" t="s">
        <v>329</v>
      </c>
      <c r="P2689">
        <v>17</v>
      </c>
      <c r="Q2689" t="s">
        <v>287</v>
      </c>
      <c r="S2689" t="str">
        <f>_xlfn.XLOOKUP(UNIVERSO[[#This Row],[Ruta]],'[1]CUOTA RUTA'!A:A,'[1]CUOTA RUTA'!D:D)</f>
        <v>Cargar</v>
      </c>
    </row>
    <row r="2690" spans="1:19" x14ac:dyDescent="0.25">
      <c r="A2690">
        <v>1540012952</v>
      </c>
      <c r="B2690" t="s">
        <v>5390</v>
      </c>
      <c r="C2690" t="s">
        <v>19</v>
      </c>
      <c r="D2690" t="s">
        <v>337</v>
      </c>
      <c r="E2690" t="s">
        <v>21</v>
      </c>
      <c r="F2690" t="s">
        <v>51</v>
      </c>
      <c r="G2690" t="s">
        <v>23</v>
      </c>
      <c r="H2690" t="s">
        <v>576</v>
      </c>
      <c r="I2690" t="s">
        <v>5391</v>
      </c>
      <c r="J2690">
        <v>10.520497000000001</v>
      </c>
      <c r="K2690">
        <v>-85.254570000000001</v>
      </c>
      <c r="L2690" t="s">
        <v>1225</v>
      </c>
      <c r="M2690" t="s">
        <v>327</v>
      </c>
      <c r="N2690" t="s">
        <v>340</v>
      </c>
      <c r="O2690" t="s">
        <v>341</v>
      </c>
      <c r="P2690">
        <v>20</v>
      </c>
      <c r="Q2690" t="s">
        <v>74</v>
      </c>
      <c r="S2690" t="str">
        <f>_xlfn.XLOOKUP(UNIVERSO[[#This Row],[Ruta]],'[1]CUOTA RUTA'!A:A,'[1]CUOTA RUTA'!D:D)</f>
        <v>Cargar</v>
      </c>
    </row>
    <row r="2691" spans="1:19" x14ac:dyDescent="0.25">
      <c r="A2691">
        <v>1540013014</v>
      </c>
      <c r="B2691" t="s">
        <v>5392</v>
      </c>
      <c r="C2691" t="s">
        <v>19</v>
      </c>
      <c r="D2691" t="s">
        <v>349</v>
      </c>
      <c r="E2691" t="s">
        <v>21</v>
      </c>
      <c r="F2691" t="s">
        <v>22</v>
      </c>
      <c r="G2691" t="s">
        <v>23</v>
      </c>
      <c r="H2691" t="s">
        <v>359</v>
      </c>
      <c r="I2691" t="s">
        <v>5165</v>
      </c>
      <c r="J2691">
        <v>9.9952480000000001</v>
      </c>
      <c r="K2691">
        <v>-85.253630000000001</v>
      </c>
      <c r="L2691" t="s">
        <v>1225</v>
      </c>
      <c r="M2691" t="s">
        <v>352</v>
      </c>
      <c r="N2691" t="s">
        <v>353</v>
      </c>
      <c r="O2691" t="s">
        <v>354</v>
      </c>
      <c r="P2691">
        <v>15</v>
      </c>
      <c r="Q2691" t="s">
        <v>231</v>
      </c>
      <c r="S2691" t="str">
        <f>_xlfn.XLOOKUP(UNIVERSO[[#This Row],[Ruta]],'[1]CUOTA RUTA'!A:A,'[1]CUOTA RUTA'!D:D)</f>
        <v>Cargar</v>
      </c>
    </row>
    <row r="2692" spans="1:19" x14ac:dyDescent="0.25">
      <c r="A2692">
        <v>1540013020</v>
      </c>
      <c r="B2692" t="s">
        <v>5393</v>
      </c>
      <c r="C2692" t="s">
        <v>19</v>
      </c>
      <c r="D2692" t="s">
        <v>349</v>
      </c>
      <c r="E2692" t="s">
        <v>21</v>
      </c>
      <c r="F2692" t="s">
        <v>22</v>
      </c>
      <c r="G2692" t="s">
        <v>33</v>
      </c>
      <c r="H2692" t="s">
        <v>356</v>
      </c>
      <c r="I2692" t="s">
        <v>5394</v>
      </c>
      <c r="J2692">
        <v>10.15671712</v>
      </c>
      <c r="K2692">
        <v>-85.454564700000006</v>
      </c>
      <c r="L2692" t="s">
        <v>1225</v>
      </c>
      <c r="M2692" t="s">
        <v>352</v>
      </c>
      <c r="N2692" t="s">
        <v>353</v>
      </c>
      <c r="O2692" t="s">
        <v>354</v>
      </c>
      <c r="P2692">
        <v>13</v>
      </c>
      <c r="Q2692" t="s">
        <v>161</v>
      </c>
      <c r="S2692" t="str">
        <f>_xlfn.XLOOKUP(UNIVERSO[[#This Row],[Ruta]],'[1]CUOTA RUTA'!A:A,'[1]CUOTA RUTA'!D:D)</f>
        <v>Cargar</v>
      </c>
    </row>
    <row r="2693" spans="1:19" x14ac:dyDescent="0.25">
      <c r="A2693">
        <v>1540013031</v>
      </c>
      <c r="B2693" t="s">
        <v>5395</v>
      </c>
      <c r="C2693" t="s">
        <v>19</v>
      </c>
      <c r="D2693" t="s">
        <v>349</v>
      </c>
      <c r="E2693" t="s">
        <v>21</v>
      </c>
      <c r="F2693" t="s">
        <v>22</v>
      </c>
      <c r="G2693" t="s">
        <v>33</v>
      </c>
      <c r="H2693" t="s">
        <v>350</v>
      </c>
      <c r="I2693" t="s">
        <v>5396</v>
      </c>
      <c r="J2693">
        <v>10.307213000000001</v>
      </c>
      <c r="K2693">
        <v>-85.807013999999995</v>
      </c>
      <c r="L2693" t="s">
        <v>1225</v>
      </c>
      <c r="M2693" t="s">
        <v>352</v>
      </c>
      <c r="N2693" t="s">
        <v>353</v>
      </c>
      <c r="O2693" t="s">
        <v>354</v>
      </c>
      <c r="P2693">
        <v>5</v>
      </c>
      <c r="Q2693" t="s">
        <v>117</v>
      </c>
      <c r="S2693" t="str">
        <f>_xlfn.XLOOKUP(UNIVERSO[[#This Row],[Ruta]],'[1]CUOTA RUTA'!A:A,'[1]CUOTA RUTA'!D:D)</f>
        <v>Cargar</v>
      </c>
    </row>
    <row r="2694" spans="1:19" x14ac:dyDescent="0.25">
      <c r="A2694">
        <v>1540013047</v>
      </c>
      <c r="B2694" t="s">
        <v>5397</v>
      </c>
      <c r="C2694" t="s">
        <v>19</v>
      </c>
      <c r="D2694" t="s">
        <v>20</v>
      </c>
      <c r="E2694" t="s">
        <v>21</v>
      </c>
      <c r="F2694" t="s">
        <v>22</v>
      </c>
      <c r="G2694" t="s">
        <v>23</v>
      </c>
      <c r="H2694" t="s">
        <v>311</v>
      </c>
      <c r="I2694" t="s">
        <v>5398</v>
      </c>
      <c r="J2694">
        <v>9.9583054000000004</v>
      </c>
      <c r="K2694">
        <v>-84.2230299</v>
      </c>
      <c r="L2694" t="s">
        <v>1225</v>
      </c>
      <c r="M2694" t="s">
        <v>54</v>
      </c>
      <c r="N2694" t="s">
        <v>55</v>
      </c>
      <c r="O2694" t="s">
        <v>56</v>
      </c>
      <c r="P2694">
        <v>9</v>
      </c>
      <c r="Q2694" t="s">
        <v>80</v>
      </c>
      <c r="S2694" t="str">
        <f>_xlfn.XLOOKUP(UNIVERSO[[#This Row],[Ruta]],'[1]CUOTA RUTA'!A:A,'[1]CUOTA RUTA'!D:D)</f>
        <v>Cargar</v>
      </c>
    </row>
    <row r="2695" spans="1:19" x14ac:dyDescent="0.25">
      <c r="A2695">
        <v>1540013048</v>
      </c>
      <c r="B2695" t="s">
        <v>5399</v>
      </c>
      <c r="C2695" t="s">
        <v>19</v>
      </c>
      <c r="D2695" t="s">
        <v>20</v>
      </c>
      <c r="E2695" t="s">
        <v>21</v>
      </c>
      <c r="F2695" t="s">
        <v>22</v>
      </c>
      <c r="G2695" t="s">
        <v>33</v>
      </c>
      <c r="H2695" t="s">
        <v>52</v>
      </c>
      <c r="I2695" t="s">
        <v>5400</v>
      </c>
      <c r="J2695">
        <v>9.9135384999999996</v>
      </c>
      <c r="K2695">
        <v>-84.148383899999999</v>
      </c>
      <c r="L2695" t="s">
        <v>1225</v>
      </c>
      <c r="M2695" t="s">
        <v>54</v>
      </c>
      <c r="N2695" t="s">
        <v>55</v>
      </c>
      <c r="O2695" t="s">
        <v>56</v>
      </c>
      <c r="P2695">
        <v>12</v>
      </c>
      <c r="Q2695" t="s">
        <v>42</v>
      </c>
      <c r="S2695" t="str">
        <f>_xlfn.XLOOKUP(UNIVERSO[[#This Row],[Ruta]],'[1]CUOTA RUTA'!A:A,'[1]CUOTA RUTA'!D:D)</f>
        <v>Cargar</v>
      </c>
    </row>
    <row r="2696" spans="1:19" x14ac:dyDescent="0.25">
      <c r="A2696">
        <v>1540013050</v>
      </c>
      <c r="B2696" t="s">
        <v>5401</v>
      </c>
      <c r="C2696" t="s">
        <v>19</v>
      </c>
      <c r="D2696" t="s">
        <v>20</v>
      </c>
      <c r="E2696" t="s">
        <v>21</v>
      </c>
      <c r="F2696" t="s">
        <v>22</v>
      </c>
      <c r="G2696" t="s">
        <v>23</v>
      </c>
      <c r="H2696" t="s">
        <v>308</v>
      </c>
      <c r="I2696" t="s">
        <v>5402</v>
      </c>
      <c r="J2696">
        <v>9.8464089999999995</v>
      </c>
      <c r="K2696">
        <v>-84.316648000000001</v>
      </c>
      <c r="L2696" t="s">
        <v>1225</v>
      </c>
      <c r="M2696" t="s">
        <v>54</v>
      </c>
      <c r="N2696" t="s">
        <v>55</v>
      </c>
      <c r="O2696" t="s">
        <v>56</v>
      </c>
      <c r="P2696">
        <v>22</v>
      </c>
      <c r="Q2696" t="s">
        <v>30</v>
      </c>
      <c r="S2696" t="str">
        <f>_xlfn.XLOOKUP(UNIVERSO[[#This Row],[Ruta]],'[1]CUOTA RUTA'!A:A,'[1]CUOTA RUTA'!D:D)</f>
        <v>Cargar</v>
      </c>
    </row>
    <row r="2697" spans="1:19" x14ac:dyDescent="0.25">
      <c r="A2697">
        <v>1540013056</v>
      </c>
      <c r="B2697" t="s">
        <v>5403</v>
      </c>
      <c r="C2697" t="s">
        <v>19</v>
      </c>
      <c r="D2697" t="s">
        <v>20</v>
      </c>
      <c r="E2697" t="s">
        <v>21</v>
      </c>
      <c r="F2697" t="s">
        <v>22</v>
      </c>
      <c r="G2697" t="s">
        <v>23</v>
      </c>
      <c r="H2697" t="s">
        <v>311</v>
      </c>
      <c r="I2697" t="s">
        <v>5404</v>
      </c>
      <c r="J2697">
        <v>9.9662431999999992</v>
      </c>
      <c r="K2697">
        <v>-84.232855400000005</v>
      </c>
      <c r="L2697" t="s">
        <v>1225</v>
      </c>
      <c r="M2697" t="s">
        <v>54</v>
      </c>
      <c r="N2697" t="s">
        <v>55</v>
      </c>
      <c r="O2697" t="s">
        <v>56</v>
      </c>
      <c r="P2697">
        <v>9</v>
      </c>
      <c r="Q2697" t="s">
        <v>80</v>
      </c>
      <c r="S2697" t="str">
        <f>_xlfn.XLOOKUP(UNIVERSO[[#This Row],[Ruta]],'[1]CUOTA RUTA'!A:A,'[1]CUOTA RUTA'!D:D)</f>
        <v>Cargar</v>
      </c>
    </row>
    <row r="2698" spans="1:19" x14ac:dyDescent="0.25">
      <c r="A2698">
        <v>1540013069</v>
      </c>
      <c r="B2698" t="s">
        <v>5405</v>
      </c>
      <c r="C2698" t="s">
        <v>19</v>
      </c>
      <c r="D2698" t="s">
        <v>201</v>
      </c>
      <c r="E2698" t="s">
        <v>21</v>
      </c>
      <c r="F2698" t="s">
        <v>22</v>
      </c>
      <c r="G2698" t="s">
        <v>64</v>
      </c>
      <c r="H2698" t="s">
        <v>488</v>
      </c>
      <c r="I2698" t="s">
        <v>5406</v>
      </c>
      <c r="J2698">
        <v>10.0822801</v>
      </c>
      <c r="K2698">
        <v>-84.730390200000002</v>
      </c>
      <c r="L2698" t="s">
        <v>1225</v>
      </c>
      <c r="M2698" t="s">
        <v>204</v>
      </c>
      <c r="N2698" t="s">
        <v>205</v>
      </c>
      <c r="O2698" t="s">
        <v>206</v>
      </c>
      <c r="P2698">
        <v>13</v>
      </c>
      <c r="Q2698" t="s">
        <v>161</v>
      </c>
      <c r="S2698" t="str">
        <f>_xlfn.XLOOKUP(UNIVERSO[[#This Row],[Ruta]],'[1]CUOTA RUTA'!A:A,'[1]CUOTA RUTA'!D:D)</f>
        <v>Cargar</v>
      </c>
    </row>
    <row r="2699" spans="1:19" x14ac:dyDescent="0.25">
      <c r="A2699">
        <v>1540013093</v>
      </c>
      <c r="B2699" t="s">
        <v>460</v>
      </c>
      <c r="C2699" t="s">
        <v>19</v>
      </c>
      <c r="D2699" t="s">
        <v>266</v>
      </c>
      <c r="E2699" t="s">
        <v>21</v>
      </c>
      <c r="F2699" t="s">
        <v>22</v>
      </c>
      <c r="G2699" t="s">
        <v>64</v>
      </c>
      <c r="H2699" t="s">
        <v>703</v>
      </c>
      <c r="I2699" t="s">
        <v>5407</v>
      </c>
      <c r="J2699">
        <v>9.83779</v>
      </c>
      <c r="K2699">
        <v>-83.999269999999996</v>
      </c>
      <c r="L2699" t="s">
        <v>1225</v>
      </c>
      <c r="M2699" t="s">
        <v>36</v>
      </c>
      <c r="N2699" t="s">
        <v>316</v>
      </c>
      <c r="O2699" t="s">
        <v>317</v>
      </c>
      <c r="P2699">
        <v>20</v>
      </c>
      <c r="Q2699" t="s">
        <v>74</v>
      </c>
      <c r="S2699" t="str">
        <f>_xlfn.XLOOKUP(UNIVERSO[[#This Row],[Ruta]],'[1]CUOTA RUTA'!A:A,'[1]CUOTA RUTA'!D:D)</f>
        <v>Cargar</v>
      </c>
    </row>
    <row r="2700" spans="1:19" x14ac:dyDescent="0.25">
      <c r="A2700">
        <v>1540013114</v>
      </c>
      <c r="B2700" t="s">
        <v>5408</v>
      </c>
      <c r="C2700" t="s">
        <v>19</v>
      </c>
      <c r="D2700" t="s">
        <v>266</v>
      </c>
      <c r="E2700" t="s">
        <v>21</v>
      </c>
      <c r="F2700" t="s">
        <v>22</v>
      </c>
      <c r="G2700" t="s">
        <v>33</v>
      </c>
      <c r="H2700" t="s">
        <v>366</v>
      </c>
      <c r="I2700" t="s">
        <v>5409</v>
      </c>
      <c r="J2700">
        <v>9.8427100000000003</v>
      </c>
      <c r="K2700">
        <v>-83.93222666666</v>
      </c>
      <c r="L2700" t="s">
        <v>1225</v>
      </c>
      <c r="M2700" t="s">
        <v>36</v>
      </c>
      <c r="N2700" t="s">
        <v>316</v>
      </c>
      <c r="O2700" t="s">
        <v>317</v>
      </c>
      <c r="P2700">
        <v>17</v>
      </c>
      <c r="Q2700" t="s">
        <v>287</v>
      </c>
      <c r="S2700" t="str">
        <f>_xlfn.XLOOKUP(UNIVERSO[[#This Row],[Ruta]],'[1]CUOTA RUTA'!A:A,'[1]CUOTA RUTA'!D:D)</f>
        <v>Cargar</v>
      </c>
    </row>
    <row r="2701" spans="1:19" x14ac:dyDescent="0.25">
      <c r="A2701">
        <v>1540013137</v>
      </c>
      <c r="B2701" t="s">
        <v>5410</v>
      </c>
      <c r="C2701" t="s">
        <v>19</v>
      </c>
      <c r="D2701" t="s">
        <v>32</v>
      </c>
      <c r="E2701" t="s">
        <v>21</v>
      </c>
      <c r="F2701" t="s">
        <v>51</v>
      </c>
      <c r="G2701" t="s">
        <v>23</v>
      </c>
      <c r="H2701" t="s">
        <v>138</v>
      </c>
      <c r="I2701" t="s">
        <v>5411</v>
      </c>
      <c r="J2701">
        <v>9.9821449999999992</v>
      </c>
      <c r="K2701">
        <v>-84.090613300000001</v>
      </c>
      <c r="L2701" t="s">
        <v>1225</v>
      </c>
      <c r="M2701" t="s">
        <v>36</v>
      </c>
      <c r="N2701" t="s">
        <v>37</v>
      </c>
      <c r="O2701" t="s">
        <v>38</v>
      </c>
      <c r="P2701">
        <v>1</v>
      </c>
      <c r="Q2701" t="s">
        <v>155</v>
      </c>
      <c r="S2701" t="str">
        <f>_xlfn.XLOOKUP(UNIVERSO[[#This Row],[Ruta]],'[1]CUOTA RUTA'!A:A,'[1]CUOTA RUTA'!D:D)</f>
        <v>Cargar</v>
      </c>
    </row>
    <row r="2702" spans="1:19" x14ac:dyDescent="0.25">
      <c r="A2702">
        <v>1540013186</v>
      </c>
      <c r="B2702" t="s">
        <v>5412</v>
      </c>
      <c r="C2702" t="s">
        <v>19</v>
      </c>
      <c r="D2702" t="s">
        <v>20</v>
      </c>
      <c r="E2702" t="s">
        <v>21</v>
      </c>
      <c r="F2702" t="s">
        <v>22</v>
      </c>
      <c r="G2702" t="s">
        <v>64</v>
      </c>
      <c r="H2702" t="s">
        <v>308</v>
      </c>
      <c r="I2702" t="s">
        <v>5413</v>
      </c>
      <c r="J2702">
        <v>9.8911640999999992</v>
      </c>
      <c r="K2702">
        <v>-84.358340299999995</v>
      </c>
      <c r="L2702" t="s">
        <v>1225</v>
      </c>
      <c r="M2702" t="s">
        <v>54</v>
      </c>
      <c r="N2702" t="s">
        <v>55</v>
      </c>
      <c r="O2702" t="s">
        <v>56</v>
      </c>
      <c r="P2702">
        <v>21</v>
      </c>
      <c r="Q2702" t="s">
        <v>239</v>
      </c>
      <c r="S2702" t="str">
        <f>_xlfn.XLOOKUP(UNIVERSO[[#This Row],[Ruta]],'[1]CUOTA RUTA'!A:A,'[1]CUOTA RUTA'!D:D)</f>
        <v>Cargar</v>
      </c>
    </row>
    <row r="2703" spans="1:19" x14ac:dyDescent="0.25">
      <c r="A2703">
        <v>1540013189</v>
      </c>
      <c r="B2703" t="s">
        <v>3606</v>
      </c>
      <c r="C2703" t="s">
        <v>19</v>
      </c>
      <c r="D2703" t="s">
        <v>20</v>
      </c>
      <c r="E2703" t="s">
        <v>21</v>
      </c>
      <c r="F2703" t="s">
        <v>22</v>
      </c>
      <c r="G2703" t="s">
        <v>33</v>
      </c>
      <c r="H2703" t="s">
        <v>913</v>
      </c>
      <c r="I2703" t="s">
        <v>5414</v>
      </c>
      <c r="J2703">
        <v>9.9591200000000004</v>
      </c>
      <c r="K2703">
        <v>-84.113</v>
      </c>
      <c r="L2703" t="s">
        <v>1225</v>
      </c>
      <c r="M2703" t="s">
        <v>27</v>
      </c>
      <c r="N2703" t="s">
        <v>28</v>
      </c>
      <c r="O2703" t="s">
        <v>29</v>
      </c>
      <c r="P2703">
        <v>10</v>
      </c>
      <c r="Q2703" t="s">
        <v>136</v>
      </c>
      <c r="S2703" t="str">
        <f>_xlfn.XLOOKUP(UNIVERSO[[#This Row],[Ruta]],'[1]CUOTA RUTA'!A:A,'[1]CUOTA RUTA'!D:D)</f>
        <v>Cargar</v>
      </c>
    </row>
    <row r="2704" spans="1:19" x14ac:dyDescent="0.25">
      <c r="A2704">
        <v>1540013225</v>
      </c>
      <c r="B2704" t="s">
        <v>4315</v>
      </c>
      <c r="C2704" t="s">
        <v>19</v>
      </c>
      <c r="D2704" t="s">
        <v>20</v>
      </c>
      <c r="E2704" t="s">
        <v>21</v>
      </c>
      <c r="F2704" t="s">
        <v>22</v>
      </c>
      <c r="G2704" t="s">
        <v>64</v>
      </c>
      <c r="H2704" t="s">
        <v>1128</v>
      </c>
      <c r="I2704" t="s">
        <v>5415</v>
      </c>
      <c r="J2704">
        <v>10.127841999999999</v>
      </c>
      <c r="K2704">
        <v>-84.265287000000001</v>
      </c>
      <c r="L2704" t="s">
        <v>1225</v>
      </c>
      <c r="M2704" t="s">
        <v>46</v>
      </c>
      <c r="N2704" t="s">
        <v>47</v>
      </c>
      <c r="O2704" t="s">
        <v>48</v>
      </c>
      <c r="P2704">
        <v>2</v>
      </c>
      <c r="Q2704" t="s">
        <v>150</v>
      </c>
      <c r="S2704" t="str">
        <f>_xlfn.XLOOKUP(UNIVERSO[[#This Row],[Ruta]],'[1]CUOTA RUTA'!A:A,'[1]CUOTA RUTA'!D:D)</f>
        <v>Cargar</v>
      </c>
    </row>
    <row r="2705" spans="1:19" x14ac:dyDescent="0.25">
      <c r="A2705">
        <v>1540013234</v>
      </c>
      <c r="B2705" t="s">
        <v>5416</v>
      </c>
      <c r="C2705" t="s">
        <v>19</v>
      </c>
      <c r="D2705" t="s">
        <v>20</v>
      </c>
      <c r="E2705" t="s">
        <v>21</v>
      </c>
      <c r="F2705" t="s">
        <v>22</v>
      </c>
      <c r="G2705" t="s">
        <v>33</v>
      </c>
      <c r="H2705" t="s">
        <v>263</v>
      </c>
      <c r="I2705" t="s">
        <v>5417</v>
      </c>
      <c r="J2705">
        <v>10.084201999999999</v>
      </c>
      <c r="K2705">
        <v>-84.341213999999994</v>
      </c>
      <c r="L2705" t="s">
        <v>1225</v>
      </c>
      <c r="M2705" t="s">
        <v>46</v>
      </c>
      <c r="N2705" t="s">
        <v>47</v>
      </c>
      <c r="O2705" t="s">
        <v>48</v>
      </c>
      <c r="P2705">
        <v>5</v>
      </c>
      <c r="Q2705" t="s">
        <v>117</v>
      </c>
      <c r="S2705" t="str">
        <f>_xlfn.XLOOKUP(UNIVERSO[[#This Row],[Ruta]],'[1]CUOTA RUTA'!A:A,'[1]CUOTA RUTA'!D:D)</f>
        <v>Cargar</v>
      </c>
    </row>
    <row r="2706" spans="1:19" x14ac:dyDescent="0.25">
      <c r="A2706">
        <v>1540013235</v>
      </c>
      <c r="B2706" t="s">
        <v>5418</v>
      </c>
      <c r="C2706" t="s">
        <v>19</v>
      </c>
      <c r="D2706" t="s">
        <v>20</v>
      </c>
      <c r="E2706" t="s">
        <v>21</v>
      </c>
      <c r="F2706" t="s">
        <v>22</v>
      </c>
      <c r="G2706" t="s">
        <v>23</v>
      </c>
      <c r="H2706" t="s">
        <v>263</v>
      </c>
      <c r="I2706" t="s">
        <v>5419</v>
      </c>
      <c r="J2706">
        <v>10.10825</v>
      </c>
      <c r="K2706">
        <v>-84.400080000000003</v>
      </c>
      <c r="L2706" t="s">
        <v>1225</v>
      </c>
      <c r="M2706" t="s">
        <v>46</v>
      </c>
      <c r="N2706" t="s">
        <v>47</v>
      </c>
      <c r="O2706" t="s">
        <v>48</v>
      </c>
      <c r="P2706">
        <v>1</v>
      </c>
      <c r="Q2706" t="s">
        <v>155</v>
      </c>
      <c r="S2706" t="str">
        <f>_xlfn.XLOOKUP(UNIVERSO[[#This Row],[Ruta]],'[1]CUOTA RUTA'!A:A,'[1]CUOTA RUTA'!D:D)</f>
        <v>Cargar</v>
      </c>
    </row>
    <row r="2707" spans="1:19" x14ac:dyDescent="0.25">
      <c r="A2707">
        <v>1540013241</v>
      </c>
      <c r="B2707" t="s">
        <v>5420</v>
      </c>
      <c r="C2707" t="s">
        <v>19</v>
      </c>
      <c r="D2707" t="s">
        <v>20</v>
      </c>
      <c r="E2707" t="s">
        <v>21</v>
      </c>
      <c r="F2707" t="s">
        <v>22</v>
      </c>
      <c r="G2707" t="s">
        <v>64</v>
      </c>
      <c r="H2707" t="s">
        <v>44</v>
      </c>
      <c r="I2707" t="s">
        <v>5421</v>
      </c>
      <c r="J2707">
        <v>10.10629413</v>
      </c>
      <c r="K2707">
        <v>-84.363507139999996</v>
      </c>
      <c r="L2707" t="s">
        <v>1225</v>
      </c>
      <c r="M2707" t="s">
        <v>46</v>
      </c>
      <c r="N2707" t="s">
        <v>47</v>
      </c>
      <c r="O2707" t="s">
        <v>48</v>
      </c>
      <c r="P2707">
        <v>2</v>
      </c>
      <c r="Q2707" t="s">
        <v>150</v>
      </c>
      <c r="S2707" t="str">
        <f>_xlfn.XLOOKUP(UNIVERSO[[#This Row],[Ruta]],'[1]CUOTA RUTA'!A:A,'[1]CUOTA RUTA'!D:D)</f>
        <v>Cargar</v>
      </c>
    </row>
    <row r="2708" spans="1:19" x14ac:dyDescent="0.25">
      <c r="A2708">
        <v>1540013289</v>
      </c>
      <c r="B2708" t="s">
        <v>5422</v>
      </c>
      <c r="C2708" t="s">
        <v>19</v>
      </c>
      <c r="D2708" t="s">
        <v>337</v>
      </c>
      <c r="E2708" t="s">
        <v>21</v>
      </c>
      <c r="F2708" t="s">
        <v>22</v>
      </c>
      <c r="G2708" t="s">
        <v>23</v>
      </c>
      <c r="H2708" t="s">
        <v>343</v>
      </c>
      <c r="I2708" t="s">
        <v>5423</v>
      </c>
      <c r="J2708">
        <v>10.383573999999999</v>
      </c>
      <c r="K2708">
        <v>-85.674443999999994</v>
      </c>
      <c r="L2708" t="s">
        <v>1225</v>
      </c>
      <c r="M2708" t="s">
        <v>327</v>
      </c>
      <c r="N2708" t="s">
        <v>340</v>
      </c>
      <c r="O2708" t="s">
        <v>341</v>
      </c>
      <c r="P2708">
        <v>17</v>
      </c>
      <c r="Q2708" t="s">
        <v>287</v>
      </c>
      <c r="S2708" t="str">
        <f>_xlfn.XLOOKUP(UNIVERSO[[#This Row],[Ruta]],'[1]CUOTA RUTA'!A:A,'[1]CUOTA RUTA'!D:D)</f>
        <v>Cargar</v>
      </c>
    </row>
    <row r="2709" spans="1:19" x14ac:dyDescent="0.25">
      <c r="A2709">
        <v>1540013312</v>
      </c>
      <c r="B2709" t="s">
        <v>5424</v>
      </c>
      <c r="C2709" t="s">
        <v>19</v>
      </c>
      <c r="D2709" t="s">
        <v>208</v>
      </c>
      <c r="E2709" t="s">
        <v>21</v>
      </c>
      <c r="F2709" t="s">
        <v>22</v>
      </c>
      <c r="G2709" t="s">
        <v>33</v>
      </c>
      <c r="H2709" t="s">
        <v>719</v>
      </c>
      <c r="I2709" t="s">
        <v>5425</v>
      </c>
      <c r="J2709">
        <v>10.346352</v>
      </c>
      <c r="K2709">
        <v>-84.132964999999999</v>
      </c>
      <c r="L2709" t="s">
        <v>1225</v>
      </c>
      <c r="M2709" t="s">
        <v>189</v>
      </c>
      <c r="N2709" t="s">
        <v>211</v>
      </c>
      <c r="O2709" t="s">
        <v>212</v>
      </c>
      <c r="P2709">
        <v>11</v>
      </c>
      <c r="Q2709" t="s">
        <v>108</v>
      </c>
      <c r="S2709" t="str">
        <f>_xlfn.XLOOKUP(UNIVERSO[[#This Row],[Ruta]],'[1]CUOTA RUTA'!A:A,'[1]CUOTA RUTA'!D:D)</f>
        <v>Cargar</v>
      </c>
    </row>
    <row r="2710" spans="1:19" x14ac:dyDescent="0.25">
      <c r="A2710">
        <v>1540013319</v>
      </c>
      <c r="B2710" t="s">
        <v>5426</v>
      </c>
      <c r="C2710" t="s">
        <v>19</v>
      </c>
      <c r="D2710" t="s">
        <v>20</v>
      </c>
      <c r="E2710" t="s">
        <v>21</v>
      </c>
      <c r="F2710" t="s">
        <v>22</v>
      </c>
      <c r="G2710" t="s">
        <v>33</v>
      </c>
      <c r="H2710" t="s">
        <v>674</v>
      </c>
      <c r="I2710" t="s">
        <v>5427</v>
      </c>
      <c r="J2710">
        <v>10.183714999999999</v>
      </c>
      <c r="K2710">
        <v>-84.39228</v>
      </c>
      <c r="L2710" t="s">
        <v>1225</v>
      </c>
      <c r="M2710" t="s">
        <v>46</v>
      </c>
      <c r="N2710" t="s">
        <v>47</v>
      </c>
      <c r="O2710" t="s">
        <v>48</v>
      </c>
      <c r="P2710">
        <v>1</v>
      </c>
      <c r="Q2710" t="s">
        <v>155</v>
      </c>
      <c r="S2710" t="str">
        <f>_xlfn.XLOOKUP(UNIVERSO[[#This Row],[Ruta]],'[1]CUOTA RUTA'!A:A,'[1]CUOTA RUTA'!D:D)</f>
        <v>Cargar</v>
      </c>
    </row>
    <row r="2711" spans="1:19" x14ac:dyDescent="0.25">
      <c r="A2711">
        <v>1540013320</v>
      </c>
      <c r="B2711" t="s">
        <v>5428</v>
      </c>
      <c r="C2711" t="s">
        <v>19</v>
      </c>
      <c r="D2711" t="s">
        <v>20</v>
      </c>
      <c r="E2711" t="s">
        <v>21</v>
      </c>
      <c r="F2711" t="s">
        <v>22</v>
      </c>
      <c r="G2711" t="s">
        <v>64</v>
      </c>
      <c r="H2711" t="s">
        <v>250</v>
      </c>
      <c r="I2711" t="s">
        <v>5429</v>
      </c>
      <c r="J2711">
        <v>10.011006310000001</v>
      </c>
      <c r="K2711">
        <v>-84.298741379999996</v>
      </c>
      <c r="L2711" t="s">
        <v>1225</v>
      </c>
      <c r="M2711" t="s">
        <v>46</v>
      </c>
      <c r="N2711" t="s">
        <v>47</v>
      </c>
      <c r="O2711" t="s">
        <v>48</v>
      </c>
      <c r="P2711">
        <v>11</v>
      </c>
      <c r="Q2711" t="s">
        <v>108</v>
      </c>
      <c r="S2711" t="str">
        <f>_xlfn.XLOOKUP(UNIVERSO[[#This Row],[Ruta]],'[1]CUOTA RUTA'!A:A,'[1]CUOTA RUTA'!D:D)</f>
        <v>Cargar</v>
      </c>
    </row>
    <row r="2712" spans="1:19" x14ac:dyDescent="0.25">
      <c r="A2712">
        <v>1540013391</v>
      </c>
      <c r="B2712" t="s">
        <v>5430</v>
      </c>
      <c r="C2712" t="s">
        <v>19</v>
      </c>
      <c r="D2712" t="s">
        <v>20</v>
      </c>
      <c r="E2712" t="s">
        <v>21</v>
      </c>
      <c r="F2712" t="s">
        <v>22</v>
      </c>
      <c r="G2712" t="s">
        <v>23</v>
      </c>
      <c r="H2712" t="s">
        <v>554</v>
      </c>
      <c r="I2712" t="s">
        <v>5431</v>
      </c>
      <c r="J2712">
        <v>9.9967129999999997</v>
      </c>
      <c r="K2712">
        <v>-84.163466999999997</v>
      </c>
      <c r="L2712" t="s">
        <v>1225</v>
      </c>
      <c r="M2712" t="s">
        <v>27</v>
      </c>
      <c r="N2712" t="s">
        <v>28</v>
      </c>
      <c r="O2712" t="s">
        <v>29</v>
      </c>
      <c r="P2712">
        <v>3</v>
      </c>
      <c r="Q2712" t="s">
        <v>101</v>
      </c>
      <c r="S2712" t="str">
        <f>_xlfn.XLOOKUP(UNIVERSO[[#This Row],[Ruta]],'[1]CUOTA RUTA'!A:A,'[1]CUOTA RUTA'!D:D)</f>
        <v>Cargar</v>
      </c>
    </row>
    <row r="2713" spans="1:19" x14ac:dyDescent="0.25">
      <c r="A2713">
        <v>1540013423</v>
      </c>
      <c r="B2713" t="s">
        <v>2763</v>
      </c>
      <c r="C2713" t="s">
        <v>19</v>
      </c>
      <c r="D2713" t="s">
        <v>20</v>
      </c>
      <c r="E2713" t="s">
        <v>21</v>
      </c>
      <c r="F2713" t="s">
        <v>22</v>
      </c>
      <c r="G2713" t="s">
        <v>23</v>
      </c>
      <c r="H2713" t="s">
        <v>280</v>
      </c>
      <c r="I2713" t="s">
        <v>5432</v>
      </c>
      <c r="J2713">
        <v>10.019171</v>
      </c>
      <c r="K2713">
        <v>-84.208802000000006</v>
      </c>
      <c r="L2713" t="s">
        <v>1225</v>
      </c>
      <c r="M2713" t="s">
        <v>54</v>
      </c>
      <c r="N2713" t="s">
        <v>55</v>
      </c>
      <c r="O2713" t="s">
        <v>56</v>
      </c>
      <c r="P2713">
        <v>1</v>
      </c>
      <c r="Q2713" t="s">
        <v>155</v>
      </c>
      <c r="S2713" t="str">
        <f>_xlfn.XLOOKUP(UNIVERSO[[#This Row],[Ruta]],'[1]CUOTA RUTA'!A:A,'[1]CUOTA RUTA'!D:D)</f>
        <v>Cargar</v>
      </c>
    </row>
    <row r="2714" spans="1:19" x14ac:dyDescent="0.25">
      <c r="A2714">
        <v>1540013446</v>
      </c>
      <c r="B2714" t="s">
        <v>758</v>
      </c>
      <c r="C2714" t="s">
        <v>19</v>
      </c>
      <c r="D2714" t="s">
        <v>20</v>
      </c>
      <c r="E2714" t="s">
        <v>21</v>
      </c>
      <c r="F2714" t="s">
        <v>22</v>
      </c>
      <c r="G2714" t="s">
        <v>23</v>
      </c>
      <c r="H2714" t="s">
        <v>280</v>
      </c>
      <c r="I2714" t="s">
        <v>5433</v>
      </c>
      <c r="J2714">
        <v>10.021905500000001</v>
      </c>
      <c r="K2714">
        <v>-84.220503800000003</v>
      </c>
      <c r="L2714" t="s">
        <v>1225</v>
      </c>
      <c r="M2714" t="s">
        <v>54</v>
      </c>
      <c r="N2714" t="s">
        <v>55</v>
      </c>
      <c r="O2714" t="s">
        <v>56</v>
      </c>
      <c r="P2714">
        <v>2</v>
      </c>
      <c r="Q2714" t="s">
        <v>150</v>
      </c>
      <c r="S2714" t="str">
        <f>_xlfn.XLOOKUP(UNIVERSO[[#This Row],[Ruta]],'[1]CUOTA RUTA'!A:A,'[1]CUOTA RUTA'!D:D)</f>
        <v>Cargar</v>
      </c>
    </row>
    <row r="2715" spans="1:19" x14ac:dyDescent="0.25">
      <c r="A2715">
        <v>1540013447</v>
      </c>
      <c r="B2715" t="s">
        <v>5434</v>
      </c>
      <c r="C2715" t="s">
        <v>19</v>
      </c>
      <c r="D2715" t="s">
        <v>20</v>
      </c>
      <c r="E2715" t="s">
        <v>21</v>
      </c>
      <c r="F2715" t="s">
        <v>22</v>
      </c>
      <c r="G2715" t="s">
        <v>23</v>
      </c>
      <c r="H2715" t="s">
        <v>58</v>
      </c>
      <c r="I2715" t="s">
        <v>5435</v>
      </c>
      <c r="J2715">
        <v>10.037648000000001</v>
      </c>
      <c r="K2715">
        <v>-84.1591016</v>
      </c>
      <c r="L2715" t="s">
        <v>1225</v>
      </c>
      <c r="M2715" t="s">
        <v>54</v>
      </c>
      <c r="N2715" t="s">
        <v>55</v>
      </c>
      <c r="O2715" t="s">
        <v>56</v>
      </c>
      <c r="P2715">
        <v>18</v>
      </c>
      <c r="Q2715" t="s">
        <v>84</v>
      </c>
      <c r="S2715" t="str">
        <f>_xlfn.XLOOKUP(UNIVERSO[[#This Row],[Ruta]],'[1]CUOTA RUTA'!A:A,'[1]CUOTA RUTA'!D:D)</f>
        <v>Cargar</v>
      </c>
    </row>
    <row r="2716" spans="1:19" x14ac:dyDescent="0.25">
      <c r="A2716">
        <v>1540013449</v>
      </c>
      <c r="B2716" t="s">
        <v>5436</v>
      </c>
      <c r="C2716" t="s">
        <v>19</v>
      </c>
      <c r="D2716" t="s">
        <v>20</v>
      </c>
      <c r="E2716" t="s">
        <v>21</v>
      </c>
      <c r="F2716" t="s">
        <v>22</v>
      </c>
      <c r="G2716" t="s">
        <v>33</v>
      </c>
      <c r="H2716" t="s">
        <v>260</v>
      </c>
      <c r="I2716" t="s">
        <v>5437</v>
      </c>
      <c r="J2716">
        <v>10.086855773066</v>
      </c>
      <c r="K2716">
        <v>-84.486943080649993</v>
      </c>
      <c r="L2716" t="s">
        <v>1225</v>
      </c>
      <c r="M2716" t="s">
        <v>46</v>
      </c>
      <c r="N2716" t="s">
        <v>47</v>
      </c>
      <c r="O2716" t="s">
        <v>48</v>
      </c>
      <c r="P2716">
        <v>7</v>
      </c>
      <c r="Q2716" t="s">
        <v>39</v>
      </c>
      <c r="S2716" t="str">
        <f>_xlfn.XLOOKUP(UNIVERSO[[#This Row],[Ruta]],'[1]CUOTA RUTA'!A:A,'[1]CUOTA RUTA'!D:D)</f>
        <v>Cargar</v>
      </c>
    </row>
    <row r="2717" spans="1:19" x14ac:dyDescent="0.25">
      <c r="A2717">
        <v>1540013450</v>
      </c>
      <c r="B2717" t="s">
        <v>3534</v>
      </c>
      <c r="C2717" t="s">
        <v>19</v>
      </c>
      <c r="D2717" t="s">
        <v>20</v>
      </c>
      <c r="E2717" t="s">
        <v>21</v>
      </c>
      <c r="F2717" t="s">
        <v>22</v>
      </c>
      <c r="G2717" t="s">
        <v>64</v>
      </c>
      <c r="H2717" t="s">
        <v>250</v>
      </c>
      <c r="I2717" t="s">
        <v>5438</v>
      </c>
      <c r="J2717">
        <v>10.052251699999999</v>
      </c>
      <c r="K2717">
        <v>-84.322146700000005</v>
      </c>
      <c r="L2717" t="s">
        <v>1225</v>
      </c>
      <c r="M2717" t="s">
        <v>46</v>
      </c>
      <c r="N2717" t="s">
        <v>47</v>
      </c>
      <c r="O2717" t="s">
        <v>48</v>
      </c>
      <c r="P2717">
        <v>11</v>
      </c>
      <c r="Q2717" t="s">
        <v>108</v>
      </c>
      <c r="S2717" t="str">
        <f>_xlfn.XLOOKUP(UNIVERSO[[#This Row],[Ruta]],'[1]CUOTA RUTA'!A:A,'[1]CUOTA RUTA'!D:D)</f>
        <v>Cargar</v>
      </c>
    </row>
    <row r="2718" spans="1:19" x14ac:dyDescent="0.25">
      <c r="A2718">
        <v>1540013455</v>
      </c>
      <c r="B2718" t="s">
        <v>5439</v>
      </c>
      <c r="C2718" t="s">
        <v>19</v>
      </c>
      <c r="D2718" t="s">
        <v>20</v>
      </c>
      <c r="E2718" t="s">
        <v>21</v>
      </c>
      <c r="F2718" t="s">
        <v>22</v>
      </c>
      <c r="G2718" t="s">
        <v>33</v>
      </c>
      <c r="H2718" t="s">
        <v>674</v>
      </c>
      <c r="I2718" t="s">
        <v>5440</v>
      </c>
      <c r="J2718">
        <v>10.244588918623</v>
      </c>
      <c r="K2718">
        <v>-84.387144219220005</v>
      </c>
      <c r="L2718" t="s">
        <v>1225</v>
      </c>
      <c r="M2718" t="s">
        <v>46</v>
      </c>
      <c r="N2718" t="s">
        <v>47</v>
      </c>
      <c r="O2718" t="s">
        <v>48</v>
      </c>
      <c r="P2718">
        <v>1</v>
      </c>
      <c r="Q2718" t="s">
        <v>155</v>
      </c>
      <c r="S2718" t="str">
        <f>_xlfn.XLOOKUP(UNIVERSO[[#This Row],[Ruta]],'[1]CUOTA RUTA'!A:A,'[1]CUOTA RUTA'!D:D)</f>
        <v>Cargar</v>
      </c>
    </row>
    <row r="2719" spans="1:19" x14ac:dyDescent="0.25">
      <c r="A2719">
        <v>1540013521</v>
      </c>
      <c r="B2719" t="s">
        <v>5441</v>
      </c>
      <c r="C2719" t="s">
        <v>19</v>
      </c>
      <c r="D2719" t="s">
        <v>349</v>
      </c>
      <c r="E2719" t="s">
        <v>21</v>
      </c>
      <c r="F2719" t="s">
        <v>51</v>
      </c>
      <c r="G2719" t="s">
        <v>23</v>
      </c>
      <c r="H2719" t="s">
        <v>350</v>
      </c>
      <c r="I2719" t="s">
        <v>5442</v>
      </c>
      <c r="J2719">
        <v>9.8826530199999993</v>
      </c>
      <c r="K2719">
        <v>-85.529629470000003</v>
      </c>
      <c r="L2719" t="s">
        <v>1225</v>
      </c>
      <c r="M2719" t="s">
        <v>352</v>
      </c>
      <c r="N2719" t="s">
        <v>353</v>
      </c>
      <c r="O2719" t="s">
        <v>354</v>
      </c>
      <c r="P2719">
        <v>8</v>
      </c>
      <c r="Q2719" t="s">
        <v>97</v>
      </c>
      <c r="S2719" t="str">
        <f>_xlfn.XLOOKUP(UNIVERSO[[#This Row],[Ruta]],'[1]CUOTA RUTA'!A:A,'[1]CUOTA RUTA'!D:D)</f>
        <v>Cargar</v>
      </c>
    </row>
    <row r="2720" spans="1:19" x14ac:dyDescent="0.25">
      <c r="A2720">
        <v>1540013536</v>
      </c>
      <c r="B2720" t="s">
        <v>3708</v>
      </c>
      <c r="C2720" t="s">
        <v>19</v>
      </c>
      <c r="D2720" t="s">
        <v>349</v>
      </c>
      <c r="E2720" t="s">
        <v>21</v>
      </c>
      <c r="F2720" t="s">
        <v>22</v>
      </c>
      <c r="G2720" t="s">
        <v>23</v>
      </c>
      <c r="H2720" t="s">
        <v>350</v>
      </c>
      <c r="I2720" t="s">
        <v>5443</v>
      </c>
      <c r="J2720">
        <v>10.256848679999999</v>
      </c>
      <c r="K2720">
        <v>-85.587572780000002</v>
      </c>
      <c r="L2720" t="s">
        <v>1225</v>
      </c>
      <c r="M2720" t="s">
        <v>352</v>
      </c>
      <c r="N2720" t="s">
        <v>353</v>
      </c>
      <c r="O2720" t="s">
        <v>354</v>
      </c>
      <c r="P2720">
        <v>1</v>
      </c>
      <c r="Q2720" t="s">
        <v>155</v>
      </c>
      <c r="S2720" t="str">
        <f>_xlfn.XLOOKUP(UNIVERSO[[#This Row],[Ruta]],'[1]CUOTA RUTA'!A:A,'[1]CUOTA RUTA'!D:D)</f>
        <v>Cargar</v>
      </c>
    </row>
    <row r="2721" spans="1:19" x14ac:dyDescent="0.25">
      <c r="A2721">
        <v>1540013583</v>
      </c>
      <c r="B2721" t="s">
        <v>1914</v>
      </c>
      <c r="C2721" t="s">
        <v>19</v>
      </c>
      <c r="D2721" t="s">
        <v>266</v>
      </c>
      <c r="E2721" t="s">
        <v>21</v>
      </c>
      <c r="F2721" t="s">
        <v>22</v>
      </c>
      <c r="G2721" t="s">
        <v>64</v>
      </c>
      <c r="H2721" t="s">
        <v>272</v>
      </c>
      <c r="I2721" t="s">
        <v>5444</v>
      </c>
      <c r="J2721">
        <v>9.8759566999999997</v>
      </c>
      <c r="K2721">
        <v>-83.7933108</v>
      </c>
      <c r="L2721" t="s">
        <v>1225</v>
      </c>
      <c r="M2721" t="s">
        <v>54</v>
      </c>
      <c r="N2721" t="s">
        <v>274</v>
      </c>
      <c r="O2721" t="s">
        <v>275</v>
      </c>
      <c r="P2721">
        <v>21</v>
      </c>
      <c r="Q2721" t="s">
        <v>239</v>
      </c>
      <c r="S2721" t="str">
        <f>_xlfn.XLOOKUP(UNIVERSO[[#This Row],[Ruta]],'[1]CUOTA RUTA'!A:A,'[1]CUOTA RUTA'!D:D)</f>
        <v>Cargar</v>
      </c>
    </row>
    <row r="2722" spans="1:19" x14ac:dyDescent="0.25">
      <c r="A2722">
        <v>1540013589</v>
      </c>
      <c r="B2722" t="s">
        <v>5445</v>
      </c>
      <c r="C2722" t="s">
        <v>19</v>
      </c>
      <c r="D2722" t="s">
        <v>32</v>
      </c>
      <c r="E2722" t="s">
        <v>21</v>
      </c>
      <c r="F2722" t="s">
        <v>22</v>
      </c>
      <c r="G2722" t="s">
        <v>33</v>
      </c>
      <c r="H2722" t="s">
        <v>138</v>
      </c>
      <c r="I2722" t="s">
        <v>5446</v>
      </c>
      <c r="J2722">
        <v>9.9536160000000002</v>
      </c>
      <c r="K2722">
        <v>-84.042320000000004</v>
      </c>
      <c r="L2722" t="s">
        <v>1225</v>
      </c>
      <c r="M2722" t="s">
        <v>36</v>
      </c>
      <c r="N2722" t="s">
        <v>37</v>
      </c>
      <c r="O2722" t="s">
        <v>38</v>
      </c>
      <c r="P2722">
        <v>22</v>
      </c>
      <c r="Q2722" t="s">
        <v>30</v>
      </c>
      <c r="S2722" t="str">
        <f>_xlfn.XLOOKUP(UNIVERSO[[#This Row],[Ruta]],'[1]CUOTA RUTA'!A:A,'[1]CUOTA RUTA'!D:D)</f>
        <v>Cargar</v>
      </c>
    </row>
    <row r="2723" spans="1:19" x14ac:dyDescent="0.25">
      <c r="A2723">
        <v>1540013593</v>
      </c>
      <c r="B2723" t="s">
        <v>4647</v>
      </c>
      <c r="C2723" t="s">
        <v>19</v>
      </c>
      <c r="D2723" t="s">
        <v>20</v>
      </c>
      <c r="E2723" t="s">
        <v>21</v>
      </c>
      <c r="F2723" t="s">
        <v>22</v>
      </c>
      <c r="G2723" t="s">
        <v>64</v>
      </c>
      <c r="H2723" t="s">
        <v>674</v>
      </c>
      <c r="I2723" t="s">
        <v>5447</v>
      </c>
      <c r="J2723">
        <v>10.217116186562</v>
      </c>
      <c r="K2723">
        <v>-84.400861053490004</v>
      </c>
      <c r="L2723" t="s">
        <v>1225</v>
      </c>
      <c r="M2723" t="s">
        <v>46</v>
      </c>
      <c r="N2723" t="s">
        <v>47</v>
      </c>
      <c r="O2723" t="s">
        <v>48</v>
      </c>
      <c r="P2723">
        <v>1</v>
      </c>
      <c r="Q2723" t="s">
        <v>155</v>
      </c>
      <c r="S2723" t="str">
        <f>_xlfn.XLOOKUP(UNIVERSO[[#This Row],[Ruta]],'[1]CUOTA RUTA'!A:A,'[1]CUOTA RUTA'!D:D)</f>
        <v>Cargar</v>
      </c>
    </row>
    <row r="2724" spans="1:19" x14ac:dyDescent="0.25">
      <c r="A2724">
        <v>1540013594</v>
      </c>
      <c r="B2724" t="s">
        <v>5448</v>
      </c>
      <c r="C2724" t="s">
        <v>19</v>
      </c>
      <c r="D2724" t="s">
        <v>20</v>
      </c>
      <c r="E2724" t="s">
        <v>21</v>
      </c>
      <c r="F2724" t="s">
        <v>22</v>
      </c>
      <c r="G2724" t="s">
        <v>33</v>
      </c>
      <c r="H2724" t="s">
        <v>250</v>
      </c>
      <c r="I2724" t="s">
        <v>5449</v>
      </c>
      <c r="J2724">
        <v>10.025486860000001</v>
      </c>
      <c r="K2724">
        <v>-84.2430418</v>
      </c>
      <c r="L2724" t="s">
        <v>1225</v>
      </c>
      <c r="M2724" t="s">
        <v>46</v>
      </c>
      <c r="N2724" t="s">
        <v>47</v>
      </c>
      <c r="O2724" t="s">
        <v>48</v>
      </c>
      <c r="P2724">
        <v>3</v>
      </c>
      <c r="Q2724" t="s">
        <v>101</v>
      </c>
      <c r="S2724" t="str">
        <f>_xlfn.XLOOKUP(UNIVERSO[[#This Row],[Ruta]],'[1]CUOTA RUTA'!A:A,'[1]CUOTA RUTA'!D:D)</f>
        <v>Cargar</v>
      </c>
    </row>
    <row r="2725" spans="1:19" x14ac:dyDescent="0.25">
      <c r="A2725">
        <v>1540013631</v>
      </c>
      <c r="B2725" t="s">
        <v>5450</v>
      </c>
      <c r="C2725" t="s">
        <v>19</v>
      </c>
      <c r="D2725" t="s">
        <v>266</v>
      </c>
      <c r="E2725" t="s">
        <v>21</v>
      </c>
      <c r="F2725" t="s">
        <v>22</v>
      </c>
      <c r="G2725" t="s">
        <v>33</v>
      </c>
      <c r="H2725" t="s">
        <v>272</v>
      </c>
      <c r="I2725" t="s">
        <v>5451</v>
      </c>
      <c r="J2725">
        <v>9.9173171999999994</v>
      </c>
      <c r="K2725">
        <v>-83.810316200000003</v>
      </c>
      <c r="L2725" t="s">
        <v>1225</v>
      </c>
      <c r="M2725" t="s">
        <v>54</v>
      </c>
      <c r="N2725" t="s">
        <v>274</v>
      </c>
      <c r="O2725" t="s">
        <v>275</v>
      </c>
      <c r="P2725">
        <v>21</v>
      </c>
      <c r="Q2725" t="s">
        <v>239</v>
      </c>
      <c r="S2725" t="str">
        <f>_xlfn.XLOOKUP(UNIVERSO[[#This Row],[Ruta]],'[1]CUOTA RUTA'!A:A,'[1]CUOTA RUTA'!D:D)</f>
        <v>Cargar</v>
      </c>
    </row>
    <row r="2726" spans="1:19" x14ac:dyDescent="0.25">
      <c r="A2726">
        <v>1540013651</v>
      </c>
      <c r="B2726" t="s">
        <v>5452</v>
      </c>
      <c r="C2726" t="s">
        <v>19</v>
      </c>
      <c r="D2726" t="s">
        <v>32</v>
      </c>
      <c r="E2726" t="s">
        <v>21</v>
      </c>
      <c r="F2726" t="s">
        <v>22</v>
      </c>
      <c r="G2726" t="s">
        <v>33</v>
      </c>
      <c r="H2726" t="s">
        <v>89</v>
      </c>
      <c r="I2726" t="s">
        <v>5453</v>
      </c>
      <c r="J2726">
        <v>9.8919379999999997</v>
      </c>
      <c r="K2726">
        <v>-84.091814999999997</v>
      </c>
      <c r="L2726" t="s">
        <v>1225</v>
      </c>
      <c r="M2726" t="s">
        <v>71</v>
      </c>
      <c r="N2726" t="s">
        <v>72</v>
      </c>
      <c r="O2726" t="s">
        <v>73</v>
      </c>
      <c r="P2726">
        <v>8</v>
      </c>
      <c r="Q2726" t="s">
        <v>97</v>
      </c>
      <c r="S2726" t="str">
        <f>_xlfn.XLOOKUP(UNIVERSO[[#This Row],[Ruta]],'[1]CUOTA RUTA'!A:A,'[1]CUOTA RUTA'!D:D)</f>
        <v>Cargar</v>
      </c>
    </row>
    <row r="2727" spans="1:19" x14ac:dyDescent="0.25">
      <c r="A2727">
        <v>1540013652</v>
      </c>
      <c r="B2727" t="s">
        <v>2367</v>
      </c>
      <c r="C2727" t="s">
        <v>19</v>
      </c>
      <c r="D2727" t="s">
        <v>32</v>
      </c>
      <c r="E2727" t="s">
        <v>21</v>
      </c>
      <c r="F2727" t="s">
        <v>22</v>
      </c>
      <c r="G2727" t="s">
        <v>64</v>
      </c>
      <c r="H2727" t="s">
        <v>1383</v>
      </c>
      <c r="I2727" t="s">
        <v>5454</v>
      </c>
      <c r="J2727">
        <v>9.9148800000000001</v>
      </c>
      <c r="K2727">
        <v>-84.075500000000005</v>
      </c>
      <c r="L2727" t="s">
        <v>1225</v>
      </c>
      <c r="M2727" t="s">
        <v>71</v>
      </c>
      <c r="N2727" t="s">
        <v>72</v>
      </c>
      <c r="O2727" t="s">
        <v>73</v>
      </c>
      <c r="P2727">
        <v>6</v>
      </c>
      <c r="Q2727" t="s">
        <v>49</v>
      </c>
      <c r="S2727" t="str">
        <f>_xlfn.XLOOKUP(UNIVERSO[[#This Row],[Ruta]],'[1]CUOTA RUTA'!A:A,'[1]CUOTA RUTA'!D:D)</f>
        <v>Cargar</v>
      </c>
    </row>
    <row r="2728" spans="1:19" x14ac:dyDescent="0.25">
      <c r="A2728">
        <v>1540013685</v>
      </c>
      <c r="B2728" t="s">
        <v>5455</v>
      </c>
      <c r="C2728" t="s">
        <v>19</v>
      </c>
      <c r="D2728" t="s">
        <v>32</v>
      </c>
      <c r="E2728" t="s">
        <v>21</v>
      </c>
      <c r="F2728" t="s">
        <v>22</v>
      </c>
      <c r="G2728" t="s">
        <v>33</v>
      </c>
      <c r="H2728" t="s">
        <v>1383</v>
      </c>
      <c r="I2728" t="s">
        <v>5456</v>
      </c>
      <c r="J2728">
        <v>9.9181139999999992</v>
      </c>
      <c r="K2728">
        <v>-84.091835000000003</v>
      </c>
      <c r="L2728" t="s">
        <v>1225</v>
      </c>
      <c r="M2728" t="s">
        <v>71</v>
      </c>
      <c r="N2728" t="s">
        <v>72</v>
      </c>
      <c r="O2728" t="s">
        <v>73</v>
      </c>
      <c r="P2728">
        <v>4</v>
      </c>
      <c r="Q2728" t="s">
        <v>120</v>
      </c>
      <c r="S2728" t="str">
        <f>_xlfn.XLOOKUP(UNIVERSO[[#This Row],[Ruta]],'[1]CUOTA RUTA'!A:A,'[1]CUOTA RUTA'!D:D)</f>
        <v>Cargar</v>
      </c>
    </row>
    <row r="2729" spans="1:19" x14ac:dyDescent="0.25">
      <c r="A2729">
        <v>1540013688</v>
      </c>
      <c r="B2729" t="s">
        <v>5457</v>
      </c>
      <c r="C2729" t="s">
        <v>19</v>
      </c>
      <c r="D2729" t="s">
        <v>20</v>
      </c>
      <c r="E2729" t="s">
        <v>62</v>
      </c>
      <c r="F2729" t="s">
        <v>63</v>
      </c>
      <c r="G2729" t="s">
        <v>23</v>
      </c>
      <c r="H2729" t="s">
        <v>303</v>
      </c>
      <c r="I2729" t="s">
        <v>5458</v>
      </c>
      <c r="J2729">
        <v>10.00348</v>
      </c>
      <c r="K2729">
        <v>-84.235100000000003</v>
      </c>
      <c r="L2729" t="s">
        <v>1225</v>
      </c>
      <c r="M2729" t="s">
        <v>54</v>
      </c>
      <c r="N2729" t="s">
        <v>55</v>
      </c>
      <c r="O2729" t="s">
        <v>56</v>
      </c>
      <c r="P2729">
        <v>19</v>
      </c>
      <c r="Q2729" t="s">
        <v>67</v>
      </c>
      <c r="S2729" t="str">
        <f>_xlfn.XLOOKUP(UNIVERSO[[#This Row],[Ruta]],'[1]CUOTA RUTA'!A:A,'[1]CUOTA RUTA'!D:D)</f>
        <v>Cargar</v>
      </c>
    </row>
    <row r="2730" spans="1:19" x14ac:dyDescent="0.25">
      <c r="A2730">
        <v>1540013718</v>
      </c>
      <c r="B2730" t="s">
        <v>5459</v>
      </c>
      <c r="C2730" t="s">
        <v>19</v>
      </c>
      <c r="D2730" t="s">
        <v>20</v>
      </c>
      <c r="E2730" t="s">
        <v>21</v>
      </c>
      <c r="F2730" t="s">
        <v>22</v>
      </c>
      <c r="G2730" t="s">
        <v>23</v>
      </c>
      <c r="H2730" t="s">
        <v>24</v>
      </c>
      <c r="I2730" t="s">
        <v>5460</v>
      </c>
      <c r="J2730">
        <v>9.9835280300000004</v>
      </c>
      <c r="K2730">
        <v>-84.132130599999996</v>
      </c>
      <c r="L2730" t="s">
        <v>1225</v>
      </c>
      <c r="M2730" t="s">
        <v>27</v>
      </c>
      <c r="N2730" t="s">
        <v>28</v>
      </c>
      <c r="O2730" t="s">
        <v>29</v>
      </c>
      <c r="P2730">
        <v>5</v>
      </c>
      <c r="Q2730" t="s">
        <v>117</v>
      </c>
      <c r="S2730" t="str">
        <f>_xlfn.XLOOKUP(UNIVERSO[[#This Row],[Ruta]],'[1]CUOTA RUTA'!A:A,'[1]CUOTA RUTA'!D:D)</f>
        <v>Cargar</v>
      </c>
    </row>
    <row r="2731" spans="1:19" x14ac:dyDescent="0.25">
      <c r="A2731">
        <v>1540013765</v>
      </c>
      <c r="B2731" t="s">
        <v>5461</v>
      </c>
      <c r="C2731" t="s">
        <v>19</v>
      </c>
      <c r="D2731" t="s">
        <v>201</v>
      </c>
      <c r="E2731" t="s">
        <v>21</v>
      </c>
      <c r="F2731" t="s">
        <v>22</v>
      </c>
      <c r="G2731" t="s">
        <v>23</v>
      </c>
      <c r="H2731" t="s">
        <v>334</v>
      </c>
      <c r="I2731" t="s">
        <v>5462</v>
      </c>
      <c r="J2731">
        <v>9.9820922999999997</v>
      </c>
      <c r="K2731">
        <v>-84.716345000000004</v>
      </c>
      <c r="L2731" t="s">
        <v>1225</v>
      </c>
      <c r="M2731" t="s">
        <v>204</v>
      </c>
      <c r="N2731" t="s">
        <v>205</v>
      </c>
      <c r="O2731" t="s">
        <v>206</v>
      </c>
      <c r="P2731">
        <v>8</v>
      </c>
      <c r="Q2731" t="s">
        <v>97</v>
      </c>
      <c r="S2731" t="str">
        <f>_xlfn.XLOOKUP(UNIVERSO[[#This Row],[Ruta]],'[1]CUOTA RUTA'!A:A,'[1]CUOTA RUTA'!D:D)</f>
        <v>Cargar</v>
      </c>
    </row>
    <row r="2732" spans="1:19" x14ac:dyDescent="0.25">
      <c r="A2732">
        <v>1540013779</v>
      </c>
      <c r="B2732" t="s">
        <v>5463</v>
      </c>
      <c r="C2732" t="s">
        <v>19</v>
      </c>
      <c r="D2732" t="s">
        <v>244</v>
      </c>
      <c r="E2732" t="s">
        <v>21</v>
      </c>
      <c r="F2732" t="s">
        <v>22</v>
      </c>
      <c r="G2732" t="s">
        <v>33</v>
      </c>
      <c r="H2732" t="s">
        <v>1233</v>
      </c>
      <c r="I2732" t="s">
        <v>5464</v>
      </c>
      <c r="J2732">
        <v>9.3464609999999997</v>
      </c>
      <c r="K2732">
        <v>-83.676682999999997</v>
      </c>
      <c r="L2732" t="s">
        <v>1225</v>
      </c>
      <c r="M2732" t="s">
        <v>46</v>
      </c>
      <c r="N2732" t="s">
        <v>247</v>
      </c>
      <c r="O2732" t="s">
        <v>248</v>
      </c>
      <c r="P2732">
        <v>13</v>
      </c>
      <c r="Q2732" t="s">
        <v>161</v>
      </c>
      <c r="S2732" t="str">
        <f>_xlfn.XLOOKUP(UNIVERSO[[#This Row],[Ruta]],'[1]CUOTA RUTA'!A:A,'[1]CUOTA RUTA'!D:D)</f>
        <v>Cargar</v>
      </c>
    </row>
    <row r="2733" spans="1:19" x14ac:dyDescent="0.25">
      <c r="A2733">
        <v>1540013802</v>
      </c>
      <c r="B2733" t="s">
        <v>812</v>
      </c>
      <c r="C2733" t="s">
        <v>19</v>
      </c>
      <c r="D2733" t="s">
        <v>201</v>
      </c>
      <c r="E2733" t="s">
        <v>21</v>
      </c>
      <c r="F2733" t="s">
        <v>22</v>
      </c>
      <c r="G2733" t="s">
        <v>64</v>
      </c>
      <c r="H2733" t="s">
        <v>528</v>
      </c>
      <c r="I2733" t="s">
        <v>5465</v>
      </c>
      <c r="J2733">
        <v>10.252922999999999</v>
      </c>
      <c r="K2733">
        <v>-85.055691999999993</v>
      </c>
      <c r="L2733" t="s">
        <v>1225</v>
      </c>
      <c r="M2733" t="s">
        <v>327</v>
      </c>
      <c r="N2733" t="s">
        <v>530</v>
      </c>
      <c r="O2733" t="s">
        <v>531</v>
      </c>
      <c r="P2733">
        <v>2</v>
      </c>
      <c r="Q2733" t="s">
        <v>150</v>
      </c>
      <c r="S2733" t="str">
        <f>_xlfn.XLOOKUP(UNIVERSO[[#This Row],[Ruta]],'[1]CUOTA RUTA'!A:A,'[1]CUOTA RUTA'!D:D)</f>
        <v>Cargar</v>
      </c>
    </row>
    <row r="2734" spans="1:19" x14ac:dyDescent="0.25">
      <c r="A2734">
        <v>1540013820</v>
      </c>
      <c r="B2734" t="s">
        <v>348</v>
      </c>
      <c r="C2734" t="s">
        <v>19</v>
      </c>
      <c r="D2734" t="s">
        <v>208</v>
      </c>
      <c r="E2734" t="s">
        <v>21</v>
      </c>
      <c r="F2734" t="s">
        <v>22</v>
      </c>
      <c r="G2734" t="s">
        <v>33</v>
      </c>
      <c r="H2734" t="s">
        <v>719</v>
      </c>
      <c r="I2734" t="s">
        <v>5466</v>
      </c>
      <c r="J2734">
        <v>10.110607630000001</v>
      </c>
      <c r="K2734">
        <v>-83.499458989999994</v>
      </c>
      <c r="L2734" t="s">
        <v>1225</v>
      </c>
      <c r="M2734" t="s">
        <v>189</v>
      </c>
      <c r="N2734" t="s">
        <v>211</v>
      </c>
      <c r="O2734" t="s">
        <v>212</v>
      </c>
      <c r="P2734">
        <v>8</v>
      </c>
      <c r="Q2734" t="s">
        <v>97</v>
      </c>
      <c r="S2734" t="str">
        <f>_xlfn.XLOOKUP(UNIVERSO[[#This Row],[Ruta]],'[1]CUOTA RUTA'!A:A,'[1]CUOTA RUTA'!D:D)</f>
        <v>Cargar</v>
      </c>
    </row>
    <row r="2735" spans="1:19" x14ac:dyDescent="0.25">
      <c r="A2735">
        <v>1540013825</v>
      </c>
      <c r="B2735" t="s">
        <v>5467</v>
      </c>
      <c r="C2735" t="s">
        <v>19</v>
      </c>
      <c r="D2735" t="s">
        <v>201</v>
      </c>
      <c r="E2735" t="s">
        <v>21</v>
      </c>
      <c r="F2735" t="s">
        <v>22</v>
      </c>
      <c r="G2735" t="s">
        <v>33</v>
      </c>
      <c r="H2735" t="s">
        <v>593</v>
      </c>
      <c r="I2735" t="s">
        <v>5468</v>
      </c>
      <c r="J2735">
        <v>9.9856402000000006</v>
      </c>
      <c r="K2735">
        <v>-84.767376200000001</v>
      </c>
      <c r="L2735" t="s">
        <v>1225</v>
      </c>
      <c r="M2735" t="s">
        <v>204</v>
      </c>
      <c r="N2735" t="s">
        <v>205</v>
      </c>
      <c r="O2735" t="s">
        <v>206</v>
      </c>
      <c r="P2735">
        <v>10</v>
      </c>
      <c r="Q2735" t="s">
        <v>136</v>
      </c>
      <c r="S2735" t="str">
        <f>_xlfn.XLOOKUP(UNIVERSO[[#This Row],[Ruta]],'[1]CUOTA RUTA'!A:A,'[1]CUOTA RUTA'!D:D)</f>
        <v>Cargar</v>
      </c>
    </row>
    <row r="2736" spans="1:19" x14ac:dyDescent="0.25">
      <c r="A2736">
        <v>1540013837</v>
      </c>
      <c r="B2736" t="s">
        <v>5469</v>
      </c>
      <c r="C2736" t="s">
        <v>19</v>
      </c>
      <c r="D2736" t="s">
        <v>32</v>
      </c>
      <c r="E2736" t="s">
        <v>21</v>
      </c>
      <c r="F2736" t="s">
        <v>22</v>
      </c>
      <c r="G2736" t="s">
        <v>33</v>
      </c>
      <c r="H2736" t="s">
        <v>112</v>
      </c>
      <c r="I2736" t="s">
        <v>5470</v>
      </c>
      <c r="J2736">
        <v>9.9856010000000008</v>
      </c>
      <c r="K2736">
        <v>-84.090260000000001</v>
      </c>
      <c r="L2736" t="s">
        <v>1225</v>
      </c>
      <c r="M2736" t="s">
        <v>94</v>
      </c>
      <c r="N2736" t="s">
        <v>95</v>
      </c>
      <c r="O2736" t="s">
        <v>96</v>
      </c>
      <c r="P2736">
        <v>10</v>
      </c>
      <c r="Q2736" t="s">
        <v>136</v>
      </c>
      <c r="S2736" t="str">
        <f>_xlfn.XLOOKUP(UNIVERSO[[#This Row],[Ruta]],'[1]CUOTA RUTA'!A:A,'[1]CUOTA RUTA'!D:D)</f>
        <v>Cargar</v>
      </c>
    </row>
    <row r="2737" spans="1:19" x14ac:dyDescent="0.25">
      <c r="A2737">
        <v>1540013849</v>
      </c>
      <c r="B2737" t="s">
        <v>5471</v>
      </c>
      <c r="C2737" t="s">
        <v>19</v>
      </c>
      <c r="D2737" t="s">
        <v>32</v>
      </c>
      <c r="E2737" t="s">
        <v>21</v>
      </c>
      <c r="F2737" t="s">
        <v>22</v>
      </c>
      <c r="G2737" t="s">
        <v>23</v>
      </c>
      <c r="H2737" t="s">
        <v>86</v>
      </c>
      <c r="I2737" t="s">
        <v>5472</v>
      </c>
      <c r="J2737">
        <v>9.9070859999999996</v>
      </c>
      <c r="K2737">
        <v>-84.092236</v>
      </c>
      <c r="L2737" t="s">
        <v>1225</v>
      </c>
      <c r="M2737" t="s">
        <v>71</v>
      </c>
      <c r="N2737" t="s">
        <v>72</v>
      </c>
      <c r="O2737" t="s">
        <v>73</v>
      </c>
      <c r="P2737">
        <v>6</v>
      </c>
      <c r="Q2737" t="s">
        <v>49</v>
      </c>
      <c r="S2737" t="str">
        <f>_xlfn.XLOOKUP(UNIVERSO[[#This Row],[Ruta]],'[1]CUOTA RUTA'!A:A,'[1]CUOTA RUTA'!D:D)</f>
        <v>Cargar</v>
      </c>
    </row>
    <row r="2738" spans="1:19" x14ac:dyDescent="0.25">
      <c r="A2738">
        <v>1540013907</v>
      </c>
      <c r="B2738" t="s">
        <v>5473</v>
      </c>
      <c r="C2738" t="s">
        <v>19</v>
      </c>
      <c r="D2738" t="s">
        <v>337</v>
      </c>
      <c r="E2738" t="s">
        <v>21</v>
      </c>
      <c r="F2738" t="s">
        <v>22</v>
      </c>
      <c r="G2738" t="s">
        <v>23</v>
      </c>
      <c r="H2738" t="s">
        <v>343</v>
      </c>
      <c r="I2738" t="s">
        <v>5474</v>
      </c>
      <c r="J2738">
        <v>10.720594999999999</v>
      </c>
      <c r="K2738">
        <v>-85.410196999999997</v>
      </c>
      <c r="L2738" t="s">
        <v>1225</v>
      </c>
      <c r="M2738" t="s">
        <v>327</v>
      </c>
      <c r="N2738" t="s">
        <v>340</v>
      </c>
      <c r="O2738" t="s">
        <v>341</v>
      </c>
      <c r="P2738">
        <v>15</v>
      </c>
      <c r="Q2738" t="s">
        <v>231</v>
      </c>
      <c r="S2738" t="str">
        <f>_xlfn.XLOOKUP(UNIVERSO[[#This Row],[Ruta]],'[1]CUOTA RUTA'!A:A,'[1]CUOTA RUTA'!D:D)</f>
        <v>Cargar</v>
      </c>
    </row>
    <row r="2739" spans="1:19" x14ac:dyDescent="0.25">
      <c r="A2739">
        <v>1540013938</v>
      </c>
      <c r="B2739" t="s">
        <v>5475</v>
      </c>
      <c r="C2739" t="s">
        <v>19</v>
      </c>
      <c r="D2739" t="s">
        <v>20</v>
      </c>
      <c r="E2739" t="s">
        <v>21</v>
      </c>
      <c r="F2739" t="s">
        <v>22</v>
      </c>
      <c r="G2739" t="s">
        <v>33</v>
      </c>
      <c r="H2739" t="s">
        <v>285</v>
      </c>
      <c r="I2739" t="s">
        <v>5476</v>
      </c>
      <c r="J2739">
        <v>10.000418</v>
      </c>
      <c r="K2739">
        <v>-84.199380000000005</v>
      </c>
      <c r="L2739" t="s">
        <v>1225</v>
      </c>
      <c r="M2739" t="s">
        <v>54</v>
      </c>
      <c r="N2739" t="s">
        <v>55</v>
      </c>
      <c r="O2739" t="s">
        <v>56</v>
      </c>
      <c r="P2739">
        <v>17</v>
      </c>
      <c r="Q2739" t="s">
        <v>287</v>
      </c>
      <c r="S2739" t="str">
        <f>_xlfn.XLOOKUP(UNIVERSO[[#This Row],[Ruta]],'[1]CUOTA RUTA'!A:A,'[1]CUOTA RUTA'!D:D)</f>
        <v>Cargar</v>
      </c>
    </row>
    <row r="2740" spans="1:19" x14ac:dyDescent="0.25">
      <c r="A2740">
        <v>1540014006</v>
      </c>
      <c r="B2740" t="s">
        <v>1463</v>
      </c>
      <c r="C2740" t="s">
        <v>19</v>
      </c>
      <c r="D2740" t="s">
        <v>32</v>
      </c>
      <c r="E2740" t="s">
        <v>21</v>
      </c>
      <c r="F2740" t="s">
        <v>51</v>
      </c>
      <c r="G2740" t="s">
        <v>23</v>
      </c>
      <c r="H2740" t="s">
        <v>127</v>
      </c>
      <c r="I2740" t="s">
        <v>5477</v>
      </c>
      <c r="J2740">
        <v>9.7907833333329997</v>
      </c>
      <c r="K2740">
        <v>-84.096403333330002</v>
      </c>
      <c r="L2740" t="s">
        <v>1225</v>
      </c>
      <c r="M2740" t="s">
        <v>54</v>
      </c>
      <c r="N2740" t="s">
        <v>129</v>
      </c>
      <c r="O2740" t="s">
        <v>130</v>
      </c>
      <c r="P2740">
        <v>22</v>
      </c>
      <c r="Q2740" t="s">
        <v>30</v>
      </c>
      <c r="S2740" t="str">
        <f>_xlfn.XLOOKUP(UNIVERSO[[#This Row],[Ruta]],'[1]CUOTA RUTA'!A:A,'[1]CUOTA RUTA'!D:D)</f>
        <v>Cargar</v>
      </c>
    </row>
    <row r="2741" spans="1:19" x14ac:dyDescent="0.25">
      <c r="A2741">
        <v>1540014014</v>
      </c>
      <c r="B2741" t="s">
        <v>5478</v>
      </c>
      <c r="C2741" t="s">
        <v>19</v>
      </c>
      <c r="D2741" t="s">
        <v>32</v>
      </c>
      <c r="E2741" t="s">
        <v>21</v>
      </c>
      <c r="F2741" t="s">
        <v>22</v>
      </c>
      <c r="G2741" t="s">
        <v>33</v>
      </c>
      <c r="H2741" t="s">
        <v>92</v>
      </c>
      <c r="I2741" t="s">
        <v>5479</v>
      </c>
      <c r="J2741">
        <v>9.97743</v>
      </c>
      <c r="K2741">
        <v>-84.007000000000005</v>
      </c>
      <c r="L2741" t="s">
        <v>1225</v>
      </c>
      <c r="M2741" t="s">
        <v>94</v>
      </c>
      <c r="N2741" t="s">
        <v>95</v>
      </c>
      <c r="O2741" t="s">
        <v>96</v>
      </c>
      <c r="P2741">
        <v>1</v>
      </c>
      <c r="Q2741" t="s">
        <v>155</v>
      </c>
      <c r="S2741" t="str">
        <f>_xlfn.XLOOKUP(UNIVERSO[[#This Row],[Ruta]],'[1]CUOTA RUTA'!A:A,'[1]CUOTA RUTA'!D:D)</f>
        <v>Cargar</v>
      </c>
    </row>
    <row r="2742" spans="1:19" x14ac:dyDescent="0.25">
      <c r="A2742">
        <v>1540014028</v>
      </c>
      <c r="B2742" t="s">
        <v>5480</v>
      </c>
      <c r="C2742" t="s">
        <v>19</v>
      </c>
      <c r="D2742" t="s">
        <v>32</v>
      </c>
      <c r="E2742" t="s">
        <v>21</v>
      </c>
      <c r="F2742" t="s">
        <v>22</v>
      </c>
      <c r="G2742" t="s">
        <v>33</v>
      </c>
      <c r="H2742" t="s">
        <v>138</v>
      </c>
      <c r="I2742" t="s">
        <v>5481</v>
      </c>
      <c r="J2742">
        <v>9.9453820000000004</v>
      </c>
      <c r="K2742">
        <v>-84.053946999999994</v>
      </c>
      <c r="L2742" t="s">
        <v>1225</v>
      </c>
      <c r="M2742" t="s">
        <v>36</v>
      </c>
      <c r="N2742" t="s">
        <v>37</v>
      </c>
      <c r="O2742" t="s">
        <v>38</v>
      </c>
      <c r="P2742">
        <v>22</v>
      </c>
      <c r="Q2742" t="s">
        <v>30</v>
      </c>
      <c r="S2742" t="str">
        <f>_xlfn.XLOOKUP(UNIVERSO[[#This Row],[Ruta]],'[1]CUOTA RUTA'!A:A,'[1]CUOTA RUTA'!D:D)</f>
        <v>Cargar</v>
      </c>
    </row>
    <row r="2743" spans="1:19" x14ac:dyDescent="0.25">
      <c r="A2743">
        <v>1540014039</v>
      </c>
      <c r="B2743" t="s">
        <v>5482</v>
      </c>
      <c r="C2743" t="s">
        <v>19</v>
      </c>
      <c r="D2743" t="s">
        <v>186</v>
      </c>
      <c r="E2743" t="s">
        <v>21</v>
      </c>
      <c r="F2743" t="s">
        <v>22</v>
      </c>
      <c r="G2743" t="s">
        <v>64</v>
      </c>
      <c r="H2743" t="s">
        <v>187</v>
      </c>
      <c r="I2743" t="s">
        <v>5483</v>
      </c>
      <c r="J2743">
        <v>9.9913609999999995</v>
      </c>
      <c r="K2743">
        <v>-83.057739999999995</v>
      </c>
      <c r="L2743" t="s">
        <v>1225</v>
      </c>
      <c r="M2743" t="s">
        <v>189</v>
      </c>
      <c r="N2743" t="s">
        <v>190</v>
      </c>
      <c r="O2743" t="s">
        <v>191</v>
      </c>
      <c r="P2743">
        <v>14</v>
      </c>
      <c r="Q2743" t="s">
        <v>181</v>
      </c>
      <c r="S2743" t="str">
        <f>_xlfn.XLOOKUP(UNIVERSO[[#This Row],[Ruta]],'[1]CUOTA RUTA'!A:A,'[1]CUOTA RUTA'!D:D)</f>
        <v>Cargar</v>
      </c>
    </row>
    <row r="2744" spans="1:19" x14ac:dyDescent="0.25">
      <c r="A2744">
        <v>1540014049</v>
      </c>
      <c r="B2744" t="s">
        <v>5484</v>
      </c>
      <c r="C2744" t="s">
        <v>19</v>
      </c>
      <c r="D2744" t="s">
        <v>208</v>
      </c>
      <c r="E2744" t="s">
        <v>21</v>
      </c>
      <c r="F2744" t="s">
        <v>22</v>
      </c>
      <c r="G2744" t="s">
        <v>33</v>
      </c>
      <c r="H2744" t="s">
        <v>502</v>
      </c>
      <c r="I2744" t="s">
        <v>5485</v>
      </c>
      <c r="J2744">
        <v>10.294254</v>
      </c>
      <c r="K2744">
        <v>-83.5244</v>
      </c>
      <c r="L2744" t="s">
        <v>1225</v>
      </c>
      <c r="M2744" t="s">
        <v>189</v>
      </c>
      <c r="N2744" t="s">
        <v>211</v>
      </c>
      <c r="O2744" t="s">
        <v>212</v>
      </c>
      <c r="P2744">
        <v>9</v>
      </c>
      <c r="Q2744" t="s">
        <v>80</v>
      </c>
      <c r="S2744" t="str">
        <f>_xlfn.XLOOKUP(UNIVERSO[[#This Row],[Ruta]],'[1]CUOTA RUTA'!A:A,'[1]CUOTA RUTA'!D:D)</f>
        <v>Cargar</v>
      </c>
    </row>
    <row r="2745" spans="1:19" x14ac:dyDescent="0.25">
      <c r="A2745">
        <v>1540014050</v>
      </c>
      <c r="B2745" t="s">
        <v>5486</v>
      </c>
      <c r="C2745" t="s">
        <v>19</v>
      </c>
      <c r="D2745" t="s">
        <v>208</v>
      </c>
      <c r="E2745" t="s">
        <v>21</v>
      </c>
      <c r="F2745" t="s">
        <v>22</v>
      </c>
      <c r="G2745" t="s">
        <v>64</v>
      </c>
      <c r="H2745" t="s">
        <v>631</v>
      </c>
      <c r="I2745" t="s">
        <v>5487</v>
      </c>
      <c r="J2745">
        <v>10.306737999999999</v>
      </c>
      <c r="K2745">
        <v>-83.653199999999998</v>
      </c>
      <c r="L2745" t="s">
        <v>1225</v>
      </c>
      <c r="M2745" t="s">
        <v>189</v>
      </c>
      <c r="N2745" t="s">
        <v>211</v>
      </c>
      <c r="O2745" t="s">
        <v>212</v>
      </c>
      <c r="P2745">
        <v>6</v>
      </c>
      <c r="Q2745" t="s">
        <v>49</v>
      </c>
      <c r="S2745" t="str">
        <f>_xlfn.XLOOKUP(UNIVERSO[[#This Row],[Ruta]],'[1]CUOTA RUTA'!A:A,'[1]CUOTA RUTA'!D:D)</f>
        <v>Cargar</v>
      </c>
    </row>
    <row r="2746" spans="1:19" x14ac:dyDescent="0.25">
      <c r="A2746">
        <v>1540014060</v>
      </c>
      <c r="B2746" t="s">
        <v>5488</v>
      </c>
      <c r="C2746" t="s">
        <v>19</v>
      </c>
      <c r="D2746" t="s">
        <v>20</v>
      </c>
      <c r="E2746" t="s">
        <v>21</v>
      </c>
      <c r="F2746" t="s">
        <v>22</v>
      </c>
      <c r="G2746" t="s">
        <v>23</v>
      </c>
      <c r="H2746" t="s">
        <v>250</v>
      </c>
      <c r="I2746" t="s">
        <v>5489</v>
      </c>
      <c r="J2746">
        <v>10.070503799999999</v>
      </c>
      <c r="K2746">
        <v>-84.319745100000006</v>
      </c>
      <c r="L2746" t="s">
        <v>1225</v>
      </c>
      <c r="M2746" t="s">
        <v>46</v>
      </c>
      <c r="N2746" t="s">
        <v>47</v>
      </c>
      <c r="O2746" t="s">
        <v>48</v>
      </c>
      <c r="P2746">
        <v>4</v>
      </c>
      <c r="Q2746" t="s">
        <v>120</v>
      </c>
      <c r="S2746" t="str">
        <f>_xlfn.XLOOKUP(UNIVERSO[[#This Row],[Ruta]],'[1]CUOTA RUTA'!A:A,'[1]CUOTA RUTA'!D:D)</f>
        <v>Cargar</v>
      </c>
    </row>
    <row r="2747" spans="1:19" x14ac:dyDescent="0.25">
      <c r="A2747">
        <v>1540014065</v>
      </c>
      <c r="B2747" t="s">
        <v>5490</v>
      </c>
      <c r="C2747" t="s">
        <v>19</v>
      </c>
      <c r="D2747" t="s">
        <v>20</v>
      </c>
      <c r="E2747" t="s">
        <v>21</v>
      </c>
      <c r="F2747" t="s">
        <v>22</v>
      </c>
      <c r="G2747" t="s">
        <v>23</v>
      </c>
      <c r="H2747" t="s">
        <v>1506</v>
      </c>
      <c r="I2747" t="s">
        <v>5491</v>
      </c>
      <c r="J2747">
        <v>9.98611</v>
      </c>
      <c r="K2747">
        <v>-84.135930000000002</v>
      </c>
      <c r="L2747" t="s">
        <v>1225</v>
      </c>
      <c r="M2747" t="s">
        <v>27</v>
      </c>
      <c r="N2747" t="s">
        <v>28</v>
      </c>
      <c r="O2747" t="s">
        <v>29</v>
      </c>
      <c r="P2747">
        <v>5</v>
      </c>
      <c r="Q2747" t="s">
        <v>117</v>
      </c>
      <c r="S2747" t="str">
        <f>_xlfn.XLOOKUP(UNIVERSO[[#This Row],[Ruta]],'[1]CUOTA RUTA'!A:A,'[1]CUOTA RUTA'!D:D)</f>
        <v>Cargar</v>
      </c>
    </row>
    <row r="2748" spans="1:19" x14ac:dyDescent="0.25">
      <c r="A2748">
        <v>1540014078</v>
      </c>
      <c r="B2748" t="s">
        <v>5492</v>
      </c>
      <c r="C2748" t="s">
        <v>19</v>
      </c>
      <c r="D2748" t="s">
        <v>20</v>
      </c>
      <c r="E2748" t="s">
        <v>21</v>
      </c>
      <c r="F2748" t="s">
        <v>22</v>
      </c>
      <c r="G2748" t="s">
        <v>23</v>
      </c>
      <c r="H2748" t="s">
        <v>554</v>
      </c>
      <c r="I2748" t="s">
        <v>5493</v>
      </c>
      <c r="J2748">
        <v>10.017861999999999</v>
      </c>
      <c r="K2748">
        <v>-84.132307999999995</v>
      </c>
      <c r="L2748" t="s">
        <v>1225</v>
      </c>
      <c r="M2748" t="s">
        <v>27</v>
      </c>
      <c r="N2748" t="s">
        <v>28</v>
      </c>
      <c r="O2748" t="s">
        <v>29</v>
      </c>
      <c r="P2748">
        <v>15</v>
      </c>
      <c r="Q2748" t="s">
        <v>231</v>
      </c>
      <c r="S2748" t="str">
        <f>_xlfn.XLOOKUP(UNIVERSO[[#This Row],[Ruta]],'[1]CUOTA RUTA'!A:A,'[1]CUOTA RUTA'!D:D)</f>
        <v>Cargar</v>
      </c>
    </row>
    <row r="2749" spans="1:19" x14ac:dyDescent="0.25">
      <c r="A2749">
        <v>1540014117</v>
      </c>
      <c r="B2749" t="s">
        <v>5494</v>
      </c>
      <c r="C2749" t="s">
        <v>19</v>
      </c>
      <c r="D2749" t="s">
        <v>244</v>
      </c>
      <c r="E2749" t="s">
        <v>21</v>
      </c>
      <c r="F2749" t="s">
        <v>22</v>
      </c>
      <c r="G2749" t="s">
        <v>64</v>
      </c>
      <c r="H2749" t="s">
        <v>857</v>
      </c>
      <c r="I2749" t="s">
        <v>5495</v>
      </c>
      <c r="J2749">
        <v>9.3988619999999994</v>
      </c>
      <c r="K2749">
        <v>-83.704735999999997</v>
      </c>
      <c r="L2749" t="s">
        <v>1225</v>
      </c>
      <c r="M2749" t="s">
        <v>46</v>
      </c>
      <c r="N2749" t="s">
        <v>247</v>
      </c>
      <c r="O2749" t="s">
        <v>248</v>
      </c>
      <c r="P2749">
        <v>17</v>
      </c>
      <c r="Q2749" t="s">
        <v>287</v>
      </c>
      <c r="S2749" t="str">
        <f>_xlfn.XLOOKUP(UNIVERSO[[#This Row],[Ruta]],'[1]CUOTA RUTA'!A:A,'[1]CUOTA RUTA'!D:D)</f>
        <v>Cargar</v>
      </c>
    </row>
    <row r="2750" spans="1:19" x14ac:dyDescent="0.25">
      <c r="A2750">
        <v>1540014118</v>
      </c>
      <c r="B2750" t="s">
        <v>5496</v>
      </c>
      <c r="C2750" t="s">
        <v>19</v>
      </c>
      <c r="D2750" t="s">
        <v>244</v>
      </c>
      <c r="E2750" t="s">
        <v>21</v>
      </c>
      <c r="F2750" t="s">
        <v>22</v>
      </c>
      <c r="G2750" t="s">
        <v>33</v>
      </c>
      <c r="H2750" t="s">
        <v>1294</v>
      </c>
      <c r="I2750" t="s">
        <v>5497</v>
      </c>
      <c r="J2750">
        <v>9.3604590000000005</v>
      </c>
      <c r="K2750">
        <v>-83.747249999999994</v>
      </c>
      <c r="L2750" t="s">
        <v>1225</v>
      </c>
      <c r="M2750" t="s">
        <v>46</v>
      </c>
      <c r="N2750" t="s">
        <v>247</v>
      </c>
      <c r="O2750" t="s">
        <v>248</v>
      </c>
      <c r="P2750">
        <v>16</v>
      </c>
      <c r="Q2750" t="s">
        <v>60</v>
      </c>
      <c r="S2750" t="str">
        <f>_xlfn.XLOOKUP(UNIVERSO[[#This Row],[Ruta]],'[1]CUOTA RUTA'!A:A,'[1]CUOTA RUTA'!D:D)</f>
        <v>Cargar</v>
      </c>
    </row>
    <row r="2751" spans="1:19" x14ac:dyDescent="0.25">
      <c r="A2751">
        <v>1540014133</v>
      </c>
      <c r="B2751" t="s">
        <v>5498</v>
      </c>
      <c r="C2751" t="s">
        <v>19</v>
      </c>
      <c r="D2751" t="s">
        <v>266</v>
      </c>
      <c r="E2751" t="s">
        <v>21</v>
      </c>
      <c r="F2751" t="s">
        <v>22</v>
      </c>
      <c r="G2751" t="s">
        <v>64</v>
      </c>
      <c r="H2751" t="s">
        <v>1011</v>
      </c>
      <c r="I2751" t="s">
        <v>5499</v>
      </c>
      <c r="J2751">
        <v>9.9372100000000003</v>
      </c>
      <c r="K2751">
        <v>-83.906620000000004</v>
      </c>
      <c r="L2751" t="s">
        <v>1225</v>
      </c>
      <c r="M2751" t="s">
        <v>54</v>
      </c>
      <c r="N2751" t="s">
        <v>274</v>
      </c>
      <c r="O2751" t="s">
        <v>275</v>
      </c>
      <c r="P2751">
        <v>21</v>
      </c>
      <c r="Q2751" t="s">
        <v>239</v>
      </c>
      <c r="S2751" t="str">
        <f>_xlfn.XLOOKUP(UNIVERSO[[#This Row],[Ruta]],'[1]CUOTA RUTA'!A:A,'[1]CUOTA RUTA'!D:D)</f>
        <v>Cargar</v>
      </c>
    </row>
    <row r="2752" spans="1:19" x14ac:dyDescent="0.25">
      <c r="A2752">
        <v>1540014163</v>
      </c>
      <c r="B2752" t="s">
        <v>5500</v>
      </c>
      <c r="C2752" t="s">
        <v>19</v>
      </c>
      <c r="D2752" t="s">
        <v>20</v>
      </c>
      <c r="E2752" t="s">
        <v>21</v>
      </c>
      <c r="F2752" t="s">
        <v>22</v>
      </c>
      <c r="G2752" t="s">
        <v>64</v>
      </c>
      <c r="H2752" t="s">
        <v>1143</v>
      </c>
      <c r="I2752" t="s">
        <v>5501</v>
      </c>
      <c r="J2752">
        <v>10.095578</v>
      </c>
      <c r="K2752">
        <v>-84.188462999999999</v>
      </c>
      <c r="L2752" t="s">
        <v>1225</v>
      </c>
      <c r="M2752" t="s">
        <v>54</v>
      </c>
      <c r="N2752" t="s">
        <v>55</v>
      </c>
      <c r="O2752" t="s">
        <v>56</v>
      </c>
      <c r="P2752">
        <v>18</v>
      </c>
      <c r="Q2752" t="s">
        <v>84</v>
      </c>
      <c r="S2752" t="str">
        <f>_xlfn.XLOOKUP(UNIVERSO[[#This Row],[Ruta]],'[1]CUOTA RUTA'!A:A,'[1]CUOTA RUTA'!D:D)</f>
        <v>Cargar</v>
      </c>
    </row>
    <row r="2753" spans="1:19" x14ac:dyDescent="0.25">
      <c r="A2753">
        <v>1540014221</v>
      </c>
      <c r="B2753" t="s">
        <v>5502</v>
      </c>
      <c r="C2753" t="s">
        <v>19</v>
      </c>
      <c r="D2753" t="s">
        <v>20</v>
      </c>
      <c r="E2753" t="s">
        <v>21</v>
      </c>
      <c r="F2753" t="s">
        <v>22</v>
      </c>
      <c r="G2753" t="s">
        <v>33</v>
      </c>
      <c r="H2753" t="s">
        <v>874</v>
      </c>
      <c r="I2753" t="s">
        <v>5503</v>
      </c>
      <c r="J2753">
        <v>9.97865</v>
      </c>
      <c r="K2753">
        <v>-84.118340000000003</v>
      </c>
      <c r="L2753" t="s">
        <v>1225</v>
      </c>
      <c r="M2753" t="s">
        <v>27</v>
      </c>
      <c r="N2753" t="s">
        <v>28</v>
      </c>
      <c r="O2753" t="s">
        <v>29</v>
      </c>
      <c r="P2753">
        <v>6</v>
      </c>
      <c r="Q2753" t="s">
        <v>49</v>
      </c>
      <c r="S2753" t="str">
        <f>_xlfn.XLOOKUP(UNIVERSO[[#This Row],[Ruta]],'[1]CUOTA RUTA'!A:A,'[1]CUOTA RUTA'!D:D)</f>
        <v>Cargar</v>
      </c>
    </row>
    <row r="2754" spans="1:19" x14ac:dyDescent="0.25">
      <c r="A2754">
        <v>1540014251</v>
      </c>
      <c r="B2754" t="s">
        <v>5504</v>
      </c>
      <c r="C2754" t="s">
        <v>19</v>
      </c>
      <c r="D2754" t="s">
        <v>208</v>
      </c>
      <c r="E2754" t="s">
        <v>21</v>
      </c>
      <c r="F2754" t="s">
        <v>22</v>
      </c>
      <c r="G2754" t="s">
        <v>23</v>
      </c>
      <c r="H2754" t="s">
        <v>502</v>
      </c>
      <c r="I2754" t="s">
        <v>5505</v>
      </c>
      <c r="J2754">
        <v>10.287817</v>
      </c>
      <c r="K2754">
        <v>-83.607558999999995</v>
      </c>
      <c r="L2754" t="s">
        <v>1225</v>
      </c>
      <c r="M2754" t="s">
        <v>189</v>
      </c>
      <c r="N2754" t="s">
        <v>211</v>
      </c>
      <c r="O2754" t="s">
        <v>212</v>
      </c>
      <c r="P2754">
        <v>6</v>
      </c>
      <c r="Q2754" t="s">
        <v>49</v>
      </c>
      <c r="S2754" t="str">
        <f>_xlfn.XLOOKUP(UNIVERSO[[#This Row],[Ruta]],'[1]CUOTA RUTA'!A:A,'[1]CUOTA RUTA'!D:D)</f>
        <v>Cargar</v>
      </c>
    </row>
    <row r="2755" spans="1:19" x14ac:dyDescent="0.25">
      <c r="A2755">
        <v>1540014257</v>
      </c>
      <c r="B2755" t="s">
        <v>5506</v>
      </c>
      <c r="C2755" t="s">
        <v>19</v>
      </c>
      <c r="D2755" t="s">
        <v>32</v>
      </c>
      <c r="E2755" t="s">
        <v>21</v>
      </c>
      <c r="F2755" t="s">
        <v>22</v>
      </c>
      <c r="G2755" t="s">
        <v>64</v>
      </c>
      <c r="H2755" t="s">
        <v>115</v>
      </c>
      <c r="I2755" t="s">
        <v>5507</v>
      </c>
      <c r="J2755">
        <v>9.9415999999999993</v>
      </c>
      <c r="K2755">
        <v>-84.071299999999994</v>
      </c>
      <c r="L2755" t="s">
        <v>1225</v>
      </c>
      <c r="M2755" t="s">
        <v>36</v>
      </c>
      <c r="N2755" t="s">
        <v>37</v>
      </c>
      <c r="O2755" t="s">
        <v>38</v>
      </c>
      <c r="P2755">
        <v>4</v>
      </c>
      <c r="Q2755" t="s">
        <v>120</v>
      </c>
      <c r="S2755" t="str">
        <f>_xlfn.XLOOKUP(UNIVERSO[[#This Row],[Ruta]],'[1]CUOTA RUTA'!A:A,'[1]CUOTA RUTA'!D:D)</f>
        <v>Cargar</v>
      </c>
    </row>
    <row r="2756" spans="1:19" x14ac:dyDescent="0.25">
      <c r="A2756">
        <v>1540014313</v>
      </c>
      <c r="B2756" t="s">
        <v>5508</v>
      </c>
      <c r="C2756" t="s">
        <v>19</v>
      </c>
      <c r="D2756" t="s">
        <v>20</v>
      </c>
      <c r="E2756" t="s">
        <v>21</v>
      </c>
      <c r="F2756" t="s">
        <v>51</v>
      </c>
      <c r="G2756" t="s">
        <v>23</v>
      </c>
      <c r="H2756" t="s">
        <v>277</v>
      </c>
      <c r="I2756" t="s">
        <v>5509</v>
      </c>
      <c r="J2756">
        <v>9.9678232999999992</v>
      </c>
      <c r="K2756">
        <v>-84.232808300000002</v>
      </c>
      <c r="L2756" t="s">
        <v>1225</v>
      </c>
      <c r="M2756" t="s">
        <v>54</v>
      </c>
      <c r="N2756" t="s">
        <v>55</v>
      </c>
      <c r="O2756" t="s">
        <v>56</v>
      </c>
      <c r="P2756">
        <v>9</v>
      </c>
      <c r="Q2756" t="s">
        <v>80</v>
      </c>
      <c r="S2756" t="str">
        <f>_xlfn.XLOOKUP(UNIVERSO[[#This Row],[Ruta]],'[1]CUOTA RUTA'!A:A,'[1]CUOTA RUTA'!D:D)</f>
        <v>Cargar</v>
      </c>
    </row>
    <row r="2757" spans="1:19" x14ac:dyDescent="0.25">
      <c r="A2757">
        <v>1540014320</v>
      </c>
      <c r="B2757" t="s">
        <v>5510</v>
      </c>
      <c r="C2757" t="s">
        <v>19</v>
      </c>
      <c r="D2757" t="s">
        <v>20</v>
      </c>
      <c r="E2757" t="s">
        <v>62</v>
      </c>
      <c r="F2757" t="s">
        <v>63</v>
      </c>
      <c r="G2757" t="s">
        <v>64</v>
      </c>
      <c r="H2757" t="s">
        <v>862</v>
      </c>
      <c r="I2757" t="s">
        <v>5511</v>
      </c>
      <c r="J2757">
        <v>9.9787491100000008</v>
      </c>
      <c r="K2757">
        <v>-84.187419050000003</v>
      </c>
      <c r="L2757" t="s">
        <v>1225</v>
      </c>
      <c r="M2757" t="s">
        <v>27</v>
      </c>
      <c r="N2757" t="s">
        <v>28</v>
      </c>
      <c r="O2757" t="s">
        <v>29</v>
      </c>
      <c r="P2757">
        <v>23</v>
      </c>
      <c r="Q2757" t="s">
        <v>125</v>
      </c>
      <c r="S2757" t="str">
        <f>_xlfn.XLOOKUP(UNIVERSO[[#This Row],[Ruta]],'[1]CUOTA RUTA'!A:A,'[1]CUOTA RUTA'!D:D)</f>
        <v>Cargar</v>
      </c>
    </row>
    <row r="2758" spans="1:19" x14ac:dyDescent="0.25">
      <c r="A2758">
        <v>1540014325</v>
      </c>
      <c r="B2758" t="s">
        <v>5512</v>
      </c>
      <c r="C2758" t="s">
        <v>19</v>
      </c>
      <c r="D2758" t="s">
        <v>20</v>
      </c>
      <c r="E2758" t="s">
        <v>21</v>
      </c>
      <c r="F2758" t="s">
        <v>22</v>
      </c>
      <c r="G2758" t="s">
        <v>33</v>
      </c>
      <c r="H2758" t="s">
        <v>250</v>
      </c>
      <c r="I2758" t="s">
        <v>5513</v>
      </c>
      <c r="J2758">
        <v>10.02317313</v>
      </c>
      <c r="K2758">
        <v>-84.265138789999995</v>
      </c>
      <c r="L2758" t="s">
        <v>1225</v>
      </c>
      <c r="M2758" t="s">
        <v>46</v>
      </c>
      <c r="N2758" t="s">
        <v>47</v>
      </c>
      <c r="O2758" t="s">
        <v>48</v>
      </c>
      <c r="P2758">
        <v>3</v>
      </c>
      <c r="Q2758" t="s">
        <v>101</v>
      </c>
      <c r="S2758" t="str">
        <f>_xlfn.XLOOKUP(UNIVERSO[[#This Row],[Ruta]],'[1]CUOTA RUTA'!A:A,'[1]CUOTA RUTA'!D:D)</f>
        <v>Cargar</v>
      </c>
    </row>
    <row r="2759" spans="1:19" x14ac:dyDescent="0.25">
      <c r="A2759">
        <v>1540014364</v>
      </c>
      <c r="B2759" t="s">
        <v>5514</v>
      </c>
      <c r="C2759" t="s">
        <v>19</v>
      </c>
      <c r="D2759" t="s">
        <v>186</v>
      </c>
      <c r="E2759" t="s">
        <v>21</v>
      </c>
      <c r="F2759" t="s">
        <v>22</v>
      </c>
      <c r="G2759" t="s">
        <v>33</v>
      </c>
      <c r="H2759" t="s">
        <v>229</v>
      </c>
      <c r="I2759" t="s">
        <v>5515</v>
      </c>
      <c r="J2759">
        <v>9.9827349999999999</v>
      </c>
      <c r="K2759">
        <v>-83.042012999999997</v>
      </c>
      <c r="L2759" t="s">
        <v>1225</v>
      </c>
      <c r="M2759" t="s">
        <v>189</v>
      </c>
      <c r="N2759" t="s">
        <v>190</v>
      </c>
      <c r="O2759" t="s">
        <v>191</v>
      </c>
      <c r="P2759">
        <v>14</v>
      </c>
      <c r="Q2759" t="s">
        <v>181</v>
      </c>
      <c r="S2759" t="str">
        <f>_xlfn.XLOOKUP(UNIVERSO[[#This Row],[Ruta]],'[1]CUOTA RUTA'!A:A,'[1]CUOTA RUTA'!D:D)</f>
        <v>Cargar</v>
      </c>
    </row>
    <row r="2760" spans="1:19" x14ac:dyDescent="0.25">
      <c r="A2760">
        <v>1540014368</v>
      </c>
      <c r="B2760" t="s">
        <v>5516</v>
      </c>
      <c r="C2760" t="s">
        <v>19</v>
      </c>
      <c r="D2760" t="s">
        <v>32</v>
      </c>
      <c r="E2760" t="s">
        <v>21</v>
      </c>
      <c r="F2760" t="s">
        <v>22</v>
      </c>
      <c r="G2760" t="s">
        <v>64</v>
      </c>
      <c r="H2760" t="s">
        <v>183</v>
      </c>
      <c r="I2760" t="s">
        <v>5517</v>
      </c>
      <c r="J2760">
        <v>9.9544259999999998</v>
      </c>
      <c r="K2760">
        <v>-84.0732</v>
      </c>
      <c r="L2760" t="s">
        <v>1225</v>
      </c>
      <c r="M2760" t="s">
        <v>36</v>
      </c>
      <c r="N2760" t="s">
        <v>37</v>
      </c>
      <c r="O2760" t="s">
        <v>38</v>
      </c>
      <c r="P2760">
        <v>3</v>
      </c>
      <c r="Q2760" t="s">
        <v>101</v>
      </c>
      <c r="S2760" t="str">
        <f>_xlfn.XLOOKUP(UNIVERSO[[#This Row],[Ruta]],'[1]CUOTA RUTA'!A:A,'[1]CUOTA RUTA'!D:D)</f>
        <v>Cargar</v>
      </c>
    </row>
    <row r="2761" spans="1:19" x14ac:dyDescent="0.25">
      <c r="A2761">
        <v>1540014380</v>
      </c>
      <c r="B2761" t="s">
        <v>5518</v>
      </c>
      <c r="C2761" t="s">
        <v>19</v>
      </c>
      <c r="D2761" t="s">
        <v>32</v>
      </c>
      <c r="E2761" t="s">
        <v>21</v>
      </c>
      <c r="F2761" t="s">
        <v>51</v>
      </c>
      <c r="G2761" t="s">
        <v>23</v>
      </c>
      <c r="H2761" t="s">
        <v>138</v>
      </c>
      <c r="I2761" t="s">
        <v>5519</v>
      </c>
      <c r="J2761">
        <v>9.9115284999999993</v>
      </c>
      <c r="K2761">
        <v>-84.0454005</v>
      </c>
      <c r="L2761" t="s">
        <v>1225</v>
      </c>
      <c r="M2761" t="s">
        <v>36</v>
      </c>
      <c r="N2761" t="s">
        <v>37</v>
      </c>
      <c r="O2761" t="s">
        <v>38</v>
      </c>
      <c r="P2761">
        <v>11</v>
      </c>
      <c r="Q2761" t="s">
        <v>108</v>
      </c>
      <c r="S2761" t="str">
        <f>_xlfn.XLOOKUP(UNIVERSO[[#This Row],[Ruta]],'[1]CUOTA RUTA'!A:A,'[1]CUOTA RUTA'!D:D)</f>
        <v>Cargar</v>
      </c>
    </row>
    <row r="2762" spans="1:19" x14ac:dyDescent="0.25">
      <c r="A2762">
        <v>1540014411</v>
      </c>
      <c r="B2762" t="s">
        <v>5520</v>
      </c>
      <c r="C2762" t="s">
        <v>19</v>
      </c>
      <c r="D2762" t="s">
        <v>32</v>
      </c>
      <c r="E2762" t="s">
        <v>21</v>
      </c>
      <c r="F2762" t="s">
        <v>22</v>
      </c>
      <c r="G2762" t="s">
        <v>23</v>
      </c>
      <c r="H2762" t="s">
        <v>86</v>
      </c>
      <c r="I2762" t="s">
        <v>5521</v>
      </c>
      <c r="J2762">
        <v>9.9063400000000001</v>
      </c>
      <c r="K2762">
        <v>-84.108294000000001</v>
      </c>
      <c r="L2762" t="s">
        <v>1225</v>
      </c>
      <c r="M2762" t="s">
        <v>71</v>
      </c>
      <c r="N2762" t="s">
        <v>72</v>
      </c>
      <c r="O2762" t="s">
        <v>73</v>
      </c>
      <c r="P2762">
        <v>12</v>
      </c>
      <c r="Q2762" t="s">
        <v>42</v>
      </c>
      <c r="S2762" t="str">
        <f>_xlfn.XLOOKUP(UNIVERSO[[#This Row],[Ruta]],'[1]CUOTA RUTA'!A:A,'[1]CUOTA RUTA'!D:D)</f>
        <v>Cargar</v>
      </c>
    </row>
    <row r="2763" spans="1:19" x14ac:dyDescent="0.25">
      <c r="A2763">
        <v>1540014546</v>
      </c>
      <c r="B2763" t="s">
        <v>1463</v>
      </c>
      <c r="C2763" t="s">
        <v>19</v>
      </c>
      <c r="D2763" t="s">
        <v>337</v>
      </c>
      <c r="E2763" t="s">
        <v>21</v>
      </c>
      <c r="F2763" t="s">
        <v>22</v>
      </c>
      <c r="G2763" t="s">
        <v>23</v>
      </c>
      <c r="H2763" t="s">
        <v>576</v>
      </c>
      <c r="I2763" t="s">
        <v>5522</v>
      </c>
      <c r="J2763">
        <v>10.635331000000001</v>
      </c>
      <c r="K2763">
        <v>-85.432332000000002</v>
      </c>
      <c r="L2763" t="s">
        <v>1225</v>
      </c>
      <c r="M2763" t="s">
        <v>327</v>
      </c>
      <c r="N2763" t="s">
        <v>340</v>
      </c>
      <c r="O2763" t="s">
        <v>341</v>
      </c>
      <c r="P2763">
        <v>13</v>
      </c>
      <c r="Q2763" t="s">
        <v>161</v>
      </c>
      <c r="S2763" t="str">
        <f>_xlfn.XLOOKUP(UNIVERSO[[#This Row],[Ruta]],'[1]CUOTA RUTA'!A:A,'[1]CUOTA RUTA'!D:D)</f>
        <v>Cargar</v>
      </c>
    </row>
    <row r="2764" spans="1:19" x14ac:dyDescent="0.25">
      <c r="A2764">
        <v>1540014632</v>
      </c>
      <c r="B2764" t="s">
        <v>5523</v>
      </c>
      <c r="C2764" t="s">
        <v>19</v>
      </c>
      <c r="D2764" t="s">
        <v>244</v>
      </c>
      <c r="E2764" t="s">
        <v>21</v>
      </c>
      <c r="F2764" t="s">
        <v>22</v>
      </c>
      <c r="G2764" t="s">
        <v>23</v>
      </c>
      <c r="H2764" t="s">
        <v>1294</v>
      </c>
      <c r="I2764" t="s">
        <v>5524</v>
      </c>
      <c r="J2764">
        <v>9.1707376000000007</v>
      </c>
      <c r="K2764">
        <v>-83.337798500000005</v>
      </c>
      <c r="L2764" t="s">
        <v>1225</v>
      </c>
      <c r="M2764" t="s">
        <v>46</v>
      </c>
      <c r="N2764" t="s">
        <v>247</v>
      </c>
      <c r="O2764" t="s">
        <v>248</v>
      </c>
      <c r="P2764">
        <v>12</v>
      </c>
      <c r="Q2764" t="s">
        <v>42</v>
      </c>
      <c r="S2764" t="str">
        <f>_xlfn.XLOOKUP(UNIVERSO[[#This Row],[Ruta]],'[1]CUOTA RUTA'!A:A,'[1]CUOTA RUTA'!D:D)</f>
        <v>Cargar</v>
      </c>
    </row>
    <row r="2765" spans="1:19" x14ac:dyDescent="0.25">
      <c r="A2765">
        <v>1540014636</v>
      </c>
      <c r="B2765" t="s">
        <v>5525</v>
      </c>
      <c r="C2765" t="s">
        <v>19</v>
      </c>
      <c r="D2765" t="s">
        <v>244</v>
      </c>
      <c r="E2765" t="s">
        <v>21</v>
      </c>
      <c r="F2765" t="s">
        <v>22</v>
      </c>
      <c r="G2765" t="s">
        <v>33</v>
      </c>
      <c r="H2765" t="s">
        <v>857</v>
      </c>
      <c r="I2765" t="s">
        <v>5526</v>
      </c>
      <c r="J2765">
        <v>9.3045639999999992</v>
      </c>
      <c r="K2765">
        <v>-83.651965000000004</v>
      </c>
      <c r="L2765" t="s">
        <v>1225</v>
      </c>
      <c r="M2765" t="s">
        <v>46</v>
      </c>
      <c r="N2765" t="s">
        <v>247</v>
      </c>
      <c r="O2765" t="s">
        <v>248</v>
      </c>
      <c r="P2765">
        <v>13</v>
      </c>
      <c r="Q2765" t="s">
        <v>161</v>
      </c>
      <c r="S2765" t="str">
        <f>_xlfn.XLOOKUP(UNIVERSO[[#This Row],[Ruta]],'[1]CUOTA RUTA'!A:A,'[1]CUOTA RUTA'!D:D)</f>
        <v>Cargar</v>
      </c>
    </row>
    <row r="2766" spans="1:19" x14ac:dyDescent="0.25">
      <c r="A2766">
        <v>1540014637</v>
      </c>
      <c r="B2766" t="s">
        <v>5527</v>
      </c>
      <c r="C2766" t="s">
        <v>19</v>
      </c>
      <c r="D2766" t="s">
        <v>244</v>
      </c>
      <c r="E2766" t="s">
        <v>21</v>
      </c>
      <c r="F2766" t="s">
        <v>22</v>
      </c>
      <c r="G2766" t="s">
        <v>33</v>
      </c>
      <c r="H2766" t="s">
        <v>857</v>
      </c>
      <c r="I2766" t="s">
        <v>5528</v>
      </c>
      <c r="J2766">
        <v>9.4089932800000007</v>
      </c>
      <c r="K2766">
        <v>-83.711616739999997</v>
      </c>
      <c r="L2766" t="s">
        <v>1225</v>
      </c>
      <c r="M2766" t="s">
        <v>46</v>
      </c>
      <c r="N2766" t="s">
        <v>247</v>
      </c>
      <c r="O2766" t="s">
        <v>248</v>
      </c>
      <c r="P2766">
        <v>17</v>
      </c>
      <c r="Q2766" t="s">
        <v>287</v>
      </c>
      <c r="S2766" t="str">
        <f>_xlfn.XLOOKUP(UNIVERSO[[#This Row],[Ruta]],'[1]CUOTA RUTA'!A:A,'[1]CUOTA RUTA'!D:D)</f>
        <v>Cargar</v>
      </c>
    </row>
    <row r="2767" spans="1:19" x14ac:dyDescent="0.25">
      <c r="A2767">
        <v>1540014706</v>
      </c>
      <c r="B2767" t="s">
        <v>5529</v>
      </c>
      <c r="C2767" t="s">
        <v>19</v>
      </c>
      <c r="D2767" t="s">
        <v>337</v>
      </c>
      <c r="E2767" t="s">
        <v>21</v>
      </c>
      <c r="F2767" t="s">
        <v>22</v>
      </c>
      <c r="G2767" t="s">
        <v>33</v>
      </c>
      <c r="H2767" t="s">
        <v>1732</v>
      </c>
      <c r="I2767" t="s">
        <v>5530</v>
      </c>
      <c r="J2767">
        <v>10.471439</v>
      </c>
      <c r="K2767">
        <v>-84.963616000000002</v>
      </c>
      <c r="L2767" t="s">
        <v>1225</v>
      </c>
      <c r="M2767" t="s">
        <v>327</v>
      </c>
      <c r="N2767" t="s">
        <v>340</v>
      </c>
      <c r="O2767" t="s">
        <v>341</v>
      </c>
      <c r="P2767">
        <v>23</v>
      </c>
      <c r="Q2767" t="s">
        <v>125</v>
      </c>
      <c r="S2767" t="str">
        <f>_xlfn.XLOOKUP(UNIVERSO[[#This Row],[Ruta]],'[1]CUOTA RUTA'!A:A,'[1]CUOTA RUTA'!D:D)</f>
        <v>Cargar</v>
      </c>
    </row>
    <row r="2768" spans="1:19" x14ac:dyDescent="0.25">
      <c r="A2768">
        <v>1540014720</v>
      </c>
      <c r="B2768" t="s">
        <v>5531</v>
      </c>
      <c r="C2768" t="s">
        <v>19</v>
      </c>
      <c r="D2768" t="s">
        <v>324</v>
      </c>
      <c r="E2768" t="s">
        <v>21</v>
      </c>
      <c r="F2768" t="s">
        <v>22</v>
      </c>
      <c r="G2768" t="s">
        <v>33</v>
      </c>
      <c r="H2768" t="s">
        <v>331</v>
      </c>
      <c r="I2768" t="s">
        <v>5532</v>
      </c>
      <c r="J2768">
        <v>10.436894000000001</v>
      </c>
      <c r="K2768">
        <v>-84.346085000000002</v>
      </c>
      <c r="L2768" t="s">
        <v>1225</v>
      </c>
      <c r="M2768" t="s">
        <v>327</v>
      </c>
      <c r="N2768" t="s">
        <v>328</v>
      </c>
      <c r="O2768" t="s">
        <v>329</v>
      </c>
      <c r="P2768">
        <v>19</v>
      </c>
      <c r="Q2768" t="s">
        <v>67</v>
      </c>
      <c r="S2768" t="str">
        <f>_xlfn.XLOOKUP(UNIVERSO[[#This Row],[Ruta]],'[1]CUOTA RUTA'!A:A,'[1]CUOTA RUTA'!D:D)</f>
        <v>Cargar</v>
      </c>
    </row>
    <row r="2769" spans="1:19" x14ac:dyDescent="0.25">
      <c r="A2769">
        <v>1540014730</v>
      </c>
      <c r="B2769" t="s">
        <v>1360</v>
      </c>
      <c r="C2769" t="s">
        <v>19</v>
      </c>
      <c r="D2769" t="s">
        <v>32</v>
      </c>
      <c r="E2769" t="s">
        <v>21</v>
      </c>
      <c r="F2769" t="s">
        <v>22</v>
      </c>
      <c r="G2769" t="s">
        <v>64</v>
      </c>
      <c r="H2769" t="s">
        <v>148</v>
      </c>
      <c r="I2769" t="s">
        <v>5533</v>
      </c>
      <c r="J2769">
        <v>9.9698670000000007</v>
      </c>
      <c r="K2769">
        <v>-84.028981000000002</v>
      </c>
      <c r="L2769" t="s">
        <v>1225</v>
      </c>
      <c r="M2769" t="s">
        <v>94</v>
      </c>
      <c r="N2769" t="s">
        <v>95</v>
      </c>
      <c r="O2769" t="s">
        <v>96</v>
      </c>
      <c r="P2769">
        <v>2</v>
      </c>
      <c r="Q2769" t="s">
        <v>150</v>
      </c>
      <c r="S2769" t="str">
        <f>_xlfn.XLOOKUP(UNIVERSO[[#This Row],[Ruta]],'[1]CUOTA RUTA'!A:A,'[1]CUOTA RUTA'!D:D)</f>
        <v>Cargar</v>
      </c>
    </row>
    <row r="2770" spans="1:19" x14ac:dyDescent="0.25">
      <c r="A2770">
        <v>1540014741</v>
      </c>
      <c r="B2770" t="s">
        <v>5534</v>
      </c>
      <c r="C2770" t="s">
        <v>19</v>
      </c>
      <c r="D2770" t="s">
        <v>244</v>
      </c>
      <c r="E2770" t="s">
        <v>21</v>
      </c>
      <c r="F2770" t="s">
        <v>22</v>
      </c>
      <c r="G2770" t="s">
        <v>33</v>
      </c>
      <c r="H2770" t="s">
        <v>245</v>
      </c>
      <c r="I2770" t="s">
        <v>5535</v>
      </c>
      <c r="J2770">
        <v>9.3466740000000001</v>
      </c>
      <c r="K2770">
        <v>-83.656577999999996</v>
      </c>
      <c r="L2770" t="s">
        <v>1225</v>
      </c>
      <c r="M2770" t="s">
        <v>46</v>
      </c>
      <c r="N2770" t="s">
        <v>247</v>
      </c>
      <c r="O2770" t="s">
        <v>248</v>
      </c>
      <c r="P2770">
        <v>15</v>
      </c>
      <c r="Q2770" t="s">
        <v>231</v>
      </c>
      <c r="S2770" t="str">
        <f>_xlfn.XLOOKUP(UNIVERSO[[#This Row],[Ruta]],'[1]CUOTA RUTA'!A:A,'[1]CUOTA RUTA'!D:D)</f>
        <v>Cargar</v>
      </c>
    </row>
    <row r="2771" spans="1:19" x14ac:dyDescent="0.25">
      <c r="A2771">
        <v>1540014748</v>
      </c>
      <c r="B2771" t="s">
        <v>5536</v>
      </c>
      <c r="C2771" t="s">
        <v>19</v>
      </c>
      <c r="D2771" t="s">
        <v>244</v>
      </c>
      <c r="E2771" t="s">
        <v>21</v>
      </c>
      <c r="F2771" t="s">
        <v>22</v>
      </c>
      <c r="G2771" t="s">
        <v>64</v>
      </c>
      <c r="H2771" t="s">
        <v>566</v>
      </c>
      <c r="I2771" t="s">
        <v>5537</v>
      </c>
      <c r="J2771">
        <v>9.1752254000000004</v>
      </c>
      <c r="K2771">
        <v>-83.322833099999997</v>
      </c>
      <c r="L2771" t="s">
        <v>1225</v>
      </c>
      <c r="M2771" t="s">
        <v>46</v>
      </c>
      <c r="N2771" t="s">
        <v>247</v>
      </c>
      <c r="O2771" t="s">
        <v>248</v>
      </c>
      <c r="P2771">
        <v>12</v>
      </c>
      <c r="Q2771" t="s">
        <v>42</v>
      </c>
      <c r="S2771" t="str">
        <f>_xlfn.XLOOKUP(UNIVERSO[[#This Row],[Ruta]],'[1]CUOTA RUTA'!A:A,'[1]CUOTA RUTA'!D:D)</f>
        <v>Cargar</v>
      </c>
    </row>
    <row r="2772" spans="1:19" x14ac:dyDescent="0.25">
      <c r="A2772">
        <v>1540014779</v>
      </c>
      <c r="B2772" t="s">
        <v>5538</v>
      </c>
      <c r="C2772" t="s">
        <v>19</v>
      </c>
      <c r="D2772" t="s">
        <v>186</v>
      </c>
      <c r="E2772" t="s">
        <v>21</v>
      </c>
      <c r="F2772" t="s">
        <v>22</v>
      </c>
      <c r="G2772" t="s">
        <v>64</v>
      </c>
      <c r="H2772" t="s">
        <v>237</v>
      </c>
      <c r="I2772" t="s">
        <v>5539</v>
      </c>
      <c r="J2772">
        <v>10.045997</v>
      </c>
      <c r="K2772">
        <v>-83.308176000000003</v>
      </c>
      <c r="L2772" t="s">
        <v>1225</v>
      </c>
      <c r="M2772" t="s">
        <v>189</v>
      </c>
      <c r="N2772" t="s">
        <v>190</v>
      </c>
      <c r="O2772" t="s">
        <v>191</v>
      </c>
      <c r="P2772">
        <v>22</v>
      </c>
      <c r="Q2772" t="s">
        <v>30</v>
      </c>
      <c r="S2772" t="str">
        <f>_xlfn.XLOOKUP(UNIVERSO[[#This Row],[Ruta]],'[1]CUOTA RUTA'!A:A,'[1]CUOTA RUTA'!D:D)</f>
        <v>Cargar</v>
      </c>
    </row>
    <row r="2773" spans="1:19" x14ac:dyDescent="0.25">
      <c r="A2773">
        <v>1540014783</v>
      </c>
      <c r="B2773" t="s">
        <v>3934</v>
      </c>
      <c r="C2773" t="s">
        <v>19</v>
      </c>
      <c r="D2773" t="s">
        <v>208</v>
      </c>
      <c r="E2773" t="s">
        <v>21</v>
      </c>
      <c r="F2773" t="s">
        <v>22</v>
      </c>
      <c r="G2773" t="s">
        <v>33</v>
      </c>
      <c r="H2773" t="s">
        <v>719</v>
      </c>
      <c r="I2773" t="s">
        <v>5540</v>
      </c>
      <c r="J2773">
        <v>10.400823770000001</v>
      </c>
      <c r="K2773">
        <v>-84.13399244</v>
      </c>
      <c r="L2773" t="s">
        <v>1225</v>
      </c>
      <c r="M2773" t="s">
        <v>189</v>
      </c>
      <c r="N2773" t="s">
        <v>211</v>
      </c>
      <c r="O2773" t="s">
        <v>212</v>
      </c>
      <c r="P2773">
        <v>11</v>
      </c>
      <c r="Q2773" t="s">
        <v>108</v>
      </c>
      <c r="S2773" t="str">
        <f>_xlfn.XLOOKUP(UNIVERSO[[#This Row],[Ruta]],'[1]CUOTA RUTA'!A:A,'[1]CUOTA RUTA'!D:D)</f>
        <v>Cargar</v>
      </c>
    </row>
    <row r="2774" spans="1:19" x14ac:dyDescent="0.25">
      <c r="A2774">
        <v>1540014792</v>
      </c>
      <c r="B2774" t="s">
        <v>5541</v>
      </c>
      <c r="C2774" t="s">
        <v>19</v>
      </c>
      <c r="D2774" t="s">
        <v>201</v>
      </c>
      <c r="E2774" t="s">
        <v>21</v>
      </c>
      <c r="F2774" t="s">
        <v>51</v>
      </c>
      <c r="G2774" t="s">
        <v>23</v>
      </c>
      <c r="H2774" t="s">
        <v>383</v>
      </c>
      <c r="I2774" t="s">
        <v>5542</v>
      </c>
      <c r="J2774">
        <v>9.9730726000000001</v>
      </c>
      <c r="K2774">
        <v>-84.726707399999995</v>
      </c>
      <c r="L2774" t="s">
        <v>1225</v>
      </c>
      <c r="M2774" t="s">
        <v>204</v>
      </c>
      <c r="N2774" t="s">
        <v>205</v>
      </c>
      <c r="O2774" t="s">
        <v>206</v>
      </c>
      <c r="P2774">
        <v>7</v>
      </c>
      <c r="Q2774" t="s">
        <v>39</v>
      </c>
      <c r="S2774" t="str">
        <f>_xlfn.XLOOKUP(UNIVERSO[[#This Row],[Ruta]],'[1]CUOTA RUTA'!A:A,'[1]CUOTA RUTA'!D:D)</f>
        <v>Cargar</v>
      </c>
    </row>
    <row r="2775" spans="1:19" x14ac:dyDescent="0.25">
      <c r="A2775">
        <v>1540014797</v>
      </c>
      <c r="B2775" t="s">
        <v>5543</v>
      </c>
      <c r="C2775" t="s">
        <v>19</v>
      </c>
      <c r="D2775" t="s">
        <v>20</v>
      </c>
      <c r="E2775" t="s">
        <v>62</v>
      </c>
      <c r="F2775" t="s">
        <v>63</v>
      </c>
      <c r="G2775" t="s">
        <v>64</v>
      </c>
      <c r="H2775" t="s">
        <v>862</v>
      </c>
      <c r="I2775" t="s">
        <v>5544</v>
      </c>
      <c r="J2775">
        <v>9.9815119800000005</v>
      </c>
      <c r="K2775">
        <v>-84.168968379999995</v>
      </c>
      <c r="L2775" t="s">
        <v>1225</v>
      </c>
      <c r="M2775" t="s">
        <v>27</v>
      </c>
      <c r="N2775" t="s">
        <v>28</v>
      </c>
      <c r="O2775" t="s">
        <v>29</v>
      </c>
      <c r="P2775">
        <v>23</v>
      </c>
      <c r="Q2775" t="s">
        <v>125</v>
      </c>
      <c r="S2775" t="str">
        <f>_xlfn.XLOOKUP(UNIVERSO[[#This Row],[Ruta]],'[1]CUOTA RUTA'!A:A,'[1]CUOTA RUTA'!D:D)</f>
        <v>Cargar</v>
      </c>
    </row>
    <row r="2776" spans="1:19" x14ac:dyDescent="0.25">
      <c r="A2776">
        <v>1540014819</v>
      </c>
      <c r="B2776" t="s">
        <v>5545</v>
      </c>
      <c r="C2776" t="s">
        <v>19</v>
      </c>
      <c r="D2776" t="s">
        <v>266</v>
      </c>
      <c r="E2776" t="s">
        <v>21</v>
      </c>
      <c r="F2776" t="s">
        <v>22</v>
      </c>
      <c r="G2776" t="s">
        <v>23</v>
      </c>
      <c r="H2776" t="s">
        <v>272</v>
      </c>
      <c r="I2776" t="s">
        <v>5546</v>
      </c>
      <c r="J2776">
        <v>9.8119741999999999</v>
      </c>
      <c r="K2776">
        <v>-83.704041799999999</v>
      </c>
      <c r="L2776" t="s">
        <v>1225</v>
      </c>
      <c r="M2776" t="s">
        <v>54</v>
      </c>
      <c r="N2776" t="s">
        <v>274</v>
      </c>
      <c r="O2776" t="s">
        <v>275</v>
      </c>
      <c r="P2776">
        <v>24</v>
      </c>
      <c r="Q2776" t="s">
        <v>947</v>
      </c>
      <c r="S2776" t="str">
        <f>_xlfn.XLOOKUP(UNIVERSO[[#This Row],[Ruta]],'[1]CUOTA RUTA'!A:A,'[1]CUOTA RUTA'!D:D)</f>
        <v>Cargar</v>
      </c>
    </row>
    <row r="2777" spans="1:19" x14ac:dyDescent="0.25">
      <c r="A2777">
        <v>1540014834</v>
      </c>
      <c r="B2777" t="s">
        <v>5547</v>
      </c>
      <c r="C2777" t="s">
        <v>19</v>
      </c>
      <c r="D2777" t="s">
        <v>324</v>
      </c>
      <c r="E2777" t="s">
        <v>21</v>
      </c>
      <c r="F2777" t="s">
        <v>22</v>
      </c>
      <c r="G2777" t="s">
        <v>64</v>
      </c>
      <c r="H2777" t="s">
        <v>325</v>
      </c>
      <c r="I2777" t="s">
        <v>5548</v>
      </c>
      <c r="J2777">
        <v>10.354037</v>
      </c>
      <c r="K2777">
        <v>-84.569406999999998</v>
      </c>
      <c r="L2777" t="s">
        <v>1225</v>
      </c>
      <c r="M2777" t="s">
        <v>327</v>
      </c>
      <c r="N2777" t="s">
        <v>328</v>
      </c>
      <c r="O2777" t="s">
        <v>329</v>
      </c>
      <c r="P2777">
        <v>14</v>
      </c>
      <c r="Q2777" t="s">
        <v>181</v>
      </c>
      <c r="S2777" t="str">
        <f>_xlfn.XLOOKUP(UNIVERSO[[#This Row],[Ruta]],'[1]CUOTA RUTA'!A:A,'[1]CUOTA RUTA'!D:D)</f>
        <v>Cargar</v>
      </c>
    </row>
    <row r="2778" spans="1:19" x14ac:dyDescent="0.25">
      <c r="A2778">
        <v>1540014877</v>
      </c>
      <c r="B2778" t="s">
        <v>5549</v>
      </c>
      <c r="C2778" t="s">
        <v>19</v>
      </c>
      <c r="D2778" t="s">
        <v>32</v>
      </c>
      <c r="E2778" t="s">
        <v>21</v>
      </c>
      <c r="F2778" t="s">
        <v>22</v>
      </c>
      <c r="G2778" t="s">
        <v>23</v>
      </c>
      <c r="H2778" t="s">
        <v>716</v>
      </c>
      <c r="I2778" t="s">
        <v>5550</v>
      </c>
      <c r="J2778">
        <v>9.9042677000000001</v>
      </c>
      <c r="K2778">
        <v>-84.049654799999999</v>
      </c>
      <c r="L2778" t="s">
        <v>1225</v>
      </c>
      <c r="M2778" t="s">
        <v>36</v>
      </c>
      <c r="N2778" t="s">
        <v>37</v>
      </c>
      <c r="O2778" t="s">
        <v>38</v>
      </c>
      <c r="P2778">
        <v>14</v>
      </c>
      <c r="Q2778" t="s">
        <v>181</v>
      </c>
      <c r="S2778" t="str">
        <f>_xlfn.XLOOKUP(UNIVERSO[[#This Row],[Ruta]],'[1]CUOTA RUTA'!A:A,'[1]CUOTA RUTA'!D:D)</f>
        <v>Cargar</v>
      </c>
    </row>
    <row r="2779" spans="1:19" x14ac:dyDescent="0.25">
      <c r="A2779">
        <v>1540014880</v>
      </c>
      <c r="B2779" t="s">
        <v>1378</v>
      </c>
      <c r="C2779" t="s">
        <v>19</v>
      </c>
      <c r="D2779" t="s">
        <v>32</v>
      </c>
      <c r="E2779" t="s">
        <v>21</v>
      </c>
      <c r="F2779" t="s">
        <v>22</v>
      </c>
      <c r="G2779" t="s">
        <v>33</v>
      </c>
      <c r="H2779" t="s">
        <v>683</v>
      </c>
      <c r="I2779" t="s">
        <v>5551</v>
      </c>
      <c r="J2779">
        <v>9.9268000000000001</v>
      </c>
      <c r="K2779">
        <v>-84.097899999999996</v>
      </c>
      <c r="L2779" t="s">
        <v>1225</v>
      </c>
      <c r="M2779" t="s">
        <v>71</v>
      </c>
      <c r="N2779" t="s">
        <v>72</v>
      </c>
      <c r="O2779" t="s">
        <v>73</v>
      </c>
      <c r="P2779">
        <v>4</v>
      </c>
      <c r="Q2779" t="s">
        <v>120</v>
      </c>
      <c r="S2779" t="str">
        <f>_xlfn.XLOOKUP(UNIVERSO[[#This Row],[Ruta]],'[1]CUOTA RUTA'!A:A,'[1]CUOTA RUTA'!D:D)</f>
        <v>Cargar</v>
      </c>
    </row>
    <row r="2780" spans="1:19" x14ac:dyDescent="0.25">
      <c r="A2780">
        <v>1540014890</v>
      </c>
      <c r="B2780" t="s">
        <v>5552</v>
      </c>
      <c r="C2780" t="s">
        <v>19</v>
      </c>
      <c r="D2780" t="s">
        <v>32</v>
      </c>
      <c r="E2780" t="s">
        <v>21</v>
      </c>
      <c r="F2780" t="s">
        <v>22</v>
      </c>
      <c r="G2780" t="s">
        <v>33</v>
      </c>
      <c r="H2780" t="s">
        <v>92</v>
      </c>
      <c r="I2780" t="s">
        <v>5553</v>
      </c>
      <c r="J2780">
        <v>9.9617000000000004</v>
      </c>
      <c r="K2780">
        <v>-84.027799999999999</v>
      </c>
      <c r="L2780" t="s">
        <v>1225</v>
      </c>
      <c r="M2780" t="s">
        <v>94</v>
      </c>
      <c r="N2780" t="s">
        <v>95</v>
      </c>
      <c r="O2780" t="s">
        <v>96</v>
      </c>
      <c r="P2780">
        <v>8</v>
      </c>
      <c r="Q2780" t="s">
        <v>97</v>
      </c>
      <c r="S2780" t="str">
        <f>_xlfn.XLOOKUP(UNIVERSO[[#This Row],[Ruta]],'[1]CUOTA RUTA'!A:A,'[1]CUOTA RUTA'!D:D)</f>
        <v>Cargar</v>
      </c>
    </row>
    <row r="2781" spans="1:19" x14ac:dyDescent="0.25">
      <c r="A2781">
        <v>1540014904</v>
      </c>
      <c r="B2781" t="s">
        <v>5554</v>
      </c>
      <c r="C2781" t="s">
        <v>19</v>
      </c>
      <c r="D2781" t="s">
        <v>20</v>
      </c>
      <c r="E2781" t="s">
        <v>21</v>
      </c>
      <c r="F2781" t="s">
        <v>22</v>
      </c>
      <c r="G2781" t="s">
        <v>23</v>
      </c>
      <c r="H2781" t="s">
        <v>263</v>
      </c>
      <c r="I2781" t="s">
        <v>5555</v>
      </c>
      <c r="J2781">
        <v>10.08127</v>
      </c>
      <c r="K2781">
        <v>-84.367919999999998</v>
      </c>
      <c r="L2781" t="s">
        <v>1225</v>
      </c>
      <c r="M2781" t="s">
        <v>46</v>
      </c>
      <c r="N2781" t="s">
        <v>47</v>
      </c>
      <c r="O2781" t="s">
        <v>48</v>
      </c>
      <c r="P2781">
        <v>5</v>
      </c>
      <c r="Q2781" t="s">
        <v>117</v>
      </c>
      <c r="S2781" t="str">
        <f>_xlfn.XLOOKUP(UNIVERSO[[#This Row],[Ruta]],'[1]CUOTA RUTA'!A:A,'[1]CUOTA RUTA'!D:D)</f>
        <v>Cargar</v>
      </c>
    </row>
    <row r="2782" spans="1:19" x14ac:dyDescent="0.25">
      <c r="A2782">
        <v>1540014909</v>
      </c>
      <c r="B2782" t="s">
        <v>5556</v>
      </c>
      <c r="C2782" t="s">
        <v>19</v>
      </c>
      <c r="D2782" t="s">
        <v>266</v>
      </c>
      <c r="E2782" t="s">
        <v>21</v>
      </c>
      <c r="F2782" t="s">
        <v>22</v>
      </c>
      <c r="G2782" t="s">
        <v>64</v>
      </c>
      <c r="H2782" t="s">
        <v>407</v>
      </c>
      <c r="I2782" t="s">
        <v>5557</v>
      </c>
      <c r="J2782">
        <v>9.6721389999999996</v>
      </c>
      <c r="K2782">
        <v>-84.017099999999999</v>
      </c>
      <c r="L2782" t="s">
        <v>1225</v>
      </c>
      <c r="M2782" t="s">
        <v>409</v>
      </c>
      <c r="N2782" t="s">
        <v>410</v>
      </c>
      <c r="O2782" t="s">
        <v>411</v>
      </c>
      <c r="P2782">
        <v>22</v>
      </c>
      <c r="Q2782" t="s">
        <v>30</v>
      </c>
      <c r="S2782" t="str">
        <f>_xlfn.XLOOKUP(UNIVERSO[[#This Row],[Ruta]],'[1]CUOTA RUTA'!A:A,'[1]CUOTA RUTA'!D:D)</f>
        <v>Cargar</v>
      </c>
    </row>
    <row r="2783" spans="1:19" x14ac:dyDescent="0.25">
      <c r="A2783">
        <v>1540014950</v>
      </c>
      <c r="B2783" t="s">
        <v>5558</v>
      </c>
      <c r="C2783" t="s">
        <v>19</v>
      </c>
      <c r="D2783" t="s">
        <v>20</v>
      </c>
      <c r="E2783" t="s">
        <v>21</v>
      </c>
      <c r="F2783" t="s">
        <v>22</v>
      </c>
      <c r="G2783" t="s">
        <v>64</v>
      </c>
      <c r="H2783" t="s">
        <v>280</v>
      </c>
      <c r="I2783" t="s">
        <v>5559</v>
      </c>
      <c r="J2783">
        <v>10.016679999999999</v>
      </c>
      <c r="K2783">
        <v>-84.21799</v>
      </c>
      <c r="L2783" t="s">
        <v>1225</v>
      </c>
      <c r="M2783" t="s">
        <v>54</v>
      </c>
      <c r="N2783" t="s">
        <v>55</v>
      </c>
      <c r="O2783" t="s">
        <v>56</v>
      </c>
      <c r="P2783">
        <v>1</v>
      </c>
      <c r="Q2783" t="s">
        <v>155</v>
      </c>
      <c r="S2783" t="str">
        <f>_xlfn.XLOOKUP(UNIVERSO[[#This Row],[Ruta]],'[1]CUOTA RUTA'!A:A,'[1]CUOTA RUTA'!D:D)</f>
        <v>Cargar</v>
      </c>
    </row>
    <row r="2784" spans="1:19" x14ac:dyDescent="0.25">
      <c r="A2784">
        <v>1540015009</v>
      </c>
      <c r="B2784" t="s">
        <v>5560</v>
      </c>
      <c r="C2784" t="s">
        <v>19</v>
      </c>
      <c r="D2784" t="s">
        <v>20</v>
      </c>
      <c r="E2784" t="s">
        <v>21</v>
      </c>
      <c r="F2784" t="s">
        <v>22</v>
      </c>
      <c r="G2784" t="s">
        <v>23</v>
      </c>
      <c r="H2784" t="s">
        <v>901</v>
      </c>
      <c r="I2784" t="s">
        <v>5561</v>
      </c>
      <c r="J2784">
        <v>10.058070000000001</v>
      </c>
      <c r="K2784">
        <v>-84.430970000000002</v>
      </c>
      <c r="L2784" t="s">
        <v>1225</v>
      </c>
      <c r="M2784" t="s">
        <v>46</v>
      </c>
      <c r="N2784" t="s">
        <v>47</v>
      </c>
      <c r="O2784" t="s">
        <v>48</v>
      </c>
      <c r="P2784">
        <v>8</v>
      </c>
      <c r="Q2784" t="s">
        <v>97</v>
      </c>
      <c r="S2784" t="str">
        <f>_xlfn.XLOOKUP(UNIVERSO[[#This Row],[Ruta]],'[1]CUOTA RUTA'!A:A,'[1]CUOTA RUTA'!D:D)</f>
        <v>Cargar</v>
      </c>
    </row>
    <row r="2785" spans="1:19" x14ac:dyDescent="0.25">
      <c r="A2785">
        <v>1540015051</v>
      </c>
      <c r="B2785" t="s">
        <v>5562</v>
      </c>
      <c r="C2785" t="s">
        <v>19</v>
      </c>
      <c r="D2785" t="s">
        <v>208</v>
      </c>
      <c r="E2785" t="s">
        <v>21</v>
      </c>
      <c r="F2785" t="s">
        <v>22</v>
      </c>
      <c r="G2785" t="s">
        <v>64</v>
      </c>
      <c r="H2785" t="s">
        <v>209</v>
      </c>
      <c r="I2785" t="s">
        <v>5563</v>
      </c>
      <c r="J2785">
        <v>10.171431999999999</v>
      </c>
      <c r="K2785">
        <v>-83.605321000000004</v>
      </c>
      <c r="L2785" t="s">
        <v>1225</v>
      </c>
      <c r="M2785" t="s">
        <v>189</v>
      </c>
      <c r="N2785" t="s">
        <v>211</v>
      </c>
      <c r="O2785" t="s">
        <v>212</v>
      </c>
      <c r="P2785">
        <v>7</v>
      </c>
      <c r="Q2785" t="s">
        <v>39</v>
      </c>
      <c r="S2785" t="str">
        <f>_xlfn.XLOOKUP(UNIVERSO[[#This Row],[Ruta]],'[1]CUOTA RUTA'!A:A,'[1]CUOTA RUTA'!D:D)</f>
        <v>Cargar</v>
      </c>
    </row>
    <row r="2786" spans="1:19" x14ac:dyDescent="0.25">
      <c r="A2786">
        <v>1540015087</v>
      </c>
      <c r="B2786" t="s">
        <v>5564</v>
      </c>
      <c r="C2786" t="s">
        <v>19</v>
      </c>
      <c r="D2786" t="s">
        <v>20</v>
      </c>
      <c r="E2786" t="s">
        <v>21</v>
      </c>
      <c r="F2786" t="s">
        <v>22</v>
      </c>
      <c r="G2786" t="s">
        <v>64</v>
      </c>
      <c r="H2786" t="s">
        <v>638</v>
      </c>
      <c r="I2786" t="s">
        <v>5565</v>
      </c>
      <c r="J2786">
        <v>10.0152176</v>
      </c>
      <c r="K2786">
        <v>-84.217146299999996</v>
      </c>
      <c r="L2786" t="s">
        <v>1225</v>
      </c>
      <c r="M2786" t="s">
        <v>54</v>
      </c>
      <c r="N2786" t="s">
        <v>55</v>
      </c>
      <c r="O2786" t="s">
        <v>56</v>
      </c>
      <c r="P2786">
        <v>1</v>
      </c>
      <c r="Q2786" t="s">
        <v>155</v>
      </c>
      <c r="S2786" t="str">
        <f>_xlfn.XLOOKUP(UNIVERSO[[#This Row],[Ruta]],'[1]CUOTA RUTA'!A:A,'[1]CUOTA RUTA'!D:D)</f>
        <v>Cargar</v>
      </c>
    </row>
    <row r="2787" spans="1:19" x14ac:dyDescent="0.25">
      <c r="A2787">
        <v>1540015099</v>
      </c>
      <c r="B2787" t="s">
        <v>5566</v>
      </c>
      <c r="C2787" t="s">
        <v>19</v>
      </c>
      <c r="D2787" t="s">
        <v>266</v>
      </c>
      <c r="E2787" t="s">
        <v>21</v>
      </c>
      <c r="F2787" t="s">
        <v>22</v>
      </c>
      <c r="G2787" t="s">
        <v>33</v>
      </c>
      <c r="H2787" t="s">
        <v>1011</v>
      </c>
      <c r="I2787" t="s">
        <v>5567</v>
      </c>
      <c r="J2787">
        <v>9.9386566666670006</v>
      </c>
      <c r="K2787">
        <v>-83.907123333330006</v>
      </c>
      <c r="L2787" t="s">
        <v>1225</v>
      </c>
      <c r="M2787" t="s">
        <v>54</v>
      </c>
      <c r="N2787" t="s">
        <v>274</v>
      </c>
      <c r="O2787" t="s">
        <v>275</v>
      </c>
      <c r="P2787">
        <v>21</v>
      </c>
      <c r="Q2787" t="s">
        <v>239</v>
      </c>
      <c r="S2787" t="str">
        <f>_xlfn.XLOOKUP(UNIVERSO[[#This Row],[Ruta]],'[1]CUOTA RUTA'!A:A,'[1]CUOTA RUTA'!D:D)</f>
        <v>Cargar</v>
      </c>
    </row>
    <row r="2788" spans="1:19" x14ac:dyDescent="0.25">
      <c r="A2788">
        <v>1540015111</v>
      </c>
      <c r="B2788" t="s">
        <v>5568</v>
      </c>
      <c r="C2788" t="s">
        <v>19</v>
      </c>
      <c r="D2788" t="s">
        <v>337</v>
      </c>
      <c r="E2788" t="s">
        <v>21</v>
      </c>
      <c r="F2788" t="s">
        <v>22</v>
      </c>
      <c r="G2788" t="s">
        <v>33</v>
      </c>
      <c r="H2788" t="s">
        <v>346</v>
      </c>
      <c r="I2788" t="s">
        <v>5569</v>
      </c>
      <c r="J2788">
        <v>10.41250921</v>
      </c>
      <c r="K2788">
        <v>-85.79407578</v>
      </c>
      <c r="L2788" t="s">
        <v>1225</v>
      </c>
      <c r="M2788" t="s">
        <v>327</v>
      </c>
      <c r="N2788" t="s">
        <v>340</v>
      </c>
      <c r="O2788" t="s">
        <v>341</v>
      </c>
      <c r="P2788">
        <v>18</v>
      </c>
      <c r="Q2788" t="s">
        <v>84</v>
      </c>
      <c r="S2788" t="str">
        <f>_xlfn.XLOOKUP(UNIVERSO[[#This Row],[Ruta]],'[1]CUOTA RUTA'!A:A,'[1]CUOTA RUTA'!D:D)</f>
        <v>Cargar</v>
      </c>
    </row>
    <row r="2789" spans="1:19" x14ac:dyDescent="0.25">
      <c r="A2789">
        <v>1540015128</v>
      </c>
      <c r="B2789" t="s">
        <v>5570</v>
      </c>
      <c r="C2789" t="s">
        <v>19</v>
      </c>
      <c r="D2789" t="s">
        <v>208</v>
      </c>
      <c r="E2789" t="s">
        <v>21</v>
      </c>
      <c r="F2789" t="s">
        <v>22</v>
      </c>
      <c r="G2789" t="s">
        <v>33</v>
      </c>
      <c r="H2789" t="s">
        <v>221</v>
      </c>
      <c r="I2789" t="s">
        <v>5571</v>
      </c>
      <c r="J2789">
        <v>10.4742</v>
      </c>
      <c r="K2789">
        <v>-84.109238000000005</v>
      </c>
      <c r="L2789" t="s">
        <v>1225</v>
      </c>
      <c r="M2789" t="s">
        <v>189</v>
      </c>
      <c r="N2789" t="s">
        <v>211</v>
      </c>
      <c r="O2789" t="s">
        <v>212</v>
      </c>
      <c r="P2789">
        <v>11</v>
      </c>
      <c r="Q2789" t="s">
        <v>108</v>
      </c>
      <c r="S2789" t="str">
        <f>_xlfn.XLOOKUP(UNIVERSO[[#This Row],[Ruta]],'[1]CUOTA RUTA'!A:A,'[1]CUOTA RUTA'!D:D)</f>
        <v>Cargar</v>
      </c>
    </row>
    <row r="2790" spans="1:19" x14ac:dyDescent="0.25">
      <c r="A2790">
        <v>1540015136</v>
      </c>
      <c r="B2790" t="s">
        <v>2500</v>
      </c>
      <c r="C2790" t="s">
        <v>19</v>
      </c>
      <c r="D2790" t="s">
        <v>20</v>
      </c>
      <c r="E2790" t="s">
        <v>21</v>
      </c>
      <c r="F2790" t="s">
        <v>22</v>
      </c>
      <c r="G2790" t="s">
        <v>64</v>
      </c>
      <c r="H2790" t="s">
        <v>674</v>
      </c>
      <c r="I2790" t="s">
        <v>5572</v>
      </c>
      <c r="J2790">
        <v>10.14631</v>
      </c>
      <c r="K2790">
        <v>-84.391099999999994</v>
      </c>
      <c r="L2790" t="s">
        <v>1225</v>
      </c>
      <c r="M2790" t="s">
        <v>46</v>
      </c>
      <c r="N2790" t="s">
        <v>47</v>
      </c>
      <c r="O2790" t="s">
        <v>48</v>
      </c>
      <c r="P2790">
        <v>1</v>
      </c>
      <c r="Q2790" t="s">
        <v>155</v>
      </c>
      <c r="S2790" t="str">
        <f>_xlfn.XLOOKUP(UNIVERSO[[#This Row],[Ruta]],'[1]CUOTA RUTA'!A:A,'[1]CUOTA RUTA'!D:D)</f>
        <v>Cargar</v>
      </c>
    </row>
    <row r="2791" spans="1:19" x14ac:dyDescent="0.25">
      <c r="A2791">
        <v>1540015199</v>
      </c>
      <c r="B2791" t="s">
        <v>5573</v>
      </c>
      <c r="C2791" t="s">
        <v>19</v>
      </c>
      <c r="D2791" t="s">
        <v>32</v>
      </c>
      <c r="E2791" t="s">
        <v>21</v>
      </c>
      <c r="F2791" t="s">
        <v>22</v>
      </c>
      <c r="G2791" t="s">
        <v>33</v>
      </c>
      <c r="H2791" t="s">
        <v>174</v>
      </c>
      <c r="I2791" t="s">
        <v>5574</v>
      </c>
      <c r="J2791">
        <v>9.9362999999999992</v>
      </c>
      <c r="K2791">
        <v>-84.086169999999996</v>
      </c>
      <c r="L2791" t="s">
        <v>1225</v>
      </c>
      <c r="M2791" t="s">
        <v>71</v>
      </c>
      <c r="N2791" t="s">
        <v>72</v>
      </c>
      <c r="O2791" t="s">
        <v>73</v>
      </c>
      <c r="P2791">
        <v>1</v>
      </c>
      <c r="Q2791" t="s">
        <v>155</v>
      </c>
      <c r="S2791" t="str">
        <f>_xlfn.XLOOKUP(UNIVERSO[[#This Row],[Ruta]],'[1]CUOTA RUTA'!A:A,'[1]CUOTA RUTA'!D:D)</f>
        <v>Cargar</v>
      </c>
    </row>
    <row r="2792" spans="1:19" x14ac:dyDescent="0.25">
      <c r="A2792">
        <v>1540015201</v>
      </c>
      <c r="B2792" t="s">
        <v>5575</v>
      </c>
      <c r="C2792" t="s">
        <v>19</v>
      </c>
      <c r="D2792" t="s">
        <v>32</v>
      </c>
      <c r="E2792" t="s">
        <v>21</v>
      </c>
      <c r="F2792" t="s">
        <v>22</v>
      </c>
      <c r="G2792" t="s">
        <v>33</v>
      </c>
      <c r="H2792" t="s">
        <v>174</v>
      </c>
      <c r="I2792" t="s">
        <v>5576</v>
      </c>
      <c r="J2792">
        <v>9.9365799999999993</v>
      </c>
      <c r="K2792">
        <v>-84.079158000000007</v>
      </c>
      <c r="L2792" t="s">
        <v>1225</v>
      </c>
      <c r="M2792" t="s">
        <v>71</v>
      </c>
      <c r="N2792" t="s">
        <v>72</v>
      </c>
      <c r="O2792" t="s">
        <v>73</v>
      </c>
      <c r="P2792">
        <v>2</v>
      </c>
      <c r="Q2792" t="s">
        <v>150</v>
      </c>
      <c r="S2792" t="str">
        <f>_xlfn.XLOOKUP(UNIVERSO[[#This Row],[Ruta]],'[1]CUOTA RUTA'!A:A,'[1]CUOTA RUTA'!D:D)</f>
        <v>Cargar</v>
      </c>
    </row>
    <row r="2793" spans="1:19" x14ac:dyDescent="0.25">
      <c r="A2793">
        <v>1540015207</v>
      </c>
      <c r="B2793" t="s">
        <v>5577</v>
      </c>
      <c r="C2793" t="s">
        <v>19</v>
      </c>
      <c r="D2793" t="s">
        <v>208</v>
      </c>
      <c r="E2793" t="s">
        <v>21</v>
      </c>
      <c r="F2793" t="s">
        <v>22</v>
      </c>
      <c r="G2793" t="s">
        <v>33</v>
      </c>
      <c r="H2793" t="s">
        <v>209</v>
      </c>
      <c r="I2793" t="s">
        <v>5578</v>
      </c>
      <c r="J2793">
        <v>10.17324</v>
      </c>
      <c r="K2793">
        <v>-83.604607000000001</v>
      </c>
      <c r="L2793" t="s">
        <v>1225</v>
      </c>
      <c r="M2793" t="s">
        <v>189</v>
      </c>
      <c r="N2793" t="s">
        <v>211</v>
      </c>
      <c r="O2793" t="s">
        <v>212</v>
      </c>
      <c r="P2793">
        <v>7</v>
      </c>
      <c r="Q2793" t="s">
        <v>39</v>
      </c>
      <c r="S2793" t="str">
        <f>_xlfn.XLOOKUP(UNIVERSO[[#This Row],[Ruta]],'[1]CUOTA RUTA'!A:A,'[1]CUOTA RUTA'!D:D)</f>
        <v>Cargar</v>
      </c>
    </row>
    <row r="2794" spans="1:19" x14ac:dyDescent="0.25">
      <c r="A2794">
        <v>1540015232</v>
      </c>
      <c r="B2794" t="s">
        <v>5579</v>
      </c>
      <c r="C2794" t="s">
        <v>19</v>
      </c>
      <c r="D2794" t="s">
        <v>20</v>
      </c>
      <c r="E2794" t="s">
        <v>21</v>
      </c>
      <c r="F2794" t="s">
        <v>22</v>
      </c>
      <c r="G2794" t="s">
        <v>23</v>
      </c>
      <c r="H2794" t="s">
        <v>255</v>
      </c>
      <c r="I2794" t="s">
        <v>5580</v>
      </c>
      <c r="J2794">
        <v>10.05416</v>
      </c>
      <c r="K2794">
        <v>-84.431640000000002</v>
      </c>
      <c r="L2794" t="s">
        <v>1225</v>
      </c>
      <c r="M2794" t="s">
        <v>46</v>
      </c>
      <c r="N2794" t="s">
        <v>47</v>
      </c>
      <c r="O2794" t="s">
        <v>48</v>
      </c>
      <c r="P2794">
        <v>8</v>
      </c>
      <c r="Q2794" t="s">
        <v>97</v>
      </c>
      <c r="S2794" t="str">
        <f>_xlfn.XLOOKUP(UNIVERSO[[#This Row],[Ruta]],'[1]CUOTA RUTA'!A:A,'[1]CUOTA RUTA'!D:D)</f>
        <v>Cargar</v>
      </c>
    </row>
    <row r="2795" spans="1:19" x14ac:dyDescent="0.25">
      <c r="A2795">
        <v>1540015296</v>
      </c>
      <c r="B2795" t="s">
        <v>4059</v>
      </c>
      <c r="C2795" t="s">
        <v>19</v>
      </c>
      <c r="D2795" t="s">
        <v>244</v>
      </c>
      <c r="E2795" t="s">
        <v>21</v>
      </c>
      <c r="F2795" t="s">
        <v>22</v>
      </c>
      <c r="G2795" t="s">
        <v>33</v>
      </c>
      <c r="H2795" t="s">
        <v>1294</v>
      </c>
      <c r="I2795" t="s">
        <v>5581</v>
      </c>
      <c r="J2795">
        <v>9.1592459999999996</v>
      </c>
      <c r="K2795">
        <v>-83.333364000000003</v>
      </c>
      <c r="L2795" t="s">
        <v>1225</v>
      </c>
      <c r="M2795" t="s">
        <v>46</v>
      </c>
      <c r="N2795" t="s">
        <v>247</v>
      </c>
      <c r="O2795" t="s">
        <v>248</v>
      </c>
      <c r="P2795">
        <v>12</v>
      </c>
      <c r="Q2795" t="s">
        <v>42</v>
      </c>
      <c r="S2795" t="str">
        <f>_xlfn.XLOOKUP(UNIVERSO[[#This Row],[Ruta]],'[1]CUOTA RUTA'!A:A,'[1]CUOTA RUTA'!D:D)</f>
        <v>Cargar</v>
      </c>
    </row>
    <row r="2796" spans="1:19" x14ac:dyDescent="0.25">
      <c r="A2796">
        <v>1540015299</v>
      </c>
      <c r="B2796" t="s">
        <v>5582</v>
      </c>
      <c r="C2796" t="s">
        <v>19</v>
      </c>
      <c r="D2796" t="s">
        <v>244</v>
      </c>
      <c r="E2796" t="s">
        <v>21</v>
      </c>
      <c r="F2796" t="s">
        <v>22</v>
      </c>
      <c r="G2796" t="s">
        <v>33</v>
      </c>
      <c r="H2796" t="s">
        <v>1233</v>
      </c>
      <c r="I2796" t="s">
        <v>5583</v>
      </c>
      <c r="J2796">
        <v>9.2719020000000008</v>
      </c>
      <c r="K2796">
        <v>-83.880735999999999</v>
      </c>
      <c r="L2796" t="s">
        <v>1225</v>
      </c>
      <c r="M2796" t="s">
        <v>46</v>
      </c>
      <c r="N2796" t="s">
        <v>247</v>
      </c>
      <c r="O2796" t="s">
        <v>248</v>
      </c>
      <c r="P2796">
        <v>17</v>
      </c>
      <c r="Q2796" t="s">
        <v>287</v>
      </c>
      <c r="S2796" t="str">
        <f>_xlfn.XLOOKUP(UNIVERSO[[#This Row],[Ruta]],'[1]CUOTA RUTA'!A:A,'[1]CUOTA RUTA'!D:D)</f>
        <v>Cargar</v>
      </c>
    </row>
    <row r="2797" spans="1:19" x14ac:dyDescent="0.25">
      <c r="A2797">
        <v>1540015316</v>
      </c>
      <c r="B2797" t="s">
        <v>5584</v>
      </c>
      <c r="C2797" t="s">
        <v>19</v>
      </c>
      <c r="D2797" t="s">
        <v>32</v>
      </c>
      <c r="E2797" t="s">
        <v>21</v>
      </c>
      <c r="F2797" t="s">
        <v>22</v>
      </c>
      <c r="G2797" t="s">
        <v>33</v>
      </c>
      <c r="H2797" t="s">
        <v>683</v>
      </c>
      <c r="I2797" t="s">
        <v>5585</v>
      </c>
      <c r="J2797">
        <v>9.9223599999999994</v>
      </c>
      <c r="K2797">
        <v>-84.063860000000005</v>
      </c>
      <c r="L2797" t="s">
        <v>1225</v>
      </c>
      <c r="M2797" t="s">
        <v>71</v>
      </c>
      <c r="N2797" t="s">
        <v>72</v>
      </c>
      <c r="O2797" t="s">
        <v>73</v>
      </c>
      <c r="P2797">
        <v>5</v>
      </c>
      <c r="Q2797" t="s">
        <v>117</v>
      </c>
      <c r="S2797" t="str">
        <f>_xlfn.XLOOKUP(UNIVERSO[[#This Row],[Ruta]],'[1]CUOTA RUTA'!A:A,'[1]CUOTA RUTA'!D:D)</f>
        <v>Cargar</v>
      </c>
    </row>
    <row r="2798" spans="1:19" x14ac:dyDescent="0.25">
      <c r="A2798">
        <v>1540015413</v>
      </c>
      <c r="B2798" t="s">
        <v>5586</v>
      </c>
      <c r="C2798" t="s">
        <v>19</v>
      </c>
      <c r="D2798" t="s">
        <v>32</v>
      </c>
      <c r="E2798" t="s">
        <v>21</v>
      </c>
      <c r="F2798" t="s">
        <v>22</v>
      </c>
      <c r="G2798" t="s">
        <v>33</v>
      </c>
      <c r="H2798" t="s">
        <v>82</v>
      </c>
      <c r="I2798" t="s">
        <v>5587</v>
      </c>
      <c r="J2798">
        <v>9.8994990000000005</v>
      </c>
      <c r="K2798">
        <v>-84.065199000000007</v>
      </c>
      <c r="L2798" t="s">
        <v>1225</v>
      </c>
      <c r="M2798" t="s">
        <v>71</v>
      </c>
      <c r="N2798" t="s">
        <v>72</v>
      </c>
      <c r="O2798" t="s">
        <v>73</v>
      </c>
      <c r="P2798">
        <v>18</v>
      </c>
      <c r="Q2798" t="s">
        <v>84</v>
      </c>
      <c r="S2798" t="str">
        <f>_xlfn.XLOOKUP(UNIVERSO[[#This Row],[Ruta]],'[1]CUOTA RUTA'!A:A,'[1]CUOTA RUTA'!D:D)</f>
        <v>Cargar</v>
      </c>
    </row>
    <row r="2799" spans="1:19" x14ac:dyDescent="0.25">
      <c r="A2799">
        <v>1540015457</v>
      </c>
      <c r="B2799" t="s">
        <v>5588</v>
      </c>
      <c r="C2799" t="s">
        <v>19</v>
      </c>
      <c r="D2799" t="s">
        <v>20</v>
      </c>
      <c r="E2799" t="s">
        <v>21</v>
      </c>
      <c r="F2799" t="s">
        <v>22</v>
      </c>
      <c r="G2799" t="s">
        <v>33</v>
      </c>
      <c r="H2799" t="s">
        <v>1128</v>
      </c>
      <c r="I2799" t="s">
        <v>5589</v>
      </c>
      <c r="J2799">
        <v>10.0826767</v>
      </c>
      <c r="K2799">
        <v>-84.319373299999995</v>
      </c>
      <c r="L2799" t="s">
        <v>1225</v>
      </c>
      <c r="M2799" t="s">
        <v>46</v>
      </c>
      <c r="N2799" t="s">
        <v>47</v>
      </c>
      <c r="O2799" t="s">
        <v>48</v>
      </c>
      <c r="P2799">
        <v>4</v>
      </c>
      <c r="Q2799" t="s">
        <v>120</v>
      </c>
      <c r="S2799" t="str">
        <f>_xlfn.XLOOKUP(UNIVERSO[[#This Row],[Ruta]],'[1]CUOTA RUTA'!A:A,'[1]CUOTA RUTA'!D:D)</f>
        <v>Cargar</v>
      </c>
    </row>
    <row r="2800" spans="1:19" x14ac:dyDescent="0.25">
      <c r="A2800">
        <v>1540015534</v>
      </c>
      <c r="B2800" t="s">
        <v>5590</v>
      </c>
      <c r="C2800" t="s">
        <v>19</v>
      </c>
      <c r="D2800" t="s">
        <v>337</v>
      </c>
      <c r="E2800" t="s">
        <v>21</v>
      </c>
      <c r="F2800" t="s">
        <v>22</v>
      </c>
      <c r="G2800" t="s">
        <v>33</v>
      </c>
      <c r="H2800" t="s">
        <v>346</v>
      </c>
      <c r="I2800" t="s">
        <v>5591</v>
      </c>
      <c r="J2800">
        <v>10.462498</v>
      </c>
      <c r="K2800">
        <v>-85.224733000000001</v>
      </c>
      <c r="L2800" t="s">
        <v>1225</v>
      </c>
      <c r="M2800" t="s">
        <v>327</v>
      </c>
      <c r="N2800" t="s">
        <v>340</v>
      </c>
      <c r="O2800" t="s">
        <v>341</v>
      </c>
      <c r="P2800">
        <v>21</v>
      </c>
      <c r="Q2800" t="s">
        <v>239</v>
      </c>
      <c r="S2800" t="str">
        <f>_xlfn.XLOOKUP(UNIVERSO[[#This Row],[Ruta]],'[1]CUOTA RUTA'!A:A,'[1]CUOTA RUTA'!D:D)</f>
        <v>Cargar</v>
      </c>
    </row>
    <row r="2801" spans="1:19" x14ac:dyDescent="0.25">
      <c r="A2801">
        <v>1540015535</v>
      </c>
      <c r="B2801" t="s">
        <v>5592</v>
      </c>
      <c r="C2801" t="s">
        <v>19</v>
      </c>
      <c r="D2801" t="s">
        <v>32</v>
      </c>
      <c r="E2801" t="s">
        <v>21</v>
      </c>
      <c r="F2801" t="s">
        <v>22</v>
      </c>
      <c r="G2801" t="s">
        <v>33</v>
      </c>
      <c r="H2801" t="s">
        <v>112</v>
      </c>
      <c r="I2801" t="s">
        <v>5593</v>
      </c>
      <c r="J2801">
        <v>9.9822710000000008</v>
      </c>
      <c r="K2801">
        <v>-84.093369999999993</v>
      </c>
      <c r="L2801" t="s">
        <v>1225</v>
      </c>
      <c r="M2801" t="s">
        <v>94</v>
      </c>
      <c r="N2801" t="s">
        <v>95</v>
      </c>
      <c r="O2801" t="s">
        <v>96</v>
      </c>
      <c r="P2801">
        <v>10</v>
      </c>
      <c r="Q2801" t="s">
        <v>136</v>
      </c>
      <c r="S2801" t="str">
        <f>_xlfn.XLOOKUP(UNIVERSO[[#This Row],[Ruta]],'[1]CUOTA RUTA'!A:A,'[1]CUOTA RUTA'!D:D)</f>
        <v>Cargar</v>
      </c>
    </row>
    <row r="2802" spans="1:19" x14ac:dyDescent="0.25">
      <c r="A2802">
        <v>1540015560</v>
      </c>
      <c r="B2802" t="s">
        <v>5594</v>
      </c>
      <c r="C2802" t="s">
        <v>19</v>
      </c>
      <c r="D2802" t="s">
        <v>32</v>
      </c>
      <c r="E2802" t="s">
        <v>21</v>
      </c>
      <c r="F2802" t="s">
        <v>22</v>
      </c>
      <c r="G2802" t="s">
        <v>33</v>
      </c>
      <c r="H2802" t="s">
        <v>625</v>
      </c>
      <c r="I2802" t="s">
        <v>5595</v>
      </c>
      <c r="J2802">
        <v>9.9902300000000004</v>
      </c>
      <c r="K2802">
        <v>-84.057149999999993</v>
      </c>
      <c r="L2802" t="s">
        <v>1225</v>
      </c>
      <c r="M2802" t="s">
        <v>94</v>
      </c>
      <c r="N2802" t="s">
        <v>95</v>
      </c>
      <c r="O2802" t="s">
        <v>96</v>
      </c>
      <c r="P2802">
        <v>6</v>
      </c>
      <c r="Q2802" t="s">
        <v>49</v>
      </c>
      <c r="S2802" t="str">
        <f>_xlfn.XLOOKUP(UNIVERSO[[#This Row],[Ruta]],'[1]CUOTA RUTA'!A:A,'[1]CUOTA RUTA'!D:D)</f>
        <v>Cargar</v>
      </c>
    </row>
    <row r="2803" spans="1:19" x14ac:dyDescent="0.25">
      <c r="A2803">
        <v>1540015574</v>
      </c>
      <c r="B2803" t="s">
        <v>5596</v>
      </c>
      <c r="C2803" t="s">
        <v>19</v>
      </c>
      <c r="D2803" t="s">
        <v>186</v>
      </c>
      <c r="E2803" t="s">
        <v>62</v>
      </c>
      <c r="F2803" t="s">
        <v>63</v>
      </c>
      <c r="G2803" t="s">
        <v>64</v>
      </c>
      <c r="H2803" t="s">
        <v>229</v>
      </c>
      <c r="I2803" t="s">
        <v>5597</v>
      </c>
      <c r="J2803">
        <v>9.9803800000000003</v>
      </c>
      <c r="K2803">
        <v>-83.050005999999996</v>
      </c>
      <c r="L2803" t="s">
        <v>1225</v>
      </c>
      <c r="M2803" t="s">
        <v>189</v>
      </c>
      <c r="N2803" t="s">
        <v>190</v>
      </c>
      <c r="O2803" t="s">
        <v>191</v>
      </c>
      <c r="P2803">
        <v>14</v>
      </c>
      <c r="Q2803" t="s">
        <v>181</v>
      </c>
      <c r="S2803" t="str">
        <f>_xlfn.XLOOKUP(UNIVERSO[[#This Row],[Ruta]],'[1]CUOTA RUTA'!A:A,'[1]CUOTA RUTA'!D:D)</f>
        <v>Cargar</v>
      </c>
    </row>
    <row r="2804" spans="1:19" x14ac:dyDescent="0.25">
      <c r="A2804">
        <v>1540015578</v>
      </c>
      <c r="B2804" t="s">
        <v>5598</v>
      </c>
      <c r="C2804" t="s">
        <v>19</v>
      </c>
      <c r="D2804" t="s">
        <v>32</v>
      </c>
      <c r="E2804" t="s">
        <v>21</v>
      </c>
      <c r="F2804" t="s">
        <v>22</v>
      </c>
      <c r="G2804" t="s">
        <v>33</v>
      </c>
      <c r="H2804" t="s">
        <v>179</v>
      </c>
      <c r="I2804" t="s">
        <v>5599</v>
      </c>
      <c r="J2804">
        <v>9.8942130000000006</v>
      </c>
      <c r="K2804">
        <v>-84.048114999999996</v>
      </c>
      <c r="L2804" t="s">
        <v>1225</v>
      </c>
      <c r="M2804" t="s">
        <v>36</v>
      </c>
      <c r="N2804" t="s">
        <v>37</v>
      </c>
      <c r="O2804" t="s">
        <v>38</v>
      </c>
      <c r="P2804">
        <v>14</v>
      </c>
      <c r="Q2804" t="s">
        <v>181</v>
      </c>
      <c r="S2804" t="str">
        <f>_xlfn.XLOOKUP(UNIVERSO[[#This Row],[Ruta]],'[1]CUOTA RUTA'!A:A,'[1]CUOTA RUTA'!D:D)</f>
        <v>Cargar</v>
      </c>
    </row>
    <row r="2805" spans="1:19" x14ac:dyDescent="0.25">
      <c r="A2805">
        <v>1540015584</v>
      </c>
      <c r="B2805" t="s">
        <v>5600</v>
      </c>
      <c r="C2805" t="s">
        <v>19</v>
      </c>
      <c r="D2805" t="s">
        <v>20</v>
      </c>
      <c r="E2805" t="s">
        <v>21</v>
      </c>
      <c r="F2805" t="s">
        <v>51</v>
      </c>
      <c r="G2805" t="s">
        <v>23</v>
      </c>
      <c r="H2805" t="s">
        <v>58</v>
      </c>
      <c r="I2805" t="s">
        <v>5601</v>
      </c>
      <c r="J2805">
        <v>10.020597</v>
      </c>
      <c r="K2805">
        <v>-84.223028999999997</v>
      </c>
      <c r="L2805" t="s">
        <v>1225</v>
      </c>
      <c r="M2805" t="s">
        <v>54</v>
      </c>
      <c r="N2805" t="s">
        <v>55</v>
      </c>
      <c r="O2805" t="s">
        <v>56</v>
      </c>
      <c r="P2805">
        <v>2</v>
      </c>
      <c r="Q2805" t="s">
        <v>150</v>
      </c>
      <c r="S2805" t="str">
        <f>_xlfn.XLOOKUP(UNIVERSO[[#This Row],[Ruta]],'[1]CUOTA RUTA'!A:A,'[1]CUOTA RUTA'!D:D)</f>
        <v>Cargar</v>
      </c>
    </row>
    <row r="2806" spans="1:19" x14ac:dyDescent="0.25">
      <c r="A2806">
        <v>1540015621</v>
      </c>
      <c r="B2806" t="s">
        <v>5602</v>
      </c>
      <c r="C2806" t="s">
        <v>19</v>
      </c>
      <c r="D2806" t="s">
        <v>349</v>
      </c>
      <c r="E2806" t="s">
        <v>21</v>
      </c>
      <c r="F2806" t="s">
        <v>22</v>
      </c>
      <c r="G2806" t="s">
        <v>33</v>
      </c>
      <c r="H2806" t="s">
        <v>711</v>
      </c>
      <c r="I2806" t="s">
        <v>5603</v>
      </c>
      <c r="J2806">
        <v>10.141427999999999</v>
      </c>
      <c r="K2806">
        <v>-85.788460000000001</v>
      </c>
      <c r="L2806" t="s">
        <v>1225</v>
      </c>
      <c r="M2806" t="s">
        <v>352</v>
      </c>
      <c r="N2806" t="s">
        <v>353</v>
      </c>
      <c r="O2806" t="s">
        <v>354</v>
      </c>
      <c r="P2806">
        <v>6</v>
      </c>
      <c r="Q2806" t="s">
        <v>49</v>
      </c>
      <c r="S2806" t="str">
        <f>_xlfn.XLOOKUP(UNIVERSO[[#This Row],[Ruta]],'[1]CUOTA RUTA'!A:A,'[1]CUOTA RUTA'!D:D)</f>
        <v>Cargar</v>
      </c>
    </row>
    <row r="2807" spans="1:19" x14ac:dyDescent="0.25">
      <c r="A2807">
        <v>1540015692</v>
      </c>
      <c r="B2807" t="s">
        <v>1596</v>
      </c>
      <c r="C2807" t="s">
        <v>19</v>
      </c>
      <c r="D2807" t="s">
        <v>244</v>
      </c>
      <c r="E2807" t="s">
        <v>21</v>
      </c>
      <c r="F2807" t="s">
        <v>22</v>
      </c>
      <c r="G2807" t="s">
        <v>64</v>
      </c>
      <c r="H2807" t="s">
        <v>245</v>
      </c>
      <c r="I2807" t="s">
        <v>5604</v>
      </c>
      <c r="J2807">
        <v>9.2497030000000002</v>
      </c>
      <c r="K2807">
        <v>-83.665903999999998</v>
      </c>
      <c r="L2807" t="s">
        <v>1225</v>
      </c>
      <c r="M2807" t="s">
        <v>46</v>
      </c>
      <c r="N2807" t="s">
        <v>247</v>
      </c>
      <c r="O2807" t="s">
        <v>248</v>
      </c>
      <c r="P2807">
        <v>13</v>
      </c>
      <c r="Q2807" t="s">
        <v>161</v>
      </c>
      <c r="S2807" t="str">
        <f>_xlfn.XLOOKUP(UNIVERSO[[#This Row],[Ruta]],'[1]CUOTA RUTA'!A:A,'[1]CUOTA RUTA'!D:D)</f>
        <v>Cargar</v>
      </c>
    </row>
    <row r="2808" spans="1:19" x14ac:dyDescent="0.25">
      <c r="A2808">
        <v>1540015726</v>
      </c>
      <c r="B2808" t="s">
        <v>5605</v>
      </c>
      <c r="C2808" t="s">
        <v>19</v>
      </c>
      <c r="D2808" t="s">
        <v>32</v>
      </c>
      <c r="E2808" t="s">
        <v>21</v>
      </c>
      <c r="F2808" t="s">
        <v>22</v>
      </c>
      <c r="G2808" t="s">
        <v>64</v>
      </c>
      <c r="H2808" t="s">
        <v>92</v>
      </c>
      <c r="I2808" t="s">
        <v>5606</v>
      </c>
      <c r="J2808">
        <v>9.9762939999999993</v>
      </c>
      <c r="K2808">
        <v>-84.016019999999997</v>
      </c>
      <c r="L2808" t="s">
        <v>1225</v>
      </c>
      <c r="M2808" t="s">
        <v>94</v>
      </c>
      <c r="N2808" t="s">
        <v>95</v>
      </c>
      <c r="O2808" t="s">
        <v>96</v>
      </c>
      <c r="P2808">
        <v>3</v>
      </c>
      <c r="Q2808" t="s">
        <v>101</v>
      </c>
      <c r="S2808" t="str">
        <f>_xlfn.XLOOKUP(UNIVERSO[[#This Row],[Ruta]],'[1]CUOTA RUTA'!A:A,'[1]CUOTA RUTA'!D:D)</f>
        <v>Cargar</v>
      </c>
    </row>
    <row r="2809" spans="1:19" x14ac:dyDescent="0.25">
      <c r="A2809">
        <v>1540015743</v>
      </c>
      <c r="B2809" t="s">
        <v>5607</v>
      </c>
      <c r="C2809" t="s">
        <v>19</v>
      </c>
      <c r="D2809" t="s">
        <v>208</v>
      </c>
      <c r="E2809" t="s">
        <v>21</v>
      </c>
      <c r="F2809" t="s">
        <v>22</v>
      </c>
      <c r="G2809" t="s">
        <v>64</v>
      </c>
      <c r="H2809" t="s">
        <v>218</v>
      </c>
      <c r="I2809" t="s">
        <v>5608</v>
      </c>
      <c r="J2809">
        <v>10.209626</v>
      </c>
      <c r="K2809">
        <v>-83.810463999999996</v>
      </c>
      <c r="L2809" t="s">
        <v>1225</v>
      </c>
      <c r="M2809" t="s">
        <v>189</v>
      </c>
      <c r="N2809" t="s">
        <v>211</v>
      </c>
      <c r="O2809" t="s">
        <v>212</v>
      </c>
      <c r="P2809">
        <v>4</v>
      </c>
      <c r="Q2809" t="s">
        <v>120</v>
      </c>
      <c r="S2809" t="str">
        <f>_xlfn.XLOOKUP(UNIVERSO[[#This Row],[Ruta]],'[1]CUOTA RUTA'!A:A,'[1]CUOTA RUTA'!D:D)</f>
        <v>Cargar</v>
      </c>
    </row>
    <row r="2810" spans="1:19" x14ac:dyDescent="0.25">
      <c r="A2810">
        <v>1540015886</v>
      </c>
      <c r="B2810" t="s">
        <v>2835</v>
      </c>
      <c r="C2810" t="s">
        <v>19</v>
      </c>
      <c r="D2810" t="s">
        <v>32</v>
      </c>
      <c r="E2810" t="s">
        <v>21</v>
      </c>
      <c r="F2810" t="s">
        <v>22</v>
      </c>
      <c r="G2810" t="s">
        <v>33</v>
      </c>
      <c r="H2810" t="s">
        <v>148</v>
      </c>
      <c r="I2810" t="s">
        <v>5609</v>
      </c>
      <c r="J2810">
        <v>9.9875100000000003</v>
      </c>
      <c r="K2810">
        <v>-83.985799999999998</v>
      </c>
      <c r="L2810" t="s">
        <v>1225</v>
      </c>
      <c r="M2810" t="s">
        <v>94</v>
      </c>
      <c r="N2810" t="s">
        <v>95</v>
      </c>
      <c r="O2810" t="s">
        <v>96</v>
      </c>
      <c r="P2810">
        <v>12</v>
      </c>
      <c r="Q2810" t="s">
        <v>42</v>
      </c>
      <c r="S2810" t="str">
        <f>_xlfn.XLOOKUP(UNIVERSO[[#This Row],[Ruta]],'[1]CUOTA RUTA'!A:A,'[1]CUOTA RUTA'!D:D)</f>
        <v>Cargar</v>
      </c>
    </row>
    <row r="2811" spans="1:19" x14ac:dyDescent="0.25">
      <c r="A2811">
        <v>1540015960</v>
      </c>
      <c r="B2811" t="s">
        <v>5610</v>
      </c>
      <c r="C2811" t="s">
        <v>19</v>
      </c>
      <c r="D2811" t="s">
        <v>32</v>
      </c>
      <c r="E2811" t="s">
        <v>21</v>
      </c>
      <c r="F2811" t="s">
        <v>22</v>
      </c>
      <c r="G2811" t="s">
        <v>64</v>
      </c>
      <c r="H2811" t="s">
        <v>179</v>
      </c>
      <c r="I2811" t="s">
        <v>5611</v>
      </c>
      <c r="J2811">
        <v>9.8916719999999998</v>
      </c>
      <c r="K2811">
        <v>-84.055578999999994</v>
      </c>
      <c r="L2811" t="s">
        <v>1225</v>
      </c>
      <c r="M2811" t="s">
        <v>36</v>
      </c>
      <c r="N2811" t="s">
        <v>37</v>
      </c>
      <c r="O2811" t="s">
        <v>38</v>
      </c>
      <c r="P2811">
        <v>13</v>
      </c>
      <c r="Q2811" t="s">
        <v>161</v>
      </c>
      <c r="S2811" t="str">
        <f>_xlfn.XLOOKUP(UNIVERSO[[#This Row],[Ruta]],'[1]CUOTA RUTA'!A:A,'[1]CUOTA RUTA'!D:D)</f>
        <v>Cargar</v>
      </c>
    </row>
    <row r="2812" spans="1:19" x14ac:dyDescent="0.25">
      <c r="A2812">
        <v>1540016038</v>
      </c>
      <c r="B2812" t="s">
        <v>4550</v>
      </c>
      <c r="C2812" t="s">
        <v>19</v>
      </c>
      <c r="D2812" t="s">
        <v>208</v>
      </c>
      <c r="E2812" t="s">
        <v>21</v>
      </c>
      <c r="F2812" t="s">
        <v>22</v>
      </c>
      <c r="G2812" t="s">
        <v>33</v>
      </c>
      <c r="H2812" t="s">
        <v>417</v>
      </c>
      <c r="I2812" t="s">
        <v>5612</v>
      </c>
      <c r="J2812">
        <v>10.279332999999999</v>
      </c>
      <c r="K2812">
        <v>-83.930985000000007</v>
      </c>
      <c r="L2812" t="s">
        <v>1225</v>
      </c>
      <c r="M2812" t="s">
        <v>189</v>
      </c>
      <c r="N2812" t="s">
        <v>211</v>
      </c>
      <c r="O2812" t="s">
        <v>212</v>
      </c>
      <c r="P2812">
        <v>3</v>
      </c>
      <c r="Q2812" t="s">
        <v>101</v>
      </c>
      <c r="S2812" t="str">
        <f>_xlfn.XLOOKUP(UNIVERSO[[#This Row],[Ruta]],'[1]CUOTA RUTA'!A:A,'[1]CUOTA RUTA'!D:D)</f>
        <v>Cargar</v>
      </c>
    </row>
    <row r="2813" spans="1:19" x14ac:dyDescent="0.25">
      <c r="A2813">
        <v>1540016047</v>
      </c>
      <c r="B2813" t="s">
        <v>5613</v>
      </c>
      <c r="C2813" t="s">
        <v>19</v>
      </c>
      <c r="D2813" t="s">
        <v>349</v>
      </c>
      <c r="E2813" t="s">
        <v>21</v>
      </c>
      <c r="F2813" t="s">
        <v>22</v>
      </c>
      <c r="G2813" t="s">
        <v>33</v>
      </c>
      <c r="H2813" t="s">
        <v>448</v>
      </c>
      <c r="I2813" t="s">
        <v>5614</v>
      </c>
      <c r="J2813">
        <v>9.9803110000000004</v>
      </c>
      <c r="K2813">
        <v>-85.6434</v>
      </c>
      <c r="L2813" t="s">
        <v>1225</v>
      </c>
      <c r="M2813" t="s">
        <v>352</v>
      </c>
      <c r="N2813" t="s">
        <v>353</v>
      </c>
      <c r="O2813" t="s">
        <v>354</v>
      </c>
      <c r="P2813">
        <v>7</v>
      </c>
      <c r="Q2813" t="s">
        <v>39</v>
      </c>
      <c r="S2813" t="str">
        <f>_xlfn.XLOOKUP(UNIVERSO[[#This Row],[Ruta]],'[1]CUOTA RUTA'!A:A,'[1]CUOTA RUTA'!D:D)</f>
        <v>Cargar</v>
      </c>
    </row>
    <row r="2814" spans="1:19" x14ac:dyDescent="0.25">
      <c r="A2814">
        <v>1540016064</v>
      </c>
      <c r="B2814" t="s">
        <v>5615</v>
      </c>
      <c r="C2814" t="s">
        <v>19</v>
      </c>
      <c r="D2814" t="s">
        <v>20</v>
      </c>
      <c r="E2814" t="s">
        <v>21</v>
      </c>
      <c r="F2814" t="s">
        <v>22</v>
      </c>
      <c r="G2814" t="s">
        <v>33</v>
      </c>
      <c r="H2814" t="s">
        <v>518</v>
      </c>
      <c r="I2814" t="s">
        <v>5616</v>
      </c>
      <c r="J2814">
        <v>9.9970897000000001</v>
      </c>
      <c r="K2814">
        <v>-84.0944973</v>
      </c>
      <c r="L2814" t="s">
        <v>1225</v>
      </c>
      <c r="M2814" t="s">
        <v>27</v>
      </c>
      <c r="N2814" t="s">
        <v>28</v>
      </c>
      <c r="O2814" t="s">
        <v>29</v>
      </c>
      <c r="P2814">
        <v>22</v>
      </c>
      <c r="Q2814" t="s">
        <v>30</v>
      </c>
      <c r="S2814" t="str">
        <f>_xlfn.XLOOKUP(UNIVERSO[[#This Row],[Ruta]],'[1]CUOTA RUTA'!A:A,'[1]CUOTA RUTA'!D:D)</f>
        <v>Cargar</v>
      </c>
    </row>
    <row r="2815" spans="1:19" x14ac:dyDescent="0.25">
      <c r="A2815">
        <v>1540016067</v>
      </c>
      <c r="B2815" t="s">
        <v>5617</v>
      </c>
      <c r="C2815" t="s">
        <v>19</v>
      </c>
      <c r="D2815" t="s">
        <v>20</v>
      </c>
      <c r="E2815" t="s">
        <v>21</v>
      </c>
      <c r="F2815" t="s">
        <v>22</v>
      </c>
      <c r="G2815" t="s">
        <v>23</v>
      </c>
      <c r="H2815" t="s">
        <v>24</v>
      </c>
      <c r="I2815" t="s">
        <v>5618</v>
      </c>
      <c r="J2815">
        <v>9.9919526800000007</v>
      </c>
      <c r="K2815">
        <v>-84.120814760000002</v>
      </c>
      <c r="L2815" t="s">
        <v>1225</v>
      </c>
      <c r="M2815" t="s">
        <v>27</v>
      </c>
      <c r="N2815" t="s">
        <v>28</v>
      </c>
      <c r="O2815" t="s">
        <v>29</v>
      </c>
      <c r="P2815">
        <v>5</v>
      </c>
      <c r="Q2815" t="s">
        <v>117</v>
      </c>
      <c r="S2815" t="str">
        <f>_xlfn.XLOOKUP(UNIVERSO[[#This Row],[Ruta]],'[1]CUOTA RUTA'!A:A,'[1]CUOTA RUTA'!D:D)</f>
        <v>Cargar</v>
      </c>
    </row>
    <row r="2816" spans="1:19" x14ac:dyDescent="0.25">
      <c r="A2816">
        <v>1540016078</v>
      </c>
      <c r="B2816" t="s">
        <v>5619</v>
      </c>
      <c r="C2816" t="s">
        <v>19</v>
      </c>
      <c r="D2816" t="s">
        <v>244</v>
      </c>
      <c r="E2816" t="s">
        <v>21</v>
      </c>
      <c r="F2816" t="s">
        <v>22</v>
      </c>
      <c r="G2816" t="s">
        <v>33</v>
      </c>
      <c r="H2816" t="s">
        <v>1233</v>
      </c>
      <c r="I2816" t="s">
        <v>5620</v>
      </c>
      <c r="J2816">
        <v>9.3514160000000004</v>
      </c>
      <c r="K2816">
        <v>-83.688334999999995</v>
      </c>
      <c r="L2816" t="s">
        <v>1225</v>
      </c>
      <c r="M2816" t="s">
        <v>46</v>
      </c>
      <c r="N2816" t="s">
        <v>247</v>
      </c>
      <c r="O2816" t="s">
        <v>248</v>
      </c>
      <c r="P2816">
        <v>14</v>
      </c>
      <c r="Q2816" t="s">
        <v>181</v>
      </c>
      <c r="S2816" t="str">
        <f>_xlfn.XLOOKUP(UNIVERSO[[#This Row],[Ruta]],'[1]CUOTA RUTA'!A:A,'[1]CUOTA RUTA'!D:D)</f>
        <v>Cargar</v>
      </c>
    </row>
    <row r="2817" spans="1:19" x14ac:dyDescent="0.25">
      <c r="A2817">
        <v>1540016123</v>
      </c>
      <c r="B2817" t="s">
        <v>832</v>
      </c>
      <c r="C2817" t="s">
        <v>19</v>
      </c>
      <c r="D2817" t="s">
        <v>20</v>
      </c>
      <c r="E2817" t="s">
        <v>21</v>
      </c>
      <c r="F2817" t="s">
        <v>22</v>
      </c>
      <c r="G2817" t="s">
        <v>64</v>
      </c>
      <c r="H2817" t="s">
        <v>674</v>
      </c>
      <c r="I2817" t="s">
        <v>5621</v>
      </c>
      <c r="J2817">
        <v>10.120620000000001</v>
      </c>
      <c r="K2817">
        <v>-84.441689999999994</v>
      </c>
      <c r="L2817" t="s">
        <v>1225</v>
      </c>
      <c r="M2817" t="s">
        <v>46</v>
      </c>
      <c r="N2817" t="s">
        <v>47</v>
      </c>
      <c r="O2817" t="s">
        <v>48</v>
      </c>
      <c r="P2817">
        <v>6</v>
      </c>
      <c r="Q2817" t="s">
        <v>49</v>
      </c>
      <c r="S2817" t="str">
        <f>_xlfn.XLOOKUP(UNIVERSO[[#This Row],[Ruta]],'[1]CUOTA RUTA'!A:A,'[1]CUOTA RUTA'!D:D)</f>
        <v>Cargar</v>
      </c>
    </row>
    <row r="2818" spans="1:19" x14ac:dyDescent="0.25">
      <c r="A2818">
        <v>1540016126</v>
      </c>
      <c r="B2818" t="s">
        <v>5622</v>
      </c>
      <c r="C2818" t="s">
        <v>19</v>
      </c>
      <c r="D2818" t="s">
        <v>244</v>
      </c>
      <c r="E2818" t="s">
        <v>21</v>
      </c>
      <c r="F2818" t="s">
        <v>22</v>
      </c>
      <c r="G2818" t="s">
        <v>33</v>
      </c>
      <c r="H2818" t="s">
        <v>245</v>
      </c>
      <c r="I2818" t="s">
        <v>5623</v>
      </c>
      <c r="J2818">
        <v>9.3406339999999997</v>
      </c>
      <c r="K2818">
        <v>-83.672488000000001</v>
      </c>
      <c r="L2818" t="s">
        <v>1225</v>
      </c>
      <c r="M2818" t="s">
        <v>46</v>
      </c>
      <c r="N2818" t="s">
        <v>247</v>
      </c>
      <c r="O2818" t="s">
        <v>248</v>
      </c>
      <c r="P2818">
        <v>15</v>
      </c>
      <c r="Q2818" t="s">
        <v>231</v>
      </c>
      <c r="S2818" t="str">
        <f>_xlfn.XLOOKUP(UNIVERSO[[#This Row],[Ruta]],'[1]CUOTA RUTA'!A:A,'[1]CUOTA RUTA'!D:D)</f>
        <v>Cargar</v>
      </c>
    </row>
    <row r="2819" spans="1:19" x14ac:dyDescent="0.25">
      <c r="A2819">
        <v>1540016162</v>
      </c>
      <c r="B2819" t="s">
        <v>5624</v>
      </c>
      <c r="C2819" t="s">
        <v>19</v>
      </c>
      <c r="D2819" t="s">
        <v>349</v>
      </c>
      <c r="E2819" t="s">
        <v>21</v>
      </c>
      <c r="F2819" t="s">
        <v>51</v>
      </c>
      <c r="G2819" t="s">
        <v>23</v>
      </c>
      <c r="H2819" t="s">
        <v>908</v>
      </c>
      <c r="I2819" t="s">
        <v>5625</v>
      </c>
      <c r="J2819">
        <v>10.264039</v>
      </c>
      <c r="K2819">
        <v>-85.585570000000004</v>
      </c>
      <c r="L2819" t="s">
        <v>1225</v>
      </c>
      <c r="M2819" t="s">
        <v>352</v>
      </c>
      <c r="N2819" t="s">
        <v>353</v>
      </c>
      <c r="O2819" t="s">
        <v>354</v>
      </c>
      <c r="P2819">
        <v>2</v>
      </c>
      <c r="Q2819" t="s">
        <v>150</v>
      </c>
      <c r="S2819" t="str">
        <f>_xlfn.XLOOKUP(UNIVERSO[[#This Row],[Ruta]],'[1]CUOTA RUTA'!A:A,'[1]CUOTA RUTA'!D:D)</f>
        <v>Cargar</v>
      </c>
    </row>
    <row r="2820" spans="1:19" x14ac:dyDescent="0.25">
      <c r="A2820">
        <v>1540016177</v>
      </c>
      <c r="B2820" t="s">
        <v>5626</v>
      </c>
      <c r="C2820" t="s">
        <v>19</v>
      </c>
      <c r="D2820" t="s">
        <v>349</v>
      </c>
      <c r="E2820" t="s">
        <v>21</v>
      </c>
      <c r="F2820" t="s">
        <v>22</v>
      </c>
      <c r="G2820" t="s">
        <v>23</v>
      </c>
      <c r="H2820" t="s">
        <v>356</v>
      </c>
      <c r="I2820" t="s">
        <v>5627</v>
      </c>
      <c r="J2820">
        <v>10.114288999999999</v>
      </c>
      <c r="K2820">
        <v>-85.347379000000004</v>
      </c>
      <c r="L2820" t="s">
        <v>1225</v>
      </c>
      <c r="M2820" t="s">
        <v>352</v>
      </c>
      <c r="N2820" t="s">
        <v>353</v>
      </c>
      <c r="O2820" t="s">
        <v>354</v>
      </c>
      <c r="P2820">
        <v>12</v>
      </c>
      <c r="Q2820" t="s">
        <v>42</v>
      </c>
      <c r="S2820" t="str">
        <f>_xlfn.XLOOKUP(UNIVERSO[[#This Row],[Ruta]],'[1]CUOTA RUTA'!A:A,'[1]CUOTA RUTA'!D:D)</f>
        <v>Cargar</v>
      </c>
    </row>
    <row r="2821" spans="1:19" x14ac:dyDescent="0.25">
      <c r="A2821">
        <v>1540016197</v>
      </c>
      <c r="B2821" t="s">
        <v>5628</v>
      </c>
      <c r="C2821" t="s">
        <v>19</v>
      </c>
      <c r="D2821" t="s">
        <v>20</v>
      </c>
      <c r="E2821" t="s">
        <v>21</v>
      </c>
      <c r="F2821" t="s">
        <v>22</v>
      </c>
      <c r="G2821" t="s">
        <v>64</v>
      </c>
      <c r="H2821" t="s">
        <v>260</v>
      </c>
      <c r="I2821" t="s">
        <v>5629</v>
      </c>
      <c r="J2821">
        <v>10.089516700000001</v>
      </c>
      <c r="K2821">
        <v>-84.468525</v>
      </c>
      <c r="L2821" t="s">
        <v>1225</v>
      </c>
      <c r="M2821" t="s">
        <v>46</v>
      </c>
      <c r="N2821" t="s">
        <v>47</v>
      </c>
      <c r="O2821" t="s">
        <v>48</v>
      </c>
      <c r="P2821">
        <v>6</v>
      </c>
      <c r="Q2821" t="s">
        <v>49</v>
      </c>
      <c r="S2821" t="str">
        <f>_xlfn.XLOOKUP(UNIVERSO[[#This Row],[Ruta]],'[1]CUOTA RUTA'!A:A,'[1]CUOTA RUTA'!D:D)</f>
        <v>Cargar</v>
      </c>
    </row>
    <row r="2822" spans="1:19" x14ac:dyDescent="0.25">
      <c r="A2822">
        <v>1540016206</v>
      </c>
      <c r="B2822" t="s">
        <v>5630</v>
      </c>
      <c r="C2822" t="s">
        <v>19</v>
      </c>
      <c r="D2822" t="s">
        <v>20</v>
      </c>
      <c r="E2822" t="s">
        <v>21</v>
      </c>
      <c r="F2822" t="s">
        <v>22</v>
      </c>
      <c r="G2822" t="s">
        <v>33</v>
      </c>
      <c r="H2822" t="s">
        <v>308</v>
      </c>
      <c r="I2822" t="s">
        <v>5631</v>
      </c>
      <c r="J2822">
        <v>9.8659300000000005</v>
      </c>
      <c r="K2822">
        <v>-84.363119999999995</v>
      </c>
      <c r="L2822" t="s">
        <v>1225</v>
      </c>
      <c r="M2822" t="s">
        <v>54</v>
      </c>
      <c r="N2822" t="s">
        <v>55</v>
      </c>
      <c r="O2822" t="s">
        <v>56</v>
      </c>
      <c r="P2822">
        <v>21</v>
      </c>
      <c r="Q2822" t="s">
        <v>239</v>
      </c>
      <c r="S2822" t="str">
        <f>_xlfn.XLOOKUP(UNIVERSO[[#This Row],[Ruta]],'[1]CUOTA RUTA'!A:A,'[1]CUOTA RUTA'!D:D)</f>
        <v>Cargar</v>
      </c>
    </row>
    <row r="2823" spans="1:19" x14ac:dyDescent="0.25">
      <c r="A2823">
        <v>1540016214</v>
      </c>
      <c r="B2823" t="s">
        <v>5632</v>
      </c>
      <c r="C2823" t="s">
        <v>19</v>
      </c>
      <c r="D2823" t="s">
        <v>20</v>
      </c>
      <c r="E2823" t="s">
        <v>21</v>
      </c>
      <c r="F2823" t="s">
        <v>22</v>
      </c>
      <c r="G2823" t="s">
        <v>23</v>
      </c>
      <c r="H2823" t="s">
        <v>774</v>
      </c>
      <c r="I2823" t="s">
        <v>5633</v>
      </c>
      <c r="J2823">
        <v>9.98794</v>
      </c>
      <c r="K2823">
        <v>-84.178799999999995</v>
      </c>
      <c r="L2823" t="s">
        <v>1225</v>
      </c>
      <c r="M2823" t="s">
        <v>54</v>
      </c>
      <c r="N2823" t="s">
        <v>55</v>
      </c>
      <c r="O2823" t="s">
        <v>56</v>
      </c>
      <c r="P2823">
        <v>15</v>
      </c>
      <c r="Q2823" t="s">
        <v>231</v>
      </c>
      <c r="S2823" t="str">
        <f>_xlfn.XLOOKUP(UNIVERSO[[#This Row],[Ruta]],'[1]CUOTA RUTA'!A:A,'[1]CUOTA RUTA'!D:D)</f>
        <v>Cargar</v>
      </c>
    </row>
    <row r="2824" spans="1:19" x14ac:dyDescent="0.25">
      <c r="A2824">
        <v>1540016231</v>
      </c>
      <c r="B2824" t="s">
        <v>5634</v>
      </c>
      <c r="C2824" t="s">
        <v>19</v>
      </c>
      <c r="D2824" t="s">
        <v>186</v>
      </c>
      <c r="E2824" t="s">
        <v>21</v>
      </c>
      <c r="F2824" t="s">
        <v>22</v>
      </c>
      <c r="G2824" t="s">
        <v>64</v>
      </c>
      <c r="H2824" t="s">
        <v>229</v>
      </c>
      <c r="I2824" t="s">
        <v>5635</v>
      </c>
      <c r="J2824">
        <v>9.9888088499999999</v>
      </c>
      <c r="K2824">
        <v>-83.036012929999998</v>
      </c>
      <c r="L2824" t="s">
        <v>1225</v>
      </c>
      <c r="M2824" t="s">
        <v>189</v>
      </c>
      <c r="N2824" t="s">
        <v>190</v>
      </c>
      <c r="O2824" t="s">
        <v>191</v>
      </c>
      <c r="P2824">
        <v>15</v>
      </c>
      <c r="Q2824" t="s">
        <v>231</v>
      </c>
      <c r="S2824" t="str">
        <f>_xlfn.XLOOKUP(UNIVERSO[[#This Row],[Ruta]],'[1]CUOTA RUTA'!A:A,'[1]CUOTA RUTA'!D:D)</f>
        <v>Cargar</v>
      </c>
    </row>
    <row r="2825" spans="1:19" x14ac:dyDescent="0.25">
      <c r="A2825">
        <v>1540016254</v>
      </c>
      <c r="B2825" t="s">
        <v>5636</v>
      </c>
      <c r="C2825" t="s">
        <v>19</v>
      </c>
      <c r="D2825" t="s">
        <v>20</v>
      </c>
      <c r="E2825" t="s">
        <v>21</v>
      </c>
      <c r="F2825" t="s">
        <v>22</v>
      </c>
      <c r="G2825" t="s">
        <v>23</v>
      </c>
      <c r="H2825" t="s">
        <v>198</v>
      </c>
      <c r="I2825" t="s">
        <v>5637</v>
      </c>
      <c r="J2825">
        <v>9.9295500000000008</v>
      </c>
      <c r="K2825">
        <v>-84.175529999999995</v>
      </c>
      <c r="L2825" t="s">
        <v>1225</v>
      </c>
      <c r="M2825" t="s">
        <v>54</v>
      </c>
      <c r="N2825" t="s">
        <v>55</v>
      </c>
      <c r="O2825" t="s">
        <v>56</v>
      </c>
      <c r="P2825">
        <v>11</v>
      </c>
      <c r="Q2825" t="s">
        <v>108</v>
      </c>
      <c r="S2825" t="str">
        <f>_xlfn.XLOOKUP(UNIVERSO[[#This Row],[Ruta]],'[1]CUOTA RUTA'!A:A,'[1]CUOTA RUTA'!D:D)</f>
        <v>Cargar</v>
      </c>
    </row>
    <row r="2826" spans="1:19" x14ac:dyDescent="0.25">
      <c r="A2826">
        <v>1540016263</v>
      </c>
      <c r="B2826" t="s">
        <v>5638</v>
      </c>
      <c r="C2826" t="s">
        <v>19</v>
      </c>
      <c r="D2826" t="s">
        <v>20</v>
      </c>
      <c r="E2826" t="s">
        <v>21</v>
      </c>
      <c r="F2826" t="s">
        <v>22</v>
      </c>
      <c r="G2826" t="s">
        <v>64</v>
      </c>
      <c r="H2826" t="s">
        <v>308</v>
      </c>
      <c r="I2826" t="s">
        <v>5639</v>
      </c>
      <c r="J2826">
        <v>9.9073600000000006</v>
      </c>
      <c r="K2826">
        <v>-84.441069999999996</v>
      </c>
      <c r="L2826" t="s">
        <v>1225</v>
      </c>
      <c r="M2826" t="s">
        <v>54</v>
      </c>
      <c r="N2826" t="s">
        <v>55</v>
      </c>
      <c r="O2826" t="s">
        <v>56</v>
      </c>
      <c r="P2826">
        <v>21</v>
      </c>
      <c r="Q2826" t="s">
        <v>239</v>
      </c>
      <c r="S2826" t="str">
        <f>_xlfn.XLOOKUP(UNIVERSO[[#This Row],[Ruta]],'[1]CUOTA RUTA'!A:A,'[1]CUOTA RUTA'!D:D)</f>
        <v>Cargar</v>
      </c>
    </row>
    <row r="2827" spans="1:19" x14ac:dyDescent="0.25">
      <c r="A2827">
        <v>1540016271</v>
      </c>
      <c r="B2827" t="s">
        <v>5640</v>
      </c>
      <c r="C2827" t="s">
        <v>19</v>
      </c>
      <c r="D2827" t="s">
        <v>349</v>
      </c>
      <c r="E2827" t="s">
        <v>21</v>
      </c>
      <c r="F2827" t="s">
        <v>22</v>
      </c>
      <c r="G2827" t="s">
        <v>23</v>
      </c>
      <c r="H2827" t="s">
        <v>711</v>
      </c>
      <c r="I2827" t="s">
        <v>5641</v>
      </c>
      <c r="J2827">
        <v>10.004498999999999</v>
      </c>
      <c r="K2827">
        <v>-85.699295000000006</v>
      </c>
      <c r="L2827" t="s">
        <v>1225</v>
      </c>
      <c r="M2827" t="s">
        <v>352</v>
      </c>
      <c r="N2827" t="s">
        <v>353</v>
      </c>
      <c r="O2827" t="s">
        <v>354</v>
      </c>
      <c r="P2827">
        <v>6</v>
      </c>
      <c r="Q2827" t="s">
        <v>49</v>
      </c>
      <c r="S2827" t="str">
        <f>_xlfn.XLOOKUP(UNIVERSO[[#This Row],[Ruta]],'[1]CUOTA RUTA'!A:A,'[1]CUOTA RUTA'!D:D)</f>
        <v>Cargar</v>
      </c>
    </row>
    <row r="2828" spans="1:19" x14ac:dyDescent="0.25">
      <c r="A2828">
        <v>1540016274</v>
      </c>
      <c r="B2828" t="s">
        <v>5642</v>
      </c>
      <c r="C2828" t="s">
        <v>19</v>
      </c>
      <c r="D2828" t="s">
        <v>349</v>
      </c>
      <c r="E2828" t="s">
        <v>21</v>
      </c>
      <c r="F2828" t="s">
        <v>22</v>
      </c>
      <c r="G2828" t="s">
        <v>64</v>
      </c>
      <c r="H2828" t="s">
        <v>359</v>
      </c>
      <c r="I2828" t="s">
        <v>5643</v>
      </c>
      <c r="J2828">
        <v>9.9202759999999994</v>
      </c>
      <c r="K2828">
        <v>-85.523691999999997</v>
      </c>
      <c r="L2828" t="s">
        <v>1225</v>
      </c>
      <c r="M2828" t="s">
        <v>352</v>
      </c>
      <c r="N2828" t="s">
        <v>353</v>
      </c>
      <c r="O2828" t="s">
        <v>354</v>
      </c>
      <c r="P2828">
        <v>8</v>
      </c>
      <c r="Q2828" t="s">
        <v>97</v>
      </c>
      <c r="S2828" t="str">
        <f>_xlfn.XLOOKUP(UNIVERSO[[#This Row],[Ruta]],'[1]CUOTA RUTA'!A:A,'[1]CUOTA RUTA'!D:D)</f>
        <v>Cargar</v>
      </c>
    </row>
    <row r="2829" spans="1:19" x14ac:dyDescent="0.25">
      <c r="A2829">
        <v>1540016291</v>
      </c>
      <c r="B2829" t="s">
        <v>5644</v>
      </c>
      <c r="C2829" t="s">
        <v>19</v>
      </c>
      <c r="D2829" t="s">
        <v>337</v>
      </c>
      <c r="E2829" t="s">
        <v>21</v>
      </c>
      <c r="F2829" t="s">
        <v>22</v>
      </c>
      <c r="G2829" t="s">
        <v>23</v>
      </c>
      <c r="H2829" t="s">
        <v>451</v>
      </c>
      <c r="I2829" t="s">
        <v>5645</v>
      </c>
      <c r="J2829">
        <v>10.639951</v>
      </c>
      <c r="K2829">
        <v>-85.449037000000004</v>
      </c>
      <c r="L2829" t="s">
        <v>1225</v>
      </c>
      <c r="M2829" t="s">
        <v>327</v>
      </c>
      <c r="N2829" t="s">
        <v>340</v>
      </c>
      <c r="O2829" t="s">
        <v>341</v>
      </c>
      <c r="P2829">
        <v>13</v>
      </c>
      <c r="Q2829" t="s">
        <v>161</v>
      </c>
      <c r="S2829" t="str">
        <f>_xlfn.XLOOKUP(UNIVERSO[[#This Row],[Ruta]],'[1]CUOTA RUTA'!A:A,'[1]CUOTA RUTA'!D:D)</f>
        <v>Cargar</v>
      </c>
    </row>
    <row r="2830" spans="1:19" x14ac:dyDescent="0.25">
      <c r="A2830">
        <v>1540016325</v>
      </c>
      <c r="B2830" t="s">
        <v>5646</v>
      </c>
      <c r="C2830" t="s">
        <v>19</v>
      </c>
      <c r="D2830" t="s">
        <v>186</v>
      </c>
      <c r="E2830" t="s">
        <v>21</v>
      </c>
      <c r="F2830" t="s">
        <v>22</v>
      </c>
      <c r="G2830" t="s">
        <v>33</v>
      </c>
      <c r="H2830" t="s">
        <v>241</v>
      </c>
      <c r="I2830" t="s">
        <v>5647</v>
      </c>
      <c r="J2830">
        <v>9.9731470000000009</v>
      </c>
      <c r="K2830">
        <v>-83.154640000000001</v>
      </c>
      <c r="L2830" t="s">
        <v>1225</v>
      </c>
      <c r="M2830" t="s">
        <v>189</v>
      </c>
      <c r="N2830" t="s">
        <v>190</v>
      </c>
      <c r="O2830" t="s">
        <v>191</v>
      </c>
      <c r="P2830">
        <v>18</v>
      </c>
      <c r="Q2830" t="s">
        <v>84</v>
      </c>
      <c r="S2830" t="str">
        <f>_xlfn.XLOOKUP(UNIVERSO[[#This Row],[Ruta]],'[1]CUOTA RUTA'!A:A,'[1]CUOTA RUTA'!D:D)</f>
        <v>Cargar</v>
      </c>
    </row>
    <row r="2831" spans="1:19" x14ac:dyDescent="0.25">
      <c r="A2831">
        <v>1540016361</v>
      </c>
      <c r="B2831" t="s">
        <v>5648</v>
      </c>
      <c r="C2831" t="s">
        <v>19</v>
      </c>
      <c r="D2831" t="s">
        <v>569</v>
      </c>
      <c r="E2831" t="s">
        <v>21</v>
      </c>
      <c r="F2831" t="s">
        <v>22</v>
      </c>
      <c r="G2831" t="s">
        <v>33</v>
      </c>
      <c r="H2831" t="s">
        <v>570</v>
      </c>
      <c r="I2831" t="s">
        <v>5649</v>
      </c>
      <c r="J2831">
        <v>8.6167689999999997</v>
      </c>
      <c r="K2831">
        <v>-83.065945999999997</v>
      </c>
      <c r="L2831" t="s">
        <v>1225</v>
      </c>
      <c r="M2831" t="s">
        <v>572</v>
      </c>
      <c r="N2831" t="s">
        <v>573</v>
      </c>
      <c r="O2831" t="s">
        <v>574</v>
      </c>
      <c r="P2831">
        <v>23</v>
      </c>
      <c r="Q2831" t="s">
        <v>125</v>
      </c>
      <c r="S2831" t="str">
        <f>_xlfn.XLOOKUP(UNIVERSO[[#This Row],[Ruta]],'[1]CUOTA RUTA'!A:A,'[1]CUOTA RUTA'!D:D)</f>
        <v>Cargar</v>
      </c>
    </row>
    <row r="2832" spans="1:19" x14ac:dyDescent="0.25">
      <c r="A2832">
        <v>1540016514</v>
      </c>
      <c r="B2832" t="s">
        <v>5650</v>
      </c>
      <c r="C2832" t="s">
        <v>19</v>
      </c>
      <c r="D2832" t="s">
        <v>244</v>
      </c>
      <c r="E2832" t="s">
        <v>21</v>
      </c>
      <c r="F2832" t="s">
        <v>22</v>
      </c>
      <c r="G2832" t="s">
        <v>33</v>
      </c>
      <c r="H2832" t="s">
        <v>436</v>
      </c>
      <c r="I2832" t="s">
        <v>5651</v>
      </c>
      <c r="J2832">
        <v>9.4305299999999992</v>
      </c>
      <c r="K2832">
        <v>-84.164429999999996</v>
      </c>
      <c r="L2832" t="s">
        <v>1225</v>
      </c>
      <c r="M2832" t="s">
        <v>46</v>
      </c>
      <c r="N2832" t="s">
        <v>247</v>
      </c>
      <c r="O2832" t="s">
        <v>248</v>
      </c>
      <c r="P2832">
        <v>21</v>
      </c>
      <c r="Q2832" t="s">
        <v>239</v>
      </c>
      <c r="S2832" t="str">
        <f>_xlfn.XLOOKUP(UNIVERSO[[#This Row],[Ruta]],'[1]CUOTA RUTA'!A:A,'[1]CUOTA RUTA'!D:D)</f>
        <v>Cargar</v>
      </c>
    </row>
    <row r="2833" spans="1:19" x14ac:dyDescent="0.25">
      <c r="A2833">
        <v>1540016530</v>
      </c>
      <c r="B2833" t="s">
        <v>5652</v>
      </c>
      <c r="C2833" t="s">
        <v>19</v>
      </c>
      <c r="D2833" t="s">
        <v>32</v>
      </c>
      <c r="E2833" t="s">
        <v>21</v>
      </c>
      <c r="F2833" t="s">
        <v>22</v>
      </c>
      <c r="G2833" t="s">
        <v>33</v>
      </c>
      <c r="H2833" t="s">
        <v>76</v>
      </c>
      <c r="I2833" t="s">
        <v>5653</v>
      </c>
      <c r="J2833">
        <v>9.9432720000000003</v>
      </c>
      <c r="K2833">
        <v>-84.042563999999999</v>
      </c>
      <c r="L2833" t="s">
        <v>1225</v>
      </c>
      <c r="M2833" t="s">
        <v>36</v>
      </c>
      <c r="N2833" t="s">
        <v>37</v>
      </c>
      <c r="O2833" t="s">
        <v>38</v>
      </c>
      <c r="P2833">
        <v>22</v>
      </c>
      <c r="Q2833" t="s">
        <v>30</v>
      </c>
      <c r="S2833" t="str">
        <f>_xlfn.XLOOKUP(UNIVERSO[[#This Row],[Ruta]],'[1]CUOTA RUTA'!A:A,'[1]CUOTA RUTA'!D:D)</f>
        <v>Cargar</v>
      </c>
    </row>
    <row r="2834" spans="1:19" x14ac:dyDescent="0.25">
      <c r="A2834">
        <v>1540016539</v>
      </c>
      <c r="B2834" t="s">
        <v>5654</v>
      </c>
      <c r="C2834" t="s">
        <v>19</v>
      </c>
      <c r="D2834" t="s">
        <v>32</v>
      </c>
      <c r="E2834" t="s">
        <v>21</v>
      </c>
      <c r="F2834" t="s">
        <v>51</v>
      </c>
      <c r="G2834" t="s">
        <v>23</v>
      </c>
      <c r="H2834" t="s">
        <v>103</v>
      </c>
      <c r="I2834" t="s">
        <v>5655</v>
      </c>
      <c r="J2834">
        <v>9.9352730000000005</v>
      </c>
      <c r="K2834">
        <v>-84.081252000000006</v>
      </c>
      <c r="L2834" t="s">
        <v>1225</v>
      </c>
      <c r="M2834" t="s">
        <v>71</v>
      </c>
      <c r="N2834" t="s">
        <v>72</v>
      </c>
      <c r="O2834" t="s">
        <v>73</v>
      </c>
      <c r="P2834">
        <v>2</v>
      </c>
      <c r="Q2834" t="s">
        <v>150</v>
      </c>
      <c r="S2834" t="str">
        <f>_xlfn.XLOOKUP(UNIVERSO[[#This Row],[Ruta]],'[1]CUOTA RUTA'!A:A,'[1]CUOTA RUTA'!D:D)</f>
        <v>Cargar</v>
      </c>
    </row>
    <row r="2835" spans="1:19" x14ac:dyDescent="0.25">
      <c r="A2835">
        <v>1540016574</v>
      </c>
      <c r="B2835" t="s">
        <v>5656</v>
      </c>
      <c r="C2835" t="s">
        <v>19</v>
      </c>
      <c r="D2835" t="s">
        <v>201</v>
      </c>
      <c r="E2835" t="s">
        <v>62</v>
      </c>
      <c r="F2835" t="s">
        <v>63</v>
      </c>
      <c r="G2835" t="s">
        <v>64</v>
      </c>
      <c r="H2835" t="s">
        <v>794</v>
      </c>
      <c r="I2835" t="s">
        <v>5657</v>
      </c>
      <c r="J2835">
        <v>9.6180266000000003</v>
      </c>
      <c r="K2835">
        <v>-84.623686000000006</v>
      </c>
      <c r="L2835" t="s">
        <v>1225</v>
      </c>
      <c r="M2835" t="s">
        <v>204</v>
      </c>
      <c r="N2835" t="s">
        <v>205</v>
      </c>
      <c r="O2835" t="s">
        <v>206</v>
      </c>
      <c r="P2835">
        <v>5</v>
      </c>
      <c r="Q2835" t="s">
        <v>117</v>
      </c>
      <c r="S2835" t="str">
        <f>_xlfn.XLOOKUP(UNIVERSO[[#This Row],[Ruta]],'[1]CUOTA RUTA'!A:A,'[1]CUOTA RUTA'!D:D)</f>
        <v>Cargar</v>
      </c>
    </row>
    <row r="2836" spans="1:19" x14ac:dyDescent="0.25">
      <c r="A2836">
        <v>1540016679</v>
      </c>
      <c r="B2836" t="s">
        <v>1193</v>
      </c>
      <c r="C2836" t="s">
        <v>19</v>
      </c>
      <c r="D2836" t="s">
        <v>32</v>
      </c>
      <c r="E2836" t="s">
        <v>21</v>
      </c>
      <c r="F2836" t="s">
        <v>22</v>
      </c>
      <c r="G2836" t="s">
        <v>33</v>
      </c>
      <c r="H2836" t="s">
        <v>625</v>
      </c>
      <c r="I2836" t="s">
        <v>5658</v>
      </c>
      <c r="J2836">
        <v>9.9825149999999994</v>
      </c>
      <c r="K2836">
        <v>-84.054453333330002</v>
      </c>
      <c r="L2836" t="s">
        <v>1225</v>
      </c>
      <c r="M2836" t="s">
        <v>94</v>
      </c>
      <c r="N2836" t="s">
        <v>95</v>
      </c>
      <c r="O2836" t="s">
        <v>96</v>
      </c>
      <c r="P2836">
        <v>6</v>
      </c>
      <c r="Q2836" t="s">
        <v>49</v>
      </c>
      <c r="S2836" t="str">
        <f>_xlfn.XLOOKUP(UNIVERSO[[#This Row],[Ruta]],'[1]CUOTA RUTA'!A:A,'[1]CUOTA RUTA'!D:D)</f>
        <v>Cargar</v>
      </c>
    </row>
    <row r="2837" spans="1:19" x14ac:dyDescent="0.25">
      <c r="A2837">
        <v>1540016682</v>
      </c>
      <c r="B2837" t="s">
        <v>4901</v>
      </c>
      <c r="C2837" t="s">
        <v>19</v>
      </c>
      <c r="D2837" t="s">
        <v>32</v>
      </c>
      <c r="E2837" t="s">
        <v>21</v>
      </c>
      <c r="F2837" t="s">
        <v>51</v>
      </c>
      <c r="G2837" t="s">
        <v>23</v>
      </c>
      <c r="H2837" t="s">
        <v>134</v>
      </c>
      <c r="I2837" t="s">
        <v>5659</v>
      </c>
      <c r="J2837">
        <v>9.9716880000000003</v>
      </c>
      <c r="K2837">
        <v>-84.033112000000003</v>
      </c>
      <c r="L2837" t="s">
        <v>1225</v>
      </c>
      <c r="M2837" t="s">
        <v>94</v>
      </c>
      <c r="N2837" t="s">
        <v>95</v>
      </c>
      <c r="O2837" t="s">
        <v>96</v>
      </c>
      <c r="P2837">
        <v>2</v>
      </c>
      <c r="Q2837" t="s">
        <v>150</v>
      </c>
      <c r="S2837" t="str">
        <f>_xlfn.XLOOKUP(UNIVERSO[[#This Row],[Ruta]],'[1]CUOTA RUTA'!A:A,'[1]CUOTA RUTA'!D:D)</f>
        <v>Cargar</v>
      </c>
    </row>
    <row r="2838" spans="1:19" x14ac:dyDescent="0.25">
      <c r="A2838">
        <v>1540016686</v>
      </c>
      <c r="B2838" t="s">
        <v>3037</v>
      </c>
      <c r="C2838" t="s">
        <v>19</v>
      </c>
      <c r="D2838" t="s">
        <v>32</v>
      </c>
      <c r="E2838" t="s">
        <v>21</v>
      </c>
      <c r="F2838" t="s">
        <v>22</v>
      </c>
      <c r="G2838" t="s">
        <v>33</v>
      </c>
      <c r="H2838" t="s">
        <v>127</v>
      </c>
      <c r="I2838" t="s">
        <v>5660</v>
      </c>
      <c r="J2838">
        <v>9.8304333333329996</v>
      </c>
      <c r="K2838">
        <v>-84.060635000000005</v>
      </c>
      <c r="L2838" t="s">
        <v>1225</v>
      </c>
      <c r="M2838" t="s">
        <v>54</v>
      </c>
      <c r="N2838" t="s">
        <v>129</v>
      </c>
      <c r="O2838" t="s">
        <v>130</v>
      </c>
      <c r="P2838">
        <v>23</v>
      </c>
      <c r="Q2838" t="s">
        <v>125</v>
      </c>
      <c r="S2838" t="str">
        <f>_xlfn.XLOOKUP(UNIVERSO[[#This Row],[Ruta]],'[1]CUOTA RUTA'!A:A,'[1]CUOTA RUTA'!D:D)</f>
        <v>Cargar</v>
      </c>
    </row>
    <row r="2839" spans="1:19" x14ac:dyDescent="0.25">
      <c r="A2839">
        <v>1540016714</v>
      </c>
      <c r="B2839" t="s">
        <v>5661</v>
      </c>
      <c r="C2839" t="s">
        <v>19</v>
      </c>
      <c r="D2839" t="s">
        <v>349</v>
      </c>
      <c r="E2839" t="s">
        <v>21</v>
      </c>
      <c r="F2839" t="s">
        <v>22</v>
      </c>
      <c r="G2839" t="s">
        <v>23</v>
      </c>
      <c r="H2839" t="s">
        <v>448</v>
      </c>
      <c r="I2839" t="s">
        <v>5662</v>
      </c>
      <c r="J2839">
        <v>10.226290000000001</v>
      </c>
      <c r="K2839">
        <v>-85.538799999999995</v>
      </c>
      <c r="L2839" t="s">
        <v>1225</v>
      </c>
      <c r="M2839" t="s">
        <v>352</v>
      </c>
      <c r="N2839" t="s">
        <v>353</v>
      </c>
      <c r="O2839" t="s">
        <v>354</v>
      </c>
      <c r="P2839">
        <v>3</v>
      </c>
      <c r="Q2839" t="s">
        <v>101</v>
      </c>
      <c r="S2839" t="str">
        <f>_xlfn.XLOOKUP(UNIVERSO[[#This Row],[Ruta]],'[1]CUOTA RUTA'!A:A,'[1]CUOTA RUTA'!D:D)</f>
        <v>Cargar</v>
      </c>
    </row>
    <row r="2840" spans="1:19" x14ac:dyDescent="0.25">
      <c r="A2840">
        <v>1540016719</v>
      </c>
      <c r="B2840" t="s">
        <v>5663</v>
      </c>
      <c r="C2840" t="s">
        <v>19</v>
      </c>
      <c r="D2840" t="s">
        <v>337</v>
      </c>
      <c r="E2840" t="s">
        <v>21</v>
      </c>
      <c r="F2840" t="s">
        <v>22</v>
      </c>
      <c r="G2840" t="s">
        <v>23</v>
      </c>
      <c r="H2840" t="s">
        <v>576</v>
      </c>
      <c r="I2840" t="s">
        <v>5664</v>
      </c>
      <c r="J2840">
        <v>10.632574</v>
      </c>
      <c r="K2840">
        <v>-85.434428740000001</v>
      </c>
      <c r="L2840" t="s">
        <v>1225</v>
      </c>
      <c r="M2840" t="s">
        <v>327</v>
      </c>
      <c r="N2840" t="s">
        <v>340</v>
      </c>
      <c r="O2840" t="s">
        <v>341</v>
      </c>
      <c r="P2840">
        <v>13</v>
      </c>
      <c r="Q2840" t="s">
        <v>161</v>
      </c>
      <c r="S2840" t="str">
        <f>_xlfn.XLOOKUP(UNIVERSO[[#This Row],[Ruta]],'[1]CUOTA RUTA'!A:A,'[1]CUOTA RUTA'!D:D)</f>
        <v>Cargar</v>
      </c>
    </row>
    <row r="2841" spans="1:19" x14ac:dyDescent="0.25">
      <c r="A2841">
        <v>1540016743</v>
      </c>
      <c r="B2841" t="s">
        <v>5665</v>
      </c>
      <c r="C2841" t="s">
        <v>19</v>
      </c>
      <c r="D2841" t="s">
        <v>186</v>
      </c>
      <c r="E2841" t="s">
        <v>21</v>
      </c>
      <c r="F2841" t="s">
        <v>22</v>
      </c>
      <c r="G2841" t="s">
        <v>64</v>
      </c>
      <c r="H2841" t="s">
        <v>237</v>
      </c>
      <c r="I2841" t="s">
        <v>5666</v>
      </c>
      <c r="J2841">
        <v>10.084250000000001</v>
      </c>
      <c r="K2841">
        <v>-83.342228000000006</v>
      </c>
      <c r="L2841" t="s">
        <v>1225</v>
      </c>
      <c r="M2841" t="s">
        <v>189</v>
      </c>
      <c r="N2841" t="s">
        <v>190</v>
      </c>
      <c r="O2841" t="s">
        <v>191</v>
      </c>
      <c r="P2841">
        <v>21</v>
      </c>
      <c r="Q2841" t="s">
        <v>239</v>
      </c>
      <c r="S2841" t="str">
        <f>_xlfn.XLOOKUP(UNIVERSO[[#This Row],[Ruta]],'[1]CUOTA RUTA'!A:A,'[1]CUOTA RUTA'!D:D)</f>
        <v>Cargar</v>
      </c>
    </row>
    <row r="2842" spans="1:19" x14ac:dyDescent="0.25">
      <c r="A2842">
        <v>1540016831</v>
      </c>
      <c r="B2842" t="s">
        <v>5667</v>
      </c>
      <c r="C2842" t="s">
        <v>19</v>
      </c>
      <c r="D2842" t="s">
        <v>208</v>
      </c>
      <c r="E2842" t="s">
        <v>62</v>
      </c>
      <c r="F2842" t="s">
        <v>63</v>
      </c>
      <c r="G2842" t="s">
        <v>33</v>
      </c>
      <c r="H2842" t="s">
        <v>631</v>
      </c>
      <c r="I2842" t="s">
        <v>5668</v>
      </c>
      <c r="J2842">
        <v>10.14682</v>
      </c>
      <c r="K2842">
        <v>-83.485108999999994</v>
      </c>
      <c r="L2842" t="s">
        <v>1225</v>
      </c>
      <c r="M2842" t="s">
        <v>189</v>
      </c>
      <c r="N2842" t="s">
        <v>211</v>
      </c>
      <c r="O2842" t="s">
        <v>212</v>
      </c>
      <c r="P2842">
        <v>9</v>
      </c>
      <c r="Q2842" t="s">
        <v>80</v>
      </c>
      <c r="S2842" t="str">
        <f>_xlfn.XLOOKUP(UNIVERSO[[#This Row],[Ruta]],'[1]CUOTA RUTA'!A:A,'[1]CUOTA RUTA'!D:D)</f>
        <v>Cargar</v>
      </c>
    </row>
    <row r="2843" spans="1:19" x14ac:dyDescent="0.25">
      <c r="A2843">
        <v>1540016850</v>
      </c>
      <c r="B2843" t="s">
        <v>2085</v>
      </c>
      <c r="C2843" t="s">
        <v>19</v>
      </c>
      <c r="D2843" t="s">
        <v>208</v>
      </c>
      <c r="E2843" t="s">
        <v>21</v>
      </c>
      <c r="F2843" t="s">
        <v>22</v>
      </c>
      <c r="G2843" t="s">
        <v>33</v>
      </c>
      <c r="H2843" t="s">
        <v>218</v>
      </c>
      <c r="I2843" t="s">
        <v>5669</v>
      </c>
      <c r="J2843">
        <v>10.21068898</v>
      </c>
      <c r="K2843">
        <v>-83.804102290000003</v>
      </c>
      <c r="L2843" t="s">
        <v>1225</v>
      </c>
      <c r="M2843" t="s">
        <v>189</v>
      </c>
      <c r="N2843" t="s">
        <v>211</v>
      </c>
      <c r="O2843" t="s">
        <v>212</v>
      </c>
      <c r="P2843">
        <v>4</v>
      </c>
      <c r="Q2843" t="s">
        <v>120</v>
      </c>
      <c r="S2843" t="str">
        <f>_xlfn.XLOOKUP(UNIVERSO[[#This Row],[Ruta]],'[1]CUOTA RUTA'!A:A,'[1]CUOTA RUTA'!D:D)</f>
        <v>Cargar</v>
      </c>
    </row>
    <row r="2844" spans="1:19" x14ac:dyDescent="0.25">
      <c r="A2844">
        <v>1540016852</v>
      </c>
      <c r="B2844" t="s">
        <v>5670</v>
      </c>
      <c r="C2844" t="s">
        <v>19</v>
      </c>
      <c r="D2844" t="s">
        <v>208</v>
      </c>
      <c r="E2844" t="s">
        <v>21</v>
      </c>
      <c r="F2844" t="s">
        <v>22</v>
      </c>
      <c r="G2844" t="s">
        <v>64</v>
      </c>
      <c r="H2844" t="s">
        <v>631</v>
      </c>
      <c r="I2844" t="s">
        <v>5671</v>
      </c>
      <c r="J2844">
        <v>10.124228929999999</v>
      </c>
      <c r="K2844">
        <v>-83.509618649999993</v>
      </c>
      <c r="L2844" t="s">
        <v>1225</v>
      </c>
      <c r="M2844" t="s">
        <v>189</v>
      </c>
      <c r="N2844" t="s">
        <v>211</v>
      </c>
      <c r="O2844" t="s">
        <v>212</v>
      </c>
      <c r="P2844">
        <v>9</v>
      </c>
      <c r="Q2844" t="s">
        <v>80</v>
      </c>
      <c r="S2844" t="str">
        <f>_xlfn.XLOOKUP(UNIVERSO[[#This Row],[Ruta]],'[1]CUOTA RUTA'!A:A,'[1]CUOTA RUTA'!D:D)</f>
        <v>Cargar</v>
      </c>
    </row>
    <row r="2845" spans="1:19" x14ac:dyDescent="0.25">
      <c r="A2845">
        <v>1540016935</v>
      </c>
      <c r="B2845" t="s">
        <v>5672</v>
      </c>
      <c r="C2845" t="s">
        <v>19</v>
      </c>
      <c r="D2845" t="s">
        <v>208</v>
      </c>
      <c r="E2845" t="s">
        <v>21</v>
      </c>
      <c r="F2845" t="s">
        <v>22</v>
      </c>
      <c r="G2845" t="s">
        <v>33</v>
      </c>
      <c r="H2845" t="s">
        <v>209</v>
      </c>
      <c r="I2845" t="s">
        <v>5673</v>
      </c>
      <c r="J2845">
        <v>10.211624</v>
      </c>
      <c r="K2845">
        <v>-83.845623000000003</v>
      </c>
      <c r="L2845" t="s">
        <v>1225</v>
      </c>
      <c r="M2845" t="s">
        <v>189</v>
      </c>
      <c r="N2845" t="s">
        <v>211</v>
      </c>
      <c r="O2845" t="s">
        <v>212</v>
      </c>
      <c r="P2845">
        <v>4</v>
      </c>
      <c r="Q2845" t="s">
        <v>120</v>
      </c>
      <c r="S2845" t="str">
        <f>_xlfn.XLOOKUP(UNIVERSO[[#This Row],[Ruta]],'[1]CUOTA RUTA'!A:A,'[1]CUOTA RUTA'!D:D)</f>
        <v>Cargar</v>
      </c>
    </row>
    <row r="2846" spans="1:19" x14ac:dyDescent="0.25">
      <c r="A2846">
        <v>1540016944</v>
      </c>
      <c r="B2846" t="s">
        <v>5674</v>
      </c>
      <c r="C2846" t="s">
        <v>19</v>
      </c>
      <c r="D2846" t="s">
        <v>20</v>
      </c>
      <c r="E2846" t="s">
        <v>21</v>
      </c>
      <c r="F2846" t="s">
        <v>51</v>
      </c>
      <c r="G2846" t="s">
        <v>23</v>
      </c>
      <c r="H2846" t="s">
        <v>24</v>
      </c>
      <c r="I2846" t="s">
        <v>5675</v>
      </c>
      <c r="J2846">
        <v>10.012560000000001</v>
      </c>
      <c r="K2846">
        <v>-84.116073</v>
      </c>
      <c r="L2846" t="s">
        <v>1225</v>
      </c>
      <c r="M2846" t="s">
        <v>27</v>
      </c>
      <c r="N2846" t="s">
        <v>28</v>
      </c>
      <c r="O2846" t="s">
        <v>29</v>
      </c>
      <c r="P2846">
        <v>14</v>
      </c>
      <c r="Q2846" t="s">
        <v>181</v>
      </c>
      <c r="S2846" t="str">
        <f>_xlfn.XLOOKUP(UNIVERSO[[#This Row],[Ruta]],'[1]CUOTA RUTA'!A:A,'[1]CUOTA RUTA'!D:D)</f>
        <v>Cargar</v>
      </c>
    </row>
    <row r="2847" spans="1:19" x14ac:dyDescent="0.25">
      <c r="A2847">
        <v>1540017113</v>
      </c>
      <c r="B2847" t="s">
        <v>3273</v>
      </c>
      <c r="C2847" t="s">
        <v>19</v>
      </c>
      <c r="D2847" t="s">
        <v>32</v>
      </c>
      <c r="E2847" t="s">
        <v>21</v>
      </c>
      <c r="F2847" t="s">
        <v>51</v>
      </c>
      <c r="G2847" t="s">
        <v>23</v>
      </c>
      <c r="H2847" t="s">
        <v>441</v>
      </c>
      <c r="I2847" t="s">
        <v>5676</v>
      </c>
      <c r="J2847">
        <v>9.894641</v>
      </c>
      <c r="K2847">
        <v>-84.088292999999993</v>
      </c>
      <c r="L2847" t="s">
        <v>1225</v>
      </c>
      <c r="M2847" t="s">
        <v>71</v>
      </c>
      <c r="N2847" t="s">
        <v>72</v>
      </c>
      <c r="O2847" t="s">
        <v>73</v>
      </c>
      <c r="P2847">
        <v>8</v>
      </c>
      <c r="Q2847" t="s">
        <v>97</v>
      </c>
      <c r="S2847" t="str">
        <f>_xlfn.XLOOKUP(UNIVERSO[[#This Row],[Ruta]],'[1]CUOTA RUTA'!A:A,'[1]CUOTA RUTA'!D:D)</f>
        <v>Cargar</v>
      </c>
    </row>
    <row r="2848" spans="1:19" x14ac:dyDescent="0.25">
      <c r="A2848">
        <v>1540017132</v>
      </c>
      <c r="B2848" t="s">
        <v>5677</v>
      </c>
      <c r="C2848" t="s">
        <v>19</v>
      </c>
      <c r="D2848" t="s">
        <v>337</v>
      </c>
      <c r="E2848" t="s">
        <v>62</v>
      </c>
      <c r="F2848" t="s">
        <v>63</v>
      </c>
      <c r="G2848" t="s">
        <v>33</v>
      </c>
      <c r="H2848" t="s">
        <v>346</v>
      </c>
      <c r="I2848" t="s">
        <v>5678</v>
      </c>
      <c r="J2848">
        <v>10.525678109999999</v>
      </c>
      <c r="K2848">
        <v>-85.254622909999995</v>
      </c>
      <c r="L2848" t="s">
        <v>1225</v>
      </c>
      <c r="M2848" t="s">
        <v>327</v>
      </c>
      <c r="N2848" t="s">
        <v>340</v>
      </c>
      <c r="O2848" t="s">
        <v>341</v>
      </c>
      <c r="P2848">
        <v>20</v>
      </c>
      <c r="Q2848" t="s">
        <v>74</v>
      </c>
      <c r="S2848" t="str">
        <f>_xlfn.XLOOKUP(UNIVERSO[[#This Row],[Ruta]],'[1]CUOTA RUTA'!A:A,'[1]CUOTA RUTA'!D:D)</f>
        <v>Cargar</v>
      </c>
    </row>
    <row r="2849" spans="1:19" x14ac:dyDescent="0.25">
      <c r="A2849">
        <v>1540017157</v>
      </c>
      <c r="B2849" t="s">
        <v>5679</v>
      </c>
      <c r="C2849" t="s">
        <v>19</v>
      </c>
      <c r="D2849" t="s">
        <v>32</v>
      </c>
      <c r="E2849" t="s">
        <v>21</v>
      </c>
      <c r="F2849" t="s">
        <v>22</v>
      </c>
      <c r="G2849" t="s">
        <v>23</v>
      </c>
      <c r="H2849" t="s">
        <v>134</v>
      </c>
      <c r="I2849" t="s">
        <v>5680</v>
      </c>
      <c r="J2849">
        <v>9.9631299999999996</v>
      </c>
      <c r="K2849">
        <v>-84.076400000000007</v>
      </c>
      <c r="L2849" t="s">
        <v>1225</v>
      </c>
      <c r="M2849" t="s">
        <v>94</v>
      </c>
      <c r="N2849" t="s">
        <v>95</v>
      </c>
      <c r="O2849" t="s">
        <v>96</v>
      </c>
      <c r="P2849">
        <v>9</v>
      </c>
      <c r="Q2849" t="s">
        <v>80</v>
      </c>
      <c r="S2849" t="str">
        <f>_xlfn.XLOOKUP(UNIVERSO[[#This Row],[Ruta]],'[1]CUOTA RUTA'!A:A,'[1]CUOTA RUTA'!D:D)</f>
        <v>Cargar</v>
      </c>
    </row>
    <row r="2850" spans="1:19" x14ac:dyDescent="0.25">
      <c r="A2850">
        <v>1540017203</v>
      </c>
      <c r="B2850" t="s">
        <v>5681</v>
      </c>
      <c r="C2850" t="s">
        <v>19</v>
      </c>
      <c r="D2850" t="s">
        <v>20</v>
      </c>
      <c r="E2850" t="s">
        <v>21</v>
      </c>
      <c r="F2850" t="s">
        <v>22</v>
      </c>
      <c r="G2850" t="s">
        <v>33</v>
      </c>
      <c r="H2850" t="s">
        <v>1021</v>
      </c>
      <c r="I2850" t="s">
        <v>5682</v>
      </c>
      <c r="J2850">
        <v>10.038430999999999</v>
      </c>
      <c r="K2850">
        <v>-84.296329999999998</v>
      </c>
      <c r="L2850" t="s">
        <v>1225</v>
      </c>
      <c r="M2850" t="s">
        <v>46</v>
      </c>
      <c r="N2850" t="s">
        <v>47</v>
      </c>
      <c r="O2850" t="s">
        <v>48</v>
      </c>
      <c r="P2850">
        <v>5</v>
      </c>
      <c r="Q2850" t="s">
        <v>117</v>
      </c>
      <c r="S2850" t="str">
        <f>_xlfn.XLOOKUP(UNIVERSO[[#This Row],[Ruta]],'[1]CUOTA RUTA'!A:A,'[1]CUOTA RUTA'!D:D)</f>
        <v>Cargar</v>
      </c>
    </row>
    <row r="2851" spans="1:19" x14ac:dyDescent="0.25">
      <c r="A2851">
        <v>1540017258</v>
      </c>
      <c r="B2851" t="s">
        <v>5683</v>
      </c>
      <c r="C2851" t="s">
        <v>19</v>
      </c>
      <c r="D2851" t="s">
        <v>337</v>
      </c>
      <c r="E2851" t="s">
        <v>62</v>
      </c>
      <c r="F2851" t="s">
        <v>63</v>
      </c>
      <c r="G2851" t="s">
        <v>64</v>
      </c>
      <c r="H2851" t="s">
        <v>824</v>
      </c>
      <c r="I2851" t="s">
        <v>5684</v>
      </c>
      <c r="J2851">
        <v>11.072416</v>
      </c>
      <c r="K2851">
        <v>-85.629840000000002</v>
      </c>
      <c r="L2851" t="s">
        <v>1225</v>
      </c>
      <c r="M2851" t="s">
        <v>327</v>
      </c>
      <c r="N2851" t="s">
        <v>340</v>
      </c>
      <c r="O2851" t="s">
        <v>341</v>
      </c>
      <c r="P2851">
        <v>15</v>
      </c>
      <c r="Q2851" t="s">
        <v>231</v>
      </c>
      <c r="S2851" t="str">
        <f>_xlfn.XLOOKUP(UNIVERSO[[#This Row],[Ruta]],'[1]CUOTA RUTA'!A:A,'[1]CUOTA RUTA'!D:D)</f>
        <v>Cargar</v>
      </c>
    </row>
    <row r="2852" spans="1:19" x14ac:dyDescent="0.25">
      <c r="A2852">
        <v>1540017275</v>
      </c>
      <c r="B2852" t="s">
        <v>5685</v>
      </c>
      <c r="C2852" t="s">
        <v>19</v>
      </c>
      <c r="D2852" t="s">
        <v>32</v>
      </c>
      <c r="E2852" t="s">
        <v>21</v>
      </c>
      <c r="F2852" t="s">
        <v>22</v>
      </c>
      <c r="G2852" t="s">
        <v>64</v>
      </c>
      <c r="H2852" t="s">
        <v>1191</v>
      </c>
      <c r="I2852" t="s">
        <v>5686</v>
      </c>
      <c r="J2852">
        <v>9.8990580000000001</v>
      </c>
      <c r="K2852">
        <v>-84.026700000000005</v>
      </c>
      <c r="L2852" t="s">
        <v>1225</v>
      </c>
      <c r="M2852" t="s">
        <v>36</v>
      </c>
      <c r="N2852" t="s">
        <v>37</v>
      </c>
      <c r="O2852" t="s">
        <v>38</v>
      </c>
      <c r="P2852">
        <v>15</v>
      </c>
      <c r="Q2852" t="s">
        <v>231</v>
      </c>
      <c r="S2852" t="str">
        <f>_xlfn.XLOOKUP(UNIVERSO[[#This Row],[Ruta]],'[1]CUOTA RUTA'!A:A,'[1]CUOTA RUTA'!D:D)</f>
        <v>Cargar</v>
      </c>
    </row>
    <row r="2853" spans="1:19" x14ac:dyDescent="0.25">
      <c r="A2853">
        <v>1540017288</v>
      </c>
      <c r="B2853" t="s">
        <v>5687</v>
      </c>
      <c r="C2853" t="s">
        <v>19</v>
      </c>
      <c r="D2853" t="s">
        <v>32</v>
      </c>
      <c r="E2853" t="s">
        <v>21</v>
      </c>
      <c r="F2853" t="s">
        <v>22</v>
      </c>
      <c r="G2853" t="s">
        <v>33</v>
      </c>
      <c r="H2853" t="s">
        <v>92</v>
      </c>
      <c r="I2853" t="s">
        <v>5688</v>
      </c>
      <c r="J2853">
        <v>9.9619</v>
      </c>
      <c r="K2853">
        <v>-84.024699999999996</v>
      </c>
      <c r="L2853" t="s">
        <v>1225</v>
      </c>
      <c r="M2853" t="s">
        <v>94</v>
      </c>
      <c r="N2853" t="s">
        <v>95</v>
      </c>
      <c r="O2853" t="s">
        <v>96</v>
      </c>
      <c r="P2853">
        <v>8</v>
      </c>
      <c r="Q2853" t="s">
        <v>97</v>
      </c>
      <c r="S2853" t="str">
        <f>_xlfn.XLOOKUP(UNIVERSO[[#This Row],[Ruta]],'[1]CUOTA RUTA'!A:A,'[1]CUOTA RUTA'!D:D)</f>
        <v>Cargar</v>
      </c>
    </row>
    <row r="2854" spans="1:19" x14ac:dyDescent="0.25">
      <c r="A2854">
        <v>1540017313</v>
      </c>
      <c r="B2854" t="s">
        <v>5689</v>
      </c>
      <c r="C2854" t="s">
        <v>19</v>
      </c>
      <c r="D2854" t="s">
        <v>32</v>
      </c>
      <c r="E2854" t="s">
        <v>21</v>
      </c>
      <c r="F2854" t="s">
        <v>22</v>
      </c>
      <c r="G2854" t="s">
        <v>33</v>
      </c>
      <c r="H2854" t="s">
        <v>183</v>
      </c>
      <c r="I2854" t="s">
        <v>5690</v>
      </c>
      <c r="J2854">
        <v>9.9594000000000005</v>
      </c>
      <c r="K2854">
        <v>-84.070215000000005</v>
      </c>
      <c r="L2854" t="s">
        <v>1225</v>
      </c>
      <c r="M2854" t="s">
        <v>36</v>
      </c>
      <c r="N2854" t="s">
        <v>37</v>
      </c>
      <c r="O2854" t="s">
        <v>38</v>
      </c>
      <c r="P2854">
        <v>3</v>
      </c>
      <c r="Q2854" t="s">
        <v>101</v>
      </c>
      <c r="S2854" t="str">
        <f>_xlfn.XLOOKUP(UNIVERSO[[#This Row],[Ruta]],'[1]CUOTA RUTA'!A:A,'[1]CUOTA RUTA'!D:D)</f>
        <v>Cargar</v>
      </c>
    </row>
    <row r="2855" spans="1:19" x14ac:dyDescent="0.25">
      <c r="A2855">
        <v>1540017383</v>
      </c>
      <c r="B2855" t="s">
        <v>5691</v>
      </c>
      <c r="C2855" t="s">
        <v>19</v>
      </c>
      <c r="D2855" t="s">
        <v>32</v>
      </c>
      <c r="E2855" t="s">
        <v>21</v>
      </c>
      <c r="F2855" t="s">
        <v>22</v>
      </c>
      <c r="G2855" t="s">
        <v>64</v>
      </c>
      <c r="H2855" t="s">
        <v>69</v>
      </c>
      <c r="I2855" t="s">
        <v>5692</v>
      </c>
      <c r="J2855">
        <v>9.8682850000000002</v>
      </c>
      <c r="K2855">
        <v>-84.05342166666</v>
      </c>
      <c r="L2855" t="s">
        <v>1225</v>
      </c>
      <c r="M2855" t="s">
        <v>71</v>
      </c>
      <c r="N2855" t="s">
        <v>72</v>
      </c>
      <c r="O2855" t="s">
        <v>73</v>
      </c>
      <c r="P2855">
        <v>20</v>
      </c>
      <c r="Q2855" t="s">
        <v>74</v>
      </c>
      <c r="S2855" t="str">
        <f>_xlfn.XLOOKUP(UNIVERSO[[#This Row],[Ruta]],'[1]CUOTA RUTA'!A:A,'[1]CUOTA RUTA'!D:D)</f>
        <v>Cargar</v>
      </c>
    </row>
    <row r="2856" spans="1:19" x14ac:dyDescent="0.25">
      <c r="A2856">
        <v>1540017420</v>
      </c>
      <c r="B2856" t="s">
        <v>5693</v>
      </c>
      <c r="C2856" t="s">
        <v>19</v>
      </c>
      <c r="D2856" t="s">
        <v>266</v>
      </c>
      <c r="E2856" t="s">
        <v>21</v>
      </c>
      <c r="F2856" t="s">
        <v>22</v>
      </c>
      <c r="G2856" t="s">
        <v>33</v>
      </c>
      <c r="H2856" t="s">
        <v>366</v>
      </c>
      <c r="I2856" t="s">
        <v>5694</v>
      </c>
      <c r="J2856">
        <v>9.8446149999999992</v>
      </c>
      <c r="K2856">
        <v>-83.927246666659997</v>
      </c>
      <c r="L2856" t="s">
        <v>1225</v>
      </c>
      <c r="M2856" t="s">
        <v>36</v>
      </c>
      <c r="N2856" t="s">
        <v>316</v>
      </c>
      <c r="O2856" t="s">
        <v>317</v>
      </c>
      <c r="P2856">
        <v>17</v>
      </c>
      <c r="Q2856" t="s">
        <v>287</v>
      </c>
      <c r="S2856" t="str">
        <f>_xlfn.XLOOKUP(UNIVERSO[[#This Row],[Ruta]],'[1]CUOTA RUTA'!A:A,'[1]CUOTA RUTA'!D:D)</f>
        <v>Cargar</v>
      </c>
    </row>
    <row r="2857" spans="1:19" x14ac:dyDescent="0.25">
      <c r="A2857">
        <v>1540017453</v>
      </c>
      <c r="B2857" t="s">
        <v>5695</v>
      </c>
      <c r="C2857" t="s">
        <v>19</v>
      </c>
      <c r="D2857" t="s">
        <v>569</v>
      </c>
      <c r="E2857" t="s">
        <v>62</v>
      </c>
      <c r="F2857" t="s">
        <v>63</v>
      </c>
      <c r="G2857" t="s">
        <v>33</v>
      </c>
      <c r="H2857" t="s">
        <v>570</v>
      </c>
      <c r="I2857" t="s">
        <v>5696</v>
      </c>
      <c r="J2857">
        <v>8.9613219999999991</v>
      </c>
      <c r="K2857">
        <v>-83.458374000000006</v>
      </c>
      <c r="L2857" t="s">
        <v>1225</v>
      </c>
      <c r="M2857" t="s">
        <v>572</v>
      </c>
      <c r="N2857" t="s">
        <v>573</v>
      </c>
      <c r="O2857" t="s">
        <v>574</v>
      </c>
      <c r="P2857">
        <v>21</v>
      </c>
      <c r="Q2857" t="s">
        <v>239</v>
      </c>
      <c r="S2857" t="str">
        <f>_xlfn.XLOOKUP(UNIVERSO[[#This Row],[Ruta]],'[1]CUOTA RUTA'!A:A,'[1]CUOTA RUTA'!D:D)</f>
        <v>Cargar</v>
      </c>
    </row>
    <row r="2858" spans="1:19" x14ac:dyDescent="0.25">
      <c r="A2858">
        <v>1540017469</v>
      </c>
      <c r="B2858" t="s">
        <v>5697</v>
      </c>
      <c r="C2858" t="s">
        <v>19</v>
      </c>
      <c r="D2858" t="s">
        <v>20</v>
      </c>
      <c r="E2858" t="s">
        <v>21</v>
      </c>
      <c r="F2858" t="s">
        <v>22</v>
      </c>
      <c r="G2858" t="s">
        <v>23</v>
      </c>
      <c r="H2858" t="s">
        <v>250</v>
      </c>
      <c r="I2858" t="s">
        <v>5698</v>
      </c>
      <c r="J2858">
        <v>10.0134569</v>
      </c>
      <c r="K2858">
        <v>-84.290253399999997</v>
      </c>
      <c r="L2858" t="s">
        <v>1225</v>
      </c>
      <c r="M2858" t="s">
        <v>46</v>
      </c>
      <c r="N2858" t="s">
        <v>47</v>
      </c>
      <c r="O2858" t="s">
        <v>48</v>
      </c>
      <c r="P2858">
        <v>11</v>
      </c>
      <c r="Q2858" t="s">
        <v>108</v>
      </c>
      <c r="S2858" t="str">
        <f>_xlfn.XLOOKUP(UNIVERSO[[#This Row],[Ruta]],'[1]CUOTA RUTA'!A:A,'[1]CUOTA RUTA'!D:D)</f>
        <v>Cargar</v>
      </c>
    </row>
    <row r="2859" spans="1:19" x14ac:dyDescent="0.25">
      <c r="A2859">
        <v>1540017591</v>
      </c>
      <c r="B2859" t="s">
        <v>5699</v>
      </c>
      <c r="C2859" t="s">
        <v>19</v>
      </c>
      <c r="D2859" t="s">
        <v>186</v>
      </c>
      <c r="E2859" t="s">
        <v>21</v>
      </c>
      <c r="F2859" t="s">
        <v>22</v>
      </c>
      <c r="G2859" t="s">
        <v>33</v>
      </c>
      <c r="H2859" t="s">
        <v>229</v>
      </c>
      <c r="I2859" t="s">
        <v>5700</v>
      </c>
      <c r="J2859">
        <v>9.9907699999999995</v>
      </c>
      <c r="K2859">
        <v>-83.032219999999995</v>
      </c>
      <c r="L2859" t="s">
        <v>1225</v>
      </c>
      <c r="M2859" t="s">
        <v>189</v>
      </c>
      <c r="N2859" t="s">
        <v>190</v>
      </c>
      <c r="O2859" t="s">
        <v>191</v>
      </c>
      <c r="P2859">
        <v>12</v>
      </c>
      <c r="Q2859" t="s">
        <v>42</v>
      </c>
      <c r="S2859" t="str">
        <f>_xlfn.XLOOKUP(UNIVERSO[[#This Row],[Ruta]],'[1]CUOTA RUTA'!A:A,'[1]CUOTA RUTA'!D:D)</f>
        <v>Cargar</v>
      </c>
    </row>
    <row r="2860" spans="1:19" x14ac:dyDescent="0.25">
      <c r="A2860">
        <v>1540017592</v>
      </c>
      <c r="B2860" t="s">
        <v>5701</v>
      </c>
      <c r="C2860" t="s">
        <v>19</v>
      </c>
      <c r="D2860" t="s">
        <v>244</v>
      </c>
      <c r="E2860" t="s">
        <v>21</v>
      </c>
      <c r="F2860" t="s">
        <v>22</v>
      </c>
      <c r="G2860" t="s">
        <v>33</v>
      </c>
      <c r="H2860" t="s">
        <v>857</v>
      </c>
      <c r="I2860" t="s">
        <v>5702</v>
      </c>
      <c r="J2860">
        <v>9.314921</v>
      </c>
      <c r="K2860">
        <v>-83.642172000000002</v>
      </c>
      <c r="L2860" t="s">
        <v>1225</v>
      </c>
      <c r="M2860" t="s">
        <v>46</v>
      </c>
      <c r="N2860" t="s">
        <v>247</v>
      </c>
      <c r="O2860" t="s">
        <v>248</v>
      </c>
      <c r="P2860">
        <v>13</v>
      </c>
      <c r="Q2860" t="s">
        <v>161</v>
      </c>
      <c r="S2860" t="str">
        <f>_xlfn.XLOOKUP(UNIVERSO[[#This Row],[Ruta]],'[1]CUOTA RUTA'!A:A,'[1]CUOTA RUTA'!D:D)</f>
        <v>Cargar</v>
      </c>
    </row>
    <row r="2861" spans="1:19" x14ac:dyDescent="0.25">
      <c r="A2861">
        <v>1540017609</v>
      </c>
      <c r="B2861" t="s">
        <v>954</v>
      </c>
      <c r="C2861" t="s">
        <v>19</v>
      </c>
      <c r="D2861" t="s">
        <v>20</v>
      </c>
      <c r="E2861" t="s">
        <v>21</v>
      </c>
      <c r="F2861" t="s">
        <v>22</v>
      </c>
      <c r="G2861" t="s">
        <v>23</v>
      </c>
      <c r="H2861" t="s">
        <v>277</v>
      </c>
      <c r="I2861" t="s">
        <v>5703</v>
      </c>
      <c r="J2861">
        <v>9.9587500000000002</v>
      </c>
      <c r="K2861">
        <v>-84.189526000000001</v>
      </c>
      <c r="L2861" t="s">
        <v>1225</v>
      </c>
      <c r="M2861" t="s">
        <v>54</v>
      </c>
      <c r="N2861" t="s">
        <v>55</v>
      </c>
      <c r="O2861" t="s">
        <v>56</v>
      </c>
      <c r="P2861">
        <v>14</v>
      </c>
      <c r="Q2861" t="s">
        <v>181</v>
      </c>
      <c r="S2861" t="str">
        <f>_xlfn.XLOOKUP(UNIVERSO[[#This Row],[Ruta]],'[1]CUOTA RUTA'!A:A,'[1]CUOTA RUTA'!D:D)</f>
        <v>Cargar</v>
      </c>
    </row>
    <row r="2862" spans="1:19" x14ac:dyDescent="0.25">
      <c r="A2862">
        <v>1540017616</v>
      </c>
      <c r="B2862" t="s">
        <v>5704</v>
      </c>
      <c r="C2862" t="s">
        <v>19</v>
      </c>
      <c r="D2862" t="s">
        <v>208</v>
      </c>
      <c r="E2862" t="s">
        <v>21</v>
      </c>
      <c r="F2862" t="s">
        <v>22</v>
      </c>
      <c r="G2862" t="s">
        <v>64</v>
      </c>
      <c r="H2862" t="s">
        <v>221</v>
      </c>
      <c r="I2862" t="s">
        <v>5705</v>
      </c>
      <c r="J2862">
        <v>10.263381000000001</v>
      </c>
      <c r="K2862">
        <v>-83.756271999999996</v>
      </c>
      <c r="L2862" t="s">
        <v>1225</v>
      </c>
      <c r="M2862" t="s">
        <v>189</v>
      </c>
      <c r="N2862" t="s">
        <v>211</v>
      </c>
      <c r="O2862" t="s">
        <v>212</v>
      </c>
      <c r="P2862">
        <v>2</v>
      </c>
      <c r="Q2862" t="s">
        <v>150</v>
      </c>
      <c r="S2862" t="str">
        <f>_xlfn.XLOOKUP(UNIVERSO[[#This Row],[Ruta]],'[1]CUOTA RUTA'!A:A,'[1]CUOTA RUTA'!D:D)</f>
        <v>Cargar</v>
      </c>
    </row>
    <row r="2863" spans="1:19" x14ac:dyDescent="0.25">
      <c r="A2863">
        <v>1540017620</v>
      </c>
      <c r="B2863" t="s">
        <v>5706</v>
      </c>
      <c r="C2863" t="s">
        <v>19</v>
      </c>
      <c r="D2863" t="s">
        <v>208</v>
      </c>
      <c r="E2863" t="s">
        <v>21</v>
      </c>
      <c r="F2863" t="s">
        <v>22</v>
      </c>
      <c r="G2863" t="s">
        <v>33</v>
      </c>
      <c r="H2863" t="s">
        <v>719</v>
      </c>
      <c r="I2863" t="s">
        <v>5707</v>
      </c>
      <c r="J2863">
        <v>10.454567000000001</v>
      </c>
      <c r="K2863">
        <v>-84.160815999999997</v>
      </c>
      <c r="L2863" t="s">
        <v>1225</v>
      </c>
      <c r="M2863" t="s">
        <v>189</v>
      </c>
      <c r="N2863" t="s">
        <v>211</v>
      </c>
      <c r="O2863" t="s">
        <v>212</v>
      </c>
      <c r="P2863">
        <v>11</v>
      </c>
      <c r="Q2863" t="s">
        <v>108</v>
      </c>
      <c r="S2863" t="str">
        <f>_xlfn.XLOOKUP(UNIVERSO[[#This Row],[Ruta]],'[1]CUOTA RUTA'!A:A,'[1]CUOTA RUTA'!D:D)</f>
        <v>Cargar</v>
      </c>
    </row>
    <row r="2864" spans="1:19" x14ac:dyDescent="0.25">
      <c r="A2864">
        <v>1540017662</v>
      </c>
      <c r="B2864" t="s">
        <v>5708</v>
      </c>
      <c r="C2864" t="s">
        <v>19</v>
      </c>
      <c r="D2864" t="s">
        <v>32</v>
      </c>
      <c r="E2864" t="s">
        <v>21</v>
      </c>
      <c r="F2864" t="s">
        <v>22</v>
      </c>
      <c r="G2864" t="s">
        <v>33</v>
      </c>
      <c r="H2864" t="s">
        <v>106</v>
      </c>
      <c r="I2864" t="s">
        <v>5709</v>
      </c>
      <c r="J2864">
        <v>9.9152100000000001</v>
      </c>
      <c r="K2864">
        <v>-84.113180999999997</v>
      </c>
      <c r="L2864" t="s">
        <v>1225</v>
      </c>
      <c r="M2864" t="s">
        <v>71</v>
      </c>
      <c r="N2864" t="s">
        <v>72</v>
      </c>
      <c r="O2864" t="s">
        <v>73</v>
      </c>
      <c r="P2864">
        <v>11</v>
      </c>
      <c r="Q2864" t="s">
        <v>108</v>
      </c>
      <c r="S2864" t="str">
        <f>_xlfn.XLOOKUP(UNIVERSO[[#This Row],[Ruta]],'[1]CUOTA RUTA'!A:A,'[1]CUOTA RUTA'!D:D)</f>
        <v>Cargar</v>
      </c>
    </row>
    <row r="2865" spans="1:19" x14ac:dyDescent="0.25">
      <c r="A2865">
        <v>1540017689</v>
      </c>
      <c r="B2865" t="s">
        <v>5710</v>
      </c>
      <c r="C2865" t="s">
        <v>19</v>
      </c>
      <c r="D2865" t="s">
        <v>244</v>
      </c>
      <c r="E2865" t="s">
        <v>21</v>
      </c>
      <c r="F2865" t="s">
        <v>22</v>
      </c>
      <c r="G2865" t="s">
        <v>64</v>
      </c>
      <c r="H2865" t="s">
        <v>767</v>
      </c>
      <c r="I2865" t="s">
        <v>5711</v>
      </c>
      <c r="J2865">
        <v>9.499288</v>
      </c>
      <c r="K2865">
        <v>-83.663006300000006</v>
      </c>
      <c r="L2865" t="s">
        <v>1225</v>
      </c>
      <c r="M2865" t="s">
        <v>46</v>
      </c>
      <c r="N2865" t="s">
        <v>247</v>
      </c>
      <c r="O2865" t="s">
        <v>248</v>
      </c>
      <c r="P2865">
        <v>18</v>
      </c>
      <c r="Q2865" t="s">
        <v>84</v>
      </c>
      <c r="S2865" t="str">
        <f>_xlfn.XLOOKUP(UNIVERSO[[#This Row],[Ruta]],'[1]CUOTA RUTA'!A:A,'[1]CUOTA RUTA'!D:D)</f>
        <v>Cargar</v>
      </c>
    </row>
    <row r="2866" spans="1:19" x14ac:dyDescent="0.25">
      <c r="A2866">
        <v>1540017710</v>
      </c>
      <c r="B2866" t="s">
        <v>5712</v>
      </c>
      <c r="C2866" t="s">
        <v>19</v>
      </c>
      <c r="D2866" t="s">
        <v>32</v>
      </c>
      <c r="E2866" t="s">
        <v>21</v>
      </c>
      <c r="F2866" t="s">
        <v>22</v>
      </c>
      <c r="G2866" t="s">
        <v>33</v>
      </c>
      <c r="H2866" t="s">
        <v>174</v>
      </c>
      <c r="I2866" t="s">
        <v>5713</v>
      </c>
      <c r="J2866">
        <v>9.9362499999999994</v>
      </c>
      <c r="K2866">
        <v>-84.081507000000002</v>
      </c>
      <c r="L2866" t="s">
        <v>1225</v>
      </c>
      <c r="M2866" t="s">
        <v>71</v>
      </c>
      <c r="N2866" t="s">
        <v>72</v>
      </c>
      <c r="O2866" t="s">
        <v>73</v>
      </c>
      <c r="P2866">
        <v>2</v>
      </c>
      <c r="Q2866" t="s">
        <v>150</v>
      </c>
      <c r="S2866" t="str">
        <f>_xlfn.XLOOKUP(UNIVERSO[[#This Row],[Ruta]],'[1]CUOTA RUTA'!A:A,'[1]CUOTA RUTA'!D:D)</f>
        <v>Cargar</v>
      </c>
    </row>
    <row r="2867" spans="1:19" x14ac:dyDescent="0.25">
      <c r="A2867">
        <v>1540017739</v>
      </c>
      <c r="B2867" t="s">
        <v>5714</v>
      </c>
      <c r="C2867" t="s">
        <v>19</v>
      </c>
      <c r="D2867" t="s">
        <v>324</v>
      </c>
      <c r="E2867" t="s">
        <v>21</v>
      </c>
      <c r="F2867" t="s">
        <v>51</v>
      </c>
      <c r="G2867" t="s">
        <v>23</v>
      </c>
      <c r="H2867" t="s">
        <v>396</v>
      </c>
      <c r="I2867" t="s">
        <v>5715</v>
      </c>
      <c r="J2867">
        <v>10.623680999999999</v>
      </c>
      <c r="K2867">
        <v>-84.524614</v>
      </c>
      <c r="L2867" t="s">
        <v>1225</v>
      </c>
      <c r="M2867" t="s">
        <v>327</v>
      </c>
      <c r="N2867" t="s">
        <v>328</v>
      </c>
      <c r="O2867" t="s">
        <v>329</v>
      </c>
      <c r="P2867">
        <v>20</v>
      </c>
      <c r="Q2867" t="s">
        <v>74</v>
      </c>
      <c r="S2867" t="str">
        <f>_xlfn.XLOOKUP(UNIVERSO[[#This Row],[Ruta]],'[1]CUOTA RUTA'!A:A,'[1]CUOTA RUTA'!D:D)</f>
        <v>Cargar</v>
      </c>
    </row>
    <row r="2868" spans="1:19" x14ac:dyDescent="0.25">
      <c r="A2868">
        <v>1540017750</v>
      </c>
      <c r="B2868" t="s">
        <v>5716</v>
      </c>
      <c r="C2868" t="s">
        <v>19</v>
      </c>
      <c r="D2868" t="s">
        <v>244</v>
      </c>
      <c r="E2868" t="s">
        <v>21</v>
      </c>
      <c r="F2868" t="s">
        <v>22</v>
      </c>
      <c r="G2868" t="s">
        <v>64</v>
      </c>
      <c r="H2868" t="s">
        <v>245</v>
      </c>
      <c r="I2868" t="s">
        <v>5717</v>
      </c>
      <c r="J2868">
        <v>9.2192071999999996</v>
      </c>
      <c r="K2868">
        <v>-83.616474600000004</v>
      </c>
      <c r="L2868" t="s">
        <v>1225</v>
      </c>
      <c r="M2868" t="s">
        <v>46</v>
      </c>
      <c r="N2868" t="s">
        <v>247</v>
      </c>
      <c r="O2868" t="s">
        <v>248</v>
      </c>
      <c r="P2868">
        <v>13</v>
      </c>
      <c r="Q2868" t="s">
        <v>161</v>
      </c>
      <c r="S2868" t="str">
        <f>_xlfn.XLOOKUP(UNIVERSO[[#This Row],[Ruta]],'[1]CUOTA RUTA'!A:A,'[1]CUOTA RUTA'!D:D)</f>
        <v>Cargar</v>
      </c>
    </row>
    <row r="2869" spans="1:19" x14ac:dyDescent="0.25">
      <c r="A2869">
        <v>1540017754</v>
      </c>
      <c r="B2869" t="s">
        <v>5718</v>
      </c>
      <c r="C2869" t="s">
        <v>19</v>
      </c>
      <c r="D2869" t="s">
        <v>32</v>
      </c>
      <c r="E2869" t="s">
        <v>21</v>
      </c>
      <c r="F2869" t="s">
        <v>22</v>
      </c>
      <c r="G2869" t="s">
        <v>23</v>
      </c>
      <c r="H2869" t="s">
        <v>134</v>
      </c>
      <c r="I2869" t="s">
        <v>5719</v>
      </c>
      <c r="J2869">
        <v>10.003453</v>
      </c>
      <c r="K2869">
        <v>-84.0535</v>
      </c>
      <c r="L2869" t="s">
        <v>1225</v>
      </c>
      <c r="M2869" t="s">
        <v>94</v>
      </c>
      <c r="N2869" t="s">
        <v>95</v>
      </c>
      <c r="O2869" t="s">
        <v>96</v>
      </c>
      <c r="P2869">
        <v>6</v>
      </c>
      <c r="Q2869" t="s">
        <v>49</v>
      </c>
      <c r="S2869" t="str">
        <f>_xlfn.XLOOKUP(UNIVERSO[[#This Row],[Ruta]],'[1]CUOTA RUTA'!A:A,'[1]CUOTA RUTA'!D:D)</f>
        <v>Cargar</v>
      </c>
    </row>
    <row r="2870" spans="1:19" x14ac:dyDescent="0.25">
      <c r="A2870">
        <v>1540017756</v>
      </c>
      <c r="B2870" t="s">
        <v>4100</v>
      </c>
      <c r="C2870" t="s">
        <v>19</v>
      </c>
      <c r="D2870" t="s">
        <v>266</v>
      </c>
      <c r="E2870" t="s">
        <v>21</v>
      </c>
      <c r="F2870" t="s">
        <v>22</v>
      </c>
      <c r="G2870" t="s">
        <v>23</v>
      </c>
      <c r="H2870" t="s">
        <v>404</v>
      </c>
      <c r="I2870" t="s">
        <v>5720</v>
      </c>
      <c r="J2870">
        <v>9.8386969999999998</v>
      </c>
      <c r="K2870">
        <v>-83.862731999999994</v>
      </c>
      <c r="L2870" t="s">
        <v>1225</v>
      </c>
      <c r="M2870" t="s">
        <v>36</v>
      </c>
      <c r="N2870" t="s">
        <v>316</v>
      </c>
      <c r="O2870" t="s">
        <v>317</v>
      </c>
      <c r="P2870">
        <v>23</v>
      </c>
      <c r="Q2870" t="s">
        <v>125</v>
      </c>
      <c r="S2870" t="str">
        <f>_xlfn.XLOOKUP(UNIVERSO[[#This Row],[Ruta]],'[1]CUOTA RUTA'!A:A,'[1]CUOTA RUTA'!D:D)</f>
        <v>Cargar</v>
      </c>
    </row>
    <row r="2871" spans="1:19" x14ac:dyDescent="0.25">
      <c r="A2871">
        <v>1540017811</v>
      </c>
      <c r="B2871" t="s">
        <v>4227</v>
      </c>
      <c r="C2871" t="s">
        <v>19</v>
      </c>
      <c r="D2871" t="s">
        <v>32</v>
      </c>
      <c r="E2871" t="s">
        <v>21</v>
      </c>
      <c r="F2871" t="s">
        <v>22</v>
      </c>
      <c r="G2871" t="s">
        <v>33</v>
      </c>
      <c r="H2871" t="s">
        <v>106</v>
      </c>
      <c r="I2871" t="s">
        <v>5721</v>
      </c>
      <c r="J2871">
        <v>9.9170069999999999</v>
      </c>
      <c r="K2871">
        <v>-84.115818000000004</v>
      </c>
      <c r="L2871" t="s">
        <v>1225</v>
      </c>
      <c r="M2871" t="s">
        <v>71</v>
      </c>
      <c r="N2871" t="s">
        <v>72</v>
      </c>
      <c r="O2871" t="s">
        <v>73</v>
      </c>
      <c r="P2871">
        <v>11</v>
      </c>
      <c r="Q2871" t="s">
        <v>108</v>
      </c>
      <c r="S2871" t="str">
        <f>_xlfn.XLOOKUP(UNIVERSO[[#This Row],[Ruta]],'[1]CUOTA RUTA'!A:A,'[1]CUOTA RUTA'!D:D)</f>
        <v>Cargar</v>
      </c>
    </row>
    <row r="2872" spans="1:19" x14ac:dyDescent="0.25">
      <c r="A2872">
        <v>1540017816</v>
      </c>
      <c r="B2872" t="s">
        <v>5722</v>
      </c>
      <c r="C2872" t="s">
        <v>19</v>
      </c>
      <c r="D2872" t="s">
        <v>266</v>
      </c>
      <c r="E2872" t="s">
        <v>21</v>
      </c>
      <c r="F2872" t="s">
        <v>22</v>
      </c>
      <c r="G2872" t="s">
        <v>64</v>
      </c>
      <c r="H2872" t="s">
        <v>706</v>
      </c>
      <c r="I2872" t="s">
        <v>5723</v>
      </c>
      <c r="J2872">
        <v>9.8638670000000008</v>
      </c>
      <c r="K2872">
        <v>-83.940239000000005</v>
      </c>
      <c r="L2872" t="s">
        <v>1225</v>
      </c>
      <c r="M2872" t="s">
        <v>36</v>
      </c>
      <c r="N2872" t="s">
        <v>316</v>
      </c>
      <c r="O2872" t="s">
        <v>317</v>
      </c>
      <c r="P2872">
        <v>22</v>
      </c>
      <c r="Q2872" t="s">
        <v>30</v>
      </c>
      <c r="S2872" t="str">
        <f>_xlfn.XLOOKUP(UNIVERSO[[#This Row],[Ruta]],'[1]CUOTA RUTA'!A:A,'[1]CUOTA RUTA'!D:D)</f>
        <v>Cargar</v>
      </c>
    </row>
    <row r="2873" spans="1:19" x14ac:dyDescent="0.25">
      <c r="A2873">
        <v>1540017845</v>
      </c>
      <c r="B2873" t="s">
        <v>595</v>
      </c>
      <c r="C2873" t="s">
        <v>19</v>
      </c>
      <c r="D2873" t="s">
        <v>20</v>
      </c>
      <c r="E2873" t="s">
        <v>21</v>
      </c>
      <c r="F2873" t="s">
        <v>22</v>
      </c>
      <c r="G2873" t="s">
        <v>33</v>
      </c>
      <c r="H2873" t="s">
        <v>1143</v>
      </c>
      <c r="I2873" t="s">
        <v>5724</v>
      </c>
      <c r="J2873">
        <v>10.107626</v>
      </c>
      <c r="K2873">
        <v>-84.191834</v>
      </c>
      <c r="L2873" t="s">
        <v>1225</v>
      </c>
      <c r="M2873" t="s">
        <v>54</v>
      </c>
      <c r="N2873" t="s">
        <v>55</v>
      </c>
      <c r="O2873" t="s">
        <v>56</v>
      </c>
      <c r="P2873">
        <v>18</v>
      </c>
      <c r="Q2873" t="s">
        <v>84</v>
      </c>
      <c r="S2873" t="str">
        <f>_xlfn.XLOOKUP(UNIVERSO[[#This Row],[Ruta]],'[1]CUOTA RUTA'!A:A,'[1]CUOTA RUTA'!D:D)</f>
        <v>Cargar</v>
      </c>
    </row>
    <row r="2874" spans="1:19" x14ac:dyDescent="0.25">
      <c r="A2874">
        <v>1540017929</v>
      </c>
      <c r="B2874" t="s">
        <v>5725</v>
      </c>
      <c r="C2874" t="s">
        <v>19</v>
      </c>
      <c r="D2874" t="s">
        <v>266</v>
      </c>
      <c r="E2874" t="s">
        <v>21</v>
      </c>
      <c r="F2874" t="s">
        <v>22</v>
      </c>
      <c r="G2874" t="s">
        <v>33</v>
      </c>
      <c r="H2874" t="s">
        <v>267</v>
      </c>
      <c r="I2874" t="s">
        <v>5726</v>
      </c>
      <c r="J2874">
        <v>9.8401414000000003</v>
      </c>
      <c r="K2874">
        <v>-83.580937500000005</v>
      </c>
      <c r="L2874" t="s">
        <v>1225</v>
      </c>
      <c r="M2874" t="s">
        <v>189</v>
      </c>
      <c r="N2874" t="s">
        <v>269</v>
      </c>
      <c r="O2874" t="s">
        <v>270</v>
      </c>
      <c r="P2874">
        <v>23</v>
      </c>
      <c r="Q2874" t="s">
        <v>125</v>
      </c>
      <c r="S2874" t="str">
        <f>_xlfn.XLOOKUP(UNIVERSO[[#This Row],[Ruta]],'[1]CUOTA RUTA'!A:A,'[1]CUOTA RUTA'!D:D)</f>
        <v>Cargar</v>
      </c>
    </row>
    <row r="2875" spans="1:19" x14ac:dyDescent="0.25">
      <c r="A2875">
        <v>1540017963</v>
      </c>
      <c r="B2875" t="s">
        <v>5727</v>
      </c>
      <c r="C2875" t="s">
        <v>19</v>
      </c>
      <c r="D2875" t="s">
        <v>32</v>
      </c>
      <c r="E2875" t="s">
        <v>21</v>
      </c>
      <c r="F2875" t="s">
        <v>22</v>
      </c>
      <c r="G2875" t="s">
        <v>64</v>
      </c>
      <c r="H2875" t="s">
        <v>625</v>
      </c>
      <c r="I2875" t="s">
        <v>5728</v>
      </c>
      <c r="J2875">
        <v>9.9863300000000006</v>
      </c>
      <c r="K2875">
        <v>-84.047616666660005</v>
      </c>
      <c r="L2875" t="s">
        <v>1225</v>
      </c>
      <c r="M2875" t="s">
        <v>94</v>
      </c>
      <c r="N2875" t="s">
        <v>95</v>
      </c>
      <c r="O2875" t="s">
        <v>96</v>
      </c>
      <c r="P2875">
        <v>6</v>
      </c>
      <c r="Q2875" t="s">
        <v>49</v>
      </c>
      <c r="S2875" t="str">
        <f>_xlfn.XLOOKUP(UNIVERSO[[#This Row],[Ruta]],'[1]CUOTA RUTA'!A:A,'[1]CUOTA RUTA'!D:D)</f>
        <v>Cargar</v>
      </c>
    </row>
    <row r="2876" spans="1:19" x14ac:dyDescent="0.25">
      <c r="A2876">
        <v>1540017979</v>
      </c>
      <c r="B2876" t="s">
        <v>5729</v>
      </c>
      <c r="C2876" t="s">
        <v>19</v>
      </c>
      <c r="D2876" t="s">
        <v>32</v>
      </c>
      <c r="E2876" t="s">
        <v>21</v>
      </c>
      <c r="F2876" t="s">
        <v>22</v>
      </c>
      <c r="G2876" t="s">
        <v>64</v>
      </c>
      <c r="H2876" t="s">
        <v>99</v>
      </c>
      <c r="I2876" t="s">
        <v>5730</v>
      </c>
      <c r="J2876">
        <v>9.9291099999999997</v>
      </c>
      <c r="K2876">
        <v>-84.081346999999994</v>
      </c>
      <c r="L2876" t="s">
        <v>1225</v>
      </c>
      <c r="M2876" t="s">
        <v>71</v>
      </c>
      <c r="N2876" t="s">
        <v>72</v>
      </c>
      <c r="O2876" t="s">
        <v>73</v>
      </c>
      <c r="P2876">
        <v>5</v>
      </c>
      <c r="Q2876" t="s">
        <v>117</v>
      </c>
      <c r="S2876" t="str">
        <f>_xlfn.XLOOKUP(UNIVERSO[[#This Row],[Ruta]],'[1]CUOTA RUTA'!A:A,'[1]CUOTA RUTA'!D:D)</f>
        <v>Cargar</v>
      </c>
    </row>
    <row r="2877" spans="1:19" x14ac:dyDescent="0.25">
      <c r="A2877">
        <v>1540017984</v>
      </c>
      <c r="B2877" t="s">
        <v>5731</v>
      </c>
      <c r="C2877" t="s">
        <v>19</v>
      </c>
      <c r="D2877" t="s">
        <v>201</v>
      </c>
      <c r="E2877" t="s">
        <v>21</v>
      </c>
      <c r="F2877" t="s">
        <v>22</v>
      </c>
      <c r="G2877" t="s">
        <v>33</v>
      </c>
      <c r="H2877" t="s">
        <v>499</v>
      </c>
      <c r="I2877" t="s">
        <v>5732</v>
      </c>
      <c r="J2877">
        <v>9.8453833333330003</v>
      </c>
      <c r="K2877">
        <v>-84.586663333329994</v>
      </c>
      <c r="L2877" t="s">
        <v>1225</v>
      </c>
      <c r="M2877" t="s">
        <v>204</v>
      </c>
      <c r="N2877" t="s">
        <v>205</v>
      </c>
      <c r="O2877" t="s">
        <v>206</v>
      </c>
      <c r="P2877">
        <v>3</v>
      </c>
      <c r="Q2877" t="s">
        <v>101</v>
      </c>
      <c r="S2877" t="str">
        <f>_xlfn.XLOOKUP(UNIVERSO[[#This Row],[Ruta]],'[1]CUOTA RUTA'!A:A,'[1]CUOTA RUTA'!D:D)</f>
        <v>Cargar</v>
      </c>
    </row>
    <row r="2878" spans="1:19" x14ac:dyDescent="0.25">
      <c r="A2878">
        <v>1540017993</v>
      </c>
      <c r="B2878" t="s">
        <v>5733</v>
      </c>
      <c r="C2878" t="s">
        <v>19</v>
      </c>
      <c r="D2878" t="s">
        <v>32</v>
      </c>
      <c r="E2878" t="s">
        <v>21</v>
      </c>
      <c r="F2878" t="s">
        <v>22</v>
      </c>
      <c r="G2878" t="s">
        <v>64</v>
      </c>
      <c r="H2878" t="s">
        <v>159</v>
      </c>
      <c r="I2878" t="s">
        <v>5734</v>
      </c>
      <c r="J2878">
        <v>9.8910780000000003</v>
      </c>
      <c r="K2878">
        <v>-84.109003000000001</v>
      </c>
      <c r="L2878" t="s">
        <v>1225</v>
      </c>
      <c r="M2878" t="s">
        <v>71</v>
      </c>
      <c r="N2878" t="s">
        <v>72</v>
      </c>
      <c r="O2878" t="s">
        <v>73</v>
      </c>
      <c r="P2878">
        <v>14</v>
      </c>
      <c r="Q2878" t="s">
        <v>181</v>
      </c>
      <c r="S2878" t="str">
        <f>_xlfn.XLOOKUP(UNIVERSO[[#This Row],[Ruta]],'[1]CUOTA RUTA'!A:A,'[1]CUOTA RUTA'!D:D)</f>
        <v>Cargar</v>
      </c>
    </row>
    <row r="2879" spans="1:19" x14ac:dyDescent="0.25">
      <c r="A2879">
        <v>1540018006</v>
      </c>
      <c r="B2879" t="s">
        <v>5735</v>
      </c>
      <c r="C2879" t="s">
        <v>19</v>
      </c>
      <c r="D2879" t="s">
        <v>208</v>
      </c>
      <c r="E2879" t="s">
        <v>21</v>
      </c>
      <c r="F2879" t="s">
        <v>22</v>
      </c>
      <c r="G2879" t="s">
        <v>33</v>
      </c>
      <c r="H2879" t="s">
        <v>221</v>
      </c>
      <c r="I2879" t="s">
        <v>5736</v>
      </c>
      <c r="J2879">
        <v>10.336506</v>
      </c>
      <c r="K2879">
        <v>-83.738536999999994</v>
      </c>
      <c r="L2879" t="s">
        <v>1225</v>
      </c>
      <c r="M2879" t="s">
        <v>189</v>
      </c>
      <c r="N2879" t="s">
        <v>211</v>
      </c>
      <c r="O2879" t="s">
        <v>212</v>
      </c>
      <c r="P2879">
        <v>1</v>
      </c>
      <c r="Q2879" t="s">
        <v>155</v>
      </c>
      <c r="S2879" t="str">
        <f>_xlfn.XLOOKUP(UNIVERSO[[#This Row],[Ruta]],'[1]CUOTA RUTA'!A:A,'[1]CUOTA RUTA'!D:D)</f>
        <v>Cargar</v>
      </c>
    </row>
    <row r="2880" spans="1:19" x14ac:dyDescent="0.25">
      <c r="A2880">
        <v>1540018018</v>
      </c>
      <c r="B2880" t="s">
        <v>5737</v>
      </c>
      <c r="C2880" t="s">
        <v>19</v>
      </c>
      <c r="D2880" t="s">
        <v>186</v>
      </c>
      <c r="E2880" t="s">
        <v>21</v>
      </c>
      <c r="F2880" t="s">
        <v>22</v>
      </c>
      <c r="G2880" t="s">
        <v>33</v>
      </c>
      <c r="H2880" t="s">
        <v>229</v>
      </c>
      <c r="I2880" t="s">
        <v>5738</v>
      </c>
      <c r="J2880">
        <v>9.9782700000000002</v>
      </c>
      <c r="K2880">
        <v>-83.051779999999994</v>
      </c>
      <c r="L2880" t="s">
        <v>1225</v>
      </c>
      <c r="M2880" t="s">
        <v>189</v>
      </c>
      <c r="N2880" t="s">
        <v>190</v>
      </c>
      <c r="O2880" t="s">
        <v>191</v>
      </c>
      <c r="P2880">
        <v>14</v>
      </c>
      <c r="Q2880" t="s">
        <v>181</v>
      </c>
      <c r="S2880" t="str">
        <f>_xlfn.XLOOKUP(UNIVERSO[[#This Row],[Ruta]],'[1]CUOTA RUTA'!A:A,'[1]CUOTA RUTA'!D:D)</f>
        <v>Cargar</v>
      </c>
    </row>
    <row r="2881" spans="1:19" x14ac:dyDescent="0.25">
      <c r="A2881">
        <v>1540018080</v>
      </c>
      <c r="B2881" t="s">
        <v>5739</v>
      </c>
      <c r="C2881" t="s">
        <v>19</v>
      </c>
      <c r="D2881" t="s">
        <v>186</v>
      </c>
      <c r="E2881" t="s">
        <v>21</v>
      </c>
      <c r="F2881" t="s">
        <v>22</v>
      </c>
      <c r="G2881" t="s">
        <v>64</v>
      </c>
      <c r="H2881" t="s">
        <v>187</v>
      </c>
      <c r="I2881" t="s">
        <v>5740</v>
      </c>
      <c r="J2881">
        <v>9.9909520000000001</v>
      </c>
      <c r="K2881">
        <v>-83.042266999999995</v>
      </c>
      <c r="L2881" t="s">
        <v>1225</v>
      </c>
      <c r="M2881" t="s">
        <v>189</v>
      </c>
      <c r="N2881" t="s">
        <v>190</v>
      </c>
      <c r="O2881" t="s">
        <v>191</v>
      </c>
      <c r="P2881">
        <v>15</v>
      </c>
      <c r="Q2881" t="s">
        <v>231</v>
      </c>
      <c r="S2881" t="str">
        <f>_xlfn.XLOOKUP(UNIVERSO[[#This Row],[Ruta]],'[1]CUOTA RUTA'!A:A,'[1]CUOTA RUTA'!D:D)</f>
        <v>Cargar</v>
      </c>
    </row>
    <row r="2882" spans="1:19" x14ac:dyDescent="0.25">
      <c r="A2882">
        <v>1540018111</v>
      </c>
      <c r="B2882" t="s">
        <v>595</v>
      </c>
      <c r="C2882" t="s">
        <v>19</v>
      </c>
      <c r="D2882" t="s">
        <v>20</v>
      </c>
      <c r="E2882" t="s">
        <v>21</v>
      </c>
      <c r="F2882" t="s">
        <v>22</v>
      </c>
      <c r="G2882" t="s">
        <v>23</v>
      </c>
      <c r="H2882" t="s">
        <v>58</v>
      </c>
      <c r="I2882" t="s">
        <v>5741</v>
      </c>
      <c r="J2882">
        <v>10.086535</v>
      </c>
      <c r="K2882">
        <v>-84.168317999999999</v>
      </c>
      <c r="L2882" t="s">
        <v>1225</v>
      </c>
      <c r="M2882" t="s">
        <v>54</v>
      </c>
      <c r="N2882" t="s">
        <v>55</v>
      </c>
      <c r="O2882" t="s">
        <v>56</v>
      </c>
      <c r="P2882">
        <v>18</v>
      </c>
      <c r="Q2882" t="s">
        <v>84</v>
      </c>
      <c r="S2882" t="str">
        <f>_xlfn.XLOOKUP(UNIVERSO[[#This Row],[Ruta]],'[1]CUOTA RUTA'!A:A,'[1]CUOTA RUTA'!D:D)</f>
        <v>Cargar</v>
      </c>
    </row>
    <row r="2883" spans="1:19" x14ac:dyDescent="0.25">
      <c r="A2883">
        <v>1540018130</v>
      </c>
      <c r="B2883" t="s">
        <v>5742</v>
      </c>
      <c r="C2883" t="s">
        <v>19</v>
      </c>
      <c r="D2883" t="s">
        <v>20</v>
      </c>
      <c r="E2883" t="s">
        <v>21</v>
      </c>
      <c r="F2883" t="s">
        <v>22</v>
      </c>
      <c r="G2883" t="s">
        <v>33</v>
      </c>
      <c r="H2883" t="s">
        <v>1143</v>
      </c>
      <c r="I2883" t="s">
        <v>5743</v>
      </c>
      <c r="J2883">
        <v>10.089499999999999</v>
      </c>
      <c r="K2883">
        <v>-84.164500000000004</v>
      </c>
      <c r="L2883" t="s">
        <v>1225</v>
      </c>
      <c r="M2883" t="s">
        <v>54</v>
      </c>
      <c r="N2883" t="s">
        <v>55</v>
      </c>
      <c r="O2883" t="s">
        <v>56</v>
      </c>
      <c r="P2883">
        <v>18</v>
      </c>
      <c r="Q2883" t="s">
        <v>84</v>
      </c>
      <c r="S2883" t="str">
        <f>_xlfn.XLOOKUP(UNIVERSO[[#This Row],[Ruta]],'[1]CUOTA RUTA'!A:A,'[1]CUOTA RUTA'!D:D)</f>
        <v>Cargar</v>
      </c>
    </row>
    <row r="2884" spans="1:19" x14ac:dyDescent="0.25">
      <c r="A2884">
        <v>1540018154</v>
      </c>
      <c r="B2884" t="s">
        <v>5744</v>
      </c>
      <c r="C2884" t="s">
        <v>19</v>
      </c>
      <c r="D2884" t="s">
        <v>266</v>
      </c>
      <c r="E2884" t="s">
        <v>21</v>
      </c>
      <c r="F2884" t="s">
        <v>22</v>
      </c>
      <c r="G2884" t="s">
        <v>33</v>
      </c>
      <c r="H2884" t="s">
        <v>407</v>
      </c>
      <c r="I2884" t="s">
        <v>5745</v>
      </c>
      <c r="J2884">
        <v>9.6769060000000007</v>
      </c>
      <c r="K2884">
        <v>-84.075570999999997</v>
      </c>
      <c r="L2884" t="s">
        <v>1225</v>
      </c>
      <c r="M2884" t="s">
        <v>409</v>
      </c>
      <c r="N2884" t="s">
        <v>410</v>
      </c>
      <c r="O2884" t="s">
        <v>411</v>
      </c>
      <c r="P2884">
        <v>23</v>
      </c>
      <c r="Q2884" t="s">
        <v>125</v>
      </c>
      <c r="S2884" t="str">
        <f>_xlfn.XLOOKUP(UNIVERSO[[#This Row],[Ruta]],'[1]CUOTA RUTA'!A:A,'[1]CUOTA RUTA'!D:D)</f>
        <v>Cargar</v>
      </c>
    </row>
    <row r="2885" spans="1:19" x14ac:dyDescent="0.25">
      <c r="A2885">
        <v>1540018163</v>
      </c>
      <c r="B2885" t="s">
        <v>5746</v>
      </c>
      <c r="C2885" t="s">
        <v>19</v>
      </c>
      <c r="D2885" t="s">
        <v>337</v>
      </c>
      <c r="E2885" t="s">
        <v>21</v>
      </c>
      <c r="F2885" t="s">
        <v>22</v>
      </c>
      <c r="G2885" t="s">
        <v>64</v>
      </c>
      <c r="H2885" t="s">
        <v>401</v>
      </c>
      <c r="I2885" t="s">
        <v>5747</v>
      </c>
      <c r="J2885">
        <v>10.63346202</v>
      </c>
      <c r="K2885">
        <v>-85.438376450000007</v>
      </c>
      <c r="L2885" t="s">
        <v>1225</v>
      </c>
      <c r="M2885" t="s">
        <v>327</v>
      </c>
      <c r="N2885" t="s">
        <v>340</v>
      </c>
      <c r="O2885" t="s">
        <v>341</v>
      </c>
      <c r="P2885">
        <v>12</v>
      </c>
      <c r="Q2885" t="s">
        <v>42</v>
      </c>
      <c r="S2885" t="str">
        <f>_xlfn.XLOOKUP(UNIVERSO[[#This Row],[Ruta]],'[1]CUOTA RUTA'!A:A,'[1]CUOTA RUTA'!D:D)</f>
        <v>Cargar</v>
      </c>
    </row>
    <row r="2886" spans="1:19" x14ac:dyDescent="0.25">
      <c r="A2886">
        <v>1540018169</v>
      </c>
      <c r="B2886" t="s">
        <v>5748</v>
      </c>
      <c r="C2886" t="s">
        <v>19</v>
      </c>
      <c r="D2886" t="s">
        <v>337</v>
      </c>
      <c r="E2886" t="s">
        <v>21</v>
      </c>
      <c r="F2886" t="s">
        <v>22</v>
      </c>
      <c r="G2886" t="s">
        <v>64</v>
      </c>
      <c r="H2886" t="s">
        <v>343</v>
      </c>
      <c r="I2886" t="s">
        <v>5749</v>
      </c>
      <c r="J2886">
        <v>10.344393</v>
      </c>
      <c r="K2886">
        <v>-85.732309999999998</v>
      </c>
      <c r="L2886" t="s">
        <v>1225</v>
      </c>
      <c r="M2886" t="s">
        <v>327</v>
      </c>
      <c r="N2886" t="s">
        <v>340</v>
      </c>
      <c r="O2886" t="s">
        <v>341</v>
      </c>
      <c r="P2886">
        <v>17</v>
      </c>
      <c r="Q2886" t="s">
        <v>287</v>
      </c>
      <c r="S2886" t="str">
        <f>_xlfn.XLOOKUP(UNIVERSO[[#This Row],[Ruta]],'[1]CUOTA RUTA'!A:A,'[1]CUOTA RUTA'!D:D)</f>
        <v>Cargar</v>
      </c>
    </row>
    <row r="2887" spans="1:19" x14ac:dyDescent="0.25">
      <c r="A2887">
        <v>1540018223</v>
      </c>
      <c r="B2887" t="s">
        <v>5750</v>
      </c>
      <c r="C2887" t="s">
        <v>19</v>
      </c>
      <c r="D2887" t="s">
        <v>201</v>
      </c>
      <c r="E2887" t="s">
        <v>21</v>
      </c>
      <c r="F2887" t="s">
        <v>22</v>
      </c>
      <c r="G2887" t="s">
        <v>33</v>
      </c>
      <c r="H2887" t="s">
        <v>499</v>
      </c>
      <c r="I2887" t="s">
        <v>5751</v>
      </c>
      <c r="J2887">
        <v>9.9226343000000004</v>
      </c>
      <c r="K2887">
        <v>-84.687391599999998</v>
      </c>
      <c r="L2887" t="s">
        <v>1225</v>
      </c>
      <c r="M2887" t="s">
        <v>204</v>
      </c>
      <c r="N2887" t="s">
        <v>205</v>
      </c>
      <c r="O2887" t="s">
        <v>206</v>
      </c>
      <c r="P2887">
        <v>6</v>
      </c>
      <c r="Q2887" t="s">
        <v>49</v>
      </c>
      <c r="S2887" t="str">
        <f>_xlfn.XLOOKUP(UNIVERSO[[#This Row],[Ruta]],'[1]CUOTA RUTA'!A:A,'[1]CUOTA RUTA'!D:D)</f>
        <v>Cargar</v>
      </c>
    </row>
    <row r="2888" spans="1:19" x14ac:dyDescent="0.25">
      <c r="A2888">
        <v>1540018238</v>
      </c>
      <c r="B2888" t="s">
        <v>5752</v>
      </c>
      <c r="C2888" t="s">
        <v>19</v>
      </c>
      <c r="D2888" t="s">
        <v>32</v>
      </c>
      <c r="E2888" t="s">
        <v>21</v>
      </c>
      <c r="F2888" t="s">
        <v>22</v>
      </c>
      <c r="G2888" t="s">
        <v>33</v>
      </c>
      <c r="H2888" t="s">
        <v>76</v>
      </c>
      <c r="I2888" t="s">
        <v>5753</v>
      </c>
      <c r="J2888">
        <v>9.9409489999999998</v>
      </c>
      <c r="K2888">
        <v>-84.044600000000003</v>
      </c>
      <c r="L2888" t="s">
        <v>1225</v>
      </c>
      <c r="M2888" t="s">
        <v>36</v>
      </c>
      <c r="N2888" t="s">
        <v>37</v>
      </c>
      <c r="O2888" t="s">
        <v>38</v>
      </c>
      <c r="P2888">
        <v>23</v>
      </c>
      <c r="Q2888" t="s">
        <v>125</v>
      </c>
      <c r="S2888" t="str">
        <f>_xlfn.XLOOKUP(UNIVERSO[[#This Row],[Ruta]],'[1]CUOTA RUTA'!A:A,'[1]CUOTA RUTA'!D:D)</f>
        <v>Cargar</v>
      </c>
    </row>
    <row r="2889" spans="1:19" x14ac:dyDescent="0.25">
      <c r="A2889">
        <v>1540018344</v>
      </c>
      <c r="B2889" t="s">
        <v>5754</v>
      </c>
      <c r="C2889" t="s">
        <v>19</v>
      </c>
      <c r="D2889" t="s">
        <v>20</v>
      </c>
      <c r="E2889" t="s">
        <v>62</v>
      </c>
      <c r="F2889" t="s">
        <v>63</v>
      </c>
      <c r="G2889" t="s">
        <v>64</v>
      </c>
      <c r="H2889" t="s">
        <v>44</v>
      </c>
      <c r="I2889" t="s">
        <v>5755</v>
      </c>
      <c r="J2889">
        <v>10.081189999999999</v>
      </c>
      <c r="K2889">
        <v>-84.382289999999998</v>
      </c>
      <c r="L2889" t="s">
        <v>1225</v>
      </c>
      <c r="M2889" t="s">
        <v>46</v>
      </c>
      <c r="N2889" t="s">
        <v>47</v>
      </c>
      <c r="O2889" t="s">
        <v>48</v>
      </c>
      <c r="P2889">
        <v>6</v>
      </c>
      <c r="Q2889" t="s">
        <v>49</v>
      </c>
      <c r="S2889" t="str">
        <f>_xlfn.XLOOKUP(UNIVERSO[[#This Row],[Ruta]],'[1]CUOTA RUTA'!A:A,'[1]CUOTA RUTA'!D:D)</f>
        <v>Cargar</v>
      </c>
    </row>
    <row r="2890" spans="1:19" x14ac:dyDescent="0.25">
      <c r="A2890">
        <v>1540018427</v>
      </c>
      <c r="B2890" t="s">
        <v>5756</v>
      </c>
      <c r="C2890" t="s">
        <v>19</v>
      </c>
      <c r="D2890" t="s">
        <v>201</v>
      </c>
      <c r="E2890" t="s">
        <v>21</v>
      </c>
      <c r="F2890" t="s">
        <v>22</v>
      </c>
      <c r="G2890" t="s">
        <v>64</v>
      </c>
      <c r="H2890" t="s">
        <v>528</v>
      </c>
      <c r="I2890" t="s">
        <v>5757</v>
      </c>
      <c r="J2890">
        <v>10.280953</v>
      </c>
      <c r="K2890">
        <v>-84.957817000000006</v>
      </c>
      <c r="L2890" t="s">
        <v>1225</v>
      </c>
      <c r="M2890" t="s">
        <v>327</v>
      </c>
      <c r="N2890" t="s">
        <v>530</v>
      </c>
      <c r="O2890" t="s">
        <v>531</v>
      </c>
      <c r="P2890">
        <v>1</v>
      </c>
      <c r="Q2890" t="s">
        <v>155</v>
      </c>
      <c r="S2890" t="str">
        <f>_xlfn.XLOOKUP(UNIVERSO[[#This Row],[Ruta]],'[1]CUOTA RUTA'!A:A,'[1]CUOTA RUTA'!D:D)</f>
        <v>Cargar</v>
      </c>
    </row>
    <row r="2891" spans="1:19" x14ac:dyDescent="0.25">
      <c r="A2891">
        <v>1540018458</v>
      </c>
      <c r="B2891" t="s">
        <v>5758</v>
      </c>
      <c r="C2891" t="s">
        <v>19</v>
      </c>
      <c r="D2891" t="s">
        <v>201</v>
      </c>
      <c r="E2891" t="s">
        <v>21</v>
      </c>
      <c r="F2891" t="s">
        <v>22</v>
      </c>
      <c r="G2891" t="s">
        <v>64</v>
      </c>
      <c r="H2891" t="s">
        <v>202</v>
      </c>
      <c r="I2891" t="s">
        <v>5759</v>
      </c>
      <c r="J2891">
        <v>9.9770050000000001</v>
      </c>
      <c r="K2891">
        <v>-84.721376000000006</v>
      </c>
      <c r="L2891" t="s">
        <v>1225</v>
      </c>
      <c r="M2891" t="s">
        <v>204</v>
      </c>
      <c r="N2891" t="s">
        <v>205</v>
      </c>
      <c r="O2891" t="s">
        <v>206</v>
      </c>
      <c r="P2891">
        <v>7</v>
      </c>
      <c r="Q2891" t="s">
        <v>39</v>
      </c>
      <c r="S2891" t="str">
        <f>_xlfn.XLOOKUP(UNIVERSO[[#This Row],[Ruta]],'[1]CUOTA RUTA'!A:A,'[1]CUOTA RUTA'!D:D)</f>
        <v>Cargar</v>
      </c>
    </row>
    <row r="2892" spans="1:19" x14ac:dyDescent="0.25">
      <c r="A2892">
        <v>1540018481</v>
      </c>
      <c r="B2892" t="s">
        <v>5760</v>
      </c>
      <c r="C2892" t="s">
        <v>19</v>
      </c>
      <c r="D2892" t="s">
        <v>186</v>
      </c>
      <c r="E2892" t="s">
        <v>21</v>
      </c>
      <c r="F2892" t="s">
        <v>22</v>
      </c>
      <c r="G2892" t="s">
        <v>33</v>
      </c>
      <c r="H2892" t="s">
        <v>237</v>
      </c>
      <c r="I2892" t="s">
        <v>5761</v>
      </c>
      <c r="J2892">
        <v>10.136839999999999</v>
      </c>
      <c r="K2892">
        <v>-83.358119000000002</v>
      </c>
      <c r="L2892" t="s">
        <v>1225</v>
      </c>
      <c r="M2892" t="s">
        <v>189</v>
      </c>
      <c r="N2892" t="s">
        <v>190</v>
      </c>
      <c r="O2892" t="s">
        <v>191</v>
      </c>
      <c r="P2892">
        <v>22</v>
      </c>
      <c r="Q2892" t="s">
        <v>30</v>
      </c>
      <c r="S2892" t="str">
        <f>_xlfn.XLOOKUP(UNIVERSO[[#This Row],[Ruta]],'[1]CUOTA RUTA'!A:A,'[1]CUOTA RUTA'!D:D)</f>
        <v>Cargar</v>
      </c>
    </row>
    <row r="2893" spans="1:19" x14ac:dyDescent="0.25">
      <c r="A2893">
        <v>1540018492</v>
      </c>
      <c r="B2893" t="s">
        <v>5762</v>
      </c>
      <c r="C2893" t="s">
        <v>19</v>
      </c>
      <c r="D2893" t="s">
        <v>20</v>
      </c>
      <c r="E2893" t="s">
        <v>21</v>
      </c>
      <c r="F2893" t="s">
        <v>22</v>
      </c>
      <c r="G2893" t="s">
        <v>33</v>
      </c>
      <c r="H2893" t="s">
        <v>1143</v>
      </c>
      <c r="I2893" t="s">
        <v>5763</v>
      </c>
      <c r="J2893">
        <v>10.05951</v>
      </c>
      <c r="K2893">
        <v>-84.199119999999994</v>
      </c>
      <c r="L2893" t="s">
        <v>1225</v>
      </c>
      <c r="M2893" t="s">
        <v>54</v>
      </c>
      <c r="N2893" t="s">
        <v>55</v>
      </c>
      <c r="O2893" t="s">
        <v>56</v>
      </c>
      <c r="P2893">
        <v>17</v>
      </c>
      <c r="Q2893" t="s">
        <v>287</v>
      </c>
      <c r="S2893" t="str">
        <f>_xlfn.XLOOKUP(UNIVERSO[[#This Row],[Ruta]],'[1]CUOTA RUTA'!A:A,'[1]CUOTA RUTA'!D:D)</f>
        <v>Cargar</v>
      </c>
    </row>
    <row r="2894" spans="1:19" x14ac:dyDescent="0.25">
      <c r="A2894">
        <v>1540018499</v>
      </c>
      <c r="B2894" t="s">
        <v>5764</v>
      </c>
      <c r="C2894" t="s">
        <v>19</v>
      </c>
      <c r="D2894" t="s">
        <v>201</v>
      </c>
      <c r="E2894" t="s">
        <v>21</v>
      </c>
      <c r="F2894" t="s">
        <v>22</v>
      </c>
      <c r="G2894" t="s">
        <v>64</v>
      </c>
      <c r="H2894" t="s">
        <v>334</v>
      </c>
      <c r="I2894" t="s">
        <v>5765</v>
      </c>
      <c r="J2894">
        <v>9.9917499999999997</v>
      </c>
      <c r="K2894">
        <v>-84.657109700000007</v>
      </c>
      <c r="L2894" t="s">
        <v>1225</v>
      </c>
      <c r="M2894" t="s">
        <v>204</v>
      </c>
      <c r="N2894" t="s">
        <v>205</v>
      </c>
      <c r="O2894" t="s">
        <v>206</v>
      </c>
      <c r="P2894">
        <v>14</v>
      </c>
      <c r="Q2894" t="s">
        <v>181</v>
      </c>
      <c r="S2894" t="str">
        <f>_xlfn.XLOOKUP(UNIVERSO[[#This Row],[Ruta]],'[1]CUOTA RUTA'!A:A,'[1]CUOTA RUTA'!D:D)</f>
        <v>Cargar</v>
      </c>
    </row>
    <row r="2895" spans="1:19" x14ac:dyDescent="0.25">
      <c r="A2895">
        <v>1540018508</v>
      </c>
      <c r="B2895" t="s">
        <v>5766</v>
      </c>
      <c r="C2895" t="s">
        <v>19</v>
      </c>
      <c r="D2895" t="s">
        <v>244</v>
      </c>
      <c r="E2895" t="s">
        <v>21</v>
      </c>
      <c r="F2895" t="s">
        <v>22</v>
      </c>
      <c r="G2895" t="s">
        <v>64</v>
      </c>
      <c r="H2895" t="s">
        <v>245</v>
      </c>
      <c r="I2895" t="s">
        <v>5767</v>
      </c>
      <c r="J2895">
        <v>9.2517885</v>
      </c>
      <c r="K2895">
        <v>-83.634403500000005</v>
      </c>
      <c r="L2895" t="s">
        <v>1225</v>
      </c>
      <c r="M2895" t="s">
        <v>46</v>
      </c>
      <c r="N2895" t="s">
        <v>247</v>
      </c>
      <c r="O2895" t="s">
        <v>248</v>
      </c>
      <c r="P2895">
        <v>18</v>
      </c>
      <c r="Q2895" t="s">
        <v>84</v>
      </c>
      <c r="S2895" t="str">
        <f>_xlfn.XLOOKUP(UNIVERSO[[#This Row],[Ruta]],'[1]CUOTA RUTA'!A:A,'[1]CUOTA RUTA'!D:D)</f>
        <v>Cargar</v>
      </c>
    </row>
    <row r="2896" spans="1:19" x14ac:dyDescent="0.25">
      <c r="A2896">
        <v>1540018544</v>
      </c>
      <c r="B2896" t="s">
        <v>5768</v>
      </c>
      <c r="C2896" t="s">
        <v>19</v>
      </c>
      <c r="D2896" t="s">
        <v>266</v>
      </c>
      <c r="E2896" t="s">
        <v>21</v>
      </c>
      <c r="F2896" t="s">
        <v>51</v>
      </c>
      <c r="G2896" t="s">
        <v>23</v>
      </c>
      <c r="H2896" t="s">
        <v>703</v>
      </c>
      <c r="I2896" t="s">
        <v>5769</v>
      </c>
      <c r="J2896">
        <v>9.8417449999999995</v>
      </c>
      <c r="K2896">
        <v>-83.946423333330003</v>
      </c>
      <c r="L2896" t="s">
        <v>1225</v>
      </c>
      <c r="M2896" t="s">
        <v>36</v>
      </c>
      <c r="N2896" t="s">
        <v>316</v>
      </c>
      <c r="O2896" t="s">
        <v>317</v>
      </c>
      <c r="P2896">
        <v>19</v>
      </c>
      <c r="Q2896" t="s">
        <v>67</v>
      </c>
      <c r="S2896" t="str">
        <f>_xlfn.XLOOKUP(UNIVERSO[[#This Row],[Ruta]],'[1]CUOTA RUTA'!A:A,'[1]CUOTA RUTA'!D:D)</f>
        <v>Cargar</v>
      </c>
    </row>
    <row r="2897" spans="1:19" x14ac:dyDescent="0.25">
      <c r="A2897">
        <v>1540018570</v>
      </c>
      <c r="B2897" t="s">
        <v>5770</v>
      </c>
      <c r="C2897" t="s">
        <v>19</v>
      </c>
      <c r="D2897" t="s">
        <v>32</v>
      </c>
      <c r="E2897" t="s">
        <v>21</v>
      </c>
      <c r="F2897" t="s">
        <v>22</v>
      </c>
      <c r="G2897" t="s">
        <v>33</v>
      </c>
      <c r="H2897" t="s">
        <v>159</v>
      </c>
      <c r="I2897" t="s">
        <v>5771</v>
      </c>
      <c r="J2897">
        <v>9.9069000000000003</v>
      </c>
      <c r="K2897">
        <v>-84.1006</v>
      </c>
      <c r="L2897" t="s">
        <v>1225</v>
      </c>
      <c r="M2897" t="s">
        <v>71</v>
      </c>
      <c r="N2897" t="s">
        <v>72</v>
      </c>
      <c r="O2897" t="s">
        <v>73</v>
      </c>
      <c r="P2897">
        <v>9</v>
      </c>
      <c r="Q2897" t="s">
        <v>80</v>
      </c>
      <c r="S2897" t="str">
        <f>_xlfn.XLOOKUP(UNIVERSO[[#This Row],[Ruta]],'[1]CUOTA RUTA'!A:A,'[1]CUOTA RUTA'!D:D)</f>
        <v>Cargar</v>
      </c>
    </row>
    <row r="2898" spans="1:19" x14ac:dyDescent="0.25">
      <c r="A2898">
        <v>1540018572</v>
      </c>
      <c r="B2898" t="s">
        <v>5772</v>
      </c>
      <c r="C2898" t="s">
        <v>19</v>
      </c>
      <c r="D2898" t="s">
        <v>32</v>
      </c>
      <c r="E2898" t="s">
        <v>21</v>
      </c>
      <c r="F2898" t="s">
        <v>22</v>
      </c>
      <c r="G2898" t="s">
        <v>33</v>
      </c>
      <c r="H2898" t="s">
        <v>174</v>
      </c>
      <c r="I2898" t="s">
        <v>5773</v>
      </c>
      <c r="J2898">
        <v>9.9363580000000002</v>
      </c>
      <c r="K2898">
        <v>-84.087230000000005</v>
      </c>
      <c r="L2898" t="s">
        <v>1225</v>
      </c>
      <c r="M2898" t="s">
        <v>71</v>
      </c>
      <c r="N2898" t="s">
        <v>72</v>
      </c>
      <c r="O2898" t="s">
        <v>73</v>
      </c>
      <c r="P2898">
        <v>1</v>
      </c>
      <c r="Q2898" t="s">
        <v>155</v>
      </c>
      <c r="S2898" t="str">
        <f>_xlfn.XLOOKUP(UNIVERSO[[#This Row],[Ruta]],'[1]CUOTA RUTA'!A:A,'[1]CUOTA RUTA'!D:D)</f>
        <v>Cargar</v>
      </c>
    </row>
    <row r="2899" spans="1:19" x14ac:dyDescent="0.25">
      <c r="A2899">
        <v>1540018599</v>
      </c>
      <c r="B2899" t="s">
        <v>5774</v>
      </c>
      <c r="C2899" t="s">
        <v>19</v>
      </c>
      <c r="D2899" t="s">
        <v>20</v>
      </c>
      <c r="E2899" t="s">
        <v>21</v>
      </c>
      <c r="F2899" t="s">
        <v>22</v>
      </c>
      <c r="G2899" t="s">
        <v>33</v>
      </c>
      <c r="H2899" t="s">
        <v>862</v>
      </c>
      <c r="I2899" t="s">
        <v>5775</v>
      </c>
      <c r="J2899">
        <v>9.9633199999999995</v>
      </c>
      <c r="K2899">
        <v>-84.189719999999994</v>
      </c>
      <c r="L2899" t="s">
        <v>1225</v>
      </c>
      <c r="M2899" t="s">
        <v>27</v>
      </c>
      <c r="N2899" t="s">
        <v>28</v>
      </c>
      <c r="O2899" t="s">
        <v>29</v>
      </c>
      <c r="P2899">
        <v>23</v>
      </c>
      <c r="Q2899" t="s">
        <v>125</v>
      </c>
      <c r="S2899" t="str">
        <f>_xlfn.XLOOKUP(UNIVERSO[[#This Row],[Ruta]],'[1]CUOTA RUTA'!A:A,'[1]CUOTA RUTA'!D:D)</f>
        <v>Cargar</v>
      </c>
    </row>
    <row r="2900" spans="1:19" x14ac:dyDescent="0.25">
      <c r="A2900">
        <v>1540018618</v>
      </c>
      <c r="B2900" t="s">
        <v>5776</v>
      </c>
      <c r="C2900" t="s">
        <v>19</v>
      </c>
      <c r="D2900" t="s">
        <v>186</v>
      </c>
      <c r="E2900" t="s">
        <v>21</v>
      </c>
      <c r="F2900" t="s">
        <v>22</v>
      </c>
      <c r="G2900" t="s">
        <v>33</v>
      </c>
      <c r="H2900" t="s">
        <v>187</v>
      </c>
      <c r="I2900" t="s">
        <v>5777</v>
      </c>
      <c r="J2900">
        <v>9.9868260000000006</v>
      </c>
      <c r="K2900">
        <v>-83.053657999999999</v>
      </c>
      <c r="L2900" t="s">
        <v>1225</v>
      </c>
      <c r="M2900" t="s">
        <v>189</v>
      </c>
      <c r="N2900" t="s">
        <v>190</v>
      </c>
      <c r="O2900" t="s">
        <v>191</v>
      </c>
      <c r="P2900">
        <v>13</v>
      </c>
      <c r="Q2900" t="s">
        <v>161</v>
      </c>
      <c r="S2900" t="str">
        <f>_xlfn.XLOOKUP(UNIVERSO[[#This Row],[Ruta]],'[1]CUOTA RUTA'!A:A,'[1]CUOTA RUTA'!D:D)</f>
        <v>Cargar</v>
      </c>
    </row>
    <row r="2901" spans="1:19" x14ac:dyDescent="0.25">
      <c r="A2901">
        <v>1540018675</v>
      </c>
      <c r="B2901" t="s">
        <v>5778</v>
      </c>
      <c r="C2901" t="s">
        <v>19</v>
      </c>
      <c r="D2901" t="s">
        <v>32</v>
      </c>
      <c r="E2901" t="s">
        <v>21</v>
      </c>
      <c r="F2901" t="s">
        <v>22</v>
      </c>
      <c r="G2901" t="s">
        <v>33</v>
      </c>
      <c r="H2901" t="s">
        <v>1383</v>
      </c>
      <c r="I2901" t="s">
        <v>5779</v>
      </c>
      <c r="J2901">
        <v>9.9042949999999994</v>
      </c>
      <c r="K2901">
        <v>-84.094125000000005</v>
      </c>
      <c r="L2901" t="s">
        <v>1225</v>
      </c>
      <c r="M2901" t="s">
        <v>71</v>
      </c>
      <c r="N2901" t="s">
        <v>72</v>
      </c>
      <c r="O2901" t="s">
        <v>73</v>
      </c>
      <c r="P2901">
        <v>6</v>
      </c>
      <c r="Q2901" t="s">
        <v>49</v>
      </c>
      <c r="S2901" t="str">
        <f>_xlfn.XLOOKUP(UNIVERSO[[#This Row],[Ruta]],'[1]CUOTA RUTA'!A:A,'[1]CUOTA RUTA'!D:D)</f>
        <v>Cargar</v>
      </c>
    </row>
    <row r="2902" spans="1:19" x14ac:dyDescent="0.25">
      <c r="A2902">
        <v>1540018725</v>
      </c>
      <c r="B2902" t="s">
        <v>5780</v>
      </c>
      <c r="C2902" t="s">
        <v>19</v>
      </c>
      <c r="D2902" t="s">
        <v>32</v>
      </c>
      <c r="E2902" t="s">
        <v>21</v>
      </c>
      <c r="F2902" t="s">
        <v>22</v>
      </c>
      <c r="G2902" t="s">
        <v>33</v>
      </c>
      <c r="H2902" t="s">
        <v>76</v>
      </c>
      <c r="I2902" t="s">
        <v>5781</v>
      </c>
      <c r="J2902">
        <v>9.9590960000000006</v>
      </c>
      <c r="K2902">
        <v>-83.9923</v>
      </c>
      <c r="L2902" t="s">
        <v>1225</v>
      </c>
      <c r="M2902" t="s">
        <v>36</v>
      </c>
      <c r="N2902" t="s">
        <v>37</v>
      </c>
      <c r="O2902" t="s">
        <v>38</v>
      </c>
      <c r="P2902">
        <v>21</v>
      </c>
      <c r="Q2902" t="s">
        <v>239</v>
      </c>
      <c r="S2902" t="str">
        <f>_xlfn.XLOOKUP(UNIVERSO[[#This Row],[Ruta]],'[1]CUOTA RUTA'!A:A,'[1]CUOTA RUTA'!D:D)</f>
        <v>Cargar</v>
      </c>
    </row>
    <row r="2903" spans="1:19" x14ac:dyDescent="0.25">
      <c r="A2903">
        <v>1540018789</v>
      </c>
      <c r="B2903" t="s">
        <v>5782</v>
      </c>
      <c r="C2903" t="s">
        <v>19</v>
      </c>
      <c r="D2903" t="s">
        <v>324</v>
      </c>
      <c r="E2903" t="s">
        <v>21</v>
      </c>
      <c r="F2903" t="s">
        <v>22</v>
      </c>
      <c r="G2903" t="s">
        <v>64</v>
      </c>
      <c r="H2903" t="s">
        <v>325</v>
      </c>
      <c r="I2903" t="s">
        <v>5783</v>
      </c>
      <c r="J2903">
        <v>10.332815999999999</v>
      </c>
      <c r="K2903">
        <v>-84.550002000000006</v>
      </c>
      <c r="L2903" t="s">
        <v>1225</v>
      </c>
      <c r="M2903" t="s">
        <v>327</v>
      </c>
      <c r="N2903" t="s">
        <v>328</v>
      </c>
      <c r="O2903" t="s">
        <v>329</v>
      </c>
      <c r="P2903">
        <v>14</v>
      </c>
      <c r="Q2903" t="s">
        <v>181</v>
      </c>
      <c r="S2903" t="str">
        <f>_xlfn.XLOOKUP(UNIVERSO[[#This Row],[Ruta]],'[1]CUOTA RUTA'!A:A,'[1]CUOTA RUTA'!D:D)</f>
        <v>Cargar</v>
      </c>
    </row>
    <row r="2904" spans="1:19" x14ac:dyDescent="0.25">
      <c r="A2904">
        <v>1540018838</v>
      </c>
      <c r="B2904" t="s">
        <v>5784</v>
      </c>
      <c r="C2904" t="s">
        <v>19</v>
      </c>
      <c r="D2904" t="s">
        <v>349</v>
      </c>
      <c r="E2904" t="s">
        <v>21</v>
      </c>
      <c r="F2904" t="s">
        <v>22</v>
      </c>
      <c r="G2904" t="s">
        <v>64</v>
      </c>
      <c r="H2904" t="s">
        <v>448</v>
      </c>
      <c r="I2904" t="s">
        <v>5785</v>
      </c>
      <c r="J2904">
        <v>9.9428470000000004</v>
      </c>
      <c r="K2904">
        <v>-85.665981000000002</v>
      </c>
      <c r="L2904" t="s">
        <v>1225</v>
      </c>
      <c r="M2904" t="s">
        <v>352</v>
      </c>
      <c r="N2904" t="s">
        <v>353</v>
      </c>
      <c r="O2904" t="s">
        <v>354</v>
      </c>
      <c r="P2904">
        <v>7</v>
      </c>
      <c r="Q2904" t="s">
        <v>39</v>
      </c>
      <c r="S2904" t="str">
        <f>_xlfn.XLOOKUP(UNIVERSO[[#This Row],[Ruta]],'[1]CUOTA RUTA'!A:A,'[1]CUOTA RUTA'!D:D)</f>
        <v>Cargar</v>
      </c>
    </row>
    <row r="2905" spans="1:19" x14ac:dyDescent="0.25">
      <c r="A2905">
        <v>1540018864</v>
      </c>
      <c r="B2905" t="s">
        <v>5786</v>
      </c>
      <c r="C2905" t="s">
        <v>19</v>
      </c>
      <c r="D2905" t="s">
        <v>32</v>
      </c>
      <c r="E2905" t="s">
        <v>21</v>
      </c>
      <c r="F2905" t="s">
        <v>22</v>
      </c>
      <c r="G2905" t="s">
        <v>33</v>
      </c>
      <c r="H2905" t="s">
        <v>112</v>
      </c>
      <c r="I2905" t="s">
        <v>5787</v>
      </c>
      <c r="J2905">
        <v>9.9456950000000006</v>
      </c>
      <c r="K2905">
        <v>-84.102622999999994</v>
      </c>
      <c r="L2905" t="s">
        <v>1225</v>
      </c>
      <c r="M2905" t="s">
        <v>94</v>
      </c>
      <c r="N2905" t="s">
        <v>95</v>
      </c>
      <c r="O2905" t="s">
        <v>96</v>
      </c>
      <c r="P2905">
        <v>12</v>
      </c>
      <c r="Q2905" t="s">
        <v>42</v>
      </c>
      <c r="S2905" t="str">
        <f>_xlfn.XLOOKUP(UNIVERSO[[#This Row],[Ruta]],'[1]CUOTA RUTA'!A:A,'[1]CUOTA RUTA'!D:D)</f>
        <v>Cargar</v>
      </c>
    </row>
    <row r="2906" spans="1:19" x14ac:dyDescent="0.25">
      <c r="A2906">
        <v>1540018882</v>
      </c>
      <c r="B2906" t="s">
        <v>5788</v>
      </c>
      <c r="C2906" t="s">
        <v>19</v>
      </c>
      <c r="D2906" t="s">
        <v>20</v>
      </c>
      <c r="E2906" t="s">
        <v>21</v>
      </c>
      <c r="F2906" t="s">
        <v>22</v>
      </c>
      <c r="G2906" t="s">
        <v>64</v>
      </c>
      <c r="H2906" t="s">
        <v>52</v>
      </c>
      <c r="I2906" t="s">
        <v>5789</v>
      </c>
      <c r="J2906">
        <v>9.9168582999999995</v>
      </c>
      <c r="K2906">
        <v>-84.138395000000003</v>
      </c>
      <c r="L2906" t="s">
        <v>1225</v>
      </c>
      <c r="M2906" t="s">
        <v>54</v>
      </c>
      <c r="N2906" t="s">
        <v>55</v>
      </c>
      <c r="O2906" t="s">
        <v>56</v>
      </c>
      <c r="P2906">
        <v>12</v>
      </c>
      <c r="Q2906" t="s">
        <v>42</v>
      </c>
      <c r="S2906" t="str">
        <f>_xlfn.XLOOKUP(UNIVERSO[[#This Row],[Ruta]],'[1]CUOTA RUTA'!A:A,'[1]CUOTA RUTA'!D:D)</f>
        <v>Cargar</v>
      </c>
    </row>
    <row r="2907" spans="1:19" x14ac:dyDescent="0.25">
      <c r="A2907">
        <v>1540018892</v>
      </c>
      <c r="B2907" t="s">
        <v>5790</v>
      </c>
      <c r="C2907" t="s">
        <v>19</v>
      </c>
      <c r="D2907" t="s">
        <v>32</v>
      </c>
      <c r="E2907" t="s">
        <v>21</v>
      </c>
      <c r="F2907" t="s">
        <v>22</v>
      </c>
      <c r="G2907" t="s">
        <v>33</v>
      </c>
      <c r="H2907" t="s">
        <v>1191</v>
      </c>
      <c r="I2907" t="s">
        <v>5791</v>
      </c>
      <c r="J2907">
        <v>9.8991120000000006</v>
      </c>
      <c r="K2907">
        <v>-84.030199999999994</v>
      </c>
      <c r="L2907" t="s">
        <v>1225</v>
      </c>
      <c r="M2907" t="s">
        <v>36</v>
      </c>
      <c r="N2907" t="s">
        <v>37</v>
      </c>
      <c r="O2907" t="s">
        <v>38</v>
      </c>
      <c r="P2907">
        <v>15</v>
      </c>
      <c r="Q2907" t="s">
        <v>231</v>
      </c>
      <c r="S2907" t="str">
        <f>_xlfn.XLOOKUP(UNIVERSO[[#This Row],[Ruta]],'[1]CUOTA RUTA'!A:A,'[1]CUOTA RUTA'!D:D)</f>
        <v>Cargar</v>
      </c>
    </row>
    <row r="2908" spans="1:19" x14ac:dyDescent="0.25">
      <c r="A2908">
        <v>1540018900</v>
      </c>
      <c r="B2908" t="s">
        <v>5792</v>
      </c>
      <c r="C2908" t="s">
        <v>19</v>
      </c>
      <c r="D2908" t="s">
        <v>20</v>
      </c>
      <c r="E2908" t="s">
        <v>21</v>
      </c>
      <c r="F2908" t="s">
        <v>22</v>
      </c>
      <c r="G2908" t="s">
        <v>33</v>
      </c>
      <c r="H2908" t="s">
        <v>44</v>
      </c>
      <c r="I2908" t="s">
        <v>5793</v>
      </c>
      <c r="J2908">
        <v>10.0585567</v>
      </c>
      <c r="K2908">
        <v>-84.465339999999998</v>
      </c>
      <c r="L2908" t="s">
        <v>1225</v>
      </c>
      <c r="M2908" t="s">
        <v>46</v>
      </c>
      <c r="N2908" t="s">
        <v>47</v>
      </c>
      <c r="O2908" t="s">
        <v>48</v>
      </c>
      <c r="P2908">
        <v>7</v>
      </c>
      <c r="Q2908" t="s">
        <v>39</v>
      </c>
      <c r="S2908" t="str">
        <f>_xlfn.XLOOKUP(UNIVERSO[[#This Row],[Ruta]],'[1]CUOTA RUTA'!A:A,'[1]CUOTA RUTA'!D:D)</f>
        <v>Cargar</v>
      </c>
    </row>
    <row r="2909" spans="1:19" x14ac:dyDescent="0.25">
      <c r="A2909">
        <v>1540018908</v>
      </c>
      <c r="B2909" t="s">
        <v>5794</v>
      </c>
      <c r="C2909" t="s">
        <v>19</v>
      </c>
      <c r="D2909" t="s">
        <v>32</v>
      </c>
      <c r="E2909" t="s">
        <v>21</v>
      </c>
      <c r="F2909" t="s">
        <v>22</v>
      </c>
      <c r="G2909" t="s">
        <v>33</v>
      </c>
      <c r="H2909" t="s">
        <v>86</v>
      </c>
      <c r="I2909" t="s">
        <v>5795</v>
      </c>
      <c r="J2909">
        <v>9.8973549999999992</v>
      </c>
      <c r="K2909">
        <v>-84.061729</v>
      </c>
      <c r="L2909" t="s">
        <v>1225</v>
      </c>
      <c r="M2909" t="s">
        <v>71</v>
      </c>
      <c r="N2909" t="s">
        <v>72</v>
      </c>
      <c r="O2909" t="s">
        <v>73</v>
      </c>
      <c r="P2909">
        <v>18</v>
      </c>
      <c r="Q2909" t="s">
        <v>84</v>
      </c>
      <c r="S2909" t="str">
        <f>_xlfn.XLOOKUP(UNIVERSO[[#This Row],[Ruta]],'[1]CUOTA RUTA'!A:A,'[1]CUOTA RUTA'!D:D)</f>
        <v>Cargar</v>
      </c>
    </row>
    <row r="2910" spans="1:19" x14ac:dyDescent="0.25">
      <c r="A2910">
        <v>1540018943</v>
      </c>
      <c r="B2910" t="s">
        <v>5796</v>
      </c>
      <c r="C2910" t="s">
        <v>19</v>
      </c>
      <c r="D2910" t="s">
        <v>201</v>
      </c>
      <c r="E2910" t="s">
        <v>21</v>
      </c>
      <c r="F2910" t="s">
        <v>22</v>
      </c>
      <c r="G2910" t="s">
        <v>64</v>
      </c>
      <c r="H2910" t="s">
        <v>528</v>
      </c>
      <c r="I2910" t="s">
        <v>5797</v>
      </c>
      <c r="J2910">
        <v>10.281370000000001</v>
      </c>
      <c r="K2910">
        <v>-84.960251</v>
      </c>
      <c r="L2910" t="s">
        <v>1225</v>
      </c>
      <c r="M2910" t="s">
        <v>327</v>
      </c>
      <c r="N2910" t="s">
        <v>530</v>
      </c>
      <c r="O2910" t="s">
        <v>531</v>
      </c>
      <c r="P2910">
        <v>1</v>
      </c>
      <c r="Q2910" t="s">
        <v>155</v>
      </c>
      <c r="S2910" t="str">
        <f>_xlfn.XLOOKUP(UNIVERSO[[#This Row],[Ruta]],'[1]CUOTA RUTA'!A:A,'[1]CUOTA RUTA'!D:D)</f>
        <v>Cargar</v>
      </c>
    </row>
    <row r="2911" spans="1:19" x14ac:dyDescent="0.25">
      <c r="A2911">
        <v>1540018960</v>
      </c>
      <c r="B2911" t="s">
        <v>5798</v>
      </c>
      <c r="C2911" t="s">
        <v>19</v>
      </c>
      <c r="D2911" t="s">
        <v>266</v>
      </c>
      <c r="E2911" t="s">
        <v>21</v>
      </c>
      <c r="F2911" t="s">
        <v>22</v>
      </c>
      <c r="G2911" t="s">
        <v>23</v>
      </c>
      <c r="H2911" t="s">
        <v>404</v>
      </c>
      <c r="I2911" t="s">
        <v>5799</v>
      </c>
      <c r="J2911">
        <v>9.8419460000000001</v>
      </c>
      <c r="K2911">
        <v>-83.879594999999995</v>
      </c>
      <c r="L2911" t="s">
        <v>1225</v>
      </c>
      <c r="M2911" t="s">
        <v>36</v>
      </c>
      <c r="N2911" t="s">
        <v>316</v>
      </c>
      <c r="O2911" t="s">
        <v>317</v>
      </c>
      <c r="P2911">
        <v>22</v>
      </c>
      <c r="Q2911" t="s">
        <v>30</v>
      </c>
      <c r="S2911" t="str">
        <f>_xlfn.XLOOKUP(UNIVERSO[[#This Row],[Ruta]],'[1]CUOTA RUTA'!A:A,'[1]CUOTA RUTA'!D:D)</f>
        <v>Cargar</v>
      </c>
    </row>
    <row r="2912" spans="1:19" x14ac:dyDescent="0.25">
      <c r="A2912">
        <v>1540018971</v>
      </c>
      <c r="B2912" t="s">
        <v>5800</v>
      </c>
      <c r="C2912" t="s">
        <v>19</v>
      </c>
      <c r="D2912" t="s">
        <v>32</v>
      </c>
      <c r="E2912" t="s">
        <v>21</v>
      </c>
      <c r="F2912" t="s">
        <v>22</v>
      </c>
      <c r="G2912" t="s">
        <v>33</v>
      </c>
      <c r="H2912" t="s">
        <v>183</v>
      </c>
      <c r="I2912" t="s">
        <v>5801</v>
      </c>
      <c r="J2912">
        <v>9.9500329999999995</v>
      </c>
      <c r="K2912">
        <v>-84.070607999999993</v>
      </c>
      <c r="L2912" t="s">
        <v>1225</v>
      </c>
      <c r="M2912" t="s">
        <v>36</v>
      </c>
      <c r="N2912" t="s">
        <v>37</v>
      </c>
      <c r="O2912" t="s">
        <v>38</v>
      </c>
      <c r="P2912">
        <v>4</v>
      </c>
      <c r="Q2912" t="s">
        <v>120</v>
      </c>
      <c r="S2912" t="str">
        <f>_xlfn.XLOOKUP(UNIVERSO[[#This Row],[Ruta]],'[1]CUOTA RUTA'!A:A,'[1]CUOTA RUTA'!D:D)</f>
        <v>Cargar</v>
      </c>
    </row>
    <row r="2913" spans="1:19" x14ac:dyDescent="0.25">
      <c r="A2913">
        <v>1540018988</v>
      </c>
      <c r="B2913" t="s">
        <v>5802</v>
      </c>
      <c r="C2913" t="s">
        <v>19</v>
      </c>
      <c r="D2913" t="s">
        <v>208</v>
      </c>
      <c r="E2913" t="s">
        <v>21</v>
      </c>
      <c r="F2913" t="s">
        <v>22</v>
      </c>
      <c r="G2913" t="s">
        <v>64</v>
      </c>
      <c r="H2913" t="s">
        <v>631</v>
      </c>
      <c r="I2913" t="s">
        <v>5803</v>
      </c>
      <c r="J2913">
        <v>10.200018999999999</v>
      </c>
      <c r="K2913">
        <v>-83.455923999999996</v>
      </c>
      <c r="L2913" t="s">
        <v>1225</v>
      </c>
      <c r="M2913" t="s">
        <v>189</v>
      </c>
      <c r="N2913" t="s">
        <v>211</v>
      </c>
      <c r="O2913" t="s">
        <v>212</v>
      </c>
      <c r="P2913">
        <v>9</v>
      </c>
      <c r="Q2913" t="s">
        <v>80</v>
      </c>
      <c r="S2913" t="str">
        <f>_xlfn.XLOOKUP(UNIVERSO[[#This Row],[Ruta]],'[1]CUOTA RUTA'!A:A,'[1]CUOTA RUTA'!D:D)</f>
        <v>Cargar</v>
      </c>
    </row>
    <row r="2914" spans="1:19" x14ac:dyDescent="0.25">
      <c r="A2914">
        <v>1540019008</v>
      </c>
      <c r="B2914" t="s">
        <v>5804</v>
      </c>
      <c r="C2914" t="s">
        <v>19</v>
      </c>
      <c r="D2914" t="s">
        <v>20</v>
      </c>
      <c r="E2914" t="s">
        <v>21</v>
      </c>
      <c r="F2914" t="s">
        <v>22</v>
      </c>
      <c r="G2914" t="s">
        <v>23</v>
      </c>
      <c r="H2914" t="s">
        <v>303</v>
      </c>
      <c r="I2914" t="s">
        <v>5805</v>
      </c>
      <c r="J2914">
        <v>9.9790136</v>
      </c>
      <c r="K2914">
        <v>-84.241791500000005</v>
      </c>
      <c r="L2914" t="s">
        <v>1225</v>
      </c>
      <c r="M2914" t="s">
        <v>54</v>
      </c>
      <c r="N2914" t="s">
        <v>55</v>
      </c>
      <c r="O2914" t="s">
        <v>56</v>
      </c>
      <c r="P2914">
        <v>8</v>
      </c>
      <c r="Q2914" t="s">
        <v>97</v>
      </c>
      <c r="S2914" t="str">
        <f>_xlfn.XLOOKUP(UNIVERSO[[#This Row],[Ruta]],'[1]CUOTA RUTA'!A:A,'[1]CUOTA RUTA'!D:D)</f>
        <v>Cargar</v>
      </c>
    </row>
    <row r="2915" spans="1:19" x14ac:dyDescent="0.25">
      <c r="A2915">
        <v>1540019032</v>
      </c>
      <c r="B2915" t="s">
        <v>5806</v>
      </c>
      <c r="C2915" t="s">
        <v>19</v>
      </c>
      <c r="D2915" t="s">
        <v>349</v>
      </c>
      <c r="E2915" t="s">
        <v>21</v>
      </c>
      <c r="F2915" t="s">
        <v>22</v>
      </c>
      <c r="G2915" t="s">
        <v>33</v>
      </c>
      <c r="H2915" t="s">
        <v>356</v>
      </c>
      <c r="I2915" t="s">
        <v>5807</v>
      </c>
      <c r="J2915">
        <v>10.158137999999999</v>
      </c>
      <c r="K2915">
        <v>-85.451279999999997</v>
      </c>
      <c r="L2915" t="s">
        <v>1225</v>
      </c>
      <c r="M2915" t="s">
        <v>352</v>
      </c>
      <c r="N2915" t="s">
        <v>353</v>
      </c>
      <c r="O2915" t="s">
        <v>354</v>
      </c>
      <c r="P2915">
        <v>13</v>
      </c>
      <c r="Q2915" t="s">
        <v>161</v>
      </c>
      <c r="S2915" t="str">
        <f>_xlfn.XLOOKUP(UNIVERSO[[#This Row],[Ruta]],'[1]CUOTA RUTA'!A:A,'[1]CUOTA RUTA'!D:D)</f>
        <v>Cargar</v>
      </c>
    </row>
    <row r="2916" spans="1:19" x14ac:dyDescent="0.25">
      <c r="A2916">
        <v>1540019047</v>
      </c>
      <c r="B2916" t="s">
        <v>5808</v>
      </c>
      <c r="C2916" t="s">
        <v>19</v>
      </c>
      <c r="D2916" t="s">
        <v>186</v>
      </c>
      <c r="E2916" t="s">
        <v>21</v>
      </c>
      <c r="F2916" t="s">
        <v>22</v>
      </c>
      <c r="G2916" t="s">
        <v>33</v>
      </c>
      <c r="H2916" t="s">
        <v>187</v>
      </c>
      <c r="I2916" t="s">
        <v>5809</v>
      </c>
      <c r="J2916">
        <v>9.9969009999999994</v>
      </c>
      <c r="K2916">
        <v>-83.049871999999993</v>
      </c>
      <c r="L2916" t="s">
        <v>1225</v>
      </c>
      <c r="M2916" t="s">
        <v>189</v>
      </c>
      <c r="N2916" t="s">
        <v>190</v>
      </c>
      <c r="O2916" t="s">
        <v>191</v>
      </c>
      <c r="P2916">
        <v>13</v>
      </c>
      <c r="Q2916" t="s">
        <v>161</v>
      </c>
      <c r="S2916" t="str">
        <f>_xlfn.XLOOKUP(UNIVERSO[[#This Row],[Ruta]],'[1]CUOTA RUTA'!A:A,'[1]CUOTA RUTA'!D:D)</f>
        <v>Cargar</v>
      </c>
    </row>
    <row r="2917" spans="1:19" x14ac:dyDescent="0.25">
      <c r="A2917">
        <v>1540019049</v>
      </c>
      <c r="B2917" t="s">
        <v>5810</v>
      </c>
      <c r="C2917" t="s">
        <v>19</v>
      </c>
      <c r="D2917" t="s">
        <v>186</v>
      </c>
      <c r="E2917" t="s">
        <v>21</v>
      </c>
      <c r="F2917" t="s">
        <v>22</v>
      </c>
      <c r="G2917" t="s">
        <v>64</v>
      </c>
      <c r="H2917" t="s">
        <v>420</v>
      </c>
      <c r="I2917" t="s">
        <v>5811</v>
      </c>
      <c r="J2917">
        <v>9.7252419999999997</v>
      </c>
      <c r="K2917">
        <v>-83.055860999999993</v>
      </c>
      <c r="L2917" t="s">
        <v>1225</v>
      </c>
      <c r="M2917" t="s">
        <v>189</v>
      </c>
      <c r="N2917" t="s">
        <v>190</v>
      </c>
      <c r="O2917" t="s">
        <v>191</v>
      </c>
      <c r="P2917">
        <v>18</v>
      </c>
      <c r="Q2917" t="s">
        <v>84</v>
      </c>
      <c r="S2917" t="str">
        <f>_xlfn.XLOOKUP(UNIVERSO[[#This Row],[Ruta]],'[1]CUOTA RUTA'!A:A,'[1]CUOTA RUTA'!D:D)</f>
        <v>Cargar</v>
      </c>
    </row>
    <row r="2918" spans="1:19" x14ac:dyDescent="0.25">
      <c r="A2918">
        <v>1540019051</v>
      </c>
      <c r="B2918" t="s">
        <v>5812</v>
      </c>
      <c r="C2918" t="s">
        <v>19</v>
      </c>
      <c r="D2918" t="s">
        <v>266</v>
      </c>
      <c r="E2918" t="s">
        <v>21</v>
      </c>
      <c r="F2918" t="s">
        <v>22</v>
      </c>
      <c r="G2918" t="s">
        <v>33</v>
      </c>
      <c r="H2918" t="s">
        <v>272</v>
      </c>
      <c r="I2918" t="s">
        <v>5813</v>
      </c>
      <c r="J2918">
        <v>9.8591169000000001</v>
      </c>
      <c r="K2918">
        <v>-83.808445199999994</v>
      </c>
      <c r="L2918" t="s">
        <v>1225</v>
      </c>
      <c r="M2918" t="s">
        <v>54</v>
      </c>
      <c r="N2918" t="s">
        <v>274</v>
      </c>
      <c r="O2918" t="s">
        <v>275</v>
      </c>
      <c r="P2918">
        <v>21</v>
      </c>
      <c r="Q2918" t="s">
        <v>239</v>
      </c>
      <c r="S2918" t="str">
        <f>_xlfn.XLOOKUP(UNIVERSO[[#This Row],[Ruta]],'[1]CUOTA RUTA'!A:A,'[1]CUOTA RUTA'!D:D)</f>
        <v>Cargar</v>
      </c>
    </row>
    <row r="2919" spans="1:19" x14ac:dyDescent="0.25">
      <c r="A2919">
        <v>1540019071</v>
      </c>
      <c r="B2919" t="s">
        <v>5814</v>
      </c>
      <c r="C2919" t="s">
        <v>19</v>
      </c>
      <c r="D2919" t="s">
        <v>32</v>
      </c>
      <c r="E2919" t="s">
        <v>21</v>
      </c>
      <c r="F2919" t="s">
        <v>22</v>
      </c>
      <c r="G2919" t="s">
        <v>33</v>
      </c>
      <c r="H2919" t="s">
        <v>174</v>
      </c>
      <c r="I2919" t="s">
        <v>5815</v>
      </c>
      <c r="J2919">
        <v>9.9434699999999996</v>
      </c>
      <c r="K2919">
        <v>-84.083259999999996</v>
      </c>
      <c r="L2919" t="s">
        <v>1225</v>
      </c>
      <c r="M2919" t="s">
        <v>71</v>
      </c>
      <c r="N2919" t="s">
        <v>72</v>
      </c>
      <c r="O2919" t="s">
        <v>73</v>
      </c>
      <c r="P2919">
        <v>1</v>
      </c>
      <c r="Q2919" t="s">
        <v>155</v>
      </c>
      <c r="S2919" t="str">
        <f>_xlfn.XLOOKUP(UNIVERSO[[#This Row],[Ruta]],'[1]CUOTA RUTA'!A:A,'[1]CUOTA RUTA'!D:D)</f>
        <v>Cargar</v>
      </c>
    </row>
    <row r="2920" spans="1:19" x14ac:dyDescent="0.25">
      <c r="A2920">
        <v>1540019076</v>
      </c>
      <c r="B2920" t="s">
        <v>40</v>
      </c>
      <c r="C2920" t="s">
        <v>19</v>
      </c>
      <c r="D2920" t="s">
        <v>32</v>
      </c>
      <c r="E2920" t="s">
        <v>21</v>
      </c>
      <c r="F2920" t="s">
        <v>22</v>
      </c>
      <c r="G2920" t="s">
        <v>33</v>
      </c>
      <c r="H2920" t="s">
        <v>69</v>
      </c>
      <c r="I2920" t="s">
        <v>5816</v>
      </c>
      <c r="J2920">
        <v>9.8508783333330001</v>
      </c>
      <c r="K2920">
        <v>-84.056003333329997</v>
      </c>
      <c r="L2920" t="s">
        <v>1225</v>
      </c>
      <c r="M2920" t="s">
        <v>71</v>
      </c>
      <c r="N2920" t="s">
        <v>72</v>
      </c>
      <c r="O2920" t="s">
        <v>73</v>
      </c>
      <c r="P2920">
        <v>22</v>
      </c>
      <c r="Q2920" t="s">
        <v>30</v>
      </c>
      <c r="S2920" t="str">
        <f>_xlfn.XLOOKUP(UNIVERSO[[#This Row],[Ruta]],'[1]CUOTA RUTA'!A:A,'[1]CUOTA RUTA'!D:D)</f>
        <v>Cargar</v>
      </c>
    </row>
    <row r="2921" spans="1:19" x14ac:dyDescent="0.25">
      <c r="A2921">
        <v>1540019111</v>
      </c>
      <c r="B2921" t="s">
        <v>5817</v>
      </c>
      <c r="C2921" t="s">
        <v>19</v>
      </c>
      <c r="D2921" t="s">
        <v>20</v>
      </c>
      <c r="E2921" t="s">
        <v>21</v>
      </c>
      <c r="F2921" t="s">
        <v>22</v>
      </c>
      <c r="G2921" t="s">
        <v>64</v>
      </c>
      <c r="H2921" t="s">
        <v>674</v>
      </c>
      <c r="I2921" t="s">
        <v>5818</v>
      </c>
      <c r="J2921">
        <v>10.135892514978</v>
      </c>
      <c r="K2921">
        <v>-84.370899773030004</v>
      </c>
      <c r="L2921" t="s">
        <v>1225</v>
      </c>
      <c r="M2921" t="s">
        <v>46</v>
      </c>
      <c r="N2921" t="s">
        <v>47</v>
      </c>
      <c r="O2921" t="s">
        <v>48</v>
      </c>
      <c r="P2921">
        <v>2</v>
      </c>
      <c r="Q2921" t="s">
        <v>150</v>
      </c>
      <c r="S2921" t="str">
        <f>_xlfn.XLOOKUP(UNIVERSO[[#This Row],[Ruta]],'[1]CUOTA RUTA'!A:A,'[1]CUOTA RUTA'!D:D)</f>
        <v>Cargar</v>
      </c>
    </row>
    <row r="2922" spans="1:19" x14ac:dyDescent="0.25">
      <c r="A2922">
        <v>1540019148</v>
      </c>
      <c r="B2922" t="s">
        <v>5819</v>
      </c>
      <c r="C2922" t="s">
        <v>19</v>
      </c>
      <c r="D2922" t="s">
        <v>201</v>
      </c>
      <c r="E2922" t="s">
        <v>21</v>
      </c>
      <c r="F2922" t="s">
        <v>51</v>
      </c>
      <c r="G2922" t="s">
        <v>23</v>
      </c>
      <c r="H2922" t="s">
        <v>202</v>
      </c>
      <c r="I2922" t="s">
        <v>5820</v>
      </c>
      <c r="J2922">
        <v>9.9770749999999992</v>
      </c>
      <c r="K2922">
        <v>-84.724029999999999</v>
      </c>
      <c r="L2922" t="s">
        <v>1225</v>
      </c>
      <c r="M2922" t="s">
        <v>204</v>
      </c>
      <c r="N2922" t="s">
        <v>205</v>
      </c>
      <c r="O2922" t="s">
        <v>206</v>
      </c>
      <c r="P2922">
        <v>7</v>
      </c>
      <c r="Q2922" t="s">
        <v>39</v>
      </c>
      <c r="S2922" t="str">
        <f>_xlfn.XLOOKUP(UNIVERSO[[#This Row],[Ruta]],'[1]CUOTA RUTA'!A:A,'[1]CUOTA RUTA'!D:D)</f>
        <v>Cargar</v>
      </c>
    </row>
    <row r="2923" spans="1:19" x14ac:dyDescent="0.25">
      <c r="A2923">
        <v>1540019170</v>
      </c>
      <c r="B2923" t="s">
        <v>5821</v>
      </c>
      <c r="C2923" t="s">
        <v>19</v>
      </c>
      <c r="D2923" t="s">
        <v>244</v>
      </c>
      <c r="E2923" t="s">
        <v>21</v>
      </c>
      <c r="F2923" t="s">
        <v>22</v>
      </c>
      <c r="G2923" t="s">
        <v>64</v>
      </c>
      <c r="H2923" t="s">
        <v>1233</v>
      </c>
      <c r="I2923" t="s">
        <v>5822</v>
      </c>
      <c r="J2923">
        <v>9.354222</v>
      </c>
      <c r="K2923">
        <v>-83.705865000000003</v>
      </c>
      <c r="L2923" t="s">
        <v>1225</v>
      </c>
      <c r="M2923" t="s">
        <v>46</v>
      </c>
      <c r="N2923" t="s">
        <v>247</v>
      </c>
      <c r="O2923" t="s">
        <v>248</v>
      </c>
      <c r="P2923">
        <v>15</v>
      </c>
      <c r="Q2923" t="s">
        <v>231</v>
      </c>
      <c r="S2923" t="str">
        <f>_xlfn.XLOOKUP(UNIVERSO[[#This Row],[Ruta]],'[1]CUOTA RUTA'!A:A,'[1]CUOTA RUTA'!D:D)</f>
        <v>Cargar</v>
      </c>
    </row>
    <row r="2924" spans="1:19" x14ac:dyDescent="0.25">
      <c r="A2924">
        <v>1540019174</v>
      </c>
      <c r="B2924" t="s">
        <v>5823</v>
      </c>
      <c r="C2924" t="s">
        <v>19</v>
      </c>
      <c r="D2924" t="s">
        <v>32</v>
      </c>
      <c r="E2924" t="s">
        <v>21</v>
      </c>
      <c r="F2924" t="s">
        <v>22</v>
      </c>
      <c r="G2924" t="s">
        <v>33</v>
      </c>
      <c r="H2924" t="s">
        <v>65</v>
      </c>
      <c r="I2924" t="s">
        <v>5824</v>
      </c>
      <c r="J2924">
        <v>9.9260999999999999</v>
      </c>
      <c r="K2924">
        <v>-84.000600000000006</v>
      </c>
      <c r="L2924" t="s">
        <v>1225</v>
      </c>
      <c r="M2924" t="s">
        <v>36</v>
      </c>
      <c r="N2924" t="s">
        <v>37</v>
      </c>
      <c r="O2924" t="s">
        <v>38</v>
      </c>
      <c r="P2924">
        <v>20</v>
      </c>
      <c r="Q2924" t="s">
        <v>74</v>
      </c>
      <c r="S2924" t="str">
        <f>_xlfn.XLOOKUP(UNIVERSO[[#This Row],[Ruta]],'[1]CUOTA RUTA'!A:A,'[1]CUOTA RUTA'!D:D)</f>
        <v>Cargar</v>
      </c>
    </row>
    <row r="2925" spans="1:19" x14ac:dyDescent="0.25">
      <c r="A2925">
        <v>1540019177</v>
      </c>
      <c r="B2925" t="s">
        <v>5825</v>
      </c>
      <c r="C2925" t="s">
        <v>19</v>
      </c>
      <c r="D2925" t="s">
        <v>208</v>
      </c>
      <c r="E2925" t="s">
        <v>21</v>
      </c>
      <c r="F2925" t="s">
        <v>22</v>
      </c>
      <c r="G2925" t="s">
        <v>33</v>
      </c>
      <c r="H2925" t="s">
        <v>218</v>
      </c>
      <c r="I2925" t="s">
        <v>5826</v>
      </c>
      <c r="J2925">
        <v>10.280804</v>
      </c>
      <c r="K2925">
        <v>-83.786788000000001</v>
      </c>
      <c r="L2925" t="s">
        <v>1225</v>
      </c>
      <c r="M2925" t="s">
        <v>189</v>
      </c>
      <c r="N2925" t="s">
        <v>211</v>
      </c>
      <c r="O2925" t="s">
        <v>212</v>
      </c>
      <c r="P2925">
        <v>2</v>
      </c>
      <c r="Q2925" t="s">
        <v>150</v>
      </c>
      <c r="S2925" t="str">
        <f>_xlfn.XLOOKUP(UNIVERSO[[#This Row],[Ruta]],'[1]CUOTA RUTA'!A:A,'[1]CUOTA RUTA'!D:D)</f>
        <v>Cargar</v>
      </c>
    </row>
    <row r="2926" spans="1:19" x14ac:dyDescent="0.25">
      <c r="A2926">
        <v>1540019210</v>
      </c>
      <c r="B2926" t="s">
        <v>5827</v>
      </c>
      <c r="C2926" t="s">
        <v>19</v>
      </c>
      <c r="D2926" t="s">
        <v>20</v>
      </c>
      <c r="E2926" t="s">
        <v>21</v>
      </c>
      <c r="F2926" t="s">
        <v>22</v>
      </c>
      <c r="G2926" t="s">
        <v>33</v>
      </c>
      <c r="H2926" t="s">
        <v>862</v>
      </c>
      <c r="I2926" t="s">
        <v>5828</v>
      </c>
      <c r="J2926">
        <v>9.9577100000000005</v>
      </c>
      <c r="K2926">
        <v>-84.204480000000004</v>
      </c>
      <c r="L2926" t="s">
        <v>1225</v>
      </c>
      <c r="M2926" t="s">
        <v>27</v>
      </c>
      <c r="N2926" t="s">
        <v>28</v>
      </c>
      <c r="O2926" t="s">
        <v>29</v>
      </c>
      <c r="P2926">
        <v>23</v>
      </c>
      <c r="Q2926" t="s">
        <v>125</v>
      </c>
      <c r="S2926" t="str">
        <f>_xlfn.XLOOKUP(UNIVERSO[[#This Row],[Ruta]],'[1]CUOTA RUTA'!A:A,'[1]CUOTA RUTA'!D:D)</f>
        <v>Cargar</v>
      </c>
    </row>
    <row r="2927" spans="1:19" x14ac:dyDescent="0.25">
      <c r="A2927">
        <v>1540019235</v>
      </c>
      <c r="B2927" t="s">
        <v>5829</v>
      </c>
      <c r="C2927" t="s">
        <v>19</v>
      </c>
      <c r="D2927" t="s">
        <v>324</v>
      </c>
      <c r="E2927" t="s">
        <v>21</v>
      </c>
      <c r="F2927" t="s">
        <v>22</v>
      </c>
      <c r="G2927" t="s">
        <v>33</v>
      </c>
      <c r="H2927" t="s">
        <v>331</v>
      </c>
      <c r="I2927" t="s">
        <v>5830</v>
      </c>
      <c r="J2927">
        <v>10.374703</v>
      </c>
      <c r="K2927">
        <v>-84.281862000000004</v>
      </c>
      <c r="L2927" t="s">
        <v>1225</v>
      </c>
      <c r="M2927" t="s">
        <v>327</v>
      </c>
      <c r="N2927" t="s">
        <v>328</v>
      </c>
      <c r="O2927" t="s">
        <v>329</v>
      </c>
      <c r="P2927">
        <v>16</v>
      </c>
      <c r="Q2927" t="s">
        <v>60</v>
      </c>
      <c r="S2927" t="str">
        <f>_xlfn.XLOOKUP(UNIVERSO[[#This Row],[Ruta]],'[1]CUOTA RUTA'!A:A,'[1]CUOTA RUTA'!D:D)</f>
        <v>Cargar</v>
      </c>
    </row>
    <row r="2928" spans="1:19" x14ac:dyDescent="0.25">
      <c r="A2928">
        <v>1540019283</v>
      </c>
      <c r="B2928" t="s">
        <v>5831</v>
      </c>
      <c r="C2928" t="s">
        <v>19</v>
      </c>
      <c r="D2928" t="s">
        <v>32</v>
      </c>
      <c r="E2928" t="s">
        <v>21</v>
      </c>
      <c r="F2928" t="s">
        <v>22</v>
      </c>
      <c r="G2928" t="s">
        <v>64</v>
      </c>
      <c r="H2928" t="s">
        <v>76</v>
      </c>
      <c r="I2928" t="s">
        <v>5832</v>
      </c>
      <c r="J2928">
        <v>9.9421800000000005</v>
      </c>
      <c r="K2928">
        <v>-83.996319999999997</v>
      </c>
      <c r="L2928" t="s">
        <v>1225</v>
      </c>
      <c r="M2928" t="s">
        <v>36</v>
      </c>
      <c r="N2928" t="s">
        <v>37</v>
      </c>
      <c r="O2928" t="s">
        <v>38</v>
      </c>
      <c r="P2928">
        <v>20</v>
      </c>
      <c r="Q2928" t="s">
        <v>74</v>
      </c>
      <c r="S2928" t="str">
        <f>_xlfn.XLOOKUP(UNIVERSO[[#This Row],[Ruta]],'[1]CUOTA RUTA'!A:A,'[1]CUOTA RUTA'!D:D)</f>
        <v>Cargar</v>
      </c>
    </row>
    <row r="2929" spans="1:19" x14ac:dyDescent="0.25">
      <c r="A2929">
        <v>1540019284</v>
      </c>
      <c r="B2929" t="s">
        <v>5833</v>
      </c>
      <c r="C2929" t="s">
        <v>19</v>
      </c>
      <c r="D2929" t="s">
        <v>266</v>
      </c>
      <c r="E2929" t="s">
        <v>21</v>
      </c>
      <c r="F2929" t="s">
        <v>22</v>
      </c>
      <c r="G2929" t="s">
        <v>33</v>
      </c>
      <c r="H2929" t="s">
        <v>404</v>
      </c>
      <c r="I2929" t="s">
        <v>5834</v>
      </c>
      <c r="J2929">
        <v>9.837764</v>
      </c>
      <c r="K2929">
        <v>-83.881484999999998</v>
      </c>
      <c r="L2929" t="s">
        <v>1225</v>
      </c>
      <c r="M2929" t="s">
        <v>36</v>
      </c>
      <c r="N2929" t="s">
        <v>316</v>
      </c>
      <c r="O2929" t="s">
        <v>317</v>
      </c>
      <c r="P2929">
        <v>22</v>
      </c>
      <c r="Q2929" t="s">
        <v>30</v>
      </c>
      <c r="S2929" t="str">
        <f>_xlfn.XLOOKUP(UNIVERSO[[#This Row],[Ruta]],'[1]CUOTA RUTA'!A:A,'[1]CUOTA RUTA'!D:D)</f>
        <v>Cargar</v>
      </c>
    </row>
    <row r="2930" spans="1:19" x14ac:dyDescent="0.25">
      <c r="A2930">
        <v>1540019288</v>
      </c>
      <c r="B2930" t="s">
        <v>1252</v>
      </c>
      <c r="C2930" t="s">
        <v>19</v>
      </c>
      <c r="D2930" t="s">
        <v>32</v>
      </c>
      <c r="E2930" t="s">
        <v>21</v>
      </c>
      <c r="F2930" t="s">
        <v>22</v>
      </c>
      <c r="G2930" t="s">
        <v>33</v>
      </c>
      <c r="H2930" t="s">
        <v>92</v>
      </c>
      <c r="I2930" t="s">
        <v>5835</v>
      </c>
      <c r="J2930">
        <v>9.9711379999999998</v>
      </c>
      <c r="K2930">
        <v>-84.020899999999997</v>
      </c>
      <c r="L2930" t="s">
        <v>1225</v>
      </c>
      <c r="M2930" t="s">
        <v>94</v>
      </c>
      <c r="N2930" t="s">
        <v>95</v>
      </c>
      <c r="O2930" t="s">
        <v>96</v>
      </c>
      <c r="P2930">
        <v>3</v>
      </c>
      <c r="Q2930" t="s">
        <v>101</v>
      </c>
      <c r="S2930" t="str">
        <f>_xlfn.XLOOKUP(UNIVERSO[[#This Row],[Ruta]],'[1]CUOTA RUTA'!A:A,'[1]CUOTA RUTA'!D:D)</f>
        <v>Cargar</v>
      </c>
    </row>
    <row r="2931" spans="1:19" x14ac:dyDescent="0.25">
      <c r="A2931">
        <v>1540019355</v>
      </c>
      <c r="B2931" t="s">
        <v>5836</v>
      </c>
      <c r="C2931" t="s">
        <v>19</v>
      </c>
      <c r="D2931" t="s">
        <v>186</v>
      </c>
      <c r="E2931" t="s">
        <v>21</v>
      </c>
      <c r="F2931" t="s">
        <v>22</v>
      </c>
      <c r="G2931" t="s">
        <v>33</v>
      </c>
      <c r="H2931" t="s">
        <v>420</v>
      </c>
      <c r="I2931" t="s">
        <v>5837</v>
      </c>
      <c r="J2931">
        <v>9.946275</v>
      </c>
      <c r="K2931">
        <v>-83.093518000000003</v>
      </c>
      <c r="L2931" t="s">
        <v>1225</v>
      </c>
      <c r="M2931" t="s">
        <v>189</v>
      </c>
      <c r="N2931" t="s">
        <v>190</v>
      </c>
      <c r="O2931" t="s">
        <v>191</v>
      </c>
      <c r="P2931">
        <v>16</v>
      </c>
      <c r="Q2931" t="s">
        <v>60</v>
      </c>
      <c r="S2931" t="str">
        <f>_xlfn.XLOOKUP(UNIVERSO[[#This Row],[Ruta]],'[1]CUOTA RUTA'!A:A,'[1]CUOTA RUTA'!D:D)</f>
        <v>Cargar</v>
      </c>
    </row>
    <row r="2932" spans="1:19" x14ac:dyDescent="0.25">
      <c r="A2932">
        <v>1540019418</v>
      </c>
      <c r="B2932" t="s">
        <v>5838</v>
      </c>
      <c r="C2932" t="s">
        <v>19</v>
      </c>
      <c r="D2932" t="s">
        <v>32</v>
      </c>
      <c r="E2932" t="s">
        <v>21</v>
      </c>
      <c r="F2932" t="s">
        <v>22</v>
      </c>
      <c r="G2932" t="s">
        <v>64</v>
      </c>
      <c r="H2932" t="s">
        <v>1113</v>
      </c>
      <c r="I2932" t="s">
        <v>5839</v>
      </c>
      <c r="J2932">
        <v>9.9321800000000007</v>
      </c>
      <c r="K2932">
        <v>-84.0518</v>
      </c>
      <c r="L2932" t="s">
        <v>1225</v>
      </c>
      <c r="M2932" t="s">
        <v>36</v>
      </c>
      <c r="N2932" t="s">
        <v>37</v>
      </c>
      <c r="O2932" t="s">
        <v>38</v>
      </c>
      <c r="P2932">
        <v>23</v>
      </c>
      <c r="Q2932" t="s">
        <v>125</v>
      </c>
      <c r="S2932" t="str">
        <f>_xlfn.XLOOKUP(UNIVERSO[[#This Row],[Ruta]],'[1]CUOTA RUTA'!A:A,'[1]CUOTA RUTA'!D:D)</f>
        <v>Cargar</v>
      </c>
    </row>
    <row r="2933" spans="1:19" x14ac:dyDescent="0.25">
      <c r="A2933">
        <v>1540019442</v>
      </c>
      <c r="B2933" t="s">
        <v>5840</v>
      </c>
      <c r="C2933" t="s">
        <v>19</v>
      </c>
      <c r="D2933" t="s">
        <v>266</v>
      </c>
      <c r="E2933" t="s">
        <v>21</v>
      </c>
      <c r="F2933" t="s">
        <v>22</v>
      </c>
      <c r="G2933" t="s">
        <v>23</v>
      </c>
      <c r="H2933" t="s">
        <v>314</v>
      </c>
      <c r="I2933" t="s">
        <v>5841</v>
      </c>
      <c r="J2933">
        <v>9.8757733333329991</v>
      </c>
      <c r="K2933">
        <v>-83.910465000000002</v>
      </c>
      <c r="L2933" t="s">
        <v>1225</v>
      </c>
      <c r="M2933" t="s">
        <v>36</v>
      </c>
      <c r="N2933" t="s">
        <v>316</v>
      </c>
      <c r="O2933" t="s">
        <v>317</v>
      </c>
      <c r="P2933">
        <v>16</v>
      </c>
      <c r="Q2933" t="s">
        <v>60</v>
      </c>
      <c r="S2933" t="str">
        <f>_xlfn.XLOOKUP(UNIVERSO[[#This Row],[Ruta]],'[1]CUOTA RUTA'!A:A,'[1]CUOTA RUTA'!D:D)</f>
        <v>Cargar</v>
      </c>
    </row>
    <row r="2934" spans="1:19" x14ac:dyDescent="0.25">
      <c r="A2934">
        <v>1540019459</v>
      </c>
      <c r="B2934" t="s">
        <v>5842</v>
      </c>
      <c r="C2934" t="s">
        <v>19</v>
      </c>
      <c r="D2934" t="s">
        <v>20</v>
      </c>
      <c r="E2934" t="s">
        <v>21</v>
      </c>
      <c r="F2934" t="s">
        <v>22</v>
      </c>
      <c r="G2934" t="s">
        <v>33</v>
      </c>
      <c r="H2934" t="s">
        <v>901</v>
      </c>
      <c r="I2934" t="s">
        <v>5843</v>
      </c>
      <c r="J2934">
        <v>10.044409999999999</v>
      </c>
      <c r="K2934">
        <v>-84.420259999999999</v>
      </c>
      <c r="L2934" t="s">
        <v>1225</v>
      </c>
      <c r="M2934" t="s">
        <v>46</v>
      </c>
      <c r="N2934" t="s">
        <v>47</v>
      </c>
      <c r="O2934" t="s">
        <v>48</v>
      </c>
      <c r="P2934">
        <v>7</v>
      </c>
      <c r="Q2934" t="s">
        <v>39</v>
      </c>
      <c r="S2934" t="str">
        <f>_xlfn.XLOOKUP(UNIVERSO[[#This Row],[Ruta]],'[1]CUOTA RUTA'!A:A,'[1]CUOTA RUTA'!D:D)</f>
        <v>Cargar</v>
      </c>
    </row>
    <row r="2935" spans="1:19" x14ac:dyDescent="0.25">
      <c r="A2935">
        <v>1540019486</v>
      </c>
      <c r="B2935" t="s">
        <v>5844</v>
      </c>
      <c r="C2935" t="s">
        <v>19</v>
      </c>
      <c r="D2935" t="s">
        <v>349</v>
      </c>
      <c r="E2935" t="s">
        <v>21</v>
      </c>
      <c r="F2935" t="s">
        <v>22</v>
      </c>
      <c r="G2935" t="s">
        <v>33</v>
      </c>
      <c r="H2935" t="s">
        <v>359</v>
      </c>
      <c r="I2935" t="s">
        <v>5845</v>
      </c>
      <c r="J2935">
        <v>9.9758739999999992</v>
      </c>
      <c r="K2935">
        <v>-85.176000000000002</v>
      </c>
      <c r="L2935" t="s">
        <v>1225</v>
      </c>
      <c r="M2935" t="s">
        <v>352</v>
      </c>
      <c r="N2935" t="s">
        <v>353</v>
      </c>
      <c r="O2935" t="s">
        <v>354</v>
      </c>
      <c r="P2935">
        <v>11</v>
      </c>
      <c r="Q2935" t="s">
        <v>108</v>
      </c>
      <c r="S2935" t="str">
        <f>_xlfn.XLOOKUP(UNIVERSO[[#This Row],[Ruta]],'[1]CUOTA RUTA'!A:A,'[1]CUOTA RUTA'!D:D)</f>
        <v>Cargar</v>
      </c>
    </row>
    <row r="2936" spans="1:19" x14ac:dyDescent="0.25">
      <c r="A2936">
        <v>1540019487</v>
      </c>
      <c r="B2936" t="s">
        <v>5846</v>
      </c>
      <c r="C2936" t="s">
        <v>19</v>
      </c>
      <c r="D2936" t="s">
        <v>349</v>
      </c>
      <c r="E2936" t="s">
        <v>21</v>
      </c>
      <c r="F2936" t="s">
        <v>22</v>
      </c>
      <c r="G2936" t="s">
        <v>33</v>
      </c>
      <c r="H2936" t="s">
        <v>908</v>
      </c>
      <c r="I2936" t="s">
        <v>5847</v>
      </c>
      <c r="J2936">
        <v>9.9716529999999999</v>
      </c>
      <c r="K2936">
        <v>-85.658900000000003</v>
      </c>
      <c r="L2936" t="s">
        <v>1225</v>
      </c>
      <c r="M2936" t="s">
        <v>352</v>
      </c>
      <c r="N2936" t="s">
        <v>353</v>
      </c>
      <c r="O2936" t="s">
        <v>354</v>
      </c>
      <c r="P2936">
        <v>6</v>
      </c>
      <c r="Q2936" t="s">
        <v>49</v>
      </c>
      <c r="S2936" t="str">
        <f>_xlfn.XLOOKUP(UNIVERSO[[#This Row],[Ruta]],'[1]CUOTA RUTA'!A:A,'[1]CUOTA RUTA'!D:D)</f>
        <v>Cargar</v>
      </c>
    </row>
    <row r="2937" spans="1:19" x14ac:dyDescent="0.25">
      <c r="A2937">
        <v>1540019488</v>
      </c>
      <c r="B2937" t="s">
        <v>5848</v>
      </c>
      <c r="C2937" t="s">
        <v>19</v>
      </c>
      <c r="D2937" t="s">
        <v>349</v>
      </c>
      <c r="E2937" t="s">
        <v>21</v>
      </c>
      <c r="F2937" t="s">
        <v>22</v>
      </c>
      <c r="G2937" t="s">
        <v>23</v>
      </c>
      <c r="H2937" t="s">
        <v>448</v>
      </c>
      <c r="I2937" t="s">
        <v>5849</v>
      </c>
      <c r="J2937">
        <v>10.298939000000001</v>
      </c>
      <c r="K2937">
        <v>-85.842429999999993</v>
      </c>
      <c r="L2937" t="s">
        <v>1225</v>
      </c>
      <c r="M2937" t="s">
        <v>352</v>
      </c>
      <c r="N2937" t="s">
        <v>353</v>
      </c>
      <c r="O2937" t="s">
        <v>354</v>
      </c>
      <c r="P2937">
        <v>5</v>
      </c>
      <c r="Q2937" t="s">
        <v>117</v>
      </c>
      <c r="S2937" t="str">
        <f>_xlfn.XLOOKUP(UNIVERSO[[#This Row],[Ruta]],'[1]CUOTA RUTA'!A:A,'[1]CUOTA RUTA'!D:D)</f>
        <v>Cargar</v>
      </c>
    </row>
    <row r="2938" spans="1:19" x14ac:dyDescent="0.25">
      <c r="A2938">
        <v>1540019502</v>
      </c>
      <c r="B2938" t="s">
        <v>5850</v>
      </c>
      <c r="C2938" t="s">
        <v>19</v>
      </c>
      <c r="D2938" t="s">
        <v>337</v>
      </c>
      <c r="E2938" t="s">
        <v>21</v>
      </c>
      <c r="F2938" t="s">
        <v>22</v>
      </c>
      <c r="G2938" t="s">
        <v>33</v>
      </c>
      <c r="H2938" t="s">
        <v>346</v>
      </c>
      <c r="I2938" t="s">
        <v>5851</v>
      </c>
      <c r="J2938">
        <v>10.51408035</v>
      </c>
      <c r="K2938">
        <v>-85.248347229999993</v>
      </c>
      <c r="L2938" t="s">
        <v>1225</v>
      </c>
      <c r="M2938" t="s">
        <v>327</v>
      </c>
      <c r="N2938" t="s">
        <v>340</v>
      </c>
      <c r="O2938" t="s">
        <v>341</v>
      </c>
      <c r="P2938">
        <v>20</v>
      </c>
      <c r="Q2938" t="s">
        <v>74</v>
      </c>
      <c r="S2938" t="str">
        <f>_xlfn.XLOOKUP(UNIVERSO[[#This Row],[Ruta]],'[1]CUOTA RUTA'!A:A,'[1]CUOTA RUTA'!D:D)</f>
        <v>Cargar</v>
      </c>
    </row>
    <row r="2939" spans="1:19" x14ac:dyDescent="0.25">
      <c r="A2939">
        <v>1540019525</v>
      </c>
      <c r="B2939" t="s">
        <v>5852</v>
      </c>
      <c r="C2939" t="s">
        <v>19</v>
      </c>
      <c r="D2939" t="s">
        <v>337</v>
      </c>
      <c r="E2939" t="s">
        <v>21</v>
      </c>
      <c r="F2939" t="s">
        <v>22</v>
      </c>
      <c r="G2939" t="s">
        <v>64</v>
      </c>
      <c r="H2939" t="s">
        <v>343</v>
      </c>
      <c r="I2939" t="s">
        <v>5853</v>
      </c>
      <c r="J2939">
        <v>10.658924000000001</v>
      </c>
      <c r="K2939">
        <v>-85.421418000000003</v>
      </c>
      <c r="L2939" t="s">
        <v>1225</v>
      </c>
      <c r="M2939" t="s">
        <v>327</v>
      </c>
      <c r="N2939" t="s">
        <v>340</v>
      </c>
      <c r="O2939" t="s">
        <v>341</v>
      </c>
      <c r="P2939">
        <v>14</v>
      </c>
      <c r="Q2939" t="s">
        <v>181</v>
      </c>
      <c r="S2939" t="str">
        <f>_xlfn.XLOOKUP(UNIVERSO[[#This Row],[Ruta]],'[1]CUOTA RUTA'!A:A,'[1]CUOTA RUTA'!D:D)</f>
        <v>Cargar</v>
      </c>
    </row>
    <row r="2940" spans="1:19" x14ac:dyDescent="0.25">
      <c r="A2940">
        <v>1540019530</v>
      </c>
      <c r="B2940" t="s">
        <v>5854</v>
      </c>
      <c r="C2940" t="s">
        <v>19</v>
      </c>
      <c r="D2940" t="s">
        <v>20</v>
      </c>
      <c r="E2940" t="s">
        <v>21</v>
      </c>
      <c r="F2940" t="s">
        <v>22</v>
      </c>
      <c r="G2940" t="s">
        <v>33</v>
      </c>
      <c r="H2940" t="s">
        <v>888</v>
      </c>
      <c r="I2940" t="s">
        <v>5855</v>
      </c>
      <c r="J2940">
        <v>9.9915500000000002</v>
      </c>
      <c r="K2940">
        <v>-84.141599999999997</v>
      </c>
      <c r="L2940" t="s">
        <v>1225</v>
      </c>
      <c r="M2940" t="s">
        <v>27</v>
      </c>
      <c r="N2940" t="s">
        <v>28</v>
      </c>
      <c r="O2940" t="s">
        <v>29</v>
      </c>
      <c r="P2940">
        <v>4</v>
      </c>
      <c r="Q2940" t="s">
        <v>120</v>
      </c>
      <c r="S2940" t="str">
        <f>_xlfn.XLOOKUP(UNIVERSO[[#This Row],[Ruta]],'[1]CUOTA RUTA'!A:A,'[1]CUOTA RUTA'!D:D)</f>
        <v>Cargar</v>
      </c>
    </row>
    <row r="2941" spans="1:19" x14ac:dyDescent="0.25">
      <c r="A2941">
        <v>1540019585</v>
      </c>
      <c r="B2941" t="s">
        <v>2498</v>
      </c>
      <c r="C2941" t="s">
        <v>19</v>
      </c>
      <c r="D2941" t="s">
        <v>208</v>
      </c>
      <c r="E2941" t="s">
        <v>21</v>
      </c>
      <c r="F2941" t="s">
        <v>22</v>
      </c>
      <c r="G2941" t="s">
        <v>23</v>
      </c>
      <c r="H2941" t="s">
        <v>502</v>
      </c>
      <c r="I2941" t="s">
        <v>5856</v>
      </c>
      <c r="J2941">
        <v>10.43512</v>
      </c>
      <c r="K2941">
        <v>-83.679670000000002</v>
      </c>
      <c r="L2941" t="s">
        <v>1225</v>
      </c>
      <c r="M2941" t="s">
        <v>189</v>
      </c>
      <c r="N2941" t="s">
        <v>211</v>
      </c>
      <c r="O2941" t="s">
        <v>212</v>
      </c>
      <c r="P2941">
        <v>7</v>
      </c>
      <c r="Q2941" t="s">
        <v>39</v>
      </c>
      <c r="S2941" t="str">
        <f>_xlfn.XLOOKUP(UNIVERSO[[#This Row],[Ruta]],'[1]CUOTA RUTA'!A:A,'[1]CUOTA RUTA'!D:D)</f>
        <v>Cargar</v>
      </c>
    </row>
    <row r="2942" spans="1:19" x14ac:dyDescent="0.25">
      <c r="A2942">
        <v>1540019594</v>
      </c>
      <c r="B2942" t="s">
        <v>5857</v>
      </c>
      <c r="C2942" t="s">
        <v>19</v>
      </c>
      <c r="D2942" t="s">
        <v>186</v>
      </c>
      <c r="E2942" t="s">
        <v>21</v>
      </c>
      <c r="F2942" t="s">
        <v>22</v>
      </c>
      <c r="G2942" t="s">
        <v>64</v>
      </c>
      <c r="H2942" t="s">
        <v>237</v>
      </c>
      <c r="I2942" t="s">
        <v>5858</v>
      </c>
      <c r="J2942">
        <v>10.060340999999999</v>
      </c>
      <c r="K2942">
        <v>-83.340773999999996</v>
      </c>
      <c r="L2942" t="s">
        <v>1225</v>
      </c>
      <c r="M2942" t="s">
        <v>189</v>
      </c>
      <c r="N2942" t="s">
        <v>190</v>
      </c>
      <c r="O2942" t="s">
        <v>191</v>
      </c>
      <c r="P2942">
        <v>21</v>
      </c>
      <c r="Q2942" t="s">
        <v>239</v>
      </c>
      <c r="S2942" t="str">
        <f>_xlfn.XLOOKUP(UNIVERSO[[#This Row],[Ruta]],'[1]CUOTA RUTA'!A:A,'[1]CUOTA RUTA'!D:D)</f>
        <v>Cargar</v>
      </c>
    </row>
    <row r="2943" spans="1:19" x14ac:dyDescent="0.25">
      <c r="A2943">
        <v>1540019599</v>
      </c>
      <c r="B2943" t="s">
        <v>5859</v>
      </c>
      <c r="C2943" t="s">
        <v>19</v>
      </c>
      <c r="D2943" t="s">
        <v>32</v>
      </c>
      <c r="E2943" t="s">
        <v>21</v>
      </c>
      <c r="F2943" t="s">
        <v>22</v>
      </c>
      <c r="G2943" t="s">
        <v>33</v>
      </c>
      <c r="H2943" t="s">
        <v>127</v>
      </c>
      <c r="I2943" t="s">
        <v>5860</v>
      </c>
      <c r="J2943">
        <v>9.8542566666670002</v>
      </c>
      <c r="K2943">
        <v>-84.090116666659995</v>
      </c>
      <c r="L2943" t="s">
        <v>1225</v>
      </c>
      <c r="M2943" t="s">
        <v>54</v>
      </c>
      <c r="N2943" t="s">
        <v>129</v>
      </c>
      <c r="O2943" t="s">
        <v>130</v>
      </c>
      <c r="P2943">
        <v>23</v>
      </c>
      <c r="Q2943" t="s">
        <v>125</v>
      </c>
      <c r="S2943" t="str">
        <f>_xlfn.XLOOKUP(UNIVERSO[[#This Row],[Ruta]],'[1]CUOTA RUTA'!A:A,'[1]CUOTA RUTA'!D:D)</f>
        <v>Cargar</v>
      </c>
    </row>
    <row r="2944" spans="1:19" x14ac:dyDescent="0.25">
      <c r="A2944">
        <v>1540019620</v>
      </c>
      <c r="B2944" t="s">
        <v>5861</v>
      </c>
      <c r="C2944" t="s">
        <v>19</v>
      </c>
      <c r="D2944" t="s">
        <v>32</v>
      </c>
      <c r="E2944" t="s">
        <v>21</v>
      </c>
      <c r="F2944" t="s">
        <v>22</v>
      </c>
      <c r="G2944" t="s">
        <v>33</v>
      </c>
      <c r="H2944" t="s">
        <v>698</v>
      </c>
      <c r="I2944" t="s">
        <v>5862</v>
      </c>
      <c r="J2944">
        <v>9.9513809999999996</v>
      </c>
      <c r="K2944">
        <v>-84.053700000000006</v>
      </c>
      <c r="L2944" t="s">
        <v>1225</v>
      </c>
      <c r="M2944" t="s">
        <v>94</v>
      </c>
      <c r="N2944" t="s">
        <v>95</v>
      </c>
      <c r="O2944" t="s">
        <v>96</v>
      </c>
      <c r="P2944">
        <v>9</v>
      </c>
      <c r="Q2944" t="s">
        <v>80</v>
      </c>
      <c r="S2944" t="str">
        <f>_xlfn.XLOOKUP(UNIVERSO[[#This Row],[Ruta]],'[1]CUOTA RUTA'!A:A,'[1]CUOTA RUTA'!D:D)</f>
        <v>Cargar</v>
      </c>
    </row>
    <row r="2945" spans="1:19" x14ac:dyDescent="0.25">
      <c r="A2945">
        <v>1540019626</v>
      </c>
      <c r="B2945" t="s">
        <v>5600</v>
      </c>
      <c r="C2945" t="s">
        <v>19</v>
      </c>
      <c r="D2945" t="s">
        <v>266</v>
      </c>
      <c r="E2945" t="s">
        <v>21</v>
      </c>
      <c r="F2945" t="s">
        <v>22</v>
      </c>
      <c r="G2945" t="s">
        <v>33</v>
      </c>
      <c r="H2945" t="s">
        <v>404</v>
      </c>
      <c r="I2945" t="s">
        <v>5863</v>
      </c>
      <c r="J2945">
        <v>9.8401289999999992</v>
      </c>
      <c r="K2945">
        <v>-83.883465999999999</v>
      </c>
      <c r="L2945" t="s">
        <v>1225</v>
      </c>
      <c r="M2945" t="s">
        <v>36</v>
      </c>
      <c r="N2945" t="s">
        <v>316</v>
      </c>
      <c r="O2945" t="s">
        <v>317</v>
      </c>
      <c r="P2945">
        <v>22</v>
      </c>
      <c r="Q2945" t="s">
        <v>30</v>
      </c>
      <c r="S2945" t="str">
        <f>_xlfn.XLOOKUP(UNIVERSO[[#This Row],[Ruta]],'[1]CUOTA RUTA'!A:A,'[1]CUOTA RUTA'!D:D)</f>
        <v>Cargar</v>
      </c>
    </row>
    <row r="2946" spans="1:19" x14ac:dyDescent="0.25">
      <c r="A2946">
        <v>1540019636</v>
      </c>
      <c r="B2946" t="s">
        <v>5864</v>
      </c>
      <c r="C2946" t="s">
        <v>19</v>
      </c>
      <c r="D2946" t="s">
        <v>208</v>
      </c>
      <c r="E2946" t="s">
        <v>21</v>
      </c>
      <c r="F2946" t="s">
        <v>22</v>
      </c>
      <c r="G2946" t="s">
        <v>23</v>
      </c>
      <c r="H2946" t="s">
        <v>224</v>
      </c>
      <c r="I2946" t="s">
        <v>5865</v>
      </c>
      <c r="J2946">
        <v>10.210610000000001</v>
      </c>
      <c r="K2946">
        <v>-83.741680000000002</v>
      </c>
      <c r="L2946" t="s">
        <v>1225</v>
      </c>
      <c r="M2946" t="s">
        <v>189</v>
      </c>
      <c r="N2946" t="s">
        <v>211</v>
      </c>
      <c r="O2946" t="s">
        <v>212</v>
      </c>
      <c r="P2946">
        <v>6</v>
      </c>
      <c r="Q2946" t="s">
        <v>49</v>
      </c>
      <c r="S2946" t="str">
        <f>_xlfn.XLOOKUP(UNIVERSO[[#This Row],[Ruta]],'[1]CUOTA RUTA'!A:A,'[1]CUOTA RUTA'!D:D)</f>
        <v>Cargar</v>
      </c>
    </row>
    <row r="2947" spans="1:19" x14ac:dyDescent="0.25">
      <c r="A2947">
        <v>1540019641</v>
      </c>
      <c r="B2947" t="s">
        <v>1914</v>
      </c>
      <c r="C2947" t="s">
        <v>19</v>
      </c>
      <c r="D2947" t="s">
        <v>324</v>
      </c>
      <c r="E2947" t="s">
        <v>21</v>
      </c>
      <c r="F2947" t="s">
        <v>22</v>
      </c>
      <c r="G2947" t="s">
        <v>64</v>
      </c>
      <c r="H2947" t="s">
        <v>331</v>
      </c>
      <c r="I2947" t="s">
        <v>5866</v>
      </c>
      <c r="J2947">
        <v>10.371545899999999</v>
      </c>
      <c r="K2947">
        <v>-84.295605100000003</v>
      </c>
      <c r="L2947" t="s">
        <v>1225</v>
      </c>
      <c r="M2947" t="s">
        <v>327</v>
      </c>
      <c r="N2947" t="s">
        <v>328</v>
      </c>
      <c r="O2947" t="s">
        <v>329</v>
      </c>
      <c r="P2947">
        <v>16</v>
      </c>
      <c r="Q2947" t="s">
        <v>60</v>
      </c>
      <c r="S2947" t="str">
        <f>_xlfn.XLOOKUP(UNIVERSO[[#This Row],[Ruta]],'[1]CUOTA RUTA'!A:A,'[1]CUOTA RUTA'!D:D)</f>
        <v>Cargar</v>
      </c>
    </row>
    <row r="2948" spans="1:19" x14ac:dyDescent="0.25">
      <c r="A2948">
        <v>1540019707</v>
      </c>
      <c r="B2948" t="s">
        <v>5867</v>
      </c>
      <c r="C2948" t="s">
        <v>19</v>
      </c>
      <c r="D2948" t="s">
        <v>20</v>
      </c>
      <c r="E2948" t="s">
        <v>21</v>
      </c>
      <c r="F2948" t="s">
        <v>22</v>
      </c>
      <c r="G2948" t="s">
        <v>33</v>
      </c>
      <c r="H2948" t="s">
        <v>44</v>
      </c>
      <c r="I2948" t="s">
        <v>5868</v>
      </c>
      <c r="J2948">
        <v>10.069839999999999</v>
      </c>
      <c r="K2948">
        <v>-84.435760000000002</v>
      </c>
      <c r="L2948" t="s">
        <v>1225</v>
      </c>
      <c r="M2948" t="s">
        <v>46</v>
      </c>
      <c r="N2948" t="s">
        <v>47</v>
      </c>
      <c r="O2948" t="s">
        <v>48</v>
      </c>
      <c r="P2948">
        <v>8</v>
      </c>
      <c r="Q2948" t="s">
        <v>97</v>
      </c>
      <c r="S2948" t="str">
        <f>_xlfn.XLOOKUP(UNIVERSO[[#This Row],[Ruta]],'[1]CUOTA RUTA'!A:A,'[1]CUOTA RUTA'!D:D)</f>
        <v>Cargar</v>
      </c>
    </row>
    <row r="2949" spans="1:19" x14ac:dyDescent="0.25">
      <c r="A2949">
        <v>1540019710</v>
      </c>
      <c r="B2949" t="s">
        <v>2326</v>
      </c>
      <c r="C2949" t="s">
        <v>19</v>
      </c>
      <c r="D2949" t="s">
        <v>20</v>
      </c>
      <c r="E2949" t="s">
        <v>21</v>
      </c>
      <c r="F2949" t="s">
        <v>22</v>
      </c>
      <c r="G2949" t="s">
        <v>64</v>
      </c>
      <c r="H2949" t="s">
        <v>1021</v>
      </c>
      <c r="I2949" t="s">
        <v>5869</v>
      </c>
      <c r="J2949">
        <v>10.060022999999999</v>
      </c>
      <c r="K2949">
        <v>-84.291916000000001</v>
      </c>
      <c r="L2949" t="s">
        <v>1225</v>
      </c>
      <c r="M2949" t="s">
        <v>46</v>
      </c>
      <c r="N2949" t="s">
        <v>47</v>
      </c>
      <c r="O2949" t="s">
        <v>48</v>
      </c>
      <c r="P2949">
        <v>5</v>
      </c>
      <c r="Q2949" t="s">
        <v>117</v>
      </c>
      <c r="S2949" t="str">
        <f>_xlfn.XLOOKUP(UNIVERSO[[#This Row],[Ruta]],'[1]CUOTA RUTA'!A:A,'[1]CUOTA RUTA'!D:D)</f>
        <v>Cargar</v>
      </c>
    </row>
    <row r="2950" spans="1:19" x14ac:dyDescent="0.25">
      <c r="A2950">
        <v>1540019791</v>
      </c>
      <c r="B2950" t="s">
        <v>5870</v>
      </c>
      <c r="C2950" t="s">
        <v>19</v>
      </c>
      <c r="D2950" t="s">
        <v>349</v>
      </c>
      <c r="E2950" t="s">
        <v>21</v>
      </c>
      <c r="F2950" t="s">
        <v>22</v>
      </c>
      <c r="G2950" t="s">
        <v>23</v>
      </c>
      <c r="H2950" t="s">
        <v>908</v>
      </c>
      <c r="I2950" t="s">
        <v>5871</v>
      </c>
      <c r="J2950">
        <v>10.262919999999999</v>
      </c>
      <c r="K2950">
        <v>-85.58596</v>
      </c>
      <c r="L2950" t="s">
        <v>1225</v>
      </c>
      <c r="M2950" t="s">
        <v>352</v>
      </c>
      <c r="N2950" t="s">
        <v>353</v>
      </c>
      <c r="O2950" t="s">
        <v>354</v>
      </c>
      <c r="P2950">
        <v>1</v>
      </c>
      <c r="Q2950" t="s">
        <v>155</v>
      </c>
      <c r="S2950" t="str">
        <f>_xlfn.XLOOKUP(UNIVERSO[[#This Row],[Ruta]],'[1]CUOTA RUTA'!A:A,'[1]CUOTA RUTA'!D:D)</f>
        <v>Cargar</v>
      </c>
    </row>
    <row r="2951" spans="1:19" x14ac:dyDescent="0.25">
      <c r="A2951">
        <v>1540019846</v>
      </c>
      <c r="B2951" t="s">
        <v>2085</v>
      </c>
      <c r="C2951" t="s">
        <v>19</v>
      </c>
      <c r="D2951" t="s">
        <v>20</v>
      </c>
      <c r="E2951" t="s">
        <v>21</v>
      </c>
      <c r="F2951" t="s">
        <v>22</v>
      </c>
      <c r="G2951" t="s">
        <v>33</v>
      </c>
      <c r="H2951" t="s">
        <v>975</v>
      </c>
      <c r="I2951" t="s">
        <v>5872</v>
      </c>
      <c r="J2951">
        <v>10.001579</v>
      </c>
      <c r="K2951">
        <v>-84.106952199999995</v>
      </c>
      <c r="L2951" t="s">
        <v>1225</v>
      </c>
      <c r="M2951" t="s">
        <v>27</v>
      </c>
      <c r="N2951" t="s">
        <v>28</v>
      </c>
      <c r="O2951" t="s">
        <v>29</v>
      </c>
      <c r="P2951">
        <v>18</v>
      </c>
      <c r="Q2951" t="s">
        <v>84</v>
      </c>
      <c r="S2951" t="str">
        <f>_xlfn.XLOOKUP(UNIVERSO[[#This Row],[Ruta]],'[1]CUOTA RUTA'!A:A,'[1]CUOTA RUTA'!D:D)</f>
        <v>Cargar</v>
      </c>
    </row>
    <row r="2952" spans="1:19" x14ac:dyDescent="0.25">
      <c r="A2952">
        <v>1540019866</v>
      </c>
      <c r="B2952" t="s">
        <v>3647</v>
      </c>
      <c r="C2952" t="s">
        <v>19</v>
      </c>
      <c r="D2952" t="s">
        <v>244</v>
      </c>
      <c r="E2952" t="s">
        <v>21</v>
      </c>
      <c r="F2952" t="s">
        <v>22</v>
      </c>
      <c r="G2952" t="s">
        <v>33</v>
      </c>
      <c r="H2952" t="s">
        <v>1294</v>
      </c>
      <c r="I2952" t="s">
        <v>5873</v>
      </c>
      <c r="J2952">
        <v>9.3595469999999992</v>
      </c>
      <c r="K2952">
        <v>-83.715612199999995</v>
      </c>
      <c r="L2952" t="s">
        <v>1225</v>
      </c>
      <c r="M2952" t="s">
        <v>46</v>
      </c>
      <c r="N2952" t="s">
        <v>247</v>
      </c>
      <c r="O2952" t="s">
        <v>248</v>
      </c>
      <c r="P2952">
        <v>15</v>
      </c>
      <c r="Q2952" t="s">
        <v>231</v>
      </c>
      <c r="S2952" t="str">
        <f>_xlfn.XLOOKUP(UNIVERSO[[#This Row],[Ruta]],'[1]CUOTA RUTA'!A:A,'[1]CUOTA RUTA'!D:D)</f>
        <v>Cargar</v>
      </c>
    </row>
    <row r="2953" spans="1:19" x14ac:dyDescent="0.25">
      <c r="A2953">
        <v>1540019876</v>
      </c>
      <c r="B2953" t="s">
        <v>5874</v>
      </c>
      <c r="C2953" t="s">
        <v>19</v>
      </c>
      <c r="D2953" t="s">
        <v>349</v>
      </c>
      <c r="E2953" t="s">
        <v>21</v>
      </c>
      <c r="F2953" t="s">
        <v>22</v>
      </c>
      <c r="G2953" t="s">
        <v>23</v>
      </c>
      <c r="H2953" t="s">
        <v>908</v>
      </c>
      <c r="I2953" t="s">
        <v>5875</v>
      </c>
      <c r="J2953">
        <v>9.9695250000000009</v>
      </c>
      <c r="K2953">
        <v>-85.645859000000002</v>
      </c>
      <c r="L2953" t="s">
        <v>1225</v>
      </c>
      <c r="M2953" t="s">
        <v>352</v>
      </c>
      <c r="N2953" t="s">
        <v>353</v>
      </c>
      <c r="O2953" t="s">
        <v>354</v>
      </c>
      <c r="P2953">
        <v>7</v>
      </c>
      <c r="Q2953" t="s">
        <v>39</v>
      </c>
      <c r="S2953" t="str">
        <f>_xlfn.XLOOKUP(UNIVERSO[[#This Row],[Ruta]],'[1]CUOTA RUTA'!A:A,'[1]CUOTA RUTA'!D:D)</f>
        <v>Cargar</v>
      </c>
    </row>
    <row r="2954" spans="1:19" x14ac:dyDescent="0.25">
      <c r="A2954">
        <v>1540019887</v>
      </c>
      <c r="B2954" t="s">
        <v>919</v>
      </c>
      <c r="C2954" t="s">
        <v>19</v>
      </c>
      <c r="D2954" t="s">
        <v>20</v>
      </c>
      <c r="E2954" t="s">
        <v>21</v>
      </c>
      <c r="F2954" t="s">
        <v>22</v>
      </c>
      <c r="G2954" t="s">
        <v>33</v>
      </c>
      <c r="H2954" t="s">
        <v>1021</v>
      </c>
      <c r="I2954" t="s">
        <v>5876</v>
      </c>
      <c r="J2954">
        <v>10.0704967</v>
      </c>
      <c r="K2954">
        <v>-84.242069999999998</v>
      </c>
      <c r="L2954" t="s">
        <v>1225</v>
      </c>
      <c r="M2954" t="s">
        <v>46</v>
      </c>
      <c r="N2954" t="s">
        <v>47</v>
      </c>
      <c r="O2954" t="s">
        <v>48</v>
      </c>
      <c r="P2954">
        <v>2</v>
      </c>
      <c r="Q2954" t="s">
        <v>150</v>
      </c>
      <c r="S2954" t="str">
        <f>_xlfn.XLOOKUP(UNIVERSO[[#This Row],[Ruta]],'[1]CUOTA RUTA'!A:A,'[1]CUOTA RUTA'!D:D)</f>
        <v>Cargar</v>
      </c>
    </row>
    <row r="2955" spans="1:19" x14ac:dyDescent="0.25">
      <c r="A2955">
        <v>1540019890</v>
      </c>
      <c r="B2955" t="s">
        <v>5877</v>
      </c>
      <c r="C2955" t="s">
        <v>19</v>
      </c>
      <c r="D2955" t="s">
        <v>20</v>
      </c>
      <c r="E2955" t="s">
        <v>21</v>
      </c>
      <c r="F2955" t="s">
        <v>22</v>
      </c>
      <c r="G2955" t="s">
        <v>33</v>
      </c>
      <c r="H2955" t="s">
        <v>901</v>
      </c>
      <c r="I2955" t="s">
        <v>5878</v>
      </c>
      <c r="J2955">
        <v>10.044953100000001</v>
      </c>
      <c r="K2955">
        <v>-84.377691400000003</v>
      </c>
      <c r="L2955" t="s">
        <v>1225</v>
      </c>
      <c r="M2955" t="s">
        <v>46</v>
      </c>
      <c r="N2955" t="s">
        <v>47</v>
      </c>
      <c r="O2955" t="s">
        <v>48</v>
      </c>
      <c r="P2955">
        <v>5</v>
      </c>
      <c r="Q2955" t="s">
        <v>117</v>
      </c>
      <c r="S2955" t="str">
        <f>_xlfn.XLOOKUP(UNIVERSO[[#This Row],[Ruta]],'[1]CUOTA RUTA'!A:A,'[1]CUOTA RUTA'!D:D)</f>
        <v>Cargar</v>
      </c>
    </row>
    <row r="2956" spans="1:19" x14ac:dyDescent="0.25">
      <c r="A2956">
        <v>1540019904</v>
      </c>
      <c r="B2956" t="s">
        <v>5879</v>
      </c>
      <c r="C2956" t="s">
        <v>19</v>
      </c>
      <c r="D2956" t="s">
        <v>324</v>
      </c>
      <c r="E2956" t="s">
        <v>21</v>
      </c>
      <c r="F2956" t="s">
        <v>22</v>
      </c>
      <c r="G2956" t="s">
        <v>33</v>
      </c>
      <c r="H2956" t="s">
        <v>325</v>
      </c>
      <c r="I2956" t="s">
        <v>5880</v>
      </c>
      <c r="J2956">
        <v>10.342582</v>
      </c>
      <c r="K2956">
        <v>-84.582104999999999</v>
      </c>
      <c r="L2956" t="s">
        <v>1225</v>
      </c>
      <c r="M2956" t="s">
        <v>327</v>
      </c>
      <c r="N2956" t="s">
        <v>328</v>
      </c>
      <c r="O2956" t="s">
        <v>329</v>
      </c>
      <c r="P2956">
        <v>13</v>
      </c>
      <c r="Q2956" t="s">
        <v>161</v>
      </c>
      <c r="S2956" t="str">
        <f>_xlfn.XLOOKUP(UNIVERSO[[#This Row],[Ruta]],'[1]CUOTA RUTA'!A:A,'[1]CUOTA RUTA'!D:D)</f>
        <v>Cargar</v>
      </c>
    </row>
    <row r="2957" spans="1:19" x14ac:dyDescent="0.25">
      <c r="A2957">
        <v>1540019948</v>
      </c>
      <c r="B2957" t="s">
        <v>5881</v>
      </c>
      <c r="C2957" t="s">
        <v>19</v>
      </c>
      <c r="D2957" t="s">
        <v>349</v>
      </c>
      <c r="E2957" t="s">
        <v>21</v>
      </c>
      <c r="F2957" t="s">
        <v>22</v>
      </c>
      <c r="G2957" t="s">
        <v>64</v>
      </c>
      <c r="H2957" t="s">
        <v>711</v>
      </c>
      <c r="I2957" t="s">
        <v>5882</v>
      </c>
      <c r="J2957">
        <v>9.9260160000000006</v>
      </c>
      <c r="K2957">
        <v>-85.349001999999999</v>
      </c>
      <c r="L2957" t="s">
        <v>1225</v>
      </c>
      <c r="M2957" t="s">
        <v>352</v>
      </c>
      <c r="N2957" t="s">
        <v>353</v>
      </c>
      <c r="O2957" t="s">
        <v>354</v>
      </c>
      <c r="P2957">
        <v>9</v>
      </c>
      <c r="Q2957" t="s">
        <v>80</v>
      </c>
      <c r="S2957" t="str">
        <f>_xlfn.XLOOKUP(UNIVERSO[[#This Row],[Ruta]],'[1]CUOTA RUTA'!A:A,'[1]CUOTA RUTA'!D:D)</f>
        <v>Cargar</v>
      </c>
    </row>
    <row r="2958" spans="1:19" x14ac:dyDescent="0.25">
      <c r="A2958">
        <v>1540020022</v>
      </c>
      <c r="B2958" t="s">
        <v>5883</v>
      </c>
      <c r="C2958" t="s">
        <v>19</v>
      </c>
      <c r="D2958" t="s">
        <v>337</v>
      </c>
      <c r="E2958" t="s">
        <v>21</v>
      </c>
      <c r="F2958" t="s">
        <v>22</v>
      </c>
      <c r="G2958" t="s">
        <v>64</v>
      </c>
      <c r="H2958" t="s">
        <v>401</v>
      </c>
      <c r="I2958" t="s">
        <v>5884</v>
      </c>
      <c r="J2958">
        <v>10.6313385</v>
      </c>
      <c r="K2958">
        <v>-85.443419059999997</v>
      </c>
      <c r="L2958" t="s">
        <v>1225</v>
      </c>
      <c r="M2958" t="s">
        <v>327</v>
      </c>
      <c r="N2958" t="s">
        <v>340</v>
      </c>
      <c r="O2958" t="s">
        <v>341</v>
      </c>
      <c r="P2958">
        <v>14</v>
      </c>
      <c r="Q2958" t="s">
        <v>181</v>
      </c>
      <c r="S2958" t="str">
        <f>_xlfn.XLOOKUP(UNIVERSO[[#This Row],[Ruta]],'[1]CUOTA RUTA'!A:A,'[1]CUOTA RUTA'!D:D)</f>
        <v>Cargar</v>
      </c>
    </row>
    <row r="2959" spans="1:19" x14ac:dyDescent="0.25">
      <c r="A2959">
        <v>1540020049</v>
      </c>
      <c r="B2959" t="s">
        <v>5885</v>
      </c>
      <c r="C2959" t="s">
        <v>19</v>
      </c>
      <c r="D2959" t="s">
        <v>20</v>
      </c>
      <c r="E2959" t="s">
        <v>21</v>
      </c>
      <c r="F2959" t="s">
        <v>22</v>
      </c>
      <c r="G2959" t="s">
        <v>23</v>
      </c>
      <c r="H2959" t="s">
        <v>311</v>
      </c>
      <c r="I2959" t="s">
        <v>5886</v>
      </c>
      <c r="J2959">
        <v>9.9665616999999997</v>
      </c>
      <c r="K2959">
        <v>-84.228109099999998</v>
      </c>
      <c r="L2959" t="s">
        <v>1225</v>
      </c>
      <c r="M2959" t="s">
        <v>54</v>
      </c>
      <c r="N2959" t="s">
        <v>55</v>
      </c>
      <c r="O2959" t="s">
        <v>56</v>
      </c>
      <c r="P2959">
        <v>8</v>
      </c>
      <c r="Q2959" t="s">
        <v>97</v>
      </c>
      <c r="S2959" t="str">
        <f>_xlfn.XLOOKUP(UNIVERSO[[#This Row],[Ruta]],'[1]CUOTA RUTA'!A:A,'[1]CUOTA RUTA'!D:D)</f>
        <v>Cargar</v>
      </c>
    </row>
    <row r="2960" spans="1:19" x14ac:dyDescent="0.25">
      <c r="A2960">
        <v>1540020052</v>
      </c>
      <c r="B2960" t="s">
        <v>5887</v>
      </c>
      <c r="C2960" t="s">
        <v>19</v>
      </c>
      <c r="D2960" t="s">
        <v>208</v>
      </c>
      <c r="E2960" t="s">
        <v>21</v>
      </c>
      <c r="F2960" t="s">
        <v>22</v>
      </c>
      <c r="G2960" t="s">
        <v>64</v>
      </c>
      <c r="H2960" t="s">
        <v>502</v>
      </c>
      <c r="I2960" t="s">
        <v>5888</v>
      </c>
      <c r="J2960">
        <v>10.425720999999999</v>
      </c>
      <c r="K2960">
        <v>-83.723149000000006</v>
      </c>
      <c r="L2960" t="s">
        <v>1225</v>
      </c>
      <c r="M2960" t="s">
        <v>189</v>
      </c>
      <c r="N2960" t="s">
        <v>211</v>
      </c>
      <c r="O2960" t="s">
        <v>212</v>
      </c>
      <c r="P2960">
        <v>2</v>
      </c>
      <c r="Q2960" t="s">
        <v>150</v>
      </c>
      <c r="S2960" t="str">
        <f>_xlfn.XLOOKUP(UNIVERSO[[#This Row],[Ruta]],'[1]CUOTA RUTA'!A:A,'[1]CUOTA RUTA'!D:D)</f>
        <v>Cargar</v>
      </c>
    </row>
    <row r="2961" spans="1:19" x14ac:dyDescent="0.25">
      <c r="A2961">
        <v>1540020057</v>
      </c>
      <c r="B2961" t="s">
        <v>5889</v>
      </c>
      <c r="C2961" t="s">
        <v>19</v>
      </c>
      <c r="D2961" t="s">
        <v>201</v>
      </c>
      <c r="E2961" t="s">
        <v>21</v>
      </c>
      <c r="F2961" t="s">
        <v>22</v>
      </c>
      <c r="G2961" t="s">
        <v>33</v>
      </c>
      <c r="H2961" t="s">
        <v>593</v>
      </c>
      <c r="I2961" t="s">
        <v>5890</v>
      </c>
      <c r="J2961">
        <v>9.9809066666669999</v>
      </c>
      <c r="K2961">
        <v>-84.812778333330002</v>
      </c>
      <c r="L2961" t="s">
        <v>1225</v>
      </c>
      <c r="M2961" t="s">
        <v>204</v>
      </c>
      <c r="N2961" t="s">
        <v>205</v>
      </c>
      <c r="O2961" t="s">
        <v>206</v>
      </c>
      <c r="P2961">
        <v>11</v>
      </c>
      <c r="Q2961" t="s">
        <v>108</v>
      </c>
      <c r="S2961" t="str">
        <f>_xlfn.XLOOKUP(UNIVERSO[[#This Row],[Ruta]],'[1]CUOTA RUTA'!A:A,'[1]CUOTA RUTA'!D:D)</f>
        <v>Cargar</v>
      </c>
    </row>
    <row r="2962" spans="1:19" x14ac:dyDescent="0.25">
      <c r="A2962">
        <v>1540020065</v>
      </c>
      <c r="B2962" t="s">
        <v>5891</v>
      </c>
      <c r="C2962" t="s">
        <v>19</v>
      </c>
      <c r="D2962" t="s">
        <v>32</v>
      </c>
      <c r="E2962" t="s">
        <v>21</v>
      </c>
      <c r="F2962" t="s">
        <v>22</v>
      </c>
      <c r="G2962" t="s">
        <v>33</v>
      </c>
      <c r="H2962" t="s">
        <v>879</v>
      </c>
      <c r="I2962" t="s">
        <v>5892</v>
      </c>
      <c r="J2962">
        <v>9.9290120000000002</v>
      </c>
      <c r="K2962">
        <v>-84.075384999999997</v>
      </c>
      <c r="L2962" t="s">
        <v>1225</v>
      </c>
      <c r="M2962" t="s">
        <v>71</v>
      </c>
      <c r="N2962" t="s">
        <v>72</v>
      </c>
      <c r="O2962" t="s">
        <v>73</v>
      </c>
      <c r="P2962">
        <v>5</v>
      </c>
      <c r="Q2962" t="s">
        <v>117</v>
      </c>
      <c r="S2962" t="str">
        <f>_xlfn.XLOOKUP(UNIVERSO[[#This Row],[Ruta]],'[1]CUOTA RUTA'!A:A,'[1]CUOTA RUTA'!D:D)</f>
        <v>Cargar</v>
      </c>
    </row>
    <row r="2963" spans="1:19" x14ac:dyDescent="0.25">
      <c r="A2963">
        <v>1540020082</v>
      </c>
      <c r="B2963" t="s">
        <v>5893</v>
      </c>
      <c r="C2963" t="s">
        <v>19</v>
      </c>
      <c r="D2963" t="s">
        <v>201</v>
      </c>
      <c r="E2963" t="s">
        <v>21</v>
      </c>
      <c r="F2963" t="s">
        <v>22</v>
      </c>
      <c r="G2963" t="s">
        <v>64</v>
      </c>
      <c r="H2963" t="s">
        <v>202</v>
      </c>
      <c r="I2963" t="s">
        <v>5894</v>
      </c>
      <c r="J2963">
        <v>9.9719829999999998</v>
      </c>
      <c r="K2963">
        <v>-84.730292000000006</v>
      </c>
      <c r="L2963" t="s">
        <v>1225</v>
      </c>
      <c r="M2963" t="s">
        <v>204</v>
      </c>
      <c r="N2963" t="s">
        <v>205</v>
      </c>
      <c r="O2963" t="s">
        <v>206</v>
      </c>
      <c r="P2963">
        <v>7</v>
      </c>
      <c r="Q2963" t="s">
        <v>39</v>
      </c>
      <c r="S2963" t="str">
        <f>_xlfn.XLOOKUP(UNIVERSO[[#This Row],[Ruta]],'[1]CUOTA RUTA'!A:A,'[1]CUOTA RUTA'!D:D)</f>
        <v>Cargar</v>
      </c>
    </row>
    <row r="2964" spans="1:19" x14ac:dyDescent="0.25">
      <c r="A2964">
        <v>1540020128</v>
      </c>
      <c r="B2964" t="s">
        <v>5895</v>
      </c>
      <c r="C2964" t="s">
        <v>19</v>
      </c>
      <c r="D2964" t="s">
        <v>20</v>
      </c>
      <c r="E2964" t="s">
        <v>21</v>
      </c>
      <c r="F2964" t="s">
        <v>51</v>
      </c>
      <c r="G2964" t="s">
        <v>23</v>
      </c>
      <c r="H2964" t="s">
        <v>24</v>
      </c>
      <c r="I2964" t="s">
        <v>5896</v>
      </c>
      <c r="J2964">
        <v>9.9859639999999992</v>
      </c>
      <c r="K2964">
        <v>-84.116445999999996</v>
      </c>
      <c r="L2964" t="s">
        <v>1225</v>
      </c>
      <c r="M2964" t="s">
        <v>27</v>
      </c>
      <c r="N2964" t="s">
        <v>28</v>
      </c>
      <c r="O2964" t="s">
        <v>29</v>
      </c>
      <c r="P2964">
        <v>6</v>
      </c>
      <c r="Q2964" t="s">
        <v>49</v>
      </c>
      <c r="S2964" t="str">
        <f>_xlfn.XLOOKUP(UNIVERSO[[#This Row],[Ruta]],'[1]CUOTA RUTA'!A:A,'[1]CUOTA RUTA'!D:D)</f>
        <v>Cargar</v>
      </c>
    </row>
    <row r="2965" spans="1:19" x14ac:dyDescent="0.25">
      <c r="A2965">
        <v>1540020142</v>
      </c>
      <c r="B2965" t="s">
        <v>2041</v>
      </c>
      <c r="C2965" t="s">
        <v>19</v>
      </c>
      <c r="D2965" t="s">
        <v>20</v>
      </c>
      <c r="E2965" t="s">
        <v>21</v>
      </c>
      <c r="F2965" t="s">
        <v>22</v>
      </c>
      <c r="G2965" t="s">
        <v>64</v>
      </c>
      <c r="H2965" t="s">
        <v>143</v>
      </c>
      <c r="I2965" t="s">
        <v>5897</v>
      </c>
      <c r="J2965">
        <v>9.9502000000000006</v>
      </c>
      <c r="K2965">
        <v>-84.118309999999994</v>
      </c>
      <c r="L2965" t="s">
        <v>1225</v>
      </c>
      <c r="M2965" t="s">
        <v>27</v>
      </c>
      <c r="N2965" t="s">
        <v>28</v>
      </c>
      <c r="O2965" t="s">
        <v>29</v>
      </c>
      <c r="P2965">
        <v>10</v>
      </c>
      <c r="Q2965" t="s">
        <v>136</v>
      </c>
      <c r="S2965" t="str">
        <f>_xlfn.XLOOKUP(UNIVERSO[[#This Row],[Ruta]],'[1]CUOTA RUTA'!A:A,'[1]CUOTA RUTA'!D:D)</f>
        <v>Cargar</v>
      </c>
    </row>
    <row r="2966" spans="1:19" x14ac:dyDescent="0.25">
      <c r="A2966">
        <v>1540020178</v>
      </c>
      <c r="B2966" t="s">
        <v>5898</v>
      </c>
      <c r="C2966" t="s">
        <v>19</v>
      </c>
      <c r="D2966" t="s">
        <v>244</v>
      </c>
      <c r="E2966" t="s">
        <v>21</v>
      </c>
      <c r="F2966" t="s">
        <v>22</v>
      </c>
      <c r="G2966" t="s">
        <v>33</v>
      </c>
      <c r="H2966" t="s">
        <v>1233</v>
      </c>
      <c r="I2966" t="s">
        <v>5899</v>
      </c>
      <c r="J2966">
        <v>9.2536050000000003</v>
      </c>
      <c r="K2966">
        <v>-83.866068999999996</v>
      </c>
      <c r="L2966" t="s">
        <v>1225</v>
      </c>
      <c r="M2966" t="s">
        <v>46</v>
      </c>
      <c r="N2966" t="s">
        <v>247</v>
      </c>
      <c r="O2966" t="s">
        <v>248</v>
      </c>
      <c r="P2966">
        <v>17</v>
      </c>
      <c r="Q2966" t="s">
        <v>287</v>
      </c>
      <c r="S2966" t="str">
        <f>_xlfn.XLOOKUP(UNIVERSO[[#This Row],[Ruta]],'[1]CUOTA RUTA'!A:A,'[1]CUOTA RUTA'!D:D)</f>
        <v>Cargar</v>
      </c>
    </row>
    <row r="2967" spans="1:19" x14ac:dyDescent="0.25">
      <c r="A2967">
        <v>1540020193</v>
      </c>
      <c r="B2967" t="s">
        <v>682</v>
      </c>
      <c r="C2967" t="s">
        <v>19</v>
      </c>
      <c r="D2967" t="s">
        <v>20</v>
      </c>
      <c r="E2967" t="s">
        <v>21</v>
      </c>
      <c r="F2967" t="s">
        <v>22</v>
      </c>
      <c r="G2967" t="s">
        <v>23</v>
      </c>
      <c r="H2967" t="s">
        <v>280</v>
      </c>
      <c r="I2967" t="s">
        <v>5900</v>
      </c>
      <c r="J2967">
        <v>10.019629999999999</v>
      </c>
      <c r="K2967">
        <v>-84.213359999999994</v>
      </c>
      <c r="L2967" t="s">
        <v>1225</v>
      </c>
      <c r="M2967" t="s">
        <v>54</v>
      </c>
      <c r="N2967" t="s">
        <v>55</v>
      </c>
      <c r="O2967" t="s">
        <v>56</v>
      </c>
      <c r="P2967">
        <v>2</v>
      </c>
      <c r="Q2967" t="s">
        <v>150</v>
      </c>
      <c r="S2967" t="str">
        <f>_xlfn.XLOOKUP(UNIVERSO[[#This Row],[Ruta]],'[1]CUOTA RUTA'!A:A,'[1]CUOTA RUTA'!D:D)</f>
        <v>Cargar</v>
      </c>
    </row>
    <row r="2968" spans="1:19" x14ac:dyDescent="0.25">
      <c r="A2968">
        <v>1540020196</v>
      </c>
      <c r="B2968" t="s">
        <v>5901</v>
      </c>
      <c r="C2968" t="s">
        <v>19</v>
      </c>
      <c r="D2968" t="s">
        <v>20</v>
      </c>
      <c r="E2968" t="s">
        <v>21</v>
      </c>
      <c r="F2968" t="s">
        <v>22</v>
      </c>
      <c r="G2968" t="s">
        <v>23</v>
      </c>
      <c r="H2968" t="s">
        <v>743</v>
      </c>
      <c r="I2968" t="s">
        <v>5902</v>
      </c>
      <c r="J2968">
        <v>9.9848700000000008</v>
      </c>
      <c r="K2968">
        <v>-84.454599999999999</v>
      </c>
      <c r="L2968" t="s">
        <v>1225</v>
      </c>
      <c r="M2968" t="s">
        <v>46</v>
      </c>
      <c r="N2968" t="s">
        <v>47</v>
      </c>
      <c r="O2968" t="s">
        <v>48</v>
      </c>
      <c r="P2968">
        <v>9</v>
      </c>
      <c r="Q2968" t="s">
        <v>80</v>
      </c>
      <c r="S2968" t="str">
        <f>_xlfn.XLOOKUP(UNIVERSO[[#This Row],[Ruta]],'[1]CUOTA RUTA'!A:A,'[1]CUOTA RUTA'!D:D)</f>
        <v>Cargar</v>
      </c>
    </row>
    <row r="2969" spans="1:19" x14ac:dyDescent="0.25">
      <c r="A2969">
        <v>1540020216</v>
      </c>
      <c r="B2969" t="s">
        <v>5903</v>
      </c>
      <c r="C2969" t="s">
        <v>19</v>
      </c>
      <c r="D2969" t="s">
        <v>349</v>
      </c>
      <c r="E2969" t="s">
        <v>21</v>
      </c>
      <c r="F2969" t="s">
        <v>51</v>
      </c>
      <c r="G2969" t="s">
        <v>23</v>
      </c>
      <c r="H2969" t="s">
        <v>496</v>
      </c>
      <c r="I2969" t="s">
        <v>5904</v>
      </c>
      <c r="J2969">
        <v>10.141245</v>
      </c>
      <c r="K2969">
        <v>-85.453630000000004</v>
      </c>
      <c r="L2969" t="s">
        <v>1225</v>
      </c>
      <c r="M2969" t="s">
        <v>352</v>
      </c>
      <c r="N2969" t="s">
        <v>353</v>
      </c>
      <c r="O2969" t="s">
        <v>354</v>
      </c>
      <c r="P2969">
        <v>13</v>
      </c>
      <c r="Q2969" t="s">
        <v>161</v>
      </c>
      <c r="S2969" t="str">
        <f>_xlfn.XLOOKUP(UNIVERSO[[#This Row],[Ruta]],'[1]CUOTA RUTA'!A:A,'[1]CUOTA RUTA'!D:D)</f>
        <v>Cargar</v>
      </c>
    </row>
    <row r="2970" spans="1:19" x14ac:dyDescent="0.25">
      <c r="A2970">
        <v>1540020239</v>
      </c>
      <c r="B2970" t="s">
        <v>5905</v>
      </c>
      <c r="C2970" t="s">
        <v>19</v>
      </c>
      <c r="D2970" t="s">
        <v>32</v>
      </c>
      <c r="E2970" t="s">
        <v>21</v>
      </c>
      <c r="F2970" t="s">
        <v>22</v>
      </c>
      <c r="G2970" t="s">
        <v>33</v>
      </c>
      <c r="H2970" t="s">
        <v>1383</v>
      </c>
      <c r="I2970" t="s">
        <v>5906</v>
      </c>
      <c r="J2970">
        <v>9.9239940000000004</v>
      </c>
      <c r="K2970">
        <v>-84.094444999999993</v>
      </c>
      <c r="L2970" t="s">
        <v>1225</v>
      </c>
      <c r="M2970" t="s">
        <v>71</v>
      </c>
      <c r="N2970" t="s">
        <v>72</v>
      </c>
      <c r="O2970" t="s">
        <v>73</v>
      </c>
      <c r="P2970">
        <v>3</v>
      </c>
      <c r="Q2970" t="s">
        <v>101</v>
      </c>
      <c r="S2970" t="str">
        <f>_xlfn.XLOOKUP(UNIVERSO[[#This Row],[Ruta]],'[1]CUOTA RUTA'!A:A,'[1]CUOTA RUTA'!D:D)</f>
        <v>Cargar</v>
      </c>
    </row>
    <row r="2971" spans="1:19" x14ac:dyDescent="0.25">
      <c r="A2971">
        <v>1540020243</v>
      </c>
      <c r="B2971" t="s">
        <v>5907</v>
      </c>
      <c r="C2971" t="s">
        <v>19</v>
      </c>
      <c r="D2971" t="s">
        <v>32</v>
      </c>
      <c r="E2971" t="s">
        <v>21</v>
      </c>
      <c r="F2971" t="s">
        <v>22</v>
      </c>
      <c r="G2971" t="s">
        <v>64</v>
      </c>
      <c r="H2971" t="s">
        <v>69</v>
      </c>
      <c r="I2971" t="s">
        <v>5908</v>
      </c>
      <c r="J2971">
        <v>9.8682960000000008</v>
      </c>
      <c r="K2971">
        <v>-84.051737000000003</v>
      </c>
      <c r="L2971" t="s">
        <v>1225</v>
      </c>
      <c r="M2971" t="s">
        <v>71</v>
      </c>
      <c r="N2971" t="s">
        <v>72</v>
      </c>
      <c r="O2971" t="s">
        <v>73</v>
      </c>
      <c r="P2971">
        <v>20</v>
      </c>
      <c r="Q2971" t="s">
        <v>74</v>
      </c>
      <c r="S2971" t="str">
        <f>_xlfn.XLOOKUP(UNIVERSO[[#This Row],[Ruta]],'[1]CUOTA RUTA'!A:A,'[1]CUOTA RUTA'!D:D)</f>
        <v>Cargar</v>
      </c>
    </row>
    <row r="2972" spans="1:19" x14ac:dyDescent="0.25">
      <c r="A2972">
        <v>1540020260</v>
      </c>
      <c r="B2972" t="s">
        <v>5909</v>
      </c>
      <c r="C2972" t="s">
        <v>19</v>
      </c>
      <c r="D2972" t="s">
        <v>32</v>
      </c>
      <c r="E2972" t="s">
        <v>21</v>
      </c>
      <c r="F2972" t="s">
        <v>22</v>
      </c>
      <c r="G2972" t="s">
        <v>33</v>
      </c>
      <c r="H2972" t="s">
        <v>683</v>
      </c>
      <c r="I2972" t="s">
        <v>5910</v>
      </c>
      <c r="J2972">
        <v>9.9351500000000001</v>
      </c>
      <c r="K2972">
        <v>-84.092429999999993</v>
      </c>
      <c r="L2972" t="s">
        <v>1225</v>
      </c>
      <c r="M2972" t="s">
        <v>71</v>
      </c>
      <c r="N2972" t="s">
        <v>72</v>
      </c>
      <c r="O2972" t="s">
        <v>73</v>
      </c>
      <c r="P2972">
        <v>4</v>
      </c>
      <c r="Q2972" t="s">
        <v>120</v>
      </c>
      <c r="S2972" t="str">
        <f>_xlfn.XLOOKUP(UNIVERSO[[#This Row],[Ruta]],'[1]CUOTA RUTA'!A:A,'[1]CUOTA RUTA'!D:D)</f>
        <v>Cargar</v>
      </c>
    </row>
    <row r="2973" spans="1:19" x14ac:dyDescent="0.25">
      <c r="A2973">
        <v>1540020268</v>
      </c>
      <c r="B2973" t="s">
        <v>5911</v>
      </c>
      <c r="C2973" t="s">
        <v>19</v>
      </c>
      <c r="D2973" t="s">
        <v>186</v>
      </c>
      <c r="E2973" t="s">
        <v>21</v>
      </c>
      <c r="F2973" t="s">
        <v>22</v>
      </c>
      <c r="G2973" t="s">
        <v>33</v>
      </c>
      <c r="H2973" t="s">
        <v>229</v>
      </c>
      <c r="I2973" t="s">
        <v>5912</v>
      </c>
      <c r="J2973">
        <v>9.9797139999999995</v>
      </c>
      <c r="K2973">
        <v>-83.037684999999996</v>
      </c>
      <c r="L2973" t="s">
        <v>1225</v>
      </c>
      <c r="M2973" t="s">
        <v>189</v>
      </c>
      <c r="N2973" t="s">
        <v>190</v>
      </c>
      <c r="O2973" t="s">
        <v>191</v>
      </c>
      <c r="P2973">
        <v>15</v>
      </c>
      <c r="Q2973" t="s">
        <v>231</v>
      </c>
      <c r="S2973" t="str">
        <f>_xlfn.XLOOKUP(UNIVERSO[[#This Row],[Ruta]],'[1]CUOTA RUTA'!A:A,'[1]CUOTA RUTA'!D:D)</f>
        <v>Cargar</v>
      </c>
    </row>
    <row r="2974" spans="1:19" x14ac:dyDescent="0.25">
      <c r="A2974">
        <v>1540020269</v>
      </c>
      <c r="B2974" t="s">
        <v>5913</v>
      </c>
      <c r="C2974" t="s">
        <v>19</v>
      </c>
      <c r="D2974" t="s">
        <v>244</v>
      </c>
      <c r="E2974" t="s">
        <v>62</v>
      </c>
      <c r="F2974" t="s">
        <v>63</v>
      </c>
      <c r="G2974" t="s">
        <v>64</v>
      </c>
      <c r="H2974" t="s">
        <v>1294</v>
      </c>
      <c r="I2974" t="s">
        <v>5914</v>
      </c>
      <c r="J2974">
        <v>9.3677620000000008</v>
      </c>
      <c r="K2974">
        <v>-83.707853</v>
      </c>
      <c r="L2974" t="s">
        <v>1225</v>
      </c>
      <c r="M2974" t="s">
        <v>46</v>
      </c>
      <c r="N2974" t="s">
        <v>247</v>
      </c>
      <c r="O2974" t="s">
        <v>248</v>
      </c>
      <c r="P2974">
        <v>14</v>
      </c>
      <c r="Q2974" t="s">
        <v>181</v>
      </c>
      <c r="S2974" t="str">
        <f>_xlfn.XLOOKUP(UNIVERSO[[#This Row],[Ruta]],'[1]CUOTA RUTA'!A:A,'[1]CUOTA RUTA'!D:D)</f>
        <v>Cargar</v>
      </c>
    </row>
    <row r="2975" spans="1:19" x14ac:dyDescent="0.25">
      <c r="A2975">
        <v>1540020282</v>
      </c>
      <c r="B2975" t="s">
        <v>5915</v>
      </c>
      <c r="C2975" t="s">
        <v>19</v>
      </c>
      <c r="D2975" t="s">
        <v>244</v>
      </c>
      <c r="E2975" t="s">
        <v>21</v>
      </c>
      <c r="F2975" t="s">
        <v>22</v>
      </c>
      <c r="G2975" t="s">
        <v>33</v>
      </c>
      <c r="H2975" t="s">
        <v>566</v>
      </c>
      <c r="I2975" t="s">
        <v>5916</v>
      </c>
      <c r="J2975">
        <v>9.3649000000000004</v>
      </c>
      <c r="K2975">
        <v>-83.689622999999997</v>
      </c>
      <c r="L2975" t="s">
        <v>1225</v>
      </c>
      <c r="M2975" t="s">
        <v>46</v>
      </c>
      <c r="N2975" t="s">
        <v>247</v>
      </c>
      <c r="O2975" t="s">
        <v>248</v>
      </c>
      <c r="P2975">
        <v>15</v>
      </c>
      <c r="Q2975" t="s">
        <v>231</v>
      </c>
      <c r="S2975" t="str">
        <f>_xlfn.XLOOKUP(UNIVERSO[[#This Row],[Ruta]],'[1]CUOTA RUTA'!A:A,'[1]CUOTA RUTA'!D:D)</f>
        <v>Cargar</v>
      </c>
    </row>
    <row r="2976" spans="1:19" x14ac:dyDescent="0.25">
      <c r="A2976">
        <v>1540020293</v>
      </c>
      <c r="B2976" t="s">
        <v>5917</v>
      </c>
      <c r="C2976" t="s">
        <v>19</v>
      </c>
      <c r="D2976" t="s">
        <v>20</v>
      </c>
      <c r="E2976" t="s">
        <v>21</v>
      </c>
      <c r="F2976" t="s">
        <v>22</v>
      </c>
      <c r="G2976" t="s">
        <v>23</v>
      </c>
      <c r="H2976" t="s">
        <v>24</v>
      </c>
      <c r="I2976" t="s">
        <v>5918</v>
      </c>
      <c r="J2976">
        <v>9.9787850000000002</v>
      </c>
      <c r="K2976">
        <v>-84.120461000000006</v>
      </c>
      <c r="L2976" t="s">
        <v>1225</v>
      </c>
      <c r="M2976" t="s">
        <v>27</v>
      </c>
      <c r="N2976" t="s">
        <v>28</v>
      </c>
      <c r="O2976" t="s">
        <v>29</v>
      </c>
      <c r="P2976">
        <v>7</v>
      </c>
      <c r="Q2976" t="s">
        <v>39</v>
      </c>
      <c r="S2976" t="str">
        <f>_xlfn.XLOOKUP(UNIVERSO[[#This Row],[Ruta]],'[1]CUOTA RUTA'!A:A,'[1]CUOTA RUTA'!D:D)</f>
        <v>Cargar</v>
      </c>
    </row>
    <row r="2977" spans="1:19" x14ac:dyDescent="0.25">
      <c r="A2977">
        <v>1540020306</v>
      </c>
      <c r="B2977" t="s">
        <v>5919</v>
      </c>
      <c r="C2977" t="s">
        <v>19</v>
      </c>
      <c r="D2977" t="s">
        <v>186</v>
      </c>
      <c r="E2977" t="s">
        <v>21</v>
      </c>
      <c r="F2977" t="s">
        <v>22</v>
      </c>
      <c r="G2977" t="s">
        <v>23</v>
      </c>
      <c r="H2977" t="s">
        <v>241</v>
      </c>
      <c r="I2977" t="s">
        <v>5920</v>
      </c>
      <c r="J2977">
        <v>9.9877959999999995</v>
      </c>
      <c r="K2977">
        <v>-83.142081000000005</v>
      </c>
      <c r="L2977" t="s">
        <v>1225</v>
      </c>
      <c r="M2977" t="s">
        <v>189</v>
      </c>
      <c r="N2977" t="s">
        <v>190</v>
      </c>
      <c r="O2977" t="s">
        <v>191</v>
      </c>
      <c r="P2977">
        <v>19</v>
      </c>
      <c r="Q2977" t="s">
        <v>67</v>
      </c>
      <c r="S2977" t="str">
        <f>_xlfn.XLOOKUP(UNIVERSO[[#This Row],[Ruta]],'[1]CUOTA RUTA'!A:A,'[1]CUOTA RUTA'!D:D)</f>
        <v>Cargar</v>
      </c>
    </row>
    <row r="2978" spans="1:19" x14ac:dyDescent="0.25">
      <c r="A2978">
        <v>1540020313</v>
      </c>
      <c r="B2978" t="s">
        <v>5921</v>
      </c>
      <c r="C2978" t="s">
        <v>19</v>
      </c>
      <c r="D2978" t="s">
        <v>244</v>
      </c>
      <c r="E2978" t="s">
        <v>21</v>
      </c>
      <c r="F2978" t="s">
        <v>22</v>
      </c>
      <c r="G2978" t="s">
        <v>23</v>
      </c>
      <c r="H2978" t="s">
        <v>436</v>
      </c>
      <c r="I2978" t="s">
        <v>5922</v>
      </c>
      <c r="J2978">
        <v>9.4493980000000004</v>
      </c>
      <c r="K2978">
        <v>-84.131395999999995</v>
      </c>
      <c r="L2978" t="s">
        <v>1225</v>
      </c>
      <c r="M2978" t="s">
        <v>46</v>
      </c>
      <c r="N2978" t="s">
        <v>247</v>
      </c>
      <c r="O2978" t="s">
        <v>248</v>
      </c>
      <c r="P2978">
        <v>20</v>
      </c>
      <c r="Q2978" t="s">
        <v>74</v>
      </c>
      <c r="S2978" t="str">
        <f>_xlfn.XLOOKUP(UNIVERSO[[#This Row],[Ruta]],'[1]CUOTA RUTA'!A:A,'[1]CUOTA RUTA'!D:D)</f>
        <v>Cargar</v>
      </c>
    </row>
    <row r="2979" spans="1:19" x14ac:dyDescent="0.25">
      <c r="A2979">
        <v>1540020356</v>
      </c>
      <c r="B2979" t="s">
        <v>5923</v>
      </c>
      <c r="C2979" t="s">
        <v>19</v>
      </c>
      <c r="D2979" t="s">
        <v>266</v>
      </c>
      <c r="E2979" t="s">
        <v>21</v>
      </c>
      <c r="F2979" t="s">
        <v>22</v>
      </c>
      <c r="G2979" t="s">
        <v>33</v>
      </c>
      <c r="H2979" t="s">
        <v>314</v>
      </c>
      <c r="I2979" t="s">
        <v>5924</v>
      </c>
      <c r="J2979">
        <v>9.8716915000000007</v>
      </c>
      <c r="K2979">
        <v>-83.915232200000005</v>
      </c>
      <c r="L2979" t="s">
        <v>1225</v>
      </c>
      <c r="M2979" t="s">
        <v>36</v>
      </c>
      <c r="N2979" t="s">
        <v>316</v>
      </c>
      <c r="O2979" t="s">
        <v>317</v>
      </c>
      <c r="P2979">
        <v>16</v>
      </c>
      <c r="Q2979" t="s">
        <v>60</v>
      </c>
      <c r="S2979" t="str">
        <f>_xlfn.XLOOKUP(UNIVERSO[[#This Row],[Ruta]],'[1]CUOTA RUTA'!A:A,'[1]CUOTA RUTA'!D:D)</f>
        <v>Cargar</v>
      </c>
    </row>
    <row r="2980" spans="1:19" x14ac:dyDescent="0.25">
      <c r="A2980">
        <v>1540020362</v>
      </c>
      <c r="B2980" t="s">
        <v>5925</v>
      </c>
      <c r="C2980" t="s">
        <v>19</v>
      </c>
      <c r="D2980" t="s">
        <v>266</v>
      </c>
      <c r="E2980" t="s">
        <v>21</v>
      </c>
      <c r="F2980" t="s">
        <v>22</v>
      </c>
      <c r="G2980" t="s">
        <v>64</v>
      </c>
      <c r="H2980" t="s">
        <v>706</v>
      </c>
      <c r="I2980" t="s">
        <v>5926</v>
      </c>
      <c r="J2980">
        <v>9.8749929999999999</v>
      </c>
      <c r="K2980">
        <v>-83.938912999999999</v>
      </c>
      <c r="L2980" t="s">
        <v>1225</v>
      </c>
      <c r="M2980" t="s">
        <v>36</v>
      </c>
      <c r="N2980" t="s">
        <v>316</v>
      </c>
      <c r="O2980" t="s">
        <v>317</v>
      </c>
      <c r="P2980">
        <v>21</v>
      </c>
      <c r="Q2980" t="s">
        <v>239</v>
      </c>
      <c r="S2980" t="str">
        <f>_xlfn.XLOOKUP(UNIVERSO[[#This Row],[Ruta]],'[1]CUOTA RUTA'!A:A,'[1]CUOTA RUTA'!D:D)</f>
        <v>Cargar</v>
      </c>
    </row>
    <row r="2981" spans="1:19" x14ac:dyDescent="0.25">
      <c r="A2981">
        <v>1540020364</v>
      </c>
      <c r="B2981" t="s">
        <v>5927</v>
      </c>
      <c r="C2981" t="s">
        <v>19</v>
      </c>
      <c r="D2981" t="s">
        <v>266</v>
      </c>
      <c r="E2981" t="s">
        <v>21</v>
      </c>
      <c r="F2981" t="s">
        <v>22</v>
      </c>
      <c r="G2981" t="s">
        <v>33</v>
      </c>
      <c r="H2981" t="s">
        <v>407</v>
      </c>
      <c r="I2981" t="s">
        <v>5928</v>
      </c>
      <c r="J2981">
        <v>9.6508675999999998</v>
      </c>
      <c r="K2981">
        <v>-84.028336499999995</v>
      </c>
      <c r="L2981" t="s">
        <v>1225</v>
      </c>
      <c r="M2981" t="s">
        <v>409</v>
      </c>
      <c r="N2981" t="s">
        <v>410</v>
      </c>
      <c r="O2981" t="s">
        <v>411</v>
      </c>
      <c r="P2981">
        <v>22</v>
      </c>
      <c r="Q2981" t="s">
        <v>30</v>
      </c>
      <c r="S2981" t="str">
        <f>_xlfn.XLOOKUP(UNIVERSO[[#This Row],[Ruta]],'[1]CUOTA RUTA'!A:A,'[1]CUOTA RUTA'!D:D)</f>
        <v>Cargar</v>
      </c>
    </row>
    <row r="2982" spans="1:19" x14ac:dyDescent="0.25">
      <c r="A2982">
        <v>1540020373</v>
      </c>
      <c r="B2982" t="s">
        <v>5929</v>
      </c>
      <c r="C2982" t="s">
        <v>19</v>
      </c>
      <c r="D2982" t="s">
        <v>349</v>
      </c>
      <c r="E2982" t="s">
        <v>21</v>
      </c>
      <c r="F2982" t="s">
        <v>22</v>
      </c>
      <c r="G2982" t="s">
        <v>33</v>
      </c>
      <c r="H2982" t="s">
        <v>356</v>
      </c>
      <c r="I2982" t="s">
        <v>5930</v>
      </c>
      <c r="J2982">
        <v>10.15264</v>
      </c>
      <c r="K2982">
        <v>-85.451130000000006</v>
      </c>
      <c r="L2982" t="s">
        <v>1225</v>
      </c>
      <c r="M2982" t="s">
        <v>352</v>
      </c>
      <c r="N2982" t="s">
        <v>353</v>
      </c>
      <c r="O2982" t="s">
        <v>354</v>
      </c>
      <c r="P2982">
        <v>13</v>
      </c>
      <c r="Q2982" t="s">
        <v>161</v>
      </c>
      <c r="S2982" t="str">
        <f>_xlfn.XLOOKUP(UNIVERSO[[#This Row],[Ruta]],'[1]CUOTA RUTA'!A:A,'[1]CUOTA RUTA'!D:D)</f>
        <v>Cargar</v>
      </c>
    </row>
    <row r="2983" spans="1:19" x14ac:dyDescent="0.25">
      <c r="A2983">
        <v>1540020390</v>
      </c>
      <c r="B2983" t="s">
        <v>5931</v>
      </c>
      <c r="C2983" t="s">
        <v>19</v>
      </c>
      <c r="D2983" t="s">
        <v>208</v>
      </c>
      <c r="E2983" t="s">
        <v>21</v>
      </c>
      <c r="F2983" t="s">
        <v>22</v>
      </c>
      <c r="G2983" t="s">
        <v>33</v>
      </c>
      <c r="H2983" t="s">
        <v>209</v>
      </c>
      <c r="I2983" t="s">
        <v>5932</v>
      </c>
      <c r="J2983">
        <v>10.216236</v>
      </c>
      <c r="K2983">
        <v>-83.846847999999994</v>
      </c>
      <c r="L2983" t="s">
        <v>1225</v>
      </c>
      <c r="M2983" t="s">
        <v>189</v>
      </c>
      <c r="N2983" t="s">
        <v>211</v>
      </c>
      <c r="O2983" t="s">
        <v>212</v>
      </c>
      <c r="P2983">
        <v>4</v>
      </c>
      <c r="Q2983" t="s">
        <v>120</v>
      </c>
      <c r="S2983" t="str">
        <f>_xlfn.XLOOKUP(UNIVERSO[[#This Row],[Ruta]],'[1]CUOTA RUTA'!A:A,'[1]CUOTA RUTA'!D:D)</f>
        <v>Cargar</v>
      </c>
    </row>
    <row r="2984" spans="1:19" x14ac:dyDescent="0.25">
      <c r="A2984">
        <v>1540020415</v>
      </c>
      <c r="B2984" t="s">
        <v>5933</v>
      </c>
      <c r="C2984" t="s">
        <v>19</v>
      </c>
      <c r="D2984" t="s">
        <v>32</v>
      </c>
      <c r="E2984" t="s">
        <v>21</v>
      </c>
      <c r="F2984" t="s">
        <v>22</v>
      </c>
      <c r="G2984" t="s">
        <v>64</v>
      </c>
      <c r="H2984" t="s">
        <v>69</v>
      </c>
      <c r="I2984" t="s">
        <v>5934</v>
      </c>
      <c r="J2984">
        <v>9.8613700000000009</v>
      </c>
      <c r="K2984">
        <v>-84.042851666659999</v>
      </c>
      <c r="L2984" t="s">
        <v>1225</v>
      </c>
      <c r="M2984" t="s">
        <v>71</v>
      </c>
      <c r="N2984" t="s">
        <v>72</v>
      </c>
      <c r="O2984" t="s">
        <v>73</v>
      </c>
      <c r="P2984">
        <v>21</v>
      </c>
      <c r="Q2984" t="s">
        <v>239</v>
      </c>
      <c r="S2984" t="str">
        <f>_xlfn.XLOOKUP(UNIVERSO[[#This Row],[Ruta]],'[1]CUOTA RUTA'!A:A,'[1]CUOTA RUTA'!D:D)</f>
        <v>Cargar</v>
      </c>
    </row>
    <row r="2985" spans="1:19" x14ac:dyDescent="0.25">
      <c r="A2985">
        <v>1540020416</v>
      </c>
      <c r="B2985" t="s">
        <v>5935</v>
      </c>
      <c r="C2985" t="s">
        <v>19</v>
      </c>
      <c r="D2985" t="s">
        <v>186</v>
      </c>
      <c r="E2985" t="s">
        <v>21</v>
      </c>
      <c r="F2985" t="s">
        <v>22</v>
      </c>
      <c r="G2985" t="s">
        <v>64</v>
      </c>
      <c r="H2985" t="s">
        <v>229</v>
      </c>
      <c r="I2985" t="s">
        <v>953</v>
      </c>
      <c r="J2985">
        <v>9.984966</v>
      </c>
      <c r="K2985">
        <v>-83.052931000000001</v>
      </c>
      <c r="L2985" t="s">
        <v>1225</v>
      </c>
      <c r="M2985" t="s">
        <v>189</v>
      </c>
      <c r="N2985" t="s">
        <v>190</v>
      </c>
      <c r="O2985" t="s">
        <v>191</v>
      </c>
      <c r="P2985">
        <v>13</v>
      </c>
      <c r="Q2985" t="s">
        <v>161</v>
      </c>
      <c r="S2985" t="str">
        <f>_xlfn.XLOOKUP(UNIVERSO[[#This Row],[Ruta]],'[1]CUOTA RUTA'!A:A,'[1]CUOTA RUTA'!D:D)</f>
        <v>Cargar</v>
      </c>
    </row>
    <row r="2986" spans="1:19" x14ac:dyDescent="0.25">
      <c r="A2986">
        <v>1540020459</v>
      </c>
      <c r="B2986" t="s">
        <v>2994</v>
      </c>
      <c r="C2986" t="s">
        <v>19</v>
      </c>
      <c r="D2986" t="s">
        <v>20</v>
      </c>
      <c r="E2986" t="s">
        <v>21</v>
      </c>
      <c r="F2986" t="s">
        <v>22</v>
      </c>
      <c r="G2986" t="s">
        <v>64</v>
      </c>
      <c r="H2986" t="s">
        <v>250</v>
      </c>
      <c r="I2986" t="s">
        <v>5936</v>
      </c>
      <c r="J2986">
        <v>10.071061539853</v>
      </c>
      <c r="K2986">
        <v>-84.317171938170006</v>
      </c>
      <c r="L2986" t="s">
        <v>1225</v>
      </c>
      <c r="M2986" t="s">
        <v>46</v>
      </c>
      <c r="N2986" t="s">
        <v>47</v>
      </c>
      <c r="O2986" t="s">
        <v>48</v>
      </c>
      <c r="P2986">
        <v>4</v>
      </c>
      <c r="Q2986" t="s">
        <v>120</v>
      </c>
      <c r="S2986" t="str">
        <f>_xlfn.XLOOKUP(UNIVERSO[[#This Row],[Ruta]],'[1]CUOTA RUTA'!A:A,'[1]CUOTA RUTA'!D:D)</f>
        <v>Cargar</v>
      </c>
    </row>
    <row r="2987" spans="1:19" x14ac:dyDescent="0.25">
      <c r="A2987">
        <v>1540020476</v>
      </c>
      <c r="B2987" t="s">
        <v>5937</v>
      </c>
      <c r="C2987" t="s">
        <v>19</v>
      </c>
      <c r="D2987" t="s">
        <v>20</v>
      </c>
      <c r="E2987" t="s">
        <v>21</v>
      </c>
      <c r="F2987" t="s">
        <v>22</v>
      </c>
      <c r="G2987" t="s">
        <v>33</v>
      </c>
      <c r="H2987" t="s">
        <v>1506</v>
      </c>
      <c r="I2987" t="s">
        <v>5938</v>
      </c>
      <c r="J2987">
        <v>9.9859560300000005</v>
      </c>
      <c r="K2987">
        <v>-84.148668000000001</v>
      </c>
      <c r="L2987" t="s">
        <v>1225</v>
      </c>
      <c r="M2987" t="s">
        <v>27</v>
      </c>
      <c r="N2987" t="s">
        <v>28</v>
      </c>
      <c r="O2987" t="s">
        <v>29</v>
      </c>
      <c r="P2987">
        <v>4</v>
      </c>
      <c r="Q2987" t="s">
        <v>120</v>
      </c>
      <c r="S2987" t="str">
        <f>_xlfn.XLOOKUP(UNIVERSO[[#This Row],[Ruta]],'[1]CUOTA RUTA'!A:A,'[1]CUOTA RUTA'!D:D)</f>
        <v>Cargar</v>
      </c>
    </row>
    <row r="2988" spans="1:19" x14ac:dyDescent="0.25">
      <c r="A2988">
        <v>1540020485</v>
      </c>
      <c r="B2988" t="s">
        <v>5939</v>
      </c>
      <c r="C2988" t="s">
        <v>19</v>
      </c>
      <c r="D2988" t="s">
        <v>244</v>
      </c>
      <c r="E2988" t="s">
        <v>21</v>
      </c>
      <c r="F2988" t="s">
        <v>22</v>
      </c>
      <c r="G2988" t="s">
        <v>64</v>
      </c>
      <c r="H2988" t="s">
        <v>525</v>
      </c>
      <c r="I2988" t="s">
        <v>5940</v>
      </c>
      <c r="J2988">
        <v>9.6049640000000007</v>
      </c>
      <c r="K2988">
        <v>-84.525475999999998</v>
      </c>
      <c r="L2988" t="s">
        <v>1225</v>
      </c>
      <c r="M2988" t="s">
        <v>46</v>
      </c>
      <c r="N2988" t="s">
        <v>247</v>
      </c>
      <c r="O2988" t="s">
        <v>248</v>
      </c>
      <c r="P2988">
        <v>23</v>
      </c>
      <c r="Q2988" t="s">
        <v>125</v>
      </c>
      <c r="S2988" t="str">
        <f>_xlfn.XLOOKUP(UNIVERSO[[#This Row],[Ruta]],'[1]CUOTA RUTA'!A:A,'[1]CUOTA RUTA'!D:D)</f>
        <v>Cargar</v>
      </c>
    </row>
    <row r="2989" spans="1:19" x14ac:dyDescent="0.25">
      <c r="A2989">
        <v>1540020505</v>
      </c>
      <c r="B2989" t="s">
        <v>1618</v>
      </c>
      <c r="C2989" t="s">
        <v>19</v>
      </c>
      <c r="D2989" t="s">
        <v>266</v>
      </c>
      <c r="E2989" t="s">
        <v>21</v>
      </c>
      <c r="F2989" t="s">
        <v>22</v>
      </c>
      <c r="G2989" t="s">
        <v>33</v>
      </c>
      <c r="H2989" t="s">
        <v>366</v>
      </c>
      <c r="I2989" t="s">
        <v>5941</v>
      </c>
      <c r="J2989">
        <v>9.8371999999999993</v>
      </c>
      <c r="K2989">
        <v>-83.915553333329996</v>
      </c>
      <c r="L2989" t="s">
        <v>1225</v>
      </c>
      <c r="M2989" t="s">
        <v>36</v>
      </c>
      <c r="N2989" t="s">
        <v>316</v>
      </c>
      <c r="O2989" t="s">
        <v>317</v>
      </c>
      <c r="P2989">
        <v>17</v>
      </c>
      <c r="Q2989" t="s">
        <v>287</v>
      </c>
      <c r="S2989" t="str">
        <f>_xlfn.XLOOKUP(UNIVERSO[[#This Row],[Ruta]],'[1]CUOTA RUTA'!A:A,'[1]CUOTA RUTA'!D:D)</f>
        <v>Cargar</v>
      </c>
    </row>
    <row r="2990" spans="1:19" x14ac:dyDescent="0.25">
      <c r="A2990">
        <v>1540020543</v>
      </c>
      <c r="B2990" t="s">
        <v>5942</v>
      </c>
      <c r="C2990" t="s">
        <v>19</v>
      </c>
      <c r="D2990" t="s">
        <v>20</v>
      </c>
      <c r="E2990" t="s">
        <v>21</v>
      </c>
      <c r="F2990" t="s">
        <v>22</v>
      </c>
      <c r="G2990" t="s">
        <v>64</v>
      </c>
      <c r="H2990" t="s">
        <v>280</v>
      </c>
      <c r="I2990" t="s">
        <v>5943</v>
      </c>
      <c r="J2990">
        <v>10.02106</v>
      </c>
      <c r="K2990">
        <v>-84.200609999999998</v>
      </c>
      <c r="L2990" t="s">
        <v>1225</v>
      </c>
      <c r="M2990" t="s">
        <v>54</v>
      </c>
      <c r="N2990" t="s">
        <v>55</v>
      </c>
      <c r="O2990" t="s">
        <v>56</v>
      </c>
      <c r="P2990">
        <v>16</v>
      </c>
      <c r="Q2990" t="s">
        <v>60</v>
      </c>
      <c r="S2990" t="str">
        <f>_xlfn.XLOOKUP(UNIVERSO[[#This Row],[Ruta]],'[1]CUOTA RUTA'!A:A,'[1]CUOTA RUTA'!D:D)</f>
        <v>Cargar</v>
      </c>
    </row>
    <row r="2991" spans="1:19" x14ac:dyDescent="0.25">
      <c r="A2991">
        <v>1540020552</v>
      </c>
      <c r="B2991" t="s">
        <v>5944</v>
      </c>
      <c r="C2991" t="s">
        <v>19</v>
      </c>
      <c r="D2991" t="s">
        <v>32</v>
      </c>
      <c r="E2991" t="s">
        <v>21</v>
      </c>
      <c r="F2991" t="s">
        <v>22</v>
      </c>
      <c r="G2991" t="s">
        <v>33</v>
      </c>
      <c r="H2991" t="s">
        <v>69</v>
      </c>
      <c r="I2991" t="s">
        <v>5945</v>
      </c>
      <c r="J2991">
        <v>9.8677159999999997</v>
      </c>
      <c r="K2991">
        <v>-84.063726000000003</v>
      </c>
      <c r="L2991" t="s">
        <v>1225</v>
      </c>
      <c r="M2991" t="s">
        <v>71</v>
      </c>
      <c r="N2991" t="s">
        <v>72</v>
      </c>
      <c r="O2991" t="s">
        <v>73</v>
      </c>
      <c r="P2991">
        <v>20</v>
      </c>
      <c r="Q2991" t="s">
        <v>74</v>
      </c>
      <c r="S2991" t="str">
        <f>_xlfn.XLOOKUP(UNIVERSO[[#This Row],[Ruta]],'[1]CUOTA RUTA'!A:A,'[1]CUOTA RUTA'!D:D)</f>
        <v>Cargar</v>
      </c>
    </row>
    <row r="2992" spans="1:19" x14ac:dyDescent="0.25">
      <c r="A2992">
        <v>1540020590</v>
      </c>
      <c r="B2992" t="s">
        <v>5946</v>
      </c>
      <c r="C2992" t="s">
        <v>19</v>
      </c>
      <c r="D2992" t="s">
        <v>208</v>
      </c>
      <c r="E2992" t="s">
        <v>21</v>
      </c>
      <c r="F2992" t="s">
        <v>22</v>
      </c>
      <c r="G2992" t="s">
        <v>64</v>
      </c>
      <c r="H2992" t="s">
        <v>221</v>
      </c>
      <c r="I2992" t="s">
        <v>5947</v>
      </c>
      <c r="J2992">
        <v>10.44848</v>
      </c>
      <c r="K2992">
        <v>-84.045410000000004</v>
      </c>
      <c r="L2992" t="s">
        <v>1225</v>
      </c>
      <c r="M2992" t="s">
        <v>189</v>
      </c>
      <c r="N2992" t="s">
        <v>211</v>
      </c>
      <c r="O2992" t="s">
        <v>212</v>
      </c>
      <c r="P2992">
        <v>11</v>
      </c>
      <c r="Q2992" t="s">
        <v>108</v>
      </c>
      <c r="S2992" t="str">
        <f>_xlfn.XLOOKUP(UNIVERSO[[#This Row],[Ruta]],'[1]CUOTA RUTA'!A:A,'[1]CUOTA RUTA'!D:D)</f>
        <v>Cargar</v>
      </c>
    </row>
    <row r="2993" spans="1:19" x14ac:dyDescent="0.25">
      <c r="A2993">
        <v>1540020596</v>
      </c>
      <c r="B2993" t="s">
        <v>1266</v>
      </c>
      <c r="C2993" t="s">
        <v>19</v>
      </c>
      <c r="D2993" t="s">
        <v>208</v>
      </c>
      <c r="E2993" t="s">
        <v>21</v>
      </c>
      <c r="F2993" t="s">
        <v>22</v>
      </c>
      <c r="G2993" t="s">
        <v>33</v>
      </c>
      <c r="H2993" t="s">
        <v>417</v>
      </c>
      <c r="I2993" t="s">
        <v>5948</v>
      </c>
      <c r="J2993">
        <v>10.32109971</v>
      </c>
      <c r="K2993">
        <v>-83.915524739999995</v>
      </c>
      <c r="L2993" t="s">
        <v>1225</v>
      </c>
      <c r="M2993" t="s">
        <v>189</v>
      </c>
      <c r="N2993" t="s">
        <v>211</v>
      </c>
      <c r="O2993" t="s">
        <v>212</v>
      </c>
      <c r="P2993">
        <v>3</v>
      </c>
      <c r="Q2993" t="s">
        <v>101</v>
      </c>
      <c r="S2993" t="str">
        <f>_xlfn.XLOOKUP(UNIVERSO[[#This Row],[Ruta]],'[1]CUOTA RUTA'!A:A,'[1]CUOTA RUTA'!D:D)</f>
        <v>Cargar</v>
      </c>
    </row>
    <row r="2994" spans="1:19" x14ac:dyDescent="0.25">
      <c r="A2994">
        <v>1540020609</v>
      </c>
      <c r="B2994" t="s">
        <v>5949</v>
      </c>
      <c r="C2994" t="s">
        <v>19</v>
      </c>
      <c r="D2994" t="s">
        <v>266</v>
      </c>
      <c r="E2994" t="s">
        <v>21</v>
      </c>
      <c r="F2994" t="s">
        <v>22</v>
      </c>
      <c r="G2994" t="s">
        <v>33</v>
      </c>
      <c r="H2994" t="s">
        <v>407</v>
      </c>
      <c r="I2994" t="s">
        <v>5950</v>
      </c>
      <c r="J2994">
        <v>9.6530942</v>
      </c>
      <c r="K2994">
        <v>-83.969403700000001</v>
      </c>
      <c r="L2994" t="s">
        <v>1225</v>
      </c>
      <c r="M2994" t="s">
        <v>409</v>
      </c>
      <c r="N2994" t="s">
        <v>410</v>
      </c>
      <c r="O2994" t="s">
        <v>411</v>
      </c>
      <c r="P2994">
        <v>23</v>
      </c>
      <c r="Q2994" t="s">
        <v>125</v>
      </c>
      <c r="S2994" t="str">
        <f>_xlfn.XLOOKUP(UNIVERSO[[#This Row],[Ruta]],'[1]CUOTA RUTA'!A:A,'[1]CUOTA RUTA'!D:D)</f>
        <v>Cargar</v>
      </c>
    </row>
    <row r="2995" spans="1:19" x14ac:dyDescent="0.25">
      <c r="A2995">
        <v>1540020625</v>
      </c>
      <c r="B2995" t="s">
        <v>5951</v>
      </c>
      <c r="C2995" t="s">
        <v>19</v>
      </c>
      <c r="D2995" t="s">
        <v>20</v>
      </c>
      <c r="E2995" t="s">
        <v>21</v>
      </c>
      <c r="F2995" t="s">
        <v>22</v>
      </c>
      <c r="G2995" t="s">
        <v>64</v>
      </c>
      <c r="H2995" t="s">
        <v>280</v>
      </c>
      <c r="I2995" t="s">
        <v>5952</v>
      </c>
      <c r="J2995">
        <v>10.01661</v>
      </c>
      <c r="K2995">
        <v>-84.216980000000007</v>
      </c>
      <c r="L2995" t="s">
        <v>1225</v>
      </c>
      <c r="M2995" t="s">
        <v>54</v>
      </c>
      <c r="N2995" t="s">
        <v>55</v>
      </c>
      <c r="O2995" t="s">
        <v>56</v>
      </c>
      <c r="P2995">
        <v>1</v>
      </c>
      <c r="Q2995" t="s">
        <v>155</v>
      </c>
      <c r="S2995" t="str">
        <f>_xlfn.XLOOKUP(UNIVERSO[[#This Row],[Ruta]],'[1]CUOTA RUTA'!A:A,'[1]CUOTA RUTA'!D:D)</f>
        <v>Cargar</v>
      </c>
    </row>
    <row r="2996" spans="1:19" x14ac:dyDescent="0.25">
      <c r="A2996">
        <v>1540020639</v>
      </c>
      <c r="B2996" t="s">
        <v>5953</v>
      </c>
      <c r="C2996" t="s">
        <v>19</v>
      </c>
      <c r="D2996" t="s">
        <v>244</v>
      </c>
      <c r="E2996" t="s">
        <v>21</v>
      </c>
      <c r="F2996" t="s">
        <v>22</v>
      </c>
      <c r="G2996" t="s">
        <v>64</v>
      </c>
      <c r="H2996" t="s">
        <v>566</v>
      </c>
      <c r="I2996" t="s">
        <v>5954</v>
      </c>
      <c r="J2996">
        <v>9.1722173999999992</v>
      </c>
      <c r="K2996">
        <v>-83.328149199999999</v>
      </c>
      <c r="L2996" t="s">
        <v>1225</v>
      </c>
      <c r="M2996" t="s">
        <v>46</v>
      </c>
      <c r="N2996" t="s">
        <v>247</v>
      </c>
      <c r="O2996" t="s">
        <v>248</v>
      </c>
      <c r="P2996">
        <v>12</v>
      </c>
      <c r="Q2996" t="s">
        <v>42</v>
      </c>
      <c r="S2996" t="str">
        <f>_xlfn.XLOOKUP(UNIVERSO[[#This Row],[Ruta]],'[1]CUOTA RUTA'!A:A,'[1]CUOTA RUTA'!D:D)</f>
        <v>Cargar</v>
      </c>
    </row>
    <row r="2997" spans="1:19" x14ac:dyDescent="0.25">
      <c r="A2997">
        <v>1540020640</v>
      </c>
      <c r="B2997" t="s">
        <v>5955</v>
      </c>
      <c r="C2997" t="s">
        <v>19</v>
      </c>
      <c r="D2997" t="s">
        <v>244</v>
      </c>
      <c r="E2997" t="s">
        <v>21</v>
      </c>
      <c r="F2997" t="s">
        <v>22</v>
      </c>
      <c r="G2997" t="s">
        <v>33</v>
      </c>
      <c r="H2997" t="s">
        <v>857</v>
      </c>
      <c r="I2997" t="s">
        <v>5956</v>
      </c>
      <c r="J2997">
        <v>9.3796430599999994</v>
      </c>
      <c r="K2997">
        <v>-83.69706558</v>
      </c>
      <c r="L2997" t="s">
        <v>1225</v>
      </c>
      <c r="M2997" t="s">
        <v>46</v>
      </c>
      <c r="N2997" t="s">
        <v>247</v>
      </c>
      <c r="O2997" t="s">
        <v>248</v>
      </c>
      <c r="P2997">
        <v>15</v>
      </c>
      <c r="Q2997" t="s">
        <v>231</v>
      </c>
      <c r="S2997" t="str">
        <f>_xlfn.XLOOKUP(UNIVERSO[[#This Row],[Ruta]],'[1]CUOTA RUTA'!A:A,'[1]CUOTA RUTA'!D:D)</f>
        <v>Cargar</v>
      </c>
    </row>
    <row r="2998" spans="1:19" x14ac:dyDescent="0.25">
      <c r="A2998">
        <v>1540020654</v>
      </c>
      <c r="B2998" t="s">
        <v>5957</v>
      </c>
      <c r="C2998" t="s">
        <v>19</v>
      </c>
      <c r="D2998" t="s">
        <v>32</v>
      </c>
      <c r="E2998" t="s">
        <v>21</v>
      </c>
      <c r="F2998" t="s">
        <v>22</v>
      </c>
      <c r="G2998" t="s">
        <v>64</v>
      </c>
      <c r="H2998" t="s">
        <v>112</v>
      </c>
      <c r="I2998" t="s">
        <v>5958</v>
      </c>
      <c r="J2998">
        <v>9.9544017</v>
      </c>
      <c r="K2998">
        <v>-84.103300000000004</v>
      </c>
      <c r="L2998" t="s">
        <v>1225</v>
      </c>
      <c r="M2998" t="s">
        <v>94</v>
      </c>
      <c r="N2998" t="s">
        <v>95</v>
      </c>
      <c r="O2998" t="s">
        <v>96</v>
      </c>
      <c r="P2998">
        <v>12</v>
      </c>
      <c r="Q2998" t="s">
        <v>42</v>
      </c>
      <c r="S2998" t="str">
        <f>_xlfn.XLOOKUP(UNIVERSO[[#This Row],[Ruta]],'[1]CUOTA RUTA'!A:A,'[1]CUOTA RUTA'!D:D)</f>
        <v>Cargar</v>
      </c>
    </row>
    <row r="2999" spans="1:19" x14ac:dyDescent="0.25">
      <c r="A2999">
        <v>1540020709</v>
      </c>
      <c r="B2999" t="s">
        <v>5959</v>
      </c>
      <c r="C2999" t="s">
        <v>19</v>
      </c>
      <c r="D2999" t="s">
        <v>201</v>
      </c>
      <c r="E2999" t="s">
        <v>21</v>
      </c>
      <c r="F2999" t="s">
        <v>51</v>
      </c>
      <c r="G2999" t="s">
        <v>23</v>
      </c>
      <c r="H2999" t="s">
        <v>794</v>
      </c>
      <c r="I2999" t="s">
        <v>5960</v>
      </c>
      <c r="J2999">
        <v>9.6103071</v>
      </c>
      <c r="K2999">
        <v>-84.621855400000001</v>
      </c>
      <c r="L2999" t="s">
        <v>1225</v>
      </c>
      <c r="M2999" t="s">
        <v>204</v>
      </c>
      <c r="N2999" t="s">
        <v>205</v>
      </c>
      <c r="O2999" t="s">
        <v>206</v>
      </c>
      <c r="P2999">
        <v>6</v>
      </c>
      <c r="Q2999" t="s">
        <v>49</v>
      </c>
      <c r="S2999" t="str">
        <f>_xlfn.XLOOKUP(UNIVERSO[[#This Row],[Ruta]],'[1]CUOTA RUTA'!A:A,'[1]CUOTA RUTA'!D:D)</f>
        <v>Cargar</v>
      </c>
    </row>
    <row r="3000" spans="1:19" x14ac:dyDescent="0.25">
      <c r="A3000">
        <v>1540020717</v>
      </c>
      <c r="B3000" t="s">
        <v>5961</v>
      </c>
      <c r="C3000" t="s">
        <v>19</v>
      </c>
      <c r="D3000" t="s">
        <v>186</v>
      </c>
      <c r="E3000" t="s">
        <v>21</v>
      </c>
      <c r="F3000" t="s">
        <v>22</v>
      </c>
      <c r="G3000" t="s">
        <v>33</v>
      </c>
      <c r="H3000" t="s">
        <v>237</v>
      </c>
      <c r="I3000" t="s">
        <v>5962</v>
      </c>
      <c r="J3000">
        <v>10.080431000000001</v>
      </c>
      <c r="K3000">
        <v>-83.333504000000005</v>
      </c>
      <c r="L3000" t="s">
        <v>1225</v>
      </c>
      <c r="M3000" t="s">
        <v>189</v>
      </c>
      <c r="N3000" t="s">
        <v>190</v>
      </c>
      <c r="O3000" t="s">
        <v>191</v>
      </c>
      <c r="P3000">
        <v>20</v>
      </c>
      <c r="Q3000" t="s">
        <v>74</v>
      </c>
      <c r="S3000" t="str">
        <f>_xlfn.XLOOKUP(UNIVERSO[[#This Row],[Ruta]],'[1]CUOTA RUTA'!A:A,'[1]CUOTA RUTA'!D:D)</f>
        <v>Cargar</v>
      </c>
    </row>
    <row r="3001" spans="1:19" x14ac:dyDescent="0.25">
      <c r="A3001">
        <v>1540020726</v>
      </c>
      <c r="B3001" t="s">
        <v>5963</v>
      </c>
      <c r="C3001" t="s">
        <v>19</v>
      </c>
      <c r="D3001" t="s">
        <v>324</v>
      </c>
      <c r="E3001" t="s">
        <v>21</v>
      </c>
      <c r="F3001" t="s">
        <v>22</v>
      </c>
      <c r="G3001" t="s">
        <v>33</v>
      </c>
      <c r="H3001" t="s">
        <v>390</v>
      </c>
      <c r="I3001" t="s">
        <v>5964</v>
      </c>
      <c r="J3001">
        <v>10.334042999999999</v>
      </c>
      <c r="K3001">
        <v>-84.434348</v>
      </c>
      <c r="L3001" t="s">
        <v>1225</v>
      </c>
      <c r="M3001" t="s">
        <v>327</v>
      </c>
      <c r="N3001" t="s">
        <v>328</v>
      </c>
      <c r="O3001" t="s">
        <v>329</v>
      </c>
      <c r="P3001">
        <v>15</v>
      </c>
      <c r="Q3001" t="s">
        <v>231</v>
      </c>
      <c r="S3001" t="str">
        <f>_xlfn.XLOOKUP(UNIVERSO[[#This Row],[Ruta]],'[1]CUOTA RUTA'!A:A,'[1]CUOTA RUTA'!D:D)</f>
        <v>Cargar</v>
      </c>
    </row>
    <row r="3002" spans="1:19" x14ac:dyDescent="0.25">
      <c r="A3002">
        <v>1540020751</v>
      </c>
      <c r="B3002" t="s">
        <v>5965</v>
      </c>
      <c r="C3002" t="s">
        <v>19</v>
      </c>
      <c r="D3002" t="s">
        <v>244</v>
      </c>
      <c r="E3002" t="s">
        <v>21</v>
      </c>
      <c r="F3002" t="s">
        <v>22</v>
      </c>
      <c r="G3002" t="s">
        <v>33</v>
      </c>
      <c r="H3002" t="s">
        <v>819</v>
      </c>
      <c r="I3002" t="s">
        <v>5966</v>
      </c>
      <c r="J3002">
        <v>9.5587140000000002</v>
      </c>
      <c r="K3002">
        <v>-84.224653000000004</v>
      </c>
      <c r="L3002" t="s">
        <v>1225</v>
      </c>
      <c r="M3002" t="s">
        <v>46</v>
      </c>
      <c r="N3002" t="s">
        <v>247</v>
      </c>
      <c r="O3002" t="s">
        <v>248</v>
      </c>
      <c r="P3002">
        <v>22</v>
      </c>
      <c r="Q3002" t="s">
        <v>30</v>
      </c>
      <c r="S3002" t="str">
        <f>_xlfn.XLOOKUP(UNIVERSO[[#This Row],[Ruta]],'[1]CUOTA RUTA'!A:A,'[1]CUOTA RUTA'!D:D)</f>
        <v>Cargar</v>
      </c>
    </row>
    <row r="3003" spans="1:19" x14ac:dyDescent="0.25">
      <c r="A3003">
        <v>1540020762</v>
      </c>
      <c r="B3003" t="s">
        <v>5967</v>
      </c>
      <c r="C3003" t="s">
        <v>19</v>
      </c>
      <c r="D3003" t="s">
        <v>266</v>
      </c>
      <c r="E3003" t="s">
        <v>21</v>
      </c>
      <c r="F3003" t="s">
        <v>22</v>
      </c>
      <c r="G3003" t="s">
        <v>33</v>
      </c>
      <c r="H3003" t="s">
        <v>703</v>
      </c>
      <c r="I3003" t="s">
        <v>5968</v>
      </c>
      <c r="J3003">
        <v>9.8292251999999998</v>
      </c>
      <c r="K3003">
        <v>-83.952367699999996</v>
      </c>
      <c r="L3003" t="s">
        <v>1225</v>
      </c>
      <c r="M3003" t="s">
        <v>36</v>
      </c>
      <c r="N3003" t="s">
        <v>316</v>
      </c>
      <c r="O3003" t="s">
        <v>317</v>
      </c>
      <c r="P3003">
        <v>20</v>
      </c>
      <c r="Q3003" t="s">
        <v>74</v>
      </c>
      <c r="S3003" t="str">
        <f>_xlfn.XLOOKUP(UNIVERSO[[#This Row],[Ruta]],'[1]CUOTA RUTA'!A:A,'[1]CUOTA RUTA'!D:D)</f>
        <v>Cargar</v>
      </c>
    </row>
    <row r="3004" spans="1:19" x14ac:dyDescent="0.25">
      <c r="A3004">
        <v>1540020767</v>
      </c>
      <c r="B3004" t="s">
        <v>4756</v>
      </c>
      <c r="C3004" t="s">
        <v>19</v>
      </c>
      <c r="D3004" t="s">
        <v>266</v>
      </c>
      <c r="E3004" t="s">
        <v>21</v>
      </c>
      <c r="F3004" t="s">
        <v>22</v>
      </c>
      <c r="G3004" t="s">
        <v>33</v>
      </c>
      <c r="H3004" t="s">
        <v>366</v>
      </c>
      <c r="I3004" t="s">
        <v>5969</v>
      </c>
      <c r="J3004">
        <v>9.843748333333</v>
      </c>
      <c r="K3004">
        <v>-83.904515000000004</v>
      </c>
      <c r="L3004" t="s">
        <v>1225</v>
      </c>
      <c r="M3004" t="s">
        <v>36</v>
      </c>
      <c r="N3004" t="s">
        <v>316</v>
      </c>
      <c r="O3004" t="s">
        <v>317</v>
      </c>
      <c r="P3004">
        <v>17</v>
      </c>
      <c r="Q3004" t="s">
        <v>287</v>
      </c>
      <c r="S3004" t="str">
        <f>_xlfn.XLOOKUP(UNIVERSO[[#This Row],[Ruta]],'[1]CUOTA RUTA'!A:A,'[1]CUOTA RUTA'!D:D)</f>
        <v>Cargar</v>
      </c>
    </row>
    <row r="3005" spans="1:19" x14ac:dyDescent="0.25">
      <c r="A3005">
        <v>1540020768</v>
      </c>
      <c r="B3005" t="s">
        <v>5970</v>
      </c>
      <c r="C3005" t="s">
        <v>19</v>
      </c>
      <c r="D3005" t="s">
        <v>266</v>
      </c>
      <c r="E3005" t="s">
        <v>21</v>
      </c>
      <c r="F3005" t="s">
        <v>22</v>
      </c>
      <c r="G3005" t="s">
        <v>33</v>
      </c>
      <c r="H3005" t="s">
        <v>267</v>
      </c>
      <c r="I3005" t="s">
        <v>5971</v>
      </c>
      <c r="J3005">
        <v>9.8778025300000003</v>
      </c>
      <c r="K3005">
        <v>-83.636828350000002</v>
      </c>
      <c r="L3005" t="s">
        <v>1225</v>
      </c>
      <c r="M3005" t="s">
        <v>189</v>
      </c>
      <c r="N3005" t="s">
        <v>269</v>
      </c>
      <c r="O3005" t="s">
        <v>270</v>
      </c>
      <c r="P3005">
        <v>20</v>
      </c>
      <c r="Q3005" t="s">
        <v>74</v>
      </c>
      <c r="S3005" t="str">
        <f>_xlfn.XLOOKUP(UNIVERSO[[#This Row],[Ruta]],'[1]CUOTA RUTA'!A:A,'[1]CUOTA RUTA'!D:D)</f>
        <v>Cargar</v>
      </c>
    </row>
    <row r="3006" spans="1:19" x14ac:dyDescent="0.25">
      <c r="A3006">
        <v>1540020793</v>
      </c>
      <c r="B3006" t="s">
        <v>5972</v>
      </c>
      <c r="C3006" t="s">
        <v>19</v>
      </c>
      <c r="D3006" t="s">
        <v>32</v>
      </c>
      <c r="E3006" t="s">
        <v>21</v>
      </c>
      <c r="F3006" t="s">
        <v>22</v>
      </c>
      <c r="G3006" t="s">
        <v>33</v>
      </c>
      <c r="H3006" t="s">
        <v>99</v>
      </c>
      <c r="I3006" t="s">
        <v>5973</v>
      </c>
      <c r="J3006">
        <v>9.9306889999999992</v>
      </c>
      <c r="K3006">
        <v>-84.082410999999993</v>
      </c>
      <c r="L3006" t="s">
        <v>1225</v>
      </c>
      <c r="M3006" t="s">
        <v>71</v>
      </c>
      <c r="N3006" t="s">
        <v>72</v>
      </c>
      <c r="O3006" t="s">
        <v>73</v>
      </c>
      <c r="P3006">
        <v>5</v>
      </c>
      <c r="Q3006" t="s">
        <v>117</v>
      </c>
      <c r="S3006" t="str">
        <f>_xlfn.XLOOKUP(UNIVERSO[[#This Row],[Ruta]],'[1]CUOTA RUTA'!A:A,'[1]CUOTA RUTA'!D:D)</f>
        <v>Cargar</v>
      </c>
    </row>
    <row r="3007" spans="1:19" x14ac:dyDescent="0.25">
      <c r="A3007">
        <v>1540020799</v>
      </c>
      <c r="B3007" t="s">
        <v>5974</v>
      </c>
      <c r="C3007" t="s">
        <v>19</v>
      </c>
      <c r="D3007" t="s">
        <v>244</v>
      </c>
      <c r="E3007" t="s">
        <v>21</v>
      </c>
      <c r="F3007" t="s">
        <v>22</v>
      </c>
      <c r="G3007" t="s">
        <v>64</v>
      </c>
      <c r="H3007" t="s">
        <v>857</v>
      </c>
      <c r="I3007" t="s">
        <v>5975</v>
      </c>
      <c r="J3007">
        <v>9.4149250000000002</v>
      </c>
      <c r="K3007">
        <v>-83.733487999999994</v>
      </c>
      <c r="L3007" t="s">
        <v>1225</v>
      </c>
      <c r="M3007" t="s">
        <v>46</v>
      </c>
      <c r="N3007" t="s">
        <v>247</v>
      </c>
      <c r="O3007" t="s">
        <v>248</v>
      </c>
      <c r="P3007">
        <v>17</v>
      </c>
      <c r="Q3007" t="s">
        <v>287</v>
      </c>
      <c r="S3007" t="str">
        <f>_xlfn.XLOOKUP(UNIVERSO[[#This Row],[Ruta]],'[1]CUOTA RUTA'!A:A,'[1]CUOTA RUTA'!D:D)</f>
        <v>Cargar</v>
      </c>
    </row>
    <row r="3008" spans="1:19" x14ac:dyDescent="0.25">
      <c r="A3008">
        <v>1540020802</v>
      </c>
      <c r="B3008" t="s">
        <v>5976</v>
      </c>
      <c r="C3008" t="s">
        <v>19</v>
      </c>
      <c r="D3008" t="s">
        <v>208</v>
      </c>
      <c r="E3008" t="s">
        <v>21</v>
      </c>
      <c r="F3008" t="s">
        <v>22</v>
      </c>
      <c r="G3008" t="s">
        <v>33</v>
      </c>
      <c r="H3008" t="s">
        <v>502</v>
      </c>
      <c r="I3008" t="s">
        <v>5977</v>
      </c>
      <c r="J3008">
        <v>10.386350999999999</v>
      </c>
      <c r="K3008">
        <v>-83.652665999999996</v>
      </c>
      <c r="L3008" t="s">
        <v>1225</v>
      </c>
      <c r="M3008" t="s">
        <v>189</v>
      </c>
      <c r="N3008" t="s">
        <v>211</v>
      </c>
      <c r="O3008" t="s">
        <v>212</v>
      </c>
      <c r="P3008">
        <v>7</v>
      </c>
      <c r="Q3008" t="s">
        <v>39</v>
      </c>
      <c r="S3008" t="str">
        <f>_xlfn.XLOOKUP(UNIVERSO[[#This Row],[Ruta]],'[1]CUOTA RUTA'!A:A,'[1]CUOTA RUTA'!D:D)</f>
        <v>Cargar</v>
      </c>
    </row>
    <row r="3009" spans="1:19" x14ac:dyDescent="0.25">
      <c r="A3009">
        <v>1540020806</v>
      </c>
      <c r="B3009" t="s">
        <v>5978</v>
      </c>
      <c r="C3009" t="s">
        <v>19</v>
      </c>
      <c r="D3009" t="s">
        <v>208</v>
      </c>
      <c r="E3009" t="s">
        <v>21</v>
      </c>
      <c r="F3009" t="s">
        <v>22</v>
      </c>
      <c r="G3009" t="s">
        <v>33</v>
      </c>
      <c r="H3009" t="s">
        <v>417</v>
      </c>
      <c r="I3009" t="s">
        <v>5979</v>
      </c>
      <c r="J3009">
        <v>10.272253320000001</v>
      </c>
      <c r="K3009">
        <v>-83.928802899999994</v>
      </c>
      <c r="L3009" t="s">
        <v>1225</v>
      </c>
      <c r="M3009" t="s">
        <v>189</v>
      </c>
      <c r="N3009" t="s">
        <v>211</v>
      </c>
      <c r="O3009" t="s">
        <v>212</v>
      </c>
      <c r="P3009">
        <v>3</v>
      </c>
      <c r="Q3009" t="s">
        <v>101</v>
      </c>
      <c r="S3009" t="str">
        <f>_xlfn.XLOOKUP(UNIVERSO[[#This Row],[Ruta]],'[1]CUOTA RUTA'!A:A,'[1]CUOTA RUTA'!D:D)</f>
        <v>Cargar</v>
      </c>
    </row>
    <row r="3010" spans="1:19" x14ac:dyDescent="0.25">
      <c r="A3010">
        <v>1540020807</v>
      </c>
      <c r="B3010" t="s">
        <v>5980</v>
      </c>
      <c r="C3010" t="s">
        <v>19</v>
      </c>
      <c r="D3010" t="s">
        <v>324</v>
      </c>
      <c r="E3010" t="s">
        <v>21</v>
      </c>
      <c r="F3010" t="s">
        <v>22</v>
      </c>
      <c r="G3010" t="s">
        <v>33</v>
      </c>
      <c r="H3010" t="s">
        <v>393</v>
      </c>
      <c r="I3010" t="s">
        <v>5981</v>
      </c>
      <c r="J3010">
        <v>10.371836</v>
      </c>
      <c r="K3010">
        <v>-84.434669999999997</v>
      </c>
      <c r="L3010" t="s">
        <v>1225</v>
      </c>
      <c r="M3010" t="s">
        <v>327</v>
      </c>
      <c r="N3010" t="s">
        <v>328</v>
      </c>
      <c r="O3010" t="s">
        <v>329</v>
      </c>
      <c r="P3010">
        <v>15</v>
      </c>
      <c r="Q3010" t="s">
        <v>231</v>
      </c>
      <c r="S3010" t="str">
        <f>_xlfn.XLOOKUP(UNIVERSO[[#This Row],[Ruta]],'[1]CUOTA RUTA'!A:A,'[1]CUOTA RUTA'!D:D)</f>
        <v>Cargar</v>
      </c>
    </row>
    <row r="3011" spans="1:19" x14ac:dyDescent="0.25">
      <c r="A3011">
        <v>1540020824</v>
      </c>
      <c r="B3011" t="s">
        <v>5982</v>
      </c>
      <c r="C3011" t="s">
        <v>19</v>
      </c>
      <c r="D3011" t="s">
        <v>324</v>
      </c>
      <c r="E3011" t="s">
        <v>21</v>
      </c>
      <c r="F3011" t="s">
        <v>22</v>
      </c>
      <c r="G3011" t="s">
        <v>33</v>
      </c>
      <c r="H3011" t="s">
        <v>557</v>
      </c>
      <c r="I3011" t="s">
        <v>5983</v>
      </c>
      <c r="J3011">
        <v>10.47242</v>
      </c>
      <c r="K3011">
        <v>-84.644411000000005</v>
      </c>
      <c r="L3011" t="s">
        <v>1225</v>
      </c>
      <c r="M3011" t="s">
        <v>327</v>
      </c>
      <c r="N3011" t="s">
        <v>328</v>
      </c>
      <c r="O3011" t="s">
        <v>329</v>
      </c>
      <c r="P3011">
        <v>21</v>
      </c>
      <c r="Q3011" t="s">
        <v>239</v>
      </c>
      <c r="S3011" t="str">
        <f>_xlfn.XLOOKUP(UNIVERSO[[#This Row],[Ruta]],'[1]CUOTA RUTA'!A:A,'[1]CUOTA RUTA'!D:D)</f>
        <v>Cargar</v>
      </c>
    </row>
    <row r="3012" spans="1:19" x14ac:dyDescent="0.25">
      <c r="A3012">
        <v>1540020825</v>
      </c>
      <c r="B3012" t="s">
        <v>5984</v>
      </c>
      <c r="C3012" t="s">
        <v>19</v>
      </c>
      <c r="D3012" t="s">
        <v>349</v>
      </c>
      <c r="E3012" t="s">
        <v>21</v>
      </c>
      <c r="F3012" t="s">
        <v>51</v>
      </c>
      <c r="G3012" t="s">
        <v>23</v>
      </c>
      <c r="H3012" t="s">
        <v>359</v>
      </c>
      <c r="I3012" t="s">
        <v>5985</v>
      </c>
      <c r="J3012">
        <v>9.9950089999999996</v>
      </c>
      <c r="K3012">
        <v>-85.2517</v>
      </c>
      <c r="L3012" t="s">
        <v>1225</v>
      </c>
      <c r="M3012" t="s">
        <v>352</v>
      </c>
      <c r="N3012" t="s">
        <v>353</v>
      </c>
      <c r="O3012" t="s">
        <v>354</v>
      </c>
      <c r="P3012">
        <v>15</v>
      </c>
      <c r="Q3012" t="s">
        <v>231</v>
      </c>
      <c r="S3012" t="str">
        <f>_xlfn.XLOOKUP(UNIVERSO[[#This Row],[Ruta]],'[1]CUOTA RUTA'!A:A,'[1]CUOTA RUTA'!D:D)</f>
        <v>Cargar</v>
      </c>
    </row>
    <row r="3013" spans="1:19" x14ac:dyDescent="0.25">
      <c r="A3013">
        <v>1540020869</v>
      </c>
      <c r="B3013" t="s">
        <v>5986</v>
      </c>
      <c r="C3013" t="s">
        <v>19</v>
      </c>
      <c r="D3013" t="s">
        <v>32</v>
      </c>
      <c r="E3013" t="s">
        <v>21</v>
      </c>
      <c r="F3013" t="s">
        <v>22</v>
      </c>
      <c r="G3013" t="s">
        <v>64</v>
      </c>
      <c r="H3013" t="s">
        <v>179</v>
      </c>
      <c r="I3013" t="s">
        <v>5987</v>
      </c>
      <c r="J3013">
        <v>9.9054310000000001</v>
      </c>
      <c r="K3013">
        <v>-84.055521999999996</v>
      </c>
      <c r="L3013" t="s">
        <v>1225</v>
      </c>
      <c r="M3013" t="s">
        <v>36</v>
      </c>
      <c r="N3013" t="s">
        <v>37</v>
      </c>
      <c r="O3013" t="s">
        <v>38</v>
      </c>
      <c r="P3013">
        <v>12</v>
      </c>
      <c r="Q3013" t="s">
        <v>42</v>
      </c>
      <c r="S3013" t="str">
        <f>_xlfn.XLOOKUP(UNIVERSO[[#This Row],[Ruta]],'[1]CUOTA RUTA'!A:A,'[1]CUOTA RUTA'!D:D)</f>
        <v>Cargar</v>
      </c>
    </row>
    <row r="3014" spans="1:19" x14ac:dyDescent="0.25">
      <c r="A3014">
        <v>1540020925</v>
      </c>
      <c r="B3014" t="s">
        <v>5988</v>
      </c>
      <c r="C3014" t="s">
        <v>19</v>
      </c>
      <c r="D3014" t="s">
        <v>20</v>
      </c>
      <c r="E3014" t="s">
        <v>21</v>
      </c>
      <c r="F3014" t="s">
        <v>22</v>
      </c>
      <c r="G3014" t="s">
        <v>64</v>
      </c>
      <c r="H3014" t="s">
        <v>198</v>
      </c>
      <c r="I3014" t="s">
        <v>5989</v>
      </c>
      <c r="J3014">
        <v>9.9065399999999997</v>
      </c>
      <c r="K3014">
        <v>-84.178349999999995</v>
      </c>
      <c r="L3014" t="s">
        <v>1225</v>
      </c>
      <c r="M3014" t="s">
        <v>54</v>
      </c>
      <c r="N3014" t="s">
        <v>55</v>
      </c>
      <c r="O3014" t="s">
        <v>56</v>
      </c>
      <c r="P3014">
        <v>11</v>
      </c>
      <c r="Q3014" t="s">
        <v>108</v>
      </c>
      <c r="S3014" t="str">
        <f>_xlfn.XLOOKUP(UNIVERSO[[#This Row],[Ruta]],'[1]CUOTA RUTA'!A:A,'[1]CUOTA RUTA'!D:D)</f>
        <v>Cargar</v>
      </c>
    </row>
    <row r="3015" spans="1:19" x14ac:dyDescent="0.25">
      <c r="A3015">
        <v>1540020945</v>
      </c>
      <c r="B3015" t="s">
        <v>5990</v>
      </c>
      <c r="C3015" t="s">
        <v>19</v>
      </c>
      <c r="D3015" t="s">
        <v>32</v>
      </c>
      <c r="E3015" t="s">
        <v>21</v>
      </c>
      <c r="F3015" t="s">
        <v>22</v>
      </c>
      <c r="G3015" t="s">
        <v>64</v>
      </c>
      <c r="H3015" t="s">
        <v>183</v>
      </c>
      <c r="I3015" t="s">
        <v>5991</v>
      </c>
      <c r="J3015">
        <v>9.9624670000000002</v>
      </c>
      <c r="K3015">
        <v>-84.060500000000005</v>
      </c>
      <c r="L3015" t="s">
        <v>1225</v>
      </c>
      <c r="M3015" t="s">
        <v>36</v>
      </c>
      <c r="N3015" t="s">
        <v>37</v>
      </c>
      <c r="O3015" t="s">
        <v>38</v>
      </c>
      <c r="P3015">
        <v>22</v>
      </c>
      <c r="Q3015" t="s">
        <v>30</v>
      </c>
      <c r="S3015" t="str">
        <f>_xlfn.XLOOKUP(UNIVERSO[[#This Row],[Ruta]],'[1]CUOTA RUTA'!A:A,'[1]CUOTA RUTA'!D:D)</f>
        <v>Cargar</v>
      </c>
    </row>
    <row r="3016" spans="1:19" x14ac:dyDescent="0.25">
      <c r="A3016">
        <v>1540020997</v>
      </c>
      <c r="B3016" t="s">
        <v>5217</v>
      </c>
      <c r="C3016" t="s">
        <v>19</v>
      </c>
      <c r="D3016" t="s">
        <v>337</v>
      </c>
      <c r="E3016" t="s">
        <v>21</v>
      </c>
      <c r="F3016" t="s">
        <v>22</v>
      </c>
      <c r="G3016" t="s">
        <v>33</v>
      </c>
      <c r="H3016" t="s">
        <v>1732</v>
      </c>
      <c r="I3016" t="s">
        <v>5992</v>
      </c>
      <c r="J3016">
        <v>10.444967</v>
      </c>
      <c r="K3016">
        <v>-85.551090000000002</v>
      </c>
      <c r="L3016" t="s">
        <v>1225</v>
      </c>
      <c r="M3016" t="s">
        <v>327</v>
      </c>
      <c r="N3016" t="s">
        <v>340</v>
      </c>
      <c r="O3016" t="s">
        <v>341</v>
      </c>
      <c r="P3016">
        <v>16</v>
      </c>
      <c r="Q3016" t="s">
        <v>60</v>
      </c>
      <c r="S3016" t="str">
        <f>_xlfn.XLOOKUP(UNIVERSO[[#This Row],[Ruta]],'[1]CUOTA RUTA'!A:A,'[1]CUOTA RUTA'!D:D)</f>
        <v>Cargar</v>
      </c>
    </row>
    <row r="3017" spans="1:19" x14ac:dyDescent="0.25">
      <c r="A3017">
        <v>1540020998</v>
      </c>
      <c r="B3017" t="s">
        <v>5993</v>
      </c>
      <c r="C3017" t="s">
        <v>19</v>
      </c>
      <c r="D3017" t="s">
        <v>337</v>
      </c>
      <c r="E3017" t="s">
        <v>21</v>
      </c>
      <c r="F3017" t="s">
        <v>22</v>
      </c>
      <c r="G3017" t="s">
        <v>33</v>
      </c>
      <c r="H3017" t="s">
        <v>343</v>
      </c>
      <c r="I3017" t="s">
        <v>5994</v>
      </c>
      <c r="J3017">
        <v>10.655905000000001</v>
      </c>
      <c r="K3017">
        <v>-85.424991000000006</v>
      </c>
      <c r="L3017" t="s">
        <v>1225</v>
      </c>
      <c r="M3017" t="s">
        <v>327</v>
      </c>
      <c r="N3017" t="s">
        <v>340</v>
      </c>
      <c r="O3017" t="s">
        <v>341</v>
      </c>
      <c r="P3017">
        <v>14</v>
      </c>
      <c r="Q3017" t="s">
        <v>181</v>
      </c>
      <c r="S3017" t="str">
        <f>_xlfn.XLOOKUP(UNIVERSO[[#This Row],[Ruta]],'[1]CUOTA RUTA'!A:A,'[1]CUOTA RUTA'!D:D)</f>
        <v>Cargar</v>
      </c>
    </row>
    <row r="3018" spans="1:19" x14ac:dyDescent="0.25">
      <c r="A3018">
        <v>1540021016</v>
      </c>
      <c r="B3018" t="s">
        <v>5995</v>
      </c>
      <c r="C3018" t="s">
        <v>19</v>
      </c>
      <c r="D3018" t="s">
        <v>32</v>
      </c>
      <c r="E3018" t="s">
        <v>21</v>
      </c>
      <c r="F3018" t="s">
        <v>22</v>
      </c>
      <c r="G3018" t="s">
        <v>64</v>
      </c>
      <c r="H3018" t="s">
        <v>112</v>
      </c>
      <c r="I3018" t="s">
        <v>5996</v>
      </c>
      <c r="J3018">
        <v>9.9676189999999991</v>
      </c>
      <c r="K3018">
        <v>-84.094655000000003</v>
      </c>
      <c r="L3018" t="s">
        <v>1225</v>
      </c>
      <c r="M3018" t="s">
        <v>94</v>
      </c>
      <c r="N3018" t="s">
        <v>95</v>
      </c>
      <c r="O3018" t="s">
        <v>96</v>
      </c>
      <c r="P3018">
        <v>11</v>
      </c>
      <c r="Q3018" t="s">
        <v>108</v>
      </c>
      <c r="S3018" t="str">
        <f>_xlfn.XLOOKUP(UNIVERSO[[#This Row],[Ruta]],'[1]CUOTA RUTA'!A:A,'[1]CUOTA RUTA'!D:D)</f>
        <v>Cargar</v>
      </c>
    </row>
    <row r="3019" spans="1:19" x14ac:dyDescent="0.25">
      <c r="A3019">
        <v>1540021042</v>
      </c>
      <c r="B3019" t="s">
        <v>5997</v>
      </c>
      <c r="C3019" t="s">
        <v>19</v>
      </c>
      <c r="D3019" t="s">
        <v>20</v>
      </c>
      <c r="E3019" t="s">
        <v>21</v>
      </c>
      <c r="F3019" t="s">
        <v>22</v>
      </c>
      <c r="G3019" t="s">
        <v>64</v>
      </c>
      <c r="H3019" t="s">
        <v>369</v>
      </c>
      <c r="I3019" t="s">
        <v>5998</v>
      </c>
      <c r="J3019">
        <v>10.024256319999999</v>
      </c>
      <c r="K3019">
        <v>-84.127124069999994</v>
      </c>
      <c r="L3019" t="s">
        <v>1225</v>
      </c>
      <c r="M3019" t="s">
        <v>27</v>
      </c>
      <c r="N3019" t="s">
        <v>28</v>
      </c>
      <c r="O3019" t="s">
        <v>29</v>
      </c>
      <c r="P3019">
        <v>15</v>
      </c>
      <c r="Q3019" t="s">
        <v>231</v>
      </c>
      <c r="S3019" t="str">
        <f>_xlfn.XLOOKUP(UNIVERSO[[#This Row],[Ruta]],'[1]CUOTA RUTA'!A:A,'[1]CUOTA RUTA'!D:D)</f>
        <v>Cargar</v>
      </c>
    </row>
    <row r="3020" spans="1:19" x14ac:dyDescent="0.25">
      <c r="A3020">
        <v>1540021058</v>
      </c>
      <c r="B3020" t="s">
        <v>5999</v>
      </c>
      <c r="C3020" t="s">
        <v>19</v>
      </c>
      <c r="D3020" t="s">
        <v>20</v>
      </c>
      <c r="E3020" t="s">
        <v>21</v>
      </c>
      <c r="F3020" t="s">
        <v>22</v>
      </c>
      <c r="G3020" t="s">
        <v>33</v>
      </c>
      <c r="H3020" t="s">
        <v>862</v>
      </c>
      <c r="I3020" t="s">
        <v>6000</v>
      </c>
      <c r="J3020">
        <v>9.9648599999999998</v>
      </c>
      <c r="K3020">
        <v>-84.182419999999993</v>
      </c>
      <c r="L3020" t="s">
        <v>1225</v>
      </c>
      <c r="M3020" t="s">
        <v>27</v>
      </c>
      <c r="N3020" t="s">
        <v>28</v>
      </c>
      <c r="O3020" t="s">
        <v>29</v>
      </c>
      <c r="P3020">
        <v>23</v>
      </c>
      <c r="Q3020" t="s">
        <v>125</v>
      </c>
      <c r="S3020" t="str">
        <f>_xlfn.XLOOKUP(UNIVERSO[[#This Row],[Ruta]],'[1]CUOTA RUTA'!A:A,'[1]CUOTA RUTA'!D:D)</f>
        <v>Cargar</v>
      </c>
    </row>
    <row r="3021" spans="1:19" x14ac:dyDescent="0.25">
      <c r="A3021">
        <v>1540021068</v>
      </c>
      <c r="B3021" t="s">
        <v>6001</v>
      </c>
      <c r="C3021" t="s">
        <v>19</v>
      </c>
      <c r="D3021" t="s">
        <v>244</v>
      </c>
      <c r="E3021" t="s">
        <v>21</v>
      </c>
      <c r="F3021" t="s">
        <v>22</v>
      </c>
      <c r="G3021" t="s">
        <v>64</v>
      </c>
      <c r="H3021" t="s">
        <v>245</v>
      </c>
      <c r="I3021" t="s">
        <v>6002</v>
      </c>
      <c r="J3021">
        <v>9.2341069999999998</v>
      </c>
      <c r="K3021">
        <v>-83.593112599999998</v>
      </c>
      <c r="L3021" t="s">
        <v>1225</v>
      </c>
      <c r="M3021" t="s">
        <v>46</v>
      </c>
      <c r="N3021" t="s">
        <v>247</v>
      </c>
      <c r="O3021" t="s">
        <v>248</v>
      </c>
      <c r="P3021">
        <v>19</v>
      </c>
      <c r="Q3021" t="s">
        <v>67</v>
      </c>
      <c r="S3021" t="str">
        <f>_xlfn.XLOOKUP(UNIVERSO[[#This Row],[Ruta]],'[1]CUOTA RUTA'!A:A,'[1]CUOTA RUTA'!D:D)</f>
        <v>Cargar</v>
      </c>
    </row>
    <row r="3022" spans="1:19" x14ac:dyDescent="0.25">
      <c r="A3022">
        <v>1540021087</v>
      </c>
      <c r="B3022" t="s">
        <v>6003</v>
      </c>
      <c r="C3022" t="s">
        <v>19</v>
      </c>
      <c r="D3022" t="s">
        <v>569</v>
      </c>
      <c r="E3022" t="s">
        <v>21</v>
      </c>
      <c r="F3022" t="s">
        <v>22</v>
      </c>
      <c r="G3022" t="s">
        <v>64</v>
      </c>
      <c r="H3022" t="s">
        <v>570</v>
      </c>
      <c r="I3022" t="s">
        <v>6004</v>
      </c>
      <c r="J3022">
        <v>8.6694770000000005</v>
      </c>
      <c r="K3022">
        <v>-83.048541999999998</v>
      </c>
      <c r="L3022" t="s">
        <v>1225</v>
      </c>
      <c r="M3022" t="s">
        <v>572</v>
      </c>
      <c r="N3022" t="s">
        <v>573</v>
      </c>
      <c r="O3022" t="s">
        <v>574</v>
      </c>
      <c r="P3022">
        <v>23</v>
      </c>
      <c r="Q3022" t="s">
        <v>125</v>
      </c>
      <c r="S3022" t="str">
        <f>_xlfn.XLOOKUP(UNIVERSO[[#This Row],[Ruta]],'[1]CUOTA RUTA'!A:A,'[1]CUOTA RUTA'!D:D)</f>
        <v>Cargar</v>
      </c>
    </row>
    <row r="3023" spans="1:19" x14ac:dyDescent="0.25">
      <c r="A3023">
        <v>1540021102</v>
      </c>
      <c r="B3023" t="s">
        <v>1130</v>
      </c>
      <c r="C3023" t="s">
        <v>19</v>
      </c>
      <c r="D3023" t="s">
        <v>266</v>
      </c>
      <c r="E3023" t="s">
        <v>21</v>
      </c>
      <c r="F3023" t="s">
        <v>22</v>
      </c>
      <c r="G3023" t="s">
        <v>33</v>
      </c>
      <c r="H3023" t="s">
        <v>272</v>
      </c>
      <c r="I3023" t="s">
        <v>6005</v>
      </c>
      <c r="J3023">
        <v>9.8703722999999997</v>
      </c>
      <c r="K3023">
        <v>-83.798218300000002</v>
      </c>
      <c r="L3023" t="s">
        <v>1225</v>
      </c>
      <c r="M3023" t="s">
        <v>54</v>
      </c>
      <c r="N3023" t="s">
        <v>274</v>
      </c>
      <c r="O3023" t="s">
        <v>275</v>
      </c>
      <c r="P3023">
        <v>21</v>
      </c>
      <c r="Q3023" t="s">
        <v>239</v>
      </c>
      <c r="S3023" t="str">
        <f>_xlfn.XLOOKUP(UNIVERSO[[#This Row],[Ruta]],'[1]CUOTA RUTA'!A:A,'[1]CUOTA RUTA'!D:D)</f>
        <v>Cargar</v>
      </c>
    </row>
    <row r="3024" spans="1:19" x14ac:dyDescent="0.25">
      <c r="A3024">
        <v>1540021112</v>
      </c>
      <c r="B3024" t="s">
        <v>6006</v>
      </c>
      <c r="C3024" t="s">
        <v>19</v>
      </c>
      <c r="D3024" t="s">
        <v>266</v>
      </c>
      <c r="E3024" t="s">
        <v>21</v>
      </c>
      <c r="F3024" t="s">
        <v>22</v>
      </c>
      <c r="G3024" t="s">
        <v>64</v>
      </c>
      <c r="H3024" t="s">
        <v>1011</v>
      </c>
      <c r="I3024" t="s">
        <v>6007</v>
      </c>
      <c r="J3024">
        <v>9.9127966666670009</v>
      </c>
      <c r="K3024">
        <v>-83.894265000000004</v>
      </c>
      <c r="L3024" t="s">
        <v>1225</v>
      </c>
      <c r="M3024" t="s">
        <v>54</v>
      </c>
      <c r="N3024" t="s">
        <v>274</v>
      </c>
      <c r="O3024" t="s">
        <v>275</v>
      </c>
      <c r="P3024">
        <v>20</v>
      </c>
      <c r="Q3024" t="s">
        <v>74</v>
      </c>
      <c r="S3024" t="str">
        <f>_xlfn.XLOOKUP(UNIVERSO[[#This Row],[Ruta]],'[1]CUOTA RUTA'!A:A,'[1]CUOTA RUTA'!D:D)</f>
        <v>Cargar</v>
      </c>
    </row>
    <row r="3025" spans="1:19" x14ac:dyDescent="0.25">
      <c r="A3025">
        <v>1540021130</v>
      </c>
      <c r="B3025" t="s">
        <v>6008</v>
      </c>
      <c r="C3025" t="s">
        <v>19</v>
      </c>
      <c r="D3025" t="s">
        <v>244</v>
      </c>
      <c r="E3025" t="s">
        <v>21</v>
      </c>
      <c r="F3025" t="s">
        <v>22</v>
      </c>
      <c r="G3025" t="s">
        <v>64</v>
      </c>
      <c r="H3025" t="s">
        <v>566</v>
      </c>
      <c r="I3025" t="s">
        <v>6009</v>
      </c>
      <c r="J3025">
        <v>9.3720090000000003</v>
      </c>
      <c r="K3025">
        <v>-83.685879999999997</v>
      </c>
      <c r="L3025" t="s">
        <v>1225</v>
      </c>
      <c r="M3025" t="s">
        <v>46</v>
      </c>
      <c r="N3025" t="s">
        <v>247</v>
      </c>
      <c r="O3025" t="s">
        <v>248</v>
      </c>
      <c r="P3025">
        <v>15</v>
      </c>
      <c r="Q3025" t="s">
        <v>231</v>
      </c>
      <c r="S3025" t="str">
        <f>_xlfn.XLOOKUP(UNIVERSO[[#This Row],[Ruta]],'[1]CUOTA RUTA'!A:A,'[1]CUOTA RUTA'!D:D)</f>
        <v>Cargar</v>
      </c>
    </row>
    <row r="3026" spans="1:19" x14ac:dyDescent="0.25">
      <c r="A3026">
        <v>1540021132</v>
      </c>
      <c r="B3026" t="s">
        <v>6010</v>
      </c>
      <c r="C3026" t="s">
        <v>19</v>
      </c>
      <c r="D3026" t="s">
        <v>32</v>
      </c>
      <c r="E3026" t="s">
        <v>21</v>
      </c>
      <c r="F3026" t="s">
        <v>51</v>
      </c>
      <c r="G3026" t="s">
        <v>23</v>
      </c>
      <c r="H3026" t="s">
        <v>34</v>
      </c>
      <c r="I3026" t="s">
        <v>6011</v>
      </c>
      <c r="J3026">
        <v>9.9793683000000009</v>
      </c>
      <c r="K3026">
        <v>-84.089341700000006</v>
      </c>
      <c r="L3026" t="s">
        <v>1225</v>
      </c>
      <c r="M3026" t="s">
        <v>36</v>
      </c>
      <c r="N3026" t="s">
        <v>37</v>
      </c>
      <c r="O3026" t="s">
        <v>38</v>
      </c>
      <c r="P3026">
        <v>1</v>
      </c>
      <c r="Q3026" t="s">
        <v>155</v>
      </c>
      <c r="S3026" t="str">
        <f>_xlfn.XLOOKUP(UNIVERSO[[#This Row],[Ruta]],'[1]CUOTA RUTA'!A:A,'[1]CUOTA RUTA'!D:D)</f>
        <v>Cargar</v>
      </c>
    </row>
    <row r="3027" spans="1:19" x14ac:dyDescent="0.25">
      <c r="A3027">
        <v>1540021176</v>
      </c>
      <c r="B3027" t="s">
        <v>6012</v>
      </c>
      <c r="C3027" t="s">
        <v>19</v>
      </c>
      <c r="D3027" t="s">
        <v>20</v>
      </c>
      <c r="E3027" t="s">
        <v>21</v>
      </c>
      <c r="F3027" t="s">
        <v>22</v>
      </c>
      <c r="G3027" t="s">
        <v>33</v>
      </c>
      <c r="H3027" t="s">
        <v>913</v>
      </c>
      <c r="I3027" t="s">
        <v>6013</v>
      </c>
      <c r="J3027">
        <v>9.9633299999999991</v>
      </c>
      <c r="K3027">
        <v>-84.150499999999994</v>
      </c>
      <c r="L3027" t="s">
        <v>1225</v>
      </c>
      <c r="M3027" t="s">
        <v>27</v>
      </c>
      <c r="N3027" t="s">
        <v>28</v>
      </c>
      <c r="O3027" t="s">
        <v>29</v>
      </c>
      <c r="P3027">
        <v>1</v>
      </c>
      <c r="Q3027" t="s">
        <v>155</v>
      </c>
      <c r="S3027" t="str">
        <f>_xlfn.XLOOKUP(UNIVERSO[[#This Row],[Ruta]],'[1]CUOTA RUTA'!A:A,'[1]CUOTA RUTA'!D:D)</f>
        <v>Cargar</v>
      </c>
    </row>
    <row r="3028" spans="1:19" x14ac:dyDescent="0.25">
      <c r="A3028">
        <v>1540021202</v>
      </c>
      <c r="B3028" t="s">
        <v>6014</v>
      </c>
      <c r="C3028" t="s">
        <v>19</v>
      </c>
      <c r="D3028" t="s">
        <v>244</v>
      </c>
      <c r="E3028" t="s">
        <v>21</v>
      </c>
      <c r="F3028" t="s">
        <v>22</v>
      </c>
      <c r="G3028" t="s">
        <v>33</v>
      </c>
      <c r="H3028" t="s">
        <v>857</v>
      </c>
      <c r="I3028" t="s">
        <v>6015</v>
      </c>
      <c r="J3028">
        <v>9.2702335999999992</v>
      </c>
      <c r="K3028">
        <v>-83.636696499999999</v>
      </c>
      <c r="L3028" t="s">
        <v>1225</v>
      </c>
      <c r="M3028" t="s">
        <v>46</v>
      </c>
      <c r="N3028" t="s">
        <v>247</v>
      </c>
      <c r="O3028" t="s">
        <v>248</v>
      </c>
      <c r="P3028">
        <v>18</v>
      </c>
      <c r="Q3028" t="s">
        <v>84</v>
      </c>
      <c r="S3028" t="str">
        <f>_xlfn.XLOOKUP(UNIVERSO[[#This Row],[Ruta]],'[1]CUOTA RUTA'!A:A,'[1]CUOTA RUTA'!D:D)</f>
        <v>Cargar</v>
      </c>
    </row>
    <row r="3029" spans="1:19" x14ac:dyDescent="0.25">
      <c r="A3029">
        <v>1540021239</v>
      </c>
      <c r="B3029" t="s">
        <v>6016</v>
      </c>
      <c r="C3029" t="s">
        <v>19</v>
      </c>
      <c r="D3029" t="s">
        <v>266</v>
      </c>
      <c r="E3029" t="s">
        <v>21</v>
      </c>
      <c r="F3029" t="s">
        <v>22</v>
      </c>
      <c r="G3029" t="s">
        <v>64</v>
      </c>
      <c r="H3029" t="s">
        <v>1011</v>
      </c>
      <c r="I3029" t="s">
        <v>6017</v>
      </c>
      <c r="J3029">
        <v>9.8377918999999991</v>
      </c>
      <c r="K3029">
        <v>-83.8143721</v>
      </c>
      <c r="L3029" t="s">
        <v>1225</v>
      </c>
      <c r="M3029" t="s">
        <v>54</v>
      </c>
      <c r="N3029" t="s">
        <v>274</v>
      </c>
      <c r="O3029" t="s">
        <v>275</v>
      </c>
      <c r="P3029">
        <v>21</v>
      </c>
      <c r="Q3029" t="s">
        <v>239</v>
      </c>
      <c r="S3029" t="str">
        <f>_xlfn.XLOOKUP(UNIVERSO[[#This Row],[Ruta]],'[1]CUOTA RUTA'!A:A,'[1]CUOTA RUTA'!D:D)</f>
        <v>Cargar</v>
      </c>
    </row>
    <row r="3030" spans="1:19" x14ac:dyDescent="0.25">
      <c r="A3030">
        <v>1540021252</v>
      </c>
      <c r="B3030" t="s">
        <v>6018</v>
      </c>
      <c r="C3030" t="s">
        <v>19</v>
      </c>
      <c r="D3030" t="s">
        <v>208</v>
      </c>
      <c r="E3030" t="s">
        <v>21</v>
      </c>
      <c r="F3030" t="s">
        <v>22</v>
      </c>
      <c r="G3030" t="s">
        <v>33</v>
      </c>
      <c r="H3030" t="s">
        <v>616</v>
      </c>
      <c r="I3030" t="s">
        <v>6019</v>
      </c>
      <c r="J3030">
        <v>10.437419999999999</v>
      </c>
      <c r="K3030">
        <v>-83.999796000000003</v>
      </c>
      <c r="L3030" t="s">
        <v>1225</v>
      </c>
      <c r="M3030" t="s">
        <v>189</v>
      </c>
      <c r="N3030" t="s">
        <v>211</v>
      </c>
      <c r="O3030" t="s">
        <v>212</v>
      </c>
      <c r="P3030">
        <v>10</v>
      </c>
      <c r="Q3030" t="s">
        <v>136</v>
      </c>
      <c r="S3030" t="str">
        <f>_xlfn.XLOOKUP(UNIVERSO[[#This Row],[Ruta]],'[1]CUOTA RUTA'!A:A,'[1]CUOTA RUTA'!D:D)</f>
        <v>Cargar</v>
      </c>
    </row>
    <row r="3031" spans="1:19" x14ac:dyDescent="0.25">
      <c r="A3031">
        <v>1540021281</v>
      </c>
      <c r="B3031" t="s">
        <v>6020</v>
      </c>
      <c r="C3031" t="s">
        <v>19</v>
      </c>
      <c r="D3031" t="s">
        <v>349</v>
      </c>
      <c r="E3031" t="s">
        <v>21</v>
      </c>
      <c r="F3031" t="s">
        <v>22</v>
      </c>
      <c r="G3031" t="s">
        <v>33</v>
      </c>
      <c r="H3031" t="s">
        <v>711</v>
      </c>
      <c r="I3031" t="s">
        <v>6021</v>
      </c>
      <c r="J3031">
        <v>10.276539</v>
      </c>
      <c r="K3031">
        <v>-85.341268999999997</v>
      </c>
      <c r="L3031" t="s">
        <v>1225</v>
      </c>
      <c r="M3031" t="s">
        <v>352</v>
      </c>
      <c r="N3031" t="s">
        <v>353</v>
      </c>
      <c r="O3031" t="s">
        <v>354</v>
      </c>
      <c r="P3031">
        <v>16</v>
      </c>
      <c r="Q3031" t="s">
        <v>60</v>
      </c>
      <c r="S3031" t="str">
        <f>_xlfn.XLOOKUP(UNIVERSO[[#This Row],[Ruta]],'[1]CUOTA RUTA'!A:A,'[1]CUOTA RUTA'!D:D)</f>
        <v>Cargar</v>
      </c>
    </row>
    <row r="3032" spans="1:19" x14ac:dyDescent="0.25">
      <c r="A3032">
        <v>1540021309</v>
      </c>
      <c r="B3032" t="s">
        <v>6022</v>
      </c>
      <c r="C3032" t="s">
        <v>19</v>
      </c>
      <c r="D3032" t="s">
        <v>32</v>
      </c>
      <c r="E3032" t="s">
        <v>21</v>
      </c>
      <c r="F3032" t="s">
        <v>22</v>
      </c>
      <c r="G3032" t="s">
        <v>33</v>
      </c>
      <c r="H3032" t="s">
        <v>76</v>
      </c>
      <c r="I3032" t="s">
        <v>6023</v>
      </c>
      <c r="J3032">
        <v>9.9643230000000003</v>
      </c>
      <c r="K3032">
        <v>-84.006798000000003</v>
      </c>
      <c r="L3032" t="s">
        <v>1225</v>
      </c>
      <c r="M3032" t="s">
        <v>36</v>
      </c>
      <c r="N3032" t="s">
        <v>37</v>
      </c>
      <c r="O3032" t="s">
        <v>38</v>
      </c>
      <c r="P3032">
        <v>20</v>
      </c>
      <c r="Q3032" t="s">
        <v>74</v>
      </c>
      <c r="S3032" t="str">
        <f>_xlfn.XLOOKUP(UNIVERSO[[#This Row],[Ruta]],'[1]CUOTA RUTA'!A:A,'[1]CUOTA RUTA'!D:D)</f>
        <v>Cargar</v>
      </c>
    </row>
    <row r="3033" spans="1:19" x14ac:dyDescent="0.25">
      <c r="A3033">
        <v>1540021328</v>
      </c>
      <c r="B3033" t="s">
        <v>6024</v>
      </c>
      <c r="C3033" t="s">
        <v>19</v>
      </c>
      <c r="D3033" t="s">
        <v>201</v>
      </c>
      <c r="E3033" t="s">
        <v>21</v>
      </c>
      <c r="F3033" t="s">
        <v>22</v>
      </c>
      <c r="G3033" t="s">
        <v>23</v>
      </c>
      <c r="H3033" t="s">
        <v>794</v>
      </c>
      <c r="I3033" t="s">
        <v>6025</v>
      </c>
      <c r="J3033">
        <v>9.5990591999999992</v>
      </c>
      <c r="K3033">
        <v>-84.618079199999997</v>
      </c>
      <c r="L3033" t="s">
        <v>1225</v>
      </c>
      <c r="M3033" t="s">
        <v>204</v>
      </c>
      <c r="N3033" t="s">
        <v>205</v>
      </c>
      <c r="O3033" t="s">
        <v>206</v>
      </c>
      <c r="P3033">
        <v>6</v>
      </c>
      <c r="Q3033" t="s">
        <v>49</v>
      </c>
      <c r="S3033" t="str">
        <f>_xlfn.XLOOKUP(UNIVERSO[[#This Row],[Ruta]],'[1]CUOTA RUTA'!A:A,'[1]CUOTA RUTA'!D:D)</f>
        <v>Cargar</v>
      </c>
    </row>
    <row r="3034" spans="1:19" x14ac:dyDescent="0.25">
      <c r="A3034">
        <v>1540021346</v>
      </c>
      <c r="B3034" t="s">
        <v>6026</v>
      </c>
      <c r="C3034" t="s">
        <v>19</v>
      </c>
      <c r="D3034" t="s">
        <v>244</v>
      </c>
      <c r="E3034" t="s">
        <v>21</v>
      </c>
      <c r="F3034" t="s">
        <v>22</v>
      </c>
      <c r="G3034" t="s">
        <v>23</v>
      </c>
      <c r="H3034" t="s">
        <v>436</v>
      </c>
      <c r="I3034" t="s">
        <v>6027</v>
      </c>
      <c r="J3034">
        <v>9.4626470000000005</v>
      </c>
      <c r="K3034">
        <v>-84.064446000000004</v>
      </c>
      <c r="L3034" t="s">
        <v>1225</v>
      </c>
      <c r="M3034" t="s">
        <v>46</v>
      </c>
      <c r="N3034" t="s">
        <v>247</v>
      </c>
      <c r="O3034" t="s">
        <v>248</v>
      </c>
      <c r="P3034">
        <v>20</v>
      </c>
      <c r="Q3034" t="s">
        <v>74</v>
      </c>
      <c r="S3034" t="str">
        <f>_xlfn.XLOOKUP(UNIVERSO[[#This Row],[Ruta]],'[1]CUOTA RUTA'!A:A,'[1]CUOTA RUTA'!D:D)</f>
        <v>Cargar</v>
      </c>
    </row>
    <row r="3035" spans="1:19" x14ac:dyDescent="0.25">
      <c r="A3035">
        <v>1540021350</v>
      </c>
      <c r="B3035" t="s">
        <v>6028</v>
      </c>
      <c r="C3035" t="s">
        <v>19</v>
      </c>
      <c r="D3035" t="s">
        <v>244</v>
      </c>
      <c r="E3035" t="s">
        <v>21</v>
      </c>
      <c r="F3035" t="s">
        <v>22</v>
      </c>
      <c r="G3035" t="s">
        <v>64</v>
      </c>
      <c r="H3035" t="s">
        <v>245</v>
      </c>
      <c r="I3035" t="s">
        <v>6029</v>
      </c>
      <c r="J3035">
        <v>9.1538766666669993</v>
      </c>
      <c r="K3035">
        <v>-83.732521666660006</v>
      </c>
      <c r="L3035" t="s">
        <v>1225</v>
      </c>
      <c r="M3035" t="s">
        <v>46</v>
      </c>
      <c r="N3035" t="s">
        <v>247</v>
      </c>
      <c r="O3035" t="s">
        <v>248</v>
      </c>
      <c r="P3035">
        <v>19</v>
      </c>
      <c r="Q3035" t="s">
        <v>67</v>
      </c>
      <c r="S3035" t="str">
        <f>_xlfn.XLOOKUP(UNIVERSO[[#This Row],[Ruta]],'[1]CUOTA RUTA'!A:A,'[1]CUOTA RUTA'!D:D)</f>
        <v>Cargar</v>
      </c>
    </row>
    <row r="3036" spans="1:19" x14ac:dyDescent="0.25">
      <c r="A3036">
        <v>1540021384</v>
      </c>
      <c r="B3036" t="s">
        <v>6030</v>
      </c>
      <c r="C3036" t="s">
        <v>19</v>
      </c>
      <c r="D3036" t="s">
        <v>266</v>
      </c>
      <c r="E3036" t="s">
        <v>21</v>
      </c>
      <c r="F3036" t="s">
        <v>22</v>
      </c>
      <c r="G3036" t="s">
        <v>33</v>
      </c>
      <c r="H3036" t="s">
        <v>706</v>
      </c>
      <c r="I3036" t="s">
        <v>6031</v>
      </c>
      <c r="J3036">
        <v>9.8600399999999997</v>
      </c>
      <c r="K3036">
        <v>-83.936402000000001</v>
      </c>
      <c r="L3036" t="s">
        <v>1225</v>
      </c>
      <c r="M3036" t="s">
        <v>36</v>
      </c>
      <c r="N3036" t="s">
        <v>316</v>
      </c>
      <c r="O3036" t="s">
        <v>317</v>
      </c>
      <c r="P3036">
        <v>18</v>
      </c>
      <c r="Q3036" t="s">
        <v>84</v>
      </c>
      <c r="S3036" t="str">
        <f>_xlfn.XLOOKUP(UNIVERSO[[#This Row],[Ruta]],'[1]CUOTA RUTA'!A:A,'[1]CUOTA RUTA'!D:D)</f>
        <v>Cargar</v>
      </c>
    </row>
    <row r="3037" spans="1:19" x14ac:dyDescent="0.25">
      <c r="A3037">
        <v>1540021417</v>
      </c>
      <c r="B3037" t="s">
        <v>6032</v>
      </c>
      <c r="C3037" t="s">
        <v>19</v>
      </c>
      <c r="D3037" t="s">
        <v>244</v>
      </c>
      <c r="E3037" t="s">
        <v>21</v>
      </c>
      <c r="F3037" t="s">
        <v>22</v>
      </c>
      <c r="G3037" t="s">
        <v>33</v>
      </c>
      <c r="H3037" t="s">
        <v>245</v>
      </c>
      <c r="I3037" t="s">
        <v>6033</v>
      </c>
      <c r="J3037">
        <v>9.2280820000000006</v>
      </c>
      <c r="K3037">
        <v>-83.641566999999995</v>
      </c>
      <c r="L3037" t="s">
        <v>1225</v>
      </c>
      <c r="M3037" t="s">
        <v>46</v>
      </c>
      <c r="N3037" t="s">
        <v>247</v>
      </c>
      <c r="O3037" t="s">
        <v>248</v>
      </c>
      <c r="P3037">
        <v>13</v>
      </c>
      <c r="Q3037" t="s">
        <v>161</v>
      </c>
      <c r="S3037" t="str">
        <f>_xlfn.XLOOKUP(UNIVERSO[[#This Row],[Ruta]],'[1]CUOTA RUTA'!A:A,'[1]CUOTA RUTA'!D:D)</f>
        <v>Cargar</v>
      </c>
    </row>
    <row r="3038" spans="1:19" x14ac:dyDescent="0.25">
      <c r="A3038">
        <v>1540021420</v>
      </c>
      <c r="B3038" t="s">
        <v>6034</v>
      </c>
      <c r="C3038" t="s">
        <v>19</v>
      </c>
      <c r="D3038" t="s">
        <v>201</v>
      </c>
      <c r="E3038" t="s">
        <v>21</v>
      </c>
      <c r="F3038" t="s">
        <v>22</v>
      </c>
      <c r="G3038" t="s">
        <v>33</v>
      </c>
      <c r="H3038" t="s">
        <v>528</v>
      </c>
      <c r="I3038" t="s">
        <v>6035</v>
      </c>
      <c r="J3038">
        <v>10.1851517</v>
      </c>
      <c r="K3038">
        <v>-84.9053428</v>
      </c>
      <c r="L3038" t="s">
        <v>1225</v>
      </c>
      <c r="M3038" t="s">
        <v>327</v>
      </c>
      <c r="N3038" t="s">
        <v>530</v>
      </c>
      <c r="O3038" t="s">
        <v>531</v>
      </c>
      <c r="P3038">
        <v>2</v>
      </c>
      <c r="Q3038" t="s">
        <v>150</v>
      </c>
      <c r="S3038" t="str">
        <f>_xlfn.XLOOKUP(UNIVERSO[[#This Row],[Ruta]],'[1]CUOTA RUTA'!A:A,'[1]CUOTA RUTA'!D:D)</f>
        <v>Cargar</v>
      </c>
    </row>
    <row r="3039" spans="1:19" x14ac:dyDescent="0.25">
      <c r="A3039">
        <v>1540021448</v>
      </c>
      <c r="B3039" t="s">
        <v>6036</v>
      </c>
      <c r="C3039" t="s">
        <v>19</v>
      </c>
      <c r="D3039" t="s">
        <v>337</v>
      </c>
      <c r="E3039" t="s">
        <v>21</v>
      </c>
      <c r="F3039" t="s">
        <v>22</v>
      </c>
      <c r="G3039" t="s">
        <v>64</v>
      </c>
      <c r="H3039" t="s">
        <v>824</v>
      </c>
      <c r="I3039" t="s">
        <v>6037</v>
      </c>
      <c r="J3039">
        <v>10.94088773</v>
      </c>
      <c r="K3039">
        <v>-85.67819575</v>
      </c>
      <c r="L3039" t="s">
        <v>1225</v>
      </c>
      <c r="M3039" t="s">
        <v>327</v>
      </c>
      <c r="N3039" t="s">
        <v>340</v>
      </c>
      <c r="O3039" t="s">
        <v>341</v>
      </c>
      <c r="P3039">
        <v>15</v>
      </c>
      <c r="Q3039" t="s">
        <v>231</v>
      </c>
      <c r="S3039" t="str">
        <f>_xlfn.XLOOKUP(UNIVERSO[[#This Row],[Ruta]],'[1]CUOTA RUTA'!A:A,'[1]CUOTA RUTA'!D:D)</f>
        <v>Cargar</v>
      </c>
    </row>
    <row r="3040" spans="1:19" x14ac:dyDescent="0.25">
      <c r="A3040">
        <v>1540021490</v>
      </c>
      <c r="B3040" t="s">
        <v>6038</v>
      </c>
      <c r="C3040" t="s">
        <v>19</v>
      </c>
      <c r="D3040" t="s">
        <v>208</v>
      </c>
      <c r="E3040" t="s">
        <v>21</v>
      </c>
      <c r="F3040" t="s">
        <v>22</v>
      </c>
      <c r="G3040" t="s">
        <v>33</v>
      </c>
      <c r="H3040" t="s">
        <v>631</v>
      </c>
      <c r="I3040" t="s">
        <v>6039</v>
      </c>
      <c r="J3040">
        <v>10.110511000000001</v>
      </c>
      <c r="K3040">
        <v>-83.521806999999995</v>
      </c>
      <c r="L3040" t="s">
        <v>1225</v>
      </c>
      <c r="M3040" t="s">
        <v>189</v>
      </c>
      <c r="N3040" t="s">
        <v>211</v>
      </c>
      <c r="O3040" t="s">
        <v>212</v>
      </c>
      <c r="P3040">
        <v>8</v>
      </c>
      <c r="Q3040" t="s">
        <v>97</v>
      </c>
      <c r="S3040" t="str">
        <f>_xlfn.XLOOKUP(UNIVERSO[[#This Row],[Ruta]],'[1]CUOTA RUTA'!A:A,'[1]CUOTA RUTA'!D:D)</f>
        <v>Cargar</v>
      </c>
    </row>
    <row r="3041" spans="1:19" x14ac:dyDescent="0.25">
      <c r="A3041">
        <v>1540021508</v>
      </c>
      <c r="B3041" t="s">
        <v>6040</v>
      </c>
      <c r="C3041" t="s">
        <v>19</v>
      </c>
      <c r="D3041" t="s">
        <v>32</v>
      </c>
      <c r="E3041" t="s">
        <v>21</v>
      </c>
      <c r="F3041" t="s">
        <v>22</v>
      </c>
      <c r="G3041" t="s">
        <v>64</v>
      </c>
      <c r="H3041" t="s">
        <v>425</v>
      </c>
      <c r="I3041" t="s">
        <v>6041</v>
      </c>
      <c r="J3041">
        <v>9.8735800000000005</v>
      </c>
      <c r="K3041">
        <v>-84.103800000000007</v>
      </c>
      <c r="L3041" t="s">
        <v>1225</v>
      </c>
      <c r="M3041" t="s">
        <v>71</v>
      </c>
      <c r="N3041" t="s">
        <v>72</v>
      </c>
      <c r="O3041" t="s">
        <v>73</v>
      </c>
      <c r="P3041">
        <v>14</v>
      </c>
      <c r="Q3041" t="s">
        <v>181</v>
      </c>
      <c r="S3041" t="str">
        <f>_xlfn.XLOOKUP(UNIVERSO[[#This Row],[Ruta]],'[1]CUOTA RUTA'!A:A,'[1]CUOTA RUTA'!D:D)</f>
        <v>Cargar</v>
      </c>
    </row>
    <row r="3042" spans="1:19" x14ac:dyDescent="0.25">
      <c r="A3042">
        <v>1540021547</v>
      </c>
      <c r="B3042" t="s">
        <v>4601</v>
      </c>
      <c r="C3042" t="s">
        <v>19</v>
      </c>
      <c r="D3042" t="s">
        <v>208</v>
      </c>
      <c r="E3042" t="s">
        <v>21</v>
      </c>
      <c r="F3042" t="s">
        <v>22</v>
      </c>
      <c r="G3042" t="s">
        <v>23</v>
      </c>
      <c r="H3042" t="s">
        <v>209</v>
      </c>
      <c r="I3042" t="s">
        <v>6042</v>
      </c>
      <c r="J3042">
        <v>10.228137</v>
      </c>
      <c r="K3042">
        <v>-83.783961000000005</v>
      </c>
      <c r="L3042" t="s">
        <v>1225</v>
      </c>
      <c r="M3042" t="s">
        <v>189</v>
      </c>
      <c r="N3042" t="s">
        <v>211</v>
      </c>
      <c r="O3042" t="s">
        <v>212</v>
      </c>
      <c r="P3042">
        <v>5</v>
      </c>
      <c r="Q3042" t="s">
        <v>117</v>
      </c>
      <c r="S3042" t="str">
        <f>_xlfn.XLOOKUP(UNIVERSO[[#This Row],[Ruta]],'[1]CUOTA RUTA'!A:A,'[1]CUOTA RUTA'!D:D)</f>
        <v>Cargar</v>
      </c>
    </row>
    <row r="3043" spans="1:19" x14ac:dyDescent="0.25">
      <c r="A3043">
        <v>1540021549</v>
      </c>
      <c r="B3043" t="s">
        <v>3187</v>
      </c>
      <c r="C3043" t="s">
        <v>19</v>
      </c>
      <c r="D3043" t="s">
        <v>208</v>
      </c>
      <c r="E3043" t="s">
        <v>21</v>
      </c>
      <c r="F3043" t="s">
        <v>22</v>
      </c>
      <c r="G3043" t="s">
        <v>23</v>
      </c>
      <c r="H3043" t="s">
        <v>224</v>
      </c>
      <c r="I3043" t="s">
        <v>6043</v>
      </c>
      <c r="J3043">
        <v>10.169750000000001</v>
      </c>
      <c r="K3043">
        <v>-83.607299999999995</v>
      </c>
      <c r="L3043" t="s">
        <v>1225</v>
      </c>
      <c r="M3043" t="s">
        <v>189</v>
      </c>
      <c r="N3043" t="s">
        <v>211</v>
      </c>
      <c r="O3043" t="s">
        <v>212</v>
      </c>
      <c r="P3043">
        <v>7</v>
      </c>
      <c r="Q3043" t="s">
        <v>39</v>
      </c>
      <c r="S3043" t="str">
        <f>_xlfn.XLOOKUP(UNIVERSO[[#This Row],[Ruta]],'[1]CUOTA RUTA'!A:A,'[1]CUOTA RUTA'!D:D)</f>
        <v>Cargar</v>
      </c>
    </row>
    <row r="3044" spans="1:19" x14ac:dyDescent="0.25">
      <c r="A3044">
        <v>1540021577</v>
      </c>
      <c r="B3044" t="s">
        <v>6044</v>
      </c>
      <c r="C3044" t="s">
        <v>19</v>
      </c>
      <c r="D3044" t="s">
        <v>244</v>
      </c>
      <c r="E3044" t="s">
        <v>21</v>
      </c>
      <c r="F3044" t="s">
        <v>22</v>
      </c>
      <c r="G3044" t="s">
        <v>33</v>
      </c>
      <c r="H3044" t="s">
        <v>566</v>
      </c>
      <c r="I3044" t="s">
        <v>6045</v>
      </c>
      <c r="J3044">
        <v>9.3549260000000007</v>
      </c>
      <c r="K3044">
        <v>-83.698774999999998</v>
      </c>
      <c r="L3044" t="s">
        <v>1225</v>
      </c>
      <c r="M3044" t="s">
        <v>46</v>
      </c>
      <c r="N3044" t="s">
        <v>247</v>
      </c>
      <c r="O3044" t="s">
        <v>248</v>
      </c>
      <c r="P3044">
        <v>14</v>
      </c>
      <c r="Q3044" t="s">
        <v>181</v>
      </c>
      <c r="S3044" t="str">
        <f>_xlfn.XLOOKUP(UNIVERSO[[#This Row],[Ruta]],'[1]CUOTA RUTA'!A:A,'[1]CUOTA RUTA'!D:D)</f>
        <v>Cargar</v>
      </c>
    </row>
    <row r="3045" spans="1:19" x14ac:dyDescent="0.25">
      <c r="A3045">
        <v>1540021602</v>
      </c>
      <c r="B3045" t="s">
        <v>6046</v>
      </c>
      <c r="C3045" t="s">
        <v>19</v>
      </c>
      <c r="D3045" t="s">
        <v>20</v>
      </c>
      <c r="E3045" t="s">
        <v>21</v>
      </c>
      <c r="F3045" t="s">
        <v>22</v>
      </c>
      <c r="G3045" t="s">
        <v>33</v>
      </c>
      <c r="H3045" t="s">
        <v>255</v>
      </c>
      <c r="I3045" t="s">
        <v>6047</v>
      </c>
      <c r="J3045">
        <v>10.071568299999999</v>
      </c>
      <c r="K3045">
        <v>-84.314956699999996</v>
      </c>
      <c r="L3045" t="s">
        <v>1225</v>
      </c>
      <c r="M3045" t="s">
        <v>46</v>
      </c>
      <c r="N3045" t="s">
        <v>47</v>
      </c>
      <c r="O3045" t="s">
        <v>48</v>
      </c>
      <c r="P3045">
        <v>4</v>
      </c>
      <c r="Q3045" t="s">
        <v>120</v>
      </c>
      <c r="S3045" t="str">
        <f>_xlfn.XLOOKUP(UNIVERSO[[#This Row],[Ruta]],'[1]CUOTA RUTA'!A:A,'[1]CUOTA RUTA'!D:D)</f>
        <v>Cargar</v>
      </c>
    </row>
    <row r="3046" spans="1:19" x14ac:dyDescent="0.25">
      <c r="A3046">
        <v>1540021637</v>
      </c>
      <c r="B3046" t="s">
        <v>6048</v>
      </c>
      <c r="C3046" t="s">
        <v>19</v>
      </c>
      <c r="D3046" t="s">
        <v>324</v>
      </c>
      <c r="E3046" t="s">
        <v>21</v>
      </c>
      <c r="F3046" t="s">
        <v>22</v>
      </c>
      <c r="G3046" t="s">
        <v>64</v>
      </c>
      <c r="H3046" t="s">
        <v>393</v>
      </c>
      <c r="I3046" t="s">
        <v>6049</v>
      </c>
      <c r="J3046">
        <v>10.400442</v>
      </c>
      <c r="K3046">
        <v>-84.308188000000001</v>
      </c>
      <c r="L3046" t="s">
        <v>1225</v>
      </c>
      <c r="M3046" t="s">
        <v>327</v>
      </c>
      <c r="N3046" t="s">
        <v>328</v>
      </c>
      <c r="O3046" t="s">
        <v>329</v>
      </c>
      <c r="P3046">
        <v>16</v>
      </c>
      <c r="Q3046" t="s">
        <v>60</v>
      </c>
      <c r="S3046" t="str">
        <f>_xlfn.XLOOKUP(UNIVERSO[[#This Row],[Ruta]],'[1]CUOTA RUTA'!A:A,'[1]CUOTA RUTA'!D:D)</f>
        <v>Cargar</v>
      </c>
    </row>
    <row r="3047" spans="1:19" x14ac:dyDescent="0.25">
      <c r="A3047">
        <v>1540021655</v>
      </c>
      <c r="B3047" t="s">
        <v>3514</v>
      </c>
      <c r="C3047" t="s">
        <v>19</v>
      </c>
      <c r="D3047" t="s">
        <v>20</v>
      </c>
      <c r="E3047" t="s">
        <v>21</v>
      </c>
      <c r="F3047" t="s">
        <v>22</v>
      </c>
      <c r="G3047" t="s">
        <v>23</v>
      </c>
      <c r="H3047" t="s">
        <v>308</v>
      </c>
      <c r="I3047" t="s">
        <v>6050</v>
      </c>
      <c r="J3047">
        <v>9.8775049999999993</v>
      </c>
      <c r="K3047">
        <v>-84.339650000000006</v>
      </c>
      <c r="L3047" t="s">
        <v>1225</v>
      </c>
      <c r="M3047" t="s">
        <v>54</v>
      </c>
      <c r="N3047" t="s">
        <v>55</v>
      </c>
      <c r="O3047" t="s">
        <v>56</v>
      </c>
      <c r="P3047">
        <v>21</v>
      </c>
      <c r="Q3047" t="s">
        <v>239</v>
      </c>
      <c r="S3047" t="str">
        <f>_xlfn.XLOOKUP(UNIVERSO[[#This Row],[Ruta]],'[1]CUOTA RUTA'!A:A,'[1]CUOTA RUTA'!D:D)</f>
        <v>Cargar</v>
      </c>
    </row>
    <row r="3048" spans="1:19" x14ac:dyDescent="0.25">
      <c r="A3048">
        <v>1540021656</v>
      </c>
      <c r="B3048" t="s">
        <v>6051</v>
      </c>
      <c r="C3048" t="s">
        <v>19</v>
      </c>
      <c r="D3048" t="s">
        <v>20</v>
      </c>
      <c r="E3048" t="s">
        <v>21</v>
      </c>
      <c r="F3048" t="s">
        <v>22</v>
      </c>
      <c r="G3048" t="s">
        <v>33</v>
      </c>
      <c r="H3048" t="s">
        <v>280</v>
      </c>
      <c r="I3048" t="s">
        <v>6052</v>
      </c>
      <c r="J3048">
        <v>10.0131</v>
      </c>
      <c r="K3048">
        <v>-84.211600000000004</v>
      </c>
      <c r="L3048" t="s">
        <v>1225</v>
      </c>
      <c r="M3048" t="s">
        <v>54</v>
      </c>
      <c r="N3048" t="s">
        <v>55</v>
      </c>
      <c r="O3048" t="s">
        <v>56</v>
      </c>
      <c r="P3048">
        <v>4</v>
      </c>
      <c r="Q3048" t="s">
        <v>120</v>
      </c>
      <c r="S3048" t="str">
        <f>_xlfn.XLOOKUP(UNIVERSO[[#This Row],[Ruta]],'[1]CUOTA RUTA'!A:A,'[1]CUOTA RUTA'!D:D)</f>
        <v>Cargar</v>
      </c>
    </row>
    <row r="3049" spans="1:19" x14ac:dyDescent="0.25">
      <c r="A3049">
        <v>1540021678</v>
      </c>
      <c r="B3049" t="s">
        <v>243</v>
      </c>
      <c r="C3049" t="s">
        <v>19</v>
      </c>
      <c r="D3049" t="s">
        <v>349</v>
      </c>
      <c r="E3049" t="s">
        <v>21</v>
      </c>
      <c r="F3049" t="s">
        <v>22</v>
      </c>
      <c r="G3049" t="s">
        <v>23</v>
      </c>
      <c r="H3049" t="s">
        <v>908</v>
      </c>
      <c r="I3049" t="s">
        <v>6053</v>
      </c>
      <c r="J3049">
        <v>9.9809750000000008</v>
      </c>
      <c r="K3049">
        <v>-85.650441999999998</v>
      </c>
      <c r="L3049" t="s">
        <v>1225</v>
      </c>
      <c r="M3049" t="s">
        <v>352</v>
      </c>
      <c r="N3049" t="s">
        <v>353</v>
      </c>
      <c r="O3049" t="s">
        <v>354</v>
      </c>
      <c r="P3049">
        <v>7</v>
      </c>
      <c r="Q3049" t="s">
        <v>39</v>
      </c>
      <c r="S3049" t="str">
        <f>_xlfn.XLOOKUP(UNIVERSO[[#This Row],[Ruta]],'[1]CUOTA RUTA'!A:A,'[1]CUOTA RUTA'!D:D)</f>
        <v>Cargar</v>
      </c>
    </row>
    <row r="3050" spans="1:19" x14ac:dyDescent="0.25">
      <c r="A3050">
        <v>1540021681</v>
      </c>
      <c r="B3050" t="s">
        <v>1709</v>
      </c>
      <c r="C3050" t="s">
        <v>19</v>
      </c>
      <c r="D3050" t="s">
        <v>20</v>
      </c>
      <c r="E3050" t="s">
        <v>21</v>
      </c>
      <c r="F3050" t="s">
        <v>22</v>
      </c>
      <c r="G3050" t="s">
        <v>33</v>
      </c>
      <c r="H3050" t="s">
        <v>280</v>
      </c>
      <c r="I3050" t="s">
        <v>6054</v>
      </c>
      <c r="J3050">
        <v>10.03112</v>
      </c>
      <c r="K3050">
        <v>-84.200670000000002</v>
      </c>
      <c r="L3050" t="s">
        <v>1225</v>
      </c>
      <c r="M3050" t="s">
        <v>54</v>
      </c>
      <c r="N3050" t="s">
        <v>55</v>
      </c>
      <c r="O3050" t="s">
        <v>56</v>
      </c>
      <c r="P3050">
        <v>16</v>
      </c>
      <c r="Q3050" t="s">
        <v>60</v>
      </c>
      <c r="S3050" t="str">
        <f>_xlfn.XLOOKUP(UNIVERSO[[#This Row],[Ruta]],'[1]CUOTA RUTA'!A:A,'[1]CUOTA RUTA'!D:D)</f>
        <v>Cargar</v>
      </c>
    </row>
    <row r="3051" spans="1:19" x14ac:dyDescent="0.25">
      <c r="A3051">
        <v>1540021717</v>
      </c>
      <c r="B3051" t="s">
        <v>6055</v>
      </c>
      <c r="C3051" t="s">
        <v>19</v>
      </c>
      <c r="D3051" t="s">
        <v>337</v>
      </c>
      <c r="E3051" t="s">
        <v>21</v>
      </c>
      <c r="F3051" t="s">
        <v>51</v>
      </c>
      <c r="G3051" t="s">
        <v>23</v>
      </c>
      <c r="H3051" t="s">
        <v>576</v>
      </c>
      <c r="I3051" t="s">
        <v>6056</v>
      </c>
      <c r="J3051">
        <v>10.434084</v>
      </c>
      <c r="K3051">
        <v>-85.094111999999996</v>
      </c>
      <c r="L3051" t="s">
        <v>1225</v>
      </c>
      <c r="M3051" t="s">
        <v>327</v>
      </c>
      <c r="N3051" t="s">
        <v>340</v>
      </c>
      <c r="O3051" t="s">
        <v>341</v>
      </c>
      <c r="P3051">
        <v>22</v>
      </c>
      <c r="Q3051" t="s">
        <v>30</v>
      </c>
      <c r="S3051" t="str">
        <f>_xlfn.XLOOKUP(UNIVERSO[[#This Row],[Ruta]],'[1]CUOTA RUTA'!A:A,'[1]CUOTA RUTA'!D:D)</f>
        <v>Cargar</v>
      </c>
    </row>
    <row r="3052" spans="1:19" x14ac:dyDescent="0.25">
      <c r="A3052">
        <v>1540021743</v>
      </c>
      <c r="B3052" t="s">
        <v>6057</v>
      </c>
      <c r="C3052" t="s">
        <v>19</v>
      </c>
      <c r="D3052" t="s">
        <v>20</v>
      </c>
      <c r="E3052" t="s">
        <v>21</v>
      </c>
      <c r="F3052" t="s">
        <v>22</v>
      </c>
      <c r="G3052" t="s">
        <v>64</v>
      </c>
      <c r="H3052" t="s">
        <v>913</v>
      </c>
      <c r="I3052" t="s">
        <v>6058</v>
      </c>
      <c r="J3052">
        <v>9.96157</v>
      </c>
      <c r="K3052">
        <v>-84.153469999999999</v>
      </c>
      <c r="L3052" t="s">
        <v>1225</v>
      </c>
      <c r="M3052" t="s">
        <v>27</v>
      </c>
      <c r="N3052" t="s">
        <v>28</v>
      </c>
      <c r="O3052" t="s">
        <v>29</v>
      </c>
      <c r="P3052">
        <v>2</v>
      </c>
      <c r="Q3052" t="s">
        <v>150</v>
      </c>
      <c r="S3052" t="str">
        <f>_xlfn.XLOOKUP(UNIVERSO[[#This Row],[Ruta]],'[1]CUOTA RUTA'!A:A,'[1]CUOTA RUTA'!D:D)</f>
        <v>Cargar</v>
      </c>
    </row>
    <row r="3053" spans="1:19" x14ac:dyDescent="0.25">
      <c r="A3053">
        <v>1540021828</v>
      </c>
      <c r="B3053" t="s">
        <v>6059</v>
      </c>
      <c r="C3053" t="s">
        <v>19</v>
      </c>
      <c r="D3053" t="s">
        <v>20</v>
      </c>
      <c r="E3053" t="s">
        <v>21</v>
      </c>
      <c r="F3053" t="s">
        <v>22</v>
      </c>
      <c r="G3053" t="s">
        <v>23</v>
      </c>
      <c r="H3053" t="s">
        <v>24</v>
      </c>
      <c r="I3053" t="s">
        <v>6060</v>
      </c>
      <c r="J3053">
        <v>10.003493000000001</v>
      </c>
      <c r="K3053">
        <v>-84.113675000000001</v>
      </c>
      <c r="L3053" t="s">
        <v>1225</v>
      </c>
      <c r="M3053" t="s">
        <v>27</v>
      </c>
      <c r="N3053" t="s">
        <v>28</v>
      </c>
      <c r="O3053" t="s">
        <v>29</v>
      </c>
      <c r="P3053">
        <v>14</v>
      </c>
      <c r="Q3053" t="s">
        <v>181</v>
      </c>
      <c r="S3053" t="str">
        <f>_xlfn.XLOOKUP(UNIVERSO[[#This Row],[Ruta]],'[1]CUOTA RUTA'!A:A,'[1]CUOTA RUTA'!D:D)</f>
        <v>Cargar</v>
      </c>
    </row>
    <row r="3054" spans="1:19" x14ac:dyDescent="0.25">
      <c r="A3054">
        <v>1540021845</v>
      </c>
      <c r="B3054" t="s">
        <v>6061</v>
      </c>
      <c r="C3054" t="s">
        <v>19</v>
      </c>
      <c r="D3054" t="s">
        <v>20</v>
      </c>
      <c r="E3054" t="s">
        <v>21</v>
      </c>
      <c r="F3054" t="s">
        <v>22</v>
      </c>
      <c r="G3054" t="s">
        <v>23</v>
      </c>
      <c r="H3054" t="s">
        <v>24</v>
      </c>
      <c r="I3054" t="s">
        <v>6062</v>
      </c>
      <c r="J3054">
        <v>9.9937825300000007</v>
      </c>
      <c r="K3054">
        <v>-84.123149150000003</v>
      </c>
      <c r="L3054" t="s">
        <v>1225</v>
      </c>
      <c r="M3054" t="s">
        <v>27</v>
      </c>
      <c r="N3054" t="s">
        <v>28</v>
      </c>
      <c r="O3054" t="s">
        <v>29</v>
      </c>
      <c r="P3054">
        <v>5</v>
      </c>
      <c r="Q3054" t="s">
        <v>117</v>
      </c>
      <c r="S3054" t="str">
        <f>_xlfn.XLOOKUP(UNIVERSO[[#This Row],[Ruta]],'[1]CUOTA RUTA'!A:A,'[1]CUOTA RUTA'!D:D)</f>
        <v>Cargar</v>
      </c>
    </row>
    <row r="3055" spans="1:19" x14ac:dyDescent="0.25">
      <c r="A3055">
        <v>1540021864</v>
      </c>
      <c r="B3055" t="s">
        <v>6063</v>
      </c>
      <c r="C3055" t="s">
        <v>19</v>
      </c>
      <c r="D3055" t="s">
        <v>244</v>
      </c>
      <c r="E3055" t="s">
        <v>21</v>
      </c>
      <c r="F3055" t="s">
        <v>22</v>
      </c>
      <c r="G3055" t="s">
        <v>33</v>
      </c>
      <c r="H3055" t="s">
        <v>436</v>
      </c>
      <c r="I3055" t="s">
        <v>6064</v>
      </c>
      <c r="J3055">
        <v>9.4496699999999993</v>
      </c>
      <c r="K3055">
        <v>-84.166111999999998</v>
      </c>
      <c r="L3055" t="s">
        <v>1225</v>
      </c>
      <c r="M3055" t="s">
        <v>46</v>
      </c>
      <c r="N3055" t="s">
        <v>247</v>
      </c>
      <c r="O3055" t="s">
        <v>248</v>
      </c>
      <c r="P3055">
        <v>21</v>
      </c>
      <c r="Q3055" t="s">
        <v>239</v>
      </c>
      <c r="S3055" t="str">
        <f>_xlfn.XLOOKUP(UNIVERSO[[#This Row],[Ruta]],'[1]CUOTA RUTA'!A:A,'[1]CUOTA RUTA'!D:D)</f>
        <v>Cargar</v>
      </c>
    </row>
    <row r="3056" spans="1:19" x14ac:dyDescent="0.25">
      <c r="A3056">
        <v>1540021910</v>
      </c>
      <c r="B3056" t="s">
        <v>6065</v>
      </c>
      <c r="C3056" t="s">
        <v>19</v>
      </c>
      <c r="D3056" t="s">
        <v>186</v>
      </c>
      <c r="E3056" t="s">
        <v>21</v>
      </c>
      <c r="F3056" t="s">
        <v>22</v>
      </c>
      <c r="G3056" t="s">
        <v>23</v>
      </c>
      <c r="H3056" t="s">
        <v>237</v>
      </c>
      <c r="I3056" t="s">
        <v>6066</v>
      </c>
      <c r="J3056">
        <v>10.044775</v>
      </c>
      <c r="K3056">
        <v>-83.311063000000004</v>
      </c>
      <c r="L3056" t="s">
        <v>1225</v>
      </c>
      <c r="M3056" t="s">
        <v>189</v>
      </c>
      <c r="N3056" t="s">
        <v>190</v>
      </c>
      <c r="O3056" t="s">
        <v>191</v>
      </c>
      <c r="P3056">
        <v>22</v>
      </c>
      <c r="Q3056" t="s">
        <v>30</v>
      </c>
      <c r="S3056" t="str">
        <f>_xlfn.XLOOKUP(UNIVERSO[[#This Row],[Ruta]],'[1]CUOTA RUTA'!A:A,'[1]CUOTA RUTA'!D:D)</f>
        <v>Cargar</v>
      </c>
    </row>
    <row r="3057" spans="1:19" x14ac:dyDescent="0.25">
      <c r="A3057">
        <v>1540021926</v>
      </c>
      <c r="B3057" t="s">
        <v>6067</v>
      </c>
      <c r="C3057" t="s">
        <v>19</v>
      </c>
      <c r="D3057" t="s">
        <v>266</v>
      </c>
      <c r="E3057" t="s">
        <v>21</v>
      </c>
      <c r="F3057" t="s">
        <v>22</v>
      </c>
      <c r="G3057" t="s">
        <v>33</v>
      </c>
      <c r="H3057" t="s">
        <v>321</v>
      </c>
      <c r="I3057" t="s">
        <v>6068</v>
      </c>
      <c r="J3057">
        <v>9.8904201</v>
      </c>
      <c r="K3057">
        <v>-83.791177399999995</v>
      </c>
      <c r="L3057" t="s">
        <v>1225</v>
      </c>
      <c r="M3057" t="s">
        <v>54</v>
      </c>
      <c r="N3057" t="s">
        <v>274</v>
      </c>
      <c r="O3057" t="s">
        <v>275</v>
      </c>
      <c r="P3057">
        <v>21</v>
      </c>
      <c r="Q3057" t="s">
        <v>239</v>
      </c>
      <c r="S3057" t="str">
        <f>_xlfn.XLOOKUP(UNIVERSO[[#This Row],[Ruta]],'[1]CUOTA RUTA'!A:A,'[1]CUOTA RUTA'!D:D)</f>
        <v>Cargar</v>
      </c>
    </row>
    <row r="3058" spans="1:19" x14ac:dyDescent="0.25">
      <c r="A3058">
        <v>1540021950</v>
      </c>
      <c r="B3058" t="s">
        <v>6069</v>
      </c>
      <c r="C3058" t="s">
        <v>19</v>
      </c>
      <c r="D3058" t="s">
        <v>32</v>
      </c>
      <c r="E3058" t="s">
        <v>21</v>
      </c>
      <c r="F3058" t="s">
        <v>51</v>
      </c>
      <c r="G3058" t="s">
        <v>23</v>
      </c>
      <c r="H3058" t="s">
        <v>138</v>
      </c>
      <c r="I3058" t="s">
        <v>6070</v>
      </c>
      <c r="J3058">
        <v>9.90273</v>
      </c>
      <c r="K3058">
        <v>-84.100729999999999</v>
      </c>
      <c r="L3058" t="s">
        <v>1225</v>
      </c>
      <c r="M3058" t="s">
        <v>36</v>
      </c>
      <c r="N3058" t="s">
        <v>37</v>
      </c>
      <c r="O3058" t="s">
        <v>38</v>
      </c>
      <c r="P3058">
        <v>23</v>
      </c>
      <c r="Q3058" t="s">
        <v>125</v>
      </c>
      <c r="S3058" t="str">
        <f>_xlfn.XLOOKUP(UNIVERSO[[#This Row],[Ruta]],'[1]CUOTA RUTA'!A:A,'[1]CUOTA RUTA'!D:D)</f>
        <v>Cargar</v>
      </c>
    </row>
    <row r="3059" spans="1:19" x14ac:dyDescent="0.25">
      <c r="A3059">
        <v>1540021991</v>
      </c>
      <c r="B3059" t="s">
        <v>6071</v>
      </c>
      <c r="C3059" t="s">
        <v>19</v>
      </c>
      <c r="D3059" t="s">
        <v>20</v>
      </c>
      <c r="E3059" t="s">
        <v>21</v>
      </c>
      <c r="F3059" t="s">
        <v>22</v>
      </c>
      <c r="G3059" t="s">
        <v>64</v>
      </c>
      <c r="H3059" t="s">
        <v>260</v>
      </c>
      <c r="I3059" t="s">
        <v>6072</v>
      </c>
      <c r="J3059">
        <v>10.135082617361</v>
      </c>
      <c r="K3059">
        <v>-84.509376149860003</v>
      </c>
      <c r="L3059" t="s">
        <v>1225</v>
      </c>
      <c r="M3059" t="s">
        <v>46</v>
      </c>
      <c r="N3059" t="s">
        <v>47</v>
      </c>
      <c r="O3059" t="s">
        <v>48</v>
      </c>
      <c r="P3059">
        <v>10</v>
      </c>
      <c r="Q3059" t="s">
        <v>136</v>
      </c>
      <c r="S3059" t="str">
        <f>_xlfn.XLOOKUP(UNIVERSO[[#This Row],[Ruta]],'[1]CUOTA RUTA'!A:A,'[1]CUOTA RUTA'!D:D)</f>
        <v>Cargar</v>
      </c>
    </row>
    <row r="3060" spans="1:19" x14ac:dyDescent="0.25">
      <c r="A3060">
        <v>1540022020</v>
      </c>
      <c r="B3060" t="s">
        <v>6073</v>
      </c>
      <c r="C3060" t="s">
        <v>19</v>
      </c>
      <c r="D3060" t="s">
        <v>324</v>
      </c>
      <c r="E3060" t="s">
        <v>21</v>
      </c>
      <c r="F3060" t="s">
        <v>22</v>
      </c>
      <c r="G3060" t="s">
        <v>64</v>
      </c>
      <c r="H3060" t="s">
        <v>325</v>
      </c>
      <c r="I3060" t="s">
        <v>6074</v>
      </c>
      <c r="J3060">
        <v>10.343277</v>
      </c>
      <c r="K3060">
        <v>-84.548151000000004</v>
      </c>
      <c r="L3060" t="s">
        <v>1225</v>
      </c>
      <c r="M3060" t="s">
        <v>327</v>
      </c>
      <c r="N3060" t="s">
        <v>328</v>
      </c>
      <c r="O3060" t="s">
        <v>329</v>
      </c>
      <c r="P3060">
        <v>14</v>
      </c>
      <c r="Q3060" t="s">
        <v>181</v>
      </c>
      <c r="S3060" t="str">
        <f>_xlfn.XLOOKUP(UNIVERSO[[#This Row],[Ruta]],'[1]CUOTA RUTA'!A:A,'[1]CUOTA RUTA'!D:D)</f>
        <v>Cargar</v>
      </c>
    </row>
    <row r="3061" spans="1:19" x14ac:dyDescent="0.25">
      <c r="A3061">
        <v>1540022078</v>
      </c>
      <c r="B3061" t="s">
        <v>6075</v>
      </c>
      <c r="C3061" t="s">
        <v>19</v>
      </c>
      <c r="D3061" t="s">
        <v>244</v>
      </c>
      <c r="E3061" t="s">
        <v>21</v>
      </c>
      <c r="F3061" t="s">
        <v>22</v>
      </c>
      <c r="G3061" t="s">
        <v>64</v>
      </c>
      <c r="H3061" t="s">
        <v>436</v>
      </c>
      <c r="I3061" t="s">
        <v>6076</v>
      </c>
      <c r="J3061">
        <v>9.4642820000000007</v>
      </c>
      <c r="K3061">
        <v>-84.062531000000007</v>
      </c>
      <c r="L3061" t="s">
        <v>1225</v>
      </c>
      <c r="M3061" t="s">
        <v>46</v>
      </c>
      <c r="N3061" t="s">
        <v>247</v>
      </c>
      <c r="O3061" t="s">
        <v>248</v>
      </c>
      <c r="P3061">
        <v>20</v>
      </c>
      <c r="Q3061" t="s">
        <v>74</v>
      </c>
      <c r="S3061" t="str">
        <f>_xlfn.XLOOKUP(UNIVERSO[[#This Row],[Ruta]],'[1]CUOTA RUTA'!A:A,'[1]CUOTA RUTA'!D:D)</f>
        <v>Cargar</v>
      </c>
    </row>
    <row r="3062" spans="1:19" x14ac:dyDescent="0.25">
      <c r="A3062">
        <v>1540022114</v>
      </c>
      <c r="B3062" t="s">
        <v>1165</v>
      </c>
      <c r="C3062" t="s">
        <v>19</v>
      </c>
      <c r="D3062" t="s">
        <v>266</v>
      </c>
      <c r="E3062" t="s">
        <v>21</v>
      </c>
      <c r="F3062" t="s">
        <v>22</v>
      </c>
      <c r="G3062" t="s">
        <v>64</v>
      </c>
      <c r="H3062" t="s">
        <v>1011</v>
      </c>
      <c r="I3062" t="s">
        <v>6077</v>
      </c>
      <c r="J3062">
        <v>9.8929232000000003</v>
      </c>
      <c r="K3062">
        <v>-83.872378800000007</v>
      </c>
      <c r="L3062" t="s">
        <v>1225</v>
      </c>
      <c r="M3062" t="s">
        <v>54</v>
      </c>
      <c r="N3062" t="s">
        <v>274</v>
      </c>
      <c r="O3062" t="s">
        <v>275</v>
      </c>
      <c r="P3062">
        <v>20</v>
      </c>
      <c r="Q3062" t="s">
        <v>74</v>
      </c>
      <c r="S3062" t="str">
        <f>_xlfn.XLOOKUP(UNIVERSO[[#This Row],[Ruta]],'[1]CUOTA RUTA'!A:A,'[1]CUOTA RUTA'!D:D)</f>
        <v>Cargar</v>
      </c>
    </row>
    <row r="3063" spans="1:19" x14ac:dyDescent="0.25">
      <c r="A3063">
        <v>1540022180</v>
      </c>
      <c r="B3063" t="s">
        <v>6078</v>
      </c>
      <c r="C3063" t="s">
        <v>19</v>
      </c>
      <c r="D3063" t="s">
        <v>186</v>
      </c>
      <c r="E3063" t="s">
        <v>21</v>
      </c>
      <c r="F3063" t="s">
        <v>22</v>
      </c>
      <c r="G3063" t="s">
        <v>64</v>
      </c>
      <c r="H3063" t="s">
        <v>420</v>
      </c>
      <c r="I3063" t="s">
        <v>6079</v>
      </c>
      <c r="J3063">
        <v>9.8988569999999996</v>
      </c>
      <c r="K3063">
        <v>-83.105058999999997</v>
      </c>
      <c r="L3063" t="s">
        <v>1225</v>
      </c>
      <c r="M3063" t="s">
        <v>189</v>
      </c>
      <c r="N3063" t="s">
        <v>190</v>
      </c>
      <c r="O3063" t="s">
        <v>191</v>
      </c>
      <c r="P3063">
        <v>18</v>
      </c>
      <c r="Q3063" t="s">
        <v>84</v>
      </c>
      <c r="S3063" t="str">
        <f>_xlfn.XLOOKUP(UNIVERSO[[#This Row],[Ruta]],'[1]CUOTA RUTA'!A:A,'[1]CUOTA RUTA'!D:D)</f>
        <v>Cargar</v>
      </c>
    </row>
    <row r="3064" spans="1:19" x14ac:dyDescent="0.25">
      <c r="A3064">
        <v>1540022192</v>
      </c>
      <c r="B3064" t="s">
        <v>954</v>
      </c>
      <c r="C3064" t="s">
        <v>19</v>
      </c>
      <c r="D3064" t="s">
        <v>208</v>
      </c>
      <c r="E3064" t="s">
        <v>21</v>
      </c>
      <c r="F3064" t="s">
        <v>22</v>
      </c>
      <c r="G3064" t="s">
        <v>23</v>
      </c>
      <c r="H3064" t="s">
        <v>221</v>
      </c>
      <c r="I3064" t="s">
        <v>6080</v>
      </c>
      <c r="J3064">
        <v>10.34043</v>
      </c>
      <c r="K3064">
        <v>-83.760469999999998</v>
      </c>
      <c r="L3064" t="s">
        <v>1225</v>
      </c>
      <c r="M3064" t="s">
        <v>189</v>
      </c>
      <c r="N3064" t="s">
        <v>211</v>
      </c>
      <c r="O3064" t="s">
        <v>212</v>
      </c>
      <c r="P3064">
        <v>2</v>
      </c>
      <c r="Q3064" t="s">
        <v>150</v>
      </c>
      <c r="S3064" t="str">
        <f>_xlfn.XLOOKUP(UNIVERSO[[#This Row],[Ruta]],'[1]CUOTA RUTA'!A:A,'[1]CUOTA RUTA'!D:D)</f>
        <v>Cargar</v>
      </c>
    </row>
    <row r="3065" spans="1:19" x14ac:dyDescent="0.25">
      <c r="A3065">
        <v>1540022333</v>
      </c>
      <c r="B3065" t="s">
        <v>6081</v>
      </c>
      <c r="C3065" t="s">
        <v>19</v>
      </c>
      <c r="D3065" t="s">
        <v>337</v>
      </c>
      <c r="E3065" t="s">
        <v>21</v>
      </c>
      <c r="F3065" t="s">
        <v>22</v>
      </c>
      <c r="G3065" t="s">
        <v>23</v>
      </c>
      <c r="H3065" t="s">
        <v>346</v>
      </c>
      <c r="I3065" t="s">
        <v>6082</v>
      </c>
      <c r="J3065">
        <v>10.61887226</v>
      </c>
      <c r="K3065">
        <v>-85.432177499999995</v>
      </c>
      <c r="L3065" t="s">
        <v>1225</v>
      </c>
      <c r="M3065" t="s">
        <v>327</v>
      </c>
      <c r="N3065" t="s">
        <v>340</v>
      </c>
      <c r="O3065" t="s">
        <v>341</v>
      </c>
      <c r="P3065">
        <v>14</v>
      </c>
      <c r="Q3065" t="s">
        <v>181</v>
      </c>
      <c r="S3065" t="str">
        <f>_xlfn.XLOOKUP(UNIVERSO[[#This Row],[Ruta]],'[1]CUOTA RUTA'!A:A,'[1]CUOTA RUTA'!D:D)</f>
        <v>Cargar</v>
      </c>
    </row>
    <row r="3066" spans="1:19" x14ac:dyDescent="0.25">
      <c r="A3066">
        <v>1540022410</v>
      </c>
      <c r="B3066" t="s">
        <v>6083</v>
      </c>
      <c r="C3066" t="s">
        <v>19</v>
      </c>
      <c r="D3066" t="s">
        <v>20</v>
      </c>
      <c r="E3066" t="s">
        <v>21</v>
      </c>
      <c r="F3066" t="s">
        <v>22</v>
      </c>
      <c r="G3066" t="s">
        <v>64</v>
      </c>
      <c r="H3066" t="s">
        <v>285</v>
      </c>
      <c r="I3066" t="s">
        <v>6084</v>
      </c>
      <c r="J3066">
        <v>10.009312</v>
      </c>
      <c r="K3066">
        <v>-84.204041000000004</v>
      </c>
      <c r="L3066" t="s">
        <v>1225</v>
      </c>
      <c r="M3066" t="s">
        <v>54</v>
      </c>
      <c r="N3066" t="s">
        <v>55</v>
      </c>
      <c r="O3066" t="s">
        <v>56</v>
      </c>
      <c r="P3066">
        <v>4</v>
      </c>
      <c r="Q3066" t="s">
        <v>120</v>
      </c>
      <c r="S3066" t="str">
        <f>_xlfn.XLOOKUP(UNIVERSO[[#This Row],[Ruta]],'[1]CUOTA RUTA'!A:A,'[1]CUOTA RUTA'!D:D)</f>
        <v>Cargar</v>
      </c>
    </row>
    <row r="3067" spans="1:19" x14ac:dyDescent="0.25">
      <c r="A3067">
        <v>1540022411</v>
      </c>
      <c r="B3067" t="s">
        <v>6085</v>
      </c>
      <c r="C3067" t="s">
        <v>19</v>
      </c>
      <c r="D3067" t="s">
        <v>20</v>
      </c>
      <c r="E3067" t="s">
        <v>21</v>
      </c>
      <c r="F3067" t="s">
        <v>22</v>
      </c>
      <c r="G3067" t="s">
        <v>23</v>
      </c>
      <c r="H3067" t="s">
        <v>743</v>
      </c>
      <c r="I3067" t="s">
        <v>6086</v>
      </c>
      <c r="J3067">
        <v>9.9622136999999995</v>
      </c>
      <c r="K3067">
        <v>-84.361017099999998</v>
      </c>
      <c r="L3067" t="s">
        <v>1225</v>
      </c>
      <c r="M3067" t="s">
        <v>46</v>
      </c>
      <c r="N3067" t="s">
        <v>47</v>
      </c>
      <c r="O3067" t="s">
        <v>48</v>
      </c>
      <c r="P3067">
        <v>12</v>
      </c>
      <c r="Q3067" t="s">
        <v>42</v>
      </c>
      <c r="S3067" t="str">
        <f>_xlfn.XLOOKUP(UNIVERSO[[#This Row],[Ruta]],'[1]CUOTA RUTA'!A:A,'[1]CUOTA RUTA'!D:D)</f>
        <v>Cargar</v>
      </c>
    </row>
    <row r="3068" spans="1:19" x14ac:dyDescent="0.25">
      <c r="A3068">
        <v>1540022517</v>
      </c>
      <c r="B3068" t="s">
        <v>6087</v>
      </c>
      <c r="C3068" t="s">
        <v>19</v>
      </c>
      <c r="D3068" t="s">
        <v>20</v>
      </c>
      <c r="E3068" t="s">
        <v>21</v>
      </c>
      <c r="F3068" t="s">
        <v>22</v>
      </c>
      <c r="G3068" t="s">
        <v>64</v>
      </c>
      <c r="H3068" t="s">
        <v>1143</v>
      </c>
      <c r="I3068" t="s">
        <v>6088</v>
      </c>
      <c r="J3068">
        <v>10.086690000000001</v>
      </c>
      <c r="K3068">
        <v>-84.171350000000004</v>
      </c>
      <c r="L3068" t="s">
        <v>1225</v>
      </c>
      <c r="M3068" t="s">
        <v>54</v>
      </c>
      <c r="N3068" t="s">
        <v>55</v>
      </c>
      <c r="O3068" t="s">
        <v>56</v>
      </c>
      <c r="P3068">
        <v>18</v>
      </c>
      <c r="Q3068" t="s">
        <v>84</v>
      </c>
      <c r="S3068" t="str">
        <f>_xlfn.XLOOKUP(UNIVERSO[[#This Row],[Ruta]],'[1]CUOTA RUTA'!A:A,'[1]CUOTA RUTA'!D:D)</f>
        <v>Cargar</v>
      </c>
    </row>
    <row r="3069" spans="1:19" x14ac:dyDescent="0.25">
      <c r="A3069">
        <v>1540022558</v>
      </c>
      <c r="B3069" t="s">
        <v>6089</v>
      </c>
      <c r="C3069" t="s">
        <v>19</v>
      </c>
      <c r="D3069" t="s">
        <v>32</v>
      </c>
      <c r="E3069" t="s">
        <v>21</v>
      </c>
      <c r="F3069" t="s">
        <v>22</v>
      </c>
      <c r="G3069" t="s">
        <v>33</v>
      </c>
      <c r="H3069" t="s">
        <v>1383</v>
      </c>
      <c r="I3069" t="s">
        <v>6090</v>
      </c>
      <c r="J3069">
        <v>9.9227430000000005</v>
      </c>
      <c r="K3069">
        <v>-84.090311999999997</v>
      </c>
      <c r="L3069" t="s">
        <v>1225</v>
      </c>
      <c r="M3069" t="s">
        <v>71</v>
      </c>
      <c r="N3069" t="s">
        <v>72</v>
      </c>
      <c r="O3069" t="s">
        <v>73</v>
      </c>
      <c r="P3069">
        <v>3</v>
      </c>
      <c r="Q3069" t="s">
        <v>101</v>
      </c>
      <c r="S3069" t="str">
        <f>_xlfn.XLOOKUP(UNIVERSO[[#This Row],[Ruta]],'[1]CUOTA RUTA'!A:A,'[1]CUOTA RUTA'!D:D)</f>
        <v>Cargar</v>
      </c>
    </row>
    <row r="3070" spans="1:19" x14ac:dyDescent="0.25">
      <c r="A3070">
        <v>1540022566</v>
      </c>
      <c r="B3070" t="s">
        <v>6091</v>
      </c>
      <c r="C3070" t="s">
        <v>19</v>
      </c>
      <c r="D3070" t="s">
        <v>244</v>
      </c>
      <c r="E3070" t="s">
        <v>21</v>
      </c>
      <c r="F3070" t="s">
        <v>22</v>
      </c>
      <c r="G3070" t="s">
        <v>64</v>
      </c>
      <c r="H3070" t="s">
        <v>767</v>
      </c>
      <c r="I3070" t="s">
        <v>6092</v>
      </c>
      <c r="J3070">
        <v>9.4513200000000008</v>
      </c>
      <c r="K3070">
        <v>-83.657032999999998</v>
      </c>
      <c r="L3070" t="s">
        <v>1225</v>
      </c>
      <c r="M3070" t="s">
        <v>46</v>
      </c>
      <c r="N3070" t="s">
        <v>247</v>
      </c>
      <c r="O3070" t="s">
        <v>248</v>
      </c>
      <c r="P3070">
        <v>18</v>
      </c>
      <c r="Q3070" t="s">
        <v>84</v>
      </c>
      <c r="S3070" t="str">
        <f>_xlfn.XLOOKUP(UNIVERSO[[#This Row],[Ruta]],'[1]CUOTA RUTA'!A:A,'[1]CUOTA RUTA'!D:D)</f>
        <v>Cargar</v>
      </c>
    </row>
    <row r="3071" spans="1:19" x14ac:dyDescent="0.25">
      <c r="A3071">
        <v>1540022580</v>
      </c>
      <c r="B3071" t="s">
        <v>6093</v>
      </c>
      <c r="C3071" t="s">
        <v>19</v>
      </c>
      <c r="D3071" t="s">
        <v>266</v>
      </c>
      <c r="E3071" t="s">
        <v>21</v>
      </c>
      <c r="F3071" t="s">
        <v>22</v>
      </c>
      <c r="G3071" t="s">
        <v>64</v>
      </c>
      <c r="H3071" t="s">
        <v>321</v>
      </c>
      <c r="I3071" t="s">
        <v>6094</v>
      </c>
      <c r="J3071">
        <v>9.8210619999999995</v>
      </c>
      <c r="K3071">
        <v>-83.959175900000005</v>
      </c>
      <c r="L3071" t="s">
        <v>1225</v>
      </c>
      <c r="M3071" t="s">
        <v>54</v>
      </c>
      <c r="N3071" t="s">
        <v>274</v>
      </c>
      <c r="O3071" t="s">
        <v>275</v>
      </c>
      <c r="P3071">
        <v>23</v>
      </c>
      <c r="Q3071" t="s">
        <v>125</v>
      </c>
      <c r="S3071" t="str">
        <f>_xlfn.XLOOKUP(UNIVERSO[[#This Row],[Ruta]],'[1]CUOTA RUTA'!A:A,'[1]CUOTA RUTA'!D:D)</f>
        <v>Cargar</v>
      </c>
    </row>
    <row r="3072" spans="1:19" x14ac:dyDescent="0.25">
      <c r="A3072">
        <v>1540022584</v>
      </c>
      <c r="B3072" t="s">
        <v>6095</v>
      </c>
      <c r="C3072" t="s">
        <v>19</v>
      </c>
      <c r="D3072" t="s">
        <v>266</v>
      </c>
      <c r="E3072" t="s">
        <v>21</v>
      </c>
      <c r="F3072" t="s">
        <v>22</v>
      </c>
      <c r="G3072" t="s">
        <v>33</v>
      </c>
      <c r="H3072" t="s">
        <v>1011</v>
      </c>
      <c r="I3072" t="s">
        <v>6096</v>
      </c>
      <c r="J3072">
        <v>9.9471892999999998</v>
      </c>
      <c r="K3072">
        <v>-83.8686103</v>
      </c>
      <c r="L3072" t="s">
        <v>1225</v>
      </c>
      <c r="M3072" t="s">
        <v>54</v>
      </c>
      <c r="N3072" t="s">
        <v>274</v>
      </c>
      <c r="O3072" t="s">
        <v>275</v>
      </c>
      <c r="P3072">
        <v>21</v>
      </c>
      <c r="Q3072" t="s">
        <v>239</v>
      </c>
      <c r="S3072" t="str">
        <f>_xlfn.XLOOKUP(UNIVERSO[[#This Row],[Ruta]],'[1]CUOTA RUTA'!A:A,'[1]CUOTA RUTA'!D:D)</f>
        <v>Cargar</v>
      </c>
    </row>
    <row r="3073" spans="1:19" x14ac:dyDescent="0.25">
      <c r="A3073">
        <v>1540022590</v>
      </c>
      <c r="B3073" t="s">
        <v>6097</v>
      </c>
      <c r="C3073" t="s">
        <v>19</v>
      </c>
      <c r="D3073" t="s">
        <v>20</v>
      </c>
      <c r="E3073" t="s">
        <v>21</v>
      </c>
      <c r="F3073" t="s">
        <v>22</v>
      </c>
      <c r="G3073" t="s">
        <v>23</v>
      </c>
      <c r="H3073" t="s">
        <v>308</v>
      </c>
      <c r="I3073" t="s">
        <v>6098</v>
      </c>
      <c r="J3073">
        <v>9.8483599999999996</v>
      </c>
      <c r="K3073">
        <v>-84.314350000000005</v>
      </c>
      <c r="L3073" t="s">
        <v>1225</v>
      </c>
      <c r="M3073" t="s">
        <v>54</v>
      </c>
      <c r="N3073" t="s">
        <v>55</v>
      </c>
      <c r="O3073" t="s">
        <v>56</v>
      </c>
      <c r="P3073">
        <v>22</v>
      </c>
      <c r="Q3073" t="s">
        <v>30</v>
      </c>
      <c r="S3073" t="str">
        <f>_xlfn.XLOOKUP(UNIVERSO[[#This Row],[Ruta]],'[1]CUOTA RUTA'!A:A,'[1]CUOTA RUTA'!D:D)</f>
        <v>Cargar</v>
      </c>
    </row>
    <row r="3074" spans="1:19" x14ac:dyDescent="0.25">
      <c r="A3074">
        <v>1540022616</v>
      </c>
      <c r="B3074" t="s">
        <v>6099</v>
      </c>
      <c r="C3074" t="s">
        <v>19</v>
      </c>
      <c r="D3074" t="s">
        <v>201</v>
      </c>
      <c r="E3074" t="s">
        <v>21</v>
      </c>
      <c r="F3074" t="s">
        <v>22</v>
      </c>
      <c r="G3074" t="s">
        <v>23</v>
      </c>
      <c r="H3074" t="s">
        <v>383</v>
      </c>
      <c r="I3074" t="s">
        <v>6100</v>
      </c>
      <c r="J3074">
        <v>9.9456261000000001</v>
      </c>
      <c r="K3074">
        <v>-84.613610100000002</v>
      </c>
      <c r="L3074" t="s">
        <v>1225</v>
      </c>
      <c r="M3074" t="s">
        <v>204</v>
      </c>
      <c r="N3074" t="s">
        <v>205</v>
      </c>
      <c r="O3074" t="s">
        <v>206</v>
      </c>
      <c r="P3074">
        <v>14</v>
      </c>
      <c r="Q3074" t="s">
        <v>181</v>
      </c>
      <c r="S3074" t="str">
        <f>_xlfn.XLOOKUP(UNIVERSO[[#This Row],[Ruta]],'[1]CUOTA RUTA'!A:A,'[1]CUOTA RUTA'!D:D)</f>
        <v>Cargar</v>
      </c>
    </row>
    <row r="3075" spans="1:19" x14ac:dyDescent="0.25">
      <c r="A3075">
        <v>1540022638</v>
      </c>
      <c r="B3075" t="s">
        <v>4470</v>
      </c>
      <c r="C3075" t="s">
        <v>19</v>
      </c>
      <c r="D3075" t="s">
        <v>20</v>
      </c>
      <c r="E3075" t="s">
        <v>21</v>
      </c>
      <c r="F3075" t="s">
        <v>22</v>
      </c>
      <c r="G3075" t="s">
        <v>33</v>
      </c>
      <c r="H3075" t="s">
        <v>303</v>
      </c>
      <c r="I3075" t="s">
        <v>6101</v>
      </c>
      <c r="J3075">
        <v>10.000400000000001</v>
      </c>
      <c r="K3075">
        <v>-84.26558</v>
      </c>
      <c r="L3075" t="s">
        <v>1225</v>
      </c>
      <c r="M3075" t="s">
        <v>54</v>
      </c>
      <c r="N3075" t="s">
        <v>55</v>
      </c>
      <c r="O3075" t="s">
        <v>56</v>
      </c>
      <c r="P3075">
        <v>7</v>
      </c>
      <c r="Q3075" t="s">
        <v>39</v>
      </c>
      <c r="S3075" t="str">
        <f>_xlfn.XLOOKUP(UNIVERSO[[#This Row],[Ruta]],'[1]CUOTA RUTA'!A:A,'[1]CUOTA RUTA'!D:D)</f>
        <v>Cargar</v>
      </c>
    </row>
    <row r="3076" spans="1:19" x14ac:dyDescent="0.25">
      <c r="A3076">
        <v>1540022691</v>
      </c>
      <c r="B3076" t="s">
        <v>6102</v>
      </c>
      <c r="C3076" t="s">
        <v>19</v>
      </c>
      <c r="D3076" t="s">
        <v>201</v>
      </c>
      <c r="E3076" t="s">
        <v>21</v>
      </c>
      <c r="F3076" t="s">
        <v>22</v>
      </c>
      <c r="G3076" t="s">
        <v>33</v>
      </c>
      <c r="H3076" t="s">
        <v>794</v>
      </c>
      <c r="I3076" t="s">
        <v>6103</v>
      </c>
      <c r="J3076">
        <v>9.6180266000000003</v>
      </c>
      <c r="K3076">
        <v>-84.623686000000006</v>
      </c>
      <c r="L3076" t="s">
        <v>1225</v>
      </c>
      <c r="M3076" t="s">
        <v>204</v>
      </c>
      <c r="N3076" t="s">
        <v>205</v>
      </c>
      <c r="O3076" t="s">
        <v>206</v>
      </c>
      <c r="P3076">
        <v>5</v>
      </c>
      <c r="Q3076" t="s">
        <v>117</v>
      </c>
      <c r="S3076" t="str">
        <f>_xlfn.XLOOKUP(UNIVERSO[[#This Row],[Ruta]],'[1]CUOTA RUTA'!A:A,'[1]CUOTA RUTA'!D:D)</f>
        <v>Cargar</v>
      </c>
    </row>
    <row r="3077" spans="1:19" x14ac:dyDescent="0.25">
      <c r="A3077">
        <v>1540022697</v>
      </c>
      <c r="B3077" t="s">
        <v>6104</v>
      </c>
      <c r="C3077" t="s">
        <v>19</v>
      </c>
      <c r="D3077" t="s">
        <v>337</v>
      </c>
      <c r="E3077" t="s">
        <v>21</v>
      </c>
      <c r="F3077" t="s">
        <v>22</v>
      </c>
      <c r="G3077" t="s">
        <v>33</v>
      </c>
      <c r="H3077" t="s">
        <v>451</v>
      </c>
      <c r="I3077" t="s">
        <v>6105</v>
      </c>
      <c r="J3077">
        <v>10.637921410000001</v>
      </c>
      <c r="K3077">
        <v>-85.434285650000007</v>
      </c>
      <c r="L3077" t="s">
        <v>1225</v>
      </c>
      <c r="M3077" t="s">
        <v>327</v>
      </c>
      <c r="N3077" t="s">
        <v>340</v>
      </c>
      <c r="O3077" t="s">
        <v>341</v>
      </c>
      <c r="P3077">
        <v>12</v>
      </c>
      <c r="Q3077" t="s">
        <v>42</v>
      </c>
      <c r="S3077" t="str">
        <f>_xlfn.XLOOKUP(UNIVERSO[[#This Row],[Ruta]],'[1]CUOTA RUTA'!A:A,'[1]CUOTA RUTA'!D:D)</f>
        <v>Cargar</v>
      </c>
    </row>
    <row r="3078" spans="1:19" x14ac:dyDescent="0.25">
      <c r="A3078">
        <v>1540022721</v>
      </c>
      <c r="B3078" t="s">
        <v>6106</v>
      </c>
      <c r="C3078" t="s">
        <v>19</v>
      </c>
      <c r="D3078" t="s">
        <v>569</v>
      </c>
      <c r="E3078" t="s">
        <v>21</v>
      </c>
      <c r="F3078" t="s">
        <v>22</v>
      </c>
      <c r="G3078" t="s">
        <v>33</v>
      </c>
      <c r="H3078" t="s">
        <v>570</v>
      </c>
      <c r="I3078" t="s">
        <v>6107</v>
      </c>
      <c r="J3078">
        <v>8.6556440000000006</v>
      </c>
      <c r="K3078">
        <v>-83.065511999999998</v>
      </c>
      <c r="L3078" t="s">
        <v>1225</v>
      </c>
      <c r="M3078" t="s">
        <v>572</v>
      </c>
      <c r="N3078" t="s">
        <v>573</v>
      </c>
      <c r="O3078" t="s">
        <v>574</v>
      </c>
      <c r="P3078">
        <v>23</v>
      </c>
      <c r="Q3078" t="s">
        <v>125</v>
      </c>
      <c r="S3078" t="str">
        <f>_xlfn.XLOOKUP(UNIVERSO[[#This Row],[Ruta]],'[1]CUOTA RUTA'!A:A,'[1]CUOTA RUTA'!D:D)</f>
        <v>Cargar</v>
      </c>
    </row>
    <row r="3079" spans="1:19" x14ac:dyDescent="0.25">
      <c r="A3079">
        <v>1540022772</v>
      </c>
      <c r="B3079" t="s">
        <v>1416</v>
      </c>
      <c r="C3079" t="s">
        <v>19</v>
      </c>
      <c r="D3079" t="s">
        <v>324</v>
      </c>
      <c r="E3079" t="s">
        <v>21</v>
      </c>
      <c r="F3079" t="s">
        <v>22</v>
      </c>
      <c r="G3079" t="s">
        <v>33</v>
      </c>
      <c r="H3079" t="s">
        <v>331</v>
      </c>
      <c r="I3079" t="s">
        <v>6108</v>
      </c>
      <c r="J3079">
        <v>10.459453</v>
      </c>
      <c r="K3079">
        <v>-84.285004999999998</v>
      </c>
      <c r="L3079" t="s">
        <v>1225</v>
      </c>
      <c r="M3079" t="s">
        <v>327</v>
      </c>
      <c r="N3079" t="s">
        <v>328</v>
      </c>
      <c r="O3079" t="s">
        <v>329</v>
      </c>
      <c r="P3079">
        <v>18</v>
      </c>
      <c r="Q3079" t="s">
        <v>84</v>
      </c>
      <c r="S3079" t="str">
        <f>_xlfn.XLOOKUP(UNIVERSO[[#This Row],[Ruta]],'[1]CUOTA RUTA'!A:A,'[1]CUOTA RUTA'!D:D)</f>
        <v>Cargar</v>
      </c>
    </row>
    <row r="3080" spans="1:19" x14ac:dyDescent="0.25">
      <c r="A3080">
        <v>1540022822</v>
      </c>
      <c r="B3080" t="s">
        <v>6109</v>
      </c>
      <c r="C3080" t="s">
        <v>19</v>
      </c>
      <c r="D3080" t="s">
        <v>32</v>
      </c>
      <c r="E3080" t="s">
        <v>21</v>
      </c>
      <c r="F3080" t="s">
        <v>22</v>
      </c>
      <c r="G3080" t="s">
        <v>64</v>
      </c>
      <c r="H3080" t="s">
        <v>1383</v>
      </c>
      <c r="I3080" t="s">
        <v>6110</v>
      </c>
      <c r="J3080">
        <v>9.9200619999999997</v>
      </c>
      <c r="K3080">
        <v>-84.086231999999995</v>
      </c>
      <c r="L3080" t="s">
        <v>1225</v>
      </c>
      <c r="M3080" t="s">
        <v>71</v>
      </c>
      <c r="N3080" t="s">
        <v>72</v>
      </c>
      <c r="O3080" t="s">
        <v>73</v>
      </c>
      <c r="P3080">
        <v>4</v>
      </c>
      <c r="Q3080" t="s">
        <v>120</v>
      </c>
      <c r="S3080" t="str">
        <f>_xlfn.XLOOKUP(UNIVERSO[[#This Row],[Ruta]],'[1]CUOTA RUTA'!A:A,'[1]CUOTA RUTA'!D:D)</f>
        <v>Cargar</v>
      </c>
    </row>
    <row r="3081" spans="1:19" x14ac:dyDescent="0.25">
      <c r="A3081">
        <v>1540022835</v>
      </c>
      <c r="B3081" t="s">
        <v>323</v>
      </c>
      <c r="C3081" t="s">
        <v>19</v>
      </c>
      <c r="D3081" t="s">
        <v>324</v>
      </c>
      <c r="E3081" t="s">
        <v>21</v>
      </c>
      <c r="F3081" t="s">
        <v>22</v>
      </c>
      <c r="G3081" t="s">
        <v>64</v>
      </c>
      <c r="H3081" t="s">
        <v>511</v>
      </c>
      <c r="I3081" t="s">
        <v>6111</v>
      </c>
      <c r="J3081">
        <v>10.439249</v>
      </c>
      <c r="K3081">
        <v>-84.618215000000006</v>
      </c>
      <c r="L3081" t="s">
        <v>1225</v>
      </c>
      <c r="M3081" t="s">
        <v>327</v>
      </c>
      <c r="N3081" t="s">
        <v>328</v>
      </c>
      <c r="O3081" t="s">
        <v>329</v>
      </c>
      <c r="P3081">
        <v>20</v>
      </c>
      <c r="Q3081" t="s">
        <v>74</v>
      </c>
      <c r="S3081" t="str">
        <f>_xlfn.XLOOKUP(UNIVERSO[[#This Row],[Ruta]],'[1]CUOTA RUTA'!A:A,'[1]CUOTA RUTA'!D:D)</f>
        <v>Cargar</v>
      </c>
    </row>
    <row r="3082" spans="1:19" x14ac:dyDescent="0.25">
      <c r="A3082">
        <v>1540022886</v>
      </c>
      <c r="B3082" t="s">
        <v>6112</v>
      </c>
      <c r="C3082" t="s">
        <v>19</v>
      </c>
      <c r="D3082" t="s">
        <v>32</v>
      </c>
      <c r="E3082" t="s">
        <v>21</v>
      </c>
      <c r="F3082" t="s">
        <v>22</v>
      </c>
      <c r="G3082" t="s">
        <v>64</v>
      </c>
      <c r="H3082" t="s">
        <v>698</v>
      </c>
      <c r="I3082" t="s">
        <v>6113</v>
      </c>
      <c r="J3082">
        <v>9.9455620000000007</v>
      </c>
      <c r="K3082">
        <v>-84.053757000000004</v>
      </c>
      <c r="L3082" t="s">
        <v>1225</v>
      </c>
      <c r="M3082" t="s">
        <v>94</v>
      </c>
      <c r="N3082" t="s">
        <v>95</v>
      </c>
      <c r="O3082" t="s">
        <v>96</v>
      </c>
      <c r="P3082">
        <v>9</v>
      </c>
      <c r="Q3082" t="s">
        <v>80</v>
      </c>
      <c r="S3082" t="str">
        <f>_xlfn.XLOOKUP(UNIVERSO[[#This Row],[Ruta]],'[1]CUOTA RUTA'!A:A,'[1]CUOTA RUTA'!D:D)</f>
        <v>Cargar</v>
      </c>
    </row>
    <row r="3083" spans="1:19" x14ac:dyDescent="0.25">
      <c r="A3083">
        <v>1540022894</v>
      </c>
      <c r="B3083" t="s">
        <v>6114</v>
      </c>
      <c r="C3083" t="s">
        <v>19</v>
      </c>
      <c r="D3083" t="s">
        <v>32</v>
      </c>
      <c r="E3083" t="s">
        <v>21</v>
      </c>
      <c r="F3083" t="s">
        <v>22</v>
      </c>
      <c r="G3083" t="s">
        <v>33</v>
      </c>
      <c r="H3083" t="s">
        <v>89</v>
      </c>
      <c r="I3083" t="s">
        <v>6115</v>
      </c>
      <c r="J3083">
        <v>9.8878350000000008</v>
      </c>
      <c r="K3083">
        <v>-84.082562999999993</v>
      </c>
      <c r="L3083" t="s">
        <v>1225</v>
      </c>
      <c r="M3083" t="s">
        <v>71</v>
      </c>
      <c r="N3083" t="s">
        <v>72</v>
      </c>
      <c r="O3083" t="s">
        <v>73</v>
      </c>
      <c r="P3083">
        <v>8</v>
      </c>
      <c r="Q3083" t="s">
        <v>97</v>
      </c>
      <c r="S3083" t="str">
        <f>_xlfn.XLOOKUP(UNIVERSO[[#This Row],[Ruta]],'[1]CUOTA RUTA'!A:A,'[1]CUOTA RUTA'!D:D)</f>
        <v>Cargar</v>
      </c>
    </row>
    <row r="3084" spans="1:19" x14ac:dyDescent="0.25">
      <c r="A3084">
        <v>1540022962</v>
      </c>
      <c r="B3084" t="s">
        <v>6116</v>
      </c>
      <c r="C3084" t="s">
        <v>19</v>
      </c>
      <c r="D3084" t="s">
        <v>201</v>
      </c>
      <c r="E3084" t="s">
        <v>21</v>
      </c>
      <c r="F3084" t="s">
        <v>22</v>
      </c>
      <c r="G3084" t="s">
        <v>23</v>
      </c>
      <c r="H3084" t="s">
        <v>334</v>
      </c>
      <c r="I3084" t="s">
        <v>6117</v>
      </c>
      <c r="J3084">
        <v>9.9457766999999997</v>
      </c>
      <c r="K3084">
        <v>-84.6129672</v>
      </c>
      <c r="L3084" t="s">
        <v>1225</v>
      </c>
      <c r="M3084" t="s">
        <v>204</v>
      </c>
      <c r="N3084" t="s">
        <v>205</v>
      </c>
      <c r="O3084" t="s">
        <v>206</v>
      </c>
      <c r="P3084">
        <v>14</v>
      </c>
      <c r="Q3084" t="s">
        <v>181</v>
      </c>
      <c r="S3084" t="str">
        <f>_xlfn.XLOOKUP(UNIVERSO[[#This Row],[Ruta]],'[1]CUOTA RUTA'!A:A,'[1]CUOTA RUTA'!D:D)</f>
        <v>Cargar</v>
      </c>
    </row>
    <row r="3085" spans="1:19" x14ac:dyDescent="0.25">
      <c r="A3085">
        <v>1540022977</v>
      </c>
      <c r="B3085" t="s">
        <v>6118</v>
      </c>
      <c r="C3085" t="s">
        <v>19</v>
      </c>
      <c r="D3085" t="s">
        <v>337</v>
      </c>
      <c r="E3085" t="s">
        <v>21</v>
      </c>
      <c r="F3085" t="s">
        <v>22</v>
      </c>
      <c r="G3085" t="s">
        <v>64</v>
      </c>
      <c r="H3085" t="s">
        <v>401</v>
      </c>
      <c r="I3085" t="s">
        <v>6119</v>
      </c>
      <c r="J3085">
        <v>10.632993000000001</v>
      </c>
      <c r="K3085">
        <v>-85.434139999999999</v>
      </c>
      <c r="L3085" t="s">
        <v>1225</v>
      </c>
      <c r="M3085" t="s">
        <v>327</v>
      </c>
      <c r="N3085" t="s">
        <v>340</v>
      </c>
      <c r="O3085" t="s">
        <v>341</v>
      </c>
      <c r="P3085">
        <v>13</v>
      </c>
      <c r="Q3085" t="s">
        <v>161</v>
      </c>
      <c r="S3085" t="str">
        <f>_xlfn.XLOOKUP(UNIVERSO[[#This Row],[Ruta]],'[1]CUOTA RUTA'!A:A,'[1]CUOTA RUTA'!D:D)</f>
        <v>Cargar</v>
      </c>
    </row>
    <row r="3086" spans="1:19" x14ac:dyDescent="0.25">
      <c r="A3086">
        <v>1540023002</v>
      </c>
      <c r="B3086" t="s">
        <v>6120</v>
      </c>
      <c r="C3086" t="s">
        <v>19</v>
      </c>
      <c r="D3086" t="s">
        <v>20</v>
      </c>
      <c r="E3086" t="s">
        <v>21</v>
      </c>
      <c r="F3086" t="s">
        <v>22</v>
      </c>
      <c r="G3086" t="s">
        <v>23</v>
      </c>
      <c r="H3086" t="s">
        <v>311</v>
      </c>
      <c r="I3086" t="s">
        <v>6121</v>
      </c>
      <c r="J3086">
        <v>9.9665845999999991</v>
      </c>
      <c r="K3086">
        <v>-84.243048099999996</v>
      </c>
      <c r="L3086" t="s">
        <v>1225</v>
      </c>
      <c r="M3086" t="s">
        <v>54</v>
      </c>
      <c r="N3086" t="s">
        <v>55</v>
      </c>
      <c r="O3086" t="s">
        <v>56</v>
      </c>
      <c r="P3086">
        <v>9</v>
      </c>
      <c r="Q3086" t="s">
        <v>80</v>
      </c>
      <c r="S3086" t="str">
        <f>_xlfn.XLOOKUP(UNIVERSO[[#This Row],[Ruta]],'[1]CUOTA RUTA'!A:A,'[1]CUOTA RUTA'!D:D)</f>
        <v>Cargar</v>
      </c>
    </row>
    <row r="3087" spans="1:19" x14ac:dyDescent="0.25">
      <c r="A3087">
        <v>1540023064</v>
      </c>
      <c r="B3087" t="s">
        <v>6122</v>
      </c>
      <c r="C3087" t="s">
        <v>19</v>
      </c>
      <c r="D3087" t="s">
        <v>337</v>
      </c>
      <c r="E3087" t="s">
        <v>21</v>
      </c>
      <c r="F3087" t="s">
        <v>22</v>
      </c>
      <c r="G3087" t="s">
        <v>23</v>
      </c>
      <c r="H3087" t="s">
        <v>343</v>
      </c>
      <c r="I3087" t="s">
        <v>6123</v>
      </c>
      <c r="J3087">
        <v>10.36079</v>
      </c>
      <c r="K3087">
        <v>-85.749336999999997</v>
      </c>
      <c r="L3087" t="s">
        <v>1225</v>
      </c>
      <c r="M3087" t="s">
        <v>327</v>
      </c>
      <c r="N3087" t="s">
        <v>340</v>
      </c>
      <c r="O3087" t="s">
        <v>341</v>
      </c>
      <c r="P3087">
        <v>17</v>
      </c>
      <c r="Q3087" t="s">
        <v>287</v>
      </c>
      <c r="S3087" t="str">
        <f>_xlfn.XLOOKUP(UNIVERSO[[#This Row],[Ruta]],'[1]CUOTA RUTA'!A:A,'[1]CUOTA RUTA'!D:D)</f>
        <v>Cargar</v>
      </c>
    </row>
    <row r="3088" spans="1:19" x14ac:dyDescent="0.25">
      <c r="A3088">
        <v>1540023114</v>
      </c>
      <c r="B3088" t="s">
        <v>6124</v>
      </c>
      <c r="C3088" t="s">
        <v>19</v>
      </c>
      <c r="D3088" t="s">
        <v>337</v>
      </c>
      <c r="E3088" t="s">
        <v>21</v>
      </c>
      <c r="F3088" t="s">
        <v>22</v>
      </c>
      <c r="G3088" t="s">
        <v>64</v>
      </c>
      <c r="H3088" t="s">
        <v>1732</v>
      </c>
      <c r="I3088" t="s">
        <v>6125</v>
      </c>
      <c r="J3088">
        <v>10.36208839</v>
      </c>
      <c r="K3088">
        <v>-85.458616750000004</v>
      </c>
      <c r="L3088" t="s">
        <v>1225</v>
      </c>
      <c r="M3088" t="s">
        <v>327</v>
      </c>
      <c r="N3088" t="s">
        <v>340</v>
      </c>
      <c r="O3088" t="s">
        <v>341</v>
      </c>
      <c r="P3088">
        <v>16</v>
      </c>
      <c r="Q3088" t="s">
        <v>60</v>
      </c>
      <c r="S3088" t="str">
        <f>_xlfn.XLOOKUP(UNIVERSO[[#This Row],[Ruta]],'[1]CUOTA RUTA'!A:A,'[1]CUOTA RUTA'!D:D)</f>
        <v>Cargar</v>
      </c>
    </row>
    <row r="3089" spans="1:19" x14ac:dyDescent="0.25">
      <c r="A3089">
        <v>1540023276</v>
      </c>
      <c r="B3089" t="s">
        <v>6126</v>
      </c>
      <c r="C3089" t="s">
        <v>19</v>
      </c>
      <c r="D3089" t="s">
        <v>32</v>
      </c>
      <c r="E3089" t="s">
        <v>21</v>
      </c>
      <c r="F3089" t="s">
        <v>22</v>
      </c>
      <c r="G3089" t="s">
        <v>33</v>
      </c>
      <c r="H3089" t="s">
        <v>76</v>
      </c>
      <c r="I3089" t="s">
        <v>6127</v>
      </c>
      <c r="J3089">
        <v>9.9675770000000004</v>
      </c>
      <c r="K3089">
        <v>-84.005539999999996</v>
      </c>
      <c r="L3089" t="s">
        <v>1225</v>
      </c>
      <c r="M3089" t="s">
        <v>36</v>
      </c>
      <c r="N3089" t="s">
        <v>37</v>
      </c>
      <c r="O3089" t="s">
        <v>38</v>
      </c>
      <c r="P3089">
        <v>20</v>
      </c>
      <c r="Q3089" t="s">
        <v>74</v>
      </c>
      <c r="S3089" t="str">
        <f>_xlfn.XLOOKUP(UNIVERSO[[#This Row],[Ruta]],'[1]CUOTA RUTA'!A:A,'[1]CUOTA RUTA'!D:D)</f>
        <v>Cargar</v>
      </c>
    </row>
    <row r="3090" spans="1:19" x14ac:dyDescent="0.25">
      <c r="A3090">
        <v>1540023288</v>
      </c>
      <c r="B3090" t="s">
        <v>6128</v>
      </c>
      <c r="C3090" t="s">
        <v>19</v>
      </c>
      <c r="D3090" t="s">
        <v>208</v>
      </c>
      <c r="E3090" t="s">
        <v>21</v>
      </c>
      <c r="F3090" t="s">
        <v>22</v>
      </c>
      <c r="G3090" t="s">
        <v>23</v>
      </c>
      <c r="H3090" t="s">
        <v>224</v>
      </c>
      <c r="I3090" t="s">
        <v>6129</v>
      </c>
      <c r="J3090">
        <v>10.361096999999999</v>
      </c>
      <c r="K3090">
        <v>-83.732454000000004</v>
      </c>
      <c r="L3090" t="s">
        <v>1225</v>
      </c>
      <c r="M3090" t="s">
        <v>189</v>
      </c>
      <c r="N3090" t="s">
        <v>211</v>
      </c>
      <c r="O3090" t="s">
        <v>212</v>
      </c>
      <c r="P3090">
        <v>1</v>
      </c>
      <c r="Q3090" t="s">
        <v>155</v>
      </c>
      <c r="S3090" t="str">
        <f>_xlfn.XLOOKUP(UNIVERSO[[#This Row],[Ruta]],'[1]CUOTA RUTA'!A:A,'[1]CUOTA RUTA'!D:D)</f>
        <v>Cargar</v>
      </c>
    </row>
    <row r="3091" spans="1:19" x14ac:dyDescent="0.25">
      <c r="A3091">
        <v>1540023308</v>
      </c>
      <c r="B3091" t="s">
        <v>998</v>
      </c>
      <c r="C3091" t="s">
        <v>19</v>
      </c>
      <c r="D3091" t="s">
        <v>20</v>
      </c>
      <c r="E3091" t="s">
        <v>21</v>
      </c>
      <c r="F3091" t="s">
        <v>22</v>
      </c>
      <c r="G3091" t="s">
        <v>64</v>
      </c>
      <c r="H3091" t="s">
        <v>1128</v>
      </c>
      <c r="I3091" t="s">
        <v>6130</v>
      </c>
      <c r="J3091">
        <v>10.085459</v>
      </c>
      <c r="K3091">
        <v>-84.290130000000005</v>
      </c>
      <c r="L3091" t="s">
        <v>1225</v>
      </c>
      <c r="M3091" t="s">
        <v>46</v>
      </c>
      <c r="N3091" t="s">
        <v>47</v>
      </c>
      <c r="O3091" t="s">
        <v>48</v>
      </c>
      <c r="P3091">
        <v>4</v>
      </c>
      <c r="Q3091" t="s">
        <v>120</v>
      </c>
      <c r="S3091" t="str">
        <f>_xlfn.XLOOKUP(UNIVERSO[[#This Row],[Ruta]],'[1]CUOTA RUTA'!A:A,'[1]CUOTA RUTA'!D:D)</f>
        <v>Cargar</v>
      </c>
    </row>
    <row r="3092" spans="1:19" x14ac:dyDescent="0.25">
      <c r="A3092">
        <v>1540023366</v>
      </c>
      <c r="B3092" t="s">
        <v>6131</v>
      </c>
      <c r="C3092" t="s">
        <v>19</v>
      </c>
      <c r="D3092" t="s">
        <v>337</v>
      </c>
      <c r="E3092" t="s">
        <v>21</v>
      </c>
      <c r="F3092" t="s">
        <v>22</v>
      </c>
      <c r="G3092" t="s">
        <v>33</v>
      </c>
      <c r="H3092" t="s">
        <v>483</v>
      </c>
      <c r="I3092" t="s">
        <v>6132</v>
      </c>
      <c r="J3092">
        <v>10.51537181</v>
      </c>
      <c r="K3092">
        <v>-85.649133910000003</v>
      </c>
      <c r="L3092" t="s">
        <v>1225</v>
      </c>
      <c r="M3092" t="s">
        <v>327</v>
      </c>
      <c r="N3092" t="s">
        <v>340</v>
      </c>
      <c r="O3092" t="s">
        <v>341</v>
      </c>
      <c r="P3092">
        <v>19</v>
      </c>
      <c r="Q3092" t="s">
        <v>67</v>
      </c>
      <c r="S3092" t="str">
        <f>_xlfn.XLOOKUP(UNIVERSO[[#This Row],[Ruta]],'[1]CUOTA RUTA'!A:A,'[1]CUOTA RUTA'!D:D)</f>
        <v>Cargar</v>
      </c>
    </row>
    <row r="3093" spans="1:19" x14ac:dyDescent="0.25">
      <c r="A3093">
        <v>1540023397</v>
      </c>
      <c r="B3093" t="s">
        <v>6133</v>
      </c>
      <c r="C3093" t="s">
        <v>19</v>
      </c>
      <c r="D3093" t="s">
        <v>20</v>
      </c>
      <c r="E3093" t="s">
        <v>62</v>
      </c>
      <c r="F3093" t="s">
        <v>63</v>
      </c>
      <c r="G3093" t="s">
        <v>64</v>
      </c>
      <c r="H3093" t="s">
        <v>1506</v>
      </c>
      <c r="I3093" t="s">
        <v>6134</v>
      </c>
      <c r="J3093">
        <v>9.9865929999999992</v>
      </c>
      <c r="K3093">
        <v>-84.162946000000005</v>
      </c>
      <c r="L3093" t="s">
        <v>1225</v>
      </c>
      <c r="M3093" t="s">
        <v>27</v>
      </c>
      <c r="N3093" t="s">
        <v>28</v>
      </c>
      <c r="O3093" t="s">
        <v>29</v>
      </c>
      <c r="P3093">
        <v>3</v>
      </c>
      <c r="Q3093" t="s">
        <v>101</v>
      </c>
      <c r="S3093" t="str">
        <f>_xlfn.XLOOKUP(UNIVERSO[[#This Row],[Ruta]],'[1]CUOTA RUTA'!A:A,'[1]CUOTA RUTA'!D:D)</f>
        <v>Cargar</v>
      </c>
    </row>
    <row r="3094" spans="1:19" x14ac:dyDescent="0.25">
      <c r="A3094">
        <v>1540023454</v>
      </c>
      <c r="B3094" t="s">
        <v>6135</v>
      </c>
      <c r="C3094" t="s">
        <v>19</v>
      </c>
      <c r="D3094" t="s">
        <v>349</v>
      </c>
      <c r="E3094" t="s">
        <v>21</v>
      </c>
      <c r="F3094" t="s">
        <v>22</v>
      </c>
      <c r="G3094" t="s">
        <v>23</v>
      </c>
      <c r="H3094" t="s">
        <v>359</v>
      </c>
      <c r="I3094" t="s">
        <v>6136</v>
      </c>
      <c r="J3094">
        <v>10.239594</v>
      </c>
      <c r="K3094">
        <v>-85.843414999999993</v>
      </c>
      <c r="L3094" t="s">
        <v>1225</v>
      </c>
      <c r="M3094" t="s">
        <v>352</v>
      </c>
      <c r="N3094" t="s">
        <v>353</v>
      </c>
      <c r="O3094" t="s">
        <v>354</v>
      </c>
      <c r="P3094">
        <v>6</v>
      </c>
      <c r="Q3094" t="s">
        <v>49</v>
      </c>
      <c r="S3094" t="str">
        <f>_xlfn.XLOOKUP(UNIVERSO[[#This Row],[Ruta]],'[1]CUOTA RUTA'!A:A,'[1]CUOTA RUTA'!D:D)</f>
        <v>Cargar</v>
      </c>
    </row>
    <row r="3095" spans="1:19" x14ac:dyDescent="0.25">
      <c r="A3095">
        <v>1540023482</v>
      </c>
      <c r="B3095" t="s">
        <v>1668</v>
      </c>
      <c r="C3095" t="s">
        <v>19</v>
      </c>
      <c r="D3095" t="s">
        <v>32</v>
      </c>
      <c r="E3095" t="s">
        <v>21</v>
      </c>
      <c r="F3095" t="s">
        <v>22</v>
      </c>
      <c r="G3095" t="s">
        <v>33</v>
      </c>
      <c r="H3095" t="s">
        <v>148</v>
      </c>
      <c r="I3095" t="s">
        <v>6137</v>
      </c>
      <c r="J3095">
        <v>9.9772339999999993</v>
      </c>
      <c r="K3095">
        <v>-84.020027999999996</v>
      </c>
      <c r="L3095" t="s">
        <v>1225</v>
      </c>
      <c r="M3095" t="s">
        <v>94</v>
      </c>
      <c r="N3095" t="s">
        <v>95</v>
      </c>
      <c r="O3095" t="s">
        <v>96</v>
      </c>
      <c r="P3095">
        <v>1</v>
      </c>
      <c r="Q3095" t="s">
        <v>155</v>
      </c>
      <c r="S3095" t="str">
        <f>_xlfn.XLOOKUP(UNIVERSO[[#This Row],[Ruta]],'[1]CUOTA RUTA'!A:A,'[1]CUOTA RUTA'!D:D)</f>
        <v>Cargar</v>
      </c>
    </row>
    <row r="3096" spans="1:19" x14ac:dyDescent="0.25">
      <c r="A3096">
        <v>1540023516</v>
      </c>
      <c r="B3096" t="s">
        <v>900</v>
      </c>
      <c r="C3096" t="s">
        <v>19</v>
      </c>
      <c r="D3096" t="s">
        <v>337</v>
      </c>
      <c r="E3096" t="s">
        <v>21</v>
      </c>
      <c r="F3096" t="s">
        <v>22</v>
      </c>
      <c r="G3096" t="s">
        <v>33</v>
      </c>
      <c r="H3096" t="s">
        <v>338</v>
      </c>
      <c r="I3096" t="s">
        <v>6138</v>
      </c>
      <c r="J3096">
        <v>10.549627259999999</v>
      </c>
      <c r="K3096">
        <v>-85.590882809999997</v>
      </c>
      <c r="L3096" t="s">
        <v>1225</v>
      </c>
      <c r="M3096" t="s">
        <v>327</v>
      </c>
      <c r="N3096" t="s">
        <v>340</v>
      </c>
      <c r="O3096" t="s">
        <v>341</v>
      </c>
      <c r="P3096">
        <v>16</v>
      </c>
      <c r="Q3096" t="s">
        <v>60</v>
      </c>
      <c r="S3096" t="str">
        <f>_xlfn.XLOOKUP(UNIVERSO[[#This Row],[Ruta]],'[1]CUOTA RUTA'!A:A,'[1]CUOTA RUTA'!D:D)</f>
        <v>Cargar</v>
      </c>
    </row>
    <row r="3097" spans="1:19" x14ac:dyDescent="0.25">
      <c r="A3097">
        <v>1540023528</v>
      </c>
      <c r="B3097" t="s">
        <v>6139</v>
      </c>
      <c r="C3097" t="s">
        <v>19</v>
      </c>
      <c r="D3097" t="s">
        <v>32</v>
      </c>
      <c r="E3097" t="s">
        <v>21</v>
      </c>
      <c r="F3097" t="s">
        <v>22</v>
      </c>
      <c r="G3097" t="s">
        <v>64</v>
      </c>
      <c r="H3097" t="s">
        <v>425</v>
      </c>
      <c r="I3097" t="s">
        <v>6140</v>
      </c>
      <c r="J3097">
        <v>9.8576499999999996</v>
      </c>
      <c r="K3097">
        <v>-84.097694000000004</v>
      </c>
      <c r="L3097" t="s">
        <v>1225</v>
      </c>
      <c r="M3097" t="s">
        <v>71</v>
      </c>
      <c r="N3097" t="s">
        <v>72</v>
      </c>
      <c r="O3097" t="s">
        <v>73</v>
      </c>
      <c r="P3097">
        <v>14</v>
      </c>
      <c r="Q3097" t="s">
        <v>181</v>
      </c>
      <c r="S3097" t="str">
        <f>_xlfn.XLOOKUP(UNIVERSO[[#This Row],[Ruta]],'[1]CUOTA RUTA'!A:A,'[1]CUOTA RUTA'!D:D)</f>
        <v>Cargar</v>
      </c>
    </row>
    <row r="3098" spans="1:19" x14ac:dyDescent="0.25">
      <c r="A3098">
        <v>1540023539</v>
      </c>
      <c r="B3098" t="s">
        <v>6141</v>
      </c>
      <c r="C3098" t="s">
        <v>19</v>
      </c>
      <c r="D3098" t="s">
        <v>186</v>
      </c>
      <c r="E3098" t="s">
        <v>21</v>
      </c>
      <c r="F3098" t="s">
        <v>22</v>
      </c>
      <c r="G3098" t="s">
        <v>33</v>
      </c>
      <c r="H3098" t="s">
        <v>241</v>
      </c>
      <c r="I3098" t="s">
        <v>6142</v>
      </c>
      <c r="J3098">
        <v>10.006563999999999</v>
      </c>
      <c r="K3098">
        <v>-83.266710000000003</v>
      </c>
      <c r="L3098" t="s">
        <v>1225</v>
      </c>
      <c r="M3098" t="s">
        <v>189</v>
      </c>
      <c r="N3098" t="s">
        <v>190</v>
      </c>
      <c r="O3098" t="s">
        <v>191</v>
      </c>
      <c r="P3098">
        <v>20</v>
      </c>
      <c r="Q3098" t="s">
        <v>74</v>
      </c>
      <c r="S3098" t="str">
        <f>_xlfn.XLOOKUP(UNIVERSO[[#This Row],[Ruta]],'[1]CUOTA RUTA'!A:A,'[1]CUOTA RUTA'!D:D)</f>
        <v>Cargar</v>
      </c>
    </row>
    <row r="3099" spans="1:19" x14ac:dyDescent="0.25">
      <c r="A3099">
        <v>1540023701</v>
      </c>
      <c r="B3099" t="s">
        <v>6143</v>
      </c>
      <c r="C3099" t="s">
        <v>19</v>
      </c>
      <c r="D3099" t="s">
        <v>349</v>
      </c>
      <c r="E3099" t="s">
        <v>21</v>
      </c>
      <c r="F3099" t="s">
        <v>22</v>
      </c>
      <c r="G3099" t="s">
        <v>33</v>
      </c>
      <c r="H3099" t="s">
        <v>350</v>
      </c>
      <c r="I3099" t="s">
        <v>6144</v>
      </c>
      <c r="J3099">
        <v>9.8803511700000008</v>
      </c>
      <c r="K3099">
        <v>-85.510355480000001</v>
      </c>
      <c r="L3099" t="s">
        <v>1225</v>
      </c>
      <c r="M3099" t="s">
        <v>352</v>
      </c>
      <c r="N3099" t="s">
        <v>353</v>
      </c>
      <c r="O3099" t="s">
        <v>354</v>
      </c>
      <c r="P3099">
        <v>8</v>
      </c>
      <c r="Q3099" t="s">
        <v>97</v>
      </c>
      <c r="S3099" t="str">
        <f>_xlfn.XLOOKUP(UNIVERSO[[#This Row],[Ruta]],'[1]CUOTA RUTA'!A:A,'[1]CUOTA RUTA'!D:D)</f>
        <v>Cargar</v>
      </c>
    </row>
    <row r="3100" spans="1:19" x14ac:dyDescent="0.25">
      <c r="A3100">
        <v>1540023752</v>
      </c>
      <c r="B3100" t="s">
        <v>6145</v>
      </c>
      <c r="C3100" t="s">
        <v>19</v>
      </c>
      <c r="D3100" t="s">
        <v>337</v>
      </c>
      <c r="E3100" t="s">
        <v>21</v>
      </c>
      <c r="F3100" t="s">
        <v>22</v>
      </c>
      <c r="G3100" t="s">
        <v>23</v>
      </c>
      <c r="H3100" t="s">
        <v>346</v>
      </c>
      <c r="I3100" t="s">
        <v>6146</v>
      </c>
      <c r="J3100">
        <v>10.4052194</v>
      </c>
      <c r="K3100">
        <v>-85.796544209999993</v>
      </c>
      <c r="L3100" t="s">
        <v>1225</v>
      </c>
      <c r="M3100" t="s">
        <v>327</v>
      </c>
      <c r="N3100" t="s">
        <v>340</v>
      </c>
      <c r="O3100" t="s">
        <v>341</v>
      </c>
      <c r="P3100">
        <v>18</v>
      </c>
      <c r="Q3100" t="s">
        <v>84</v>
      </c>
      <c r="S3100" t="str">
        <f>_xlfn.XLOOKUP(UNIVERSO[[#This Row],[Ruta]],'[1]CUOTA RUTA'!A:A,'[1]CUOTA RUTA'!D:D)</f>
        <v>Cargar</v>
      </c>
    </row>
    <row r="3101" spans="1:19" x14ac:dyDescent="0.25">
      <c r="A3101">
        <v>1540023880</v>
      </c>
      <c r="B3101" t="s">
        <v>6147</v>
      </c>
      <c r="C3101" t="s">
        <v>19</v>
      </c>
      <c r="D3101" t="s">
        <v>32</v>
      </c>
      <c r="E3101" t="s">
        <v>21</v>
      </c>
      <c r="F3101" t="s">
        <v>22</v>
      </c>
      <c r="G3101" t="s">
        <v>64</v>
      </c>
      <c r="H3101" t="s">
        <v>625</v>
      </c>
      <c r="I3101" t="s">
        <v>6148</v>
      </c>
      <c r="J3101">
        <v>10.017056666666999</v>
      </c>
      <c r="K3101">
        <v>-84.053785000000005</v>
      </c>
      <c r="L3101" t="s">
        <v>1225</v>
      </c>
      <c r="M3101" t="s">
        <v>94</v>
      </c>
      <c r="N3101" t="s">
        <v>95</v>
      </c>
      <c r="O3101" t="s">
        <v>96</v>
      </c>
      <c r="P3101">
        <v>5</v>
      </c>
      <c r="Q3101" t="s">
        <v>117</v>
      </c>
      <c r="S3101" t="str">
        <f>_xlfn.XLOOKUP(UNIVERSO[[#This Row],[Ruta]],'[1]CUOTA RUTA'!A:A,'[1]CUOTA RUTA'!D:D)</f>
        <v>Cargar</v>
      </c>
    </row>
    <row r="3102" spans="1:19" x14ac:dyDescent="0.25">
      <c r="A3102">
        <v>1540023888</v>
      </c>
      <c r="B3102" t="s">
        <v>6149</v>
      </c>
      <c r="C3102" t="s">
        <v>19</v>
      </c>
      <c r="D3102" t="s">
        <v>337</v>
      </c>
      <c r="E3102" t="s">
        <v>21</v>
      </c>
      <c r="F3102" t="s">
        <v>22</v>
      </c>
      <c r="G3102" t="s">
        <v>23</v>
      </c>
      <c r="H3102" t="s">
        <v>343</v>
      </c>
      <c r="I3102" t="s">
        <v>6150</v>
      </c>
      <c r="J3102">
        <v>10.660894000000001</v>
      </c>
      <c r="K3102">
        <v>-85.470150000000004</v>
      </c>
      <c r="L3102" t="s">
        <v>1225</v>
      </c>
      <c r="M3102" t="s">
        <v>327</v>
      </c>
      <c r="N3102" t="s">
        <v>340</v>
      </c>
      <c r="O3102" t="s">
        <v>341</v>
      </c>
      <c r="P3102">
        <v>15</v>
      </c>
      <c r="Q3102" t="s">
        <v>231</v>
      </c>
      <c r="S3102" t="str">
        <f>_xlfn.XLOOKUP(UNIVERSO[[#This Row],[Ruta]],'[1]CUOTA RUTA'!A:A,'[1]CUOTA RUTA'!D:D)</f>
        <v>Cargar</v>
      </c>
    </row>
    <row r="3103" spans="1:19" x14ac:dyDescent="0.25">
      <c r="A3103">
        <v>1540023890</v>
      </c>
      <c r="B3103" t="s">
        <v>6151</v>
      </c>
      <c r="C3103" t="s">
        <v>19</v>
      </c>
      <c r="D3103" t="s">
        <v>337</v>
      </c>
      <c r="E3103" t="s">
        <v>21</v>
      </c>
      <c r="F3103" t="s">
        <v>22</v>
      </c>
      <c r="G3103" t="s">
        <v>23</v>
      </c>
      <c r="H3103" t="s">
        <v>346</v>
      </c>
      <c r="I3103" t="s">
        <v>6152</v>
      </c>
      <c r="J3103">
        <v>10.407193830000001</v>
      </c>
      <c r="K3103">
        <v>-85.797339809999997</v>
      </c>
      <c r="L3103" t="s">
        <v>1225</v>
      </c>
      <c r="M3103" t="s">
        <v>327</v>
      </c>
      <c r="N3103" t="s">
        <v>340</v>
      </c>
      <c r="O3103" t="s">
        <v>341</v>
      </c>
      <c r="P3103">
        <v>18</v>
      </c>
      <c r="Q3103" t="s">
        <v>84</v>
      </c>
      <c r="S3103" t="str">
        <f>_xlfn.XLOOKUP(UNIVERSO[[#This Row],[Ruta]],'[1]CUOTA RUTA'!A:A,'[1]CUOTA RUTA'!D:D)</f>
        <v>Cargar</v>
      </c>
    </row>
    <row r="3104" spans="1:19" x14ac:dyDescent="0.25">
      <c r="A3104">
        <v>1540023916</v>
      </c>
      <c r="B3104" t="s">
        <v>6153</v>
      </c>
      <c r="C3104" t="s">
        <v>19</v>
      </c>
      <c r="D3104" t="s">
        <v>32</v>
      </c>
      <c r="E3104" t="s">
        <v>21</v>
      </c>
      <c r="F3104" t="s">
        <v>22</v>
      </c>
      <c r="G3104" t="s">
        <v>33</v>
      </c>
      <c r="H3104" t="s">
        <v>716</v>
      </c>
      <c r="I3104" t="s">
        <v>6154</v>
      </c>
      <c r="J3104">
        <v>9.9196179999999998</v>
      </c>
      <c r="K3104">
        <v>-84.039838000000003</v>
      </c>
      <c r="L3104" t="s">
        <v>1225</v>
      </c>
      <c r="M3104" t="s">
        <v>36</v>
      </c>
      <c r="N3104" t="s">
        <v>37</v>
      </c>
      <c r="O3104" t="s">
        <v>38</v>
      </c>
      <c r="P3104">
        <v>10</v>
      </c>
      <c r="Q3104" t="s">
        <v>136</v>
      </c>
      <c r="S3104" t="str">
        <f>_xlfn.XLOOKUP(UNIVERSO[[#This Row],[Ruta]],'[1]CUOTA RUTA'!A:A,'[1]CUOTA RUTA'!D:D)</f>
        <v>Cargar</v>
      </c>
    </row>
    <row r="3105" spans="1:19" x14ac:dyDescent="0.25">
      <c r="A3105">
        <v>1540024030</v>
      </c>
      <c r="B3105" t="s">
        <v>6155</v>
      </c>
      <c r="C3105" t="s">
        <v>19</v>
      </c>
      <c r="D3105" t="s">
        <v>186</v>
      </c>
      <c r="E3105" t="s">
        <v>21</v>
      </c>
      <c r="F3105" t="s">
        <v>22</v>
      </c>
      <c r="G3105" t="s">
        <v>64</v>
      </c>
      <c r="H3105" t="s">
        <v>241</v>
      </c>
      <c r="I3105" t="s">
        <v>6156</v>
      </c>
      <c r="J3105">
        <v>10.025626000000001</v>
      </c>
      <c r="K3105">
        <v>-83.244742000000002</v>
      </c>
      <c r="L3105" t="s">
        <v>1225</v>
      </c>
      <c r="M3105" t="s">
        <v>189</v>
      </c>
      <c r="N3105" t="s">
        <v>190</v>
      </c>
      <c r="O3105" t="s">
        <v>191</v>
      </c>
      <c r="P3105">
        <v>19</v>
      </c>
      <c r="Q3105" t="s">
        <v>67</v>
      </c>
      <c r="S3105" t="str">
        <f>_xlfn.XLOOKUP(UNIVERSO[[#This Row],[Ruta]],'[1]CUOTA RUTA'!A:A,'[1]CUOTA RUTA'!D:D)</f>
        <v>Cargar</v>
      </c>
    </row>
    <row r="3106" spans="1:19" x14ac:dyDescent="0.25">
      <c r="A3106">
        <v>1540024183</v>
      </c>
      <c r="B3106" t="s">
        <v>6157</v>
      </c>
      <c r="C3106" t="s">
        <v>19</v>
      </c>
      <c r="D3106" t="s">
        <v>201</v>
      </c>
      <c r="E3106" t="s">
        <v>21</v>
      </c>
      <c r="F3106" t="s">
        <v>22</v>
      </c>
      <c r="G3106" t="s">
        <v>23</v>
      </c>
      <c r="H3106" t="s">
        <v>794</v>
      </c>
      <c r="I3106" t="s">
        <v>6158</v>
      </c>
      <c r="J3106">
        <v>9.6218286000000006</v>
      </c>
      <c r="K3106">
        <v>-84.637246099999999</v>
      </c>
      <c r="L3106" t="s">
        <v>1225</v>
      </c>
      <c r="M3106" t="s">
        <v>204</v>
      </c>
      <c r="N3106" t="s">
        <v>205</v>
      </c>
      <c r="O3106" t="s">
        <v>206</v>
      </c>
      <c r="P3106">
        <v>6</v>
      </c>
      <c r="Q3106" t="s">
        <v>49</v>
      </c>
      <c r="S3106" t="str">
        <f>_xlfn.XLOOKUP(UNIVERSO[[#This Row],[Ruta]],'[1]CUOTA RUTA'!A:A,'[1]CUOTA RUTA'!D:D)</f>
        <v>Cargar</v>
      </c>
    </row>
    <row r="3107" spans="1:19" x14ac:dyDescent="0.25">
      <c r="A3107">
        <v>1540024197</v>
      </c>
      <c r="B3107" t="s">
        <v>6159</v>
      </c>
      <c r="C3107" t="s">
        <v>19</v>
      </c>
      <c r="D3107" t="s">
        <v>337</v>
      </c>
      <c r="E3107" t="s">
        <v>21</v>
      </c>
      <c r="F3107" t="s">
        <v>22</v>
      </c>
      <c r="G3107" t="s">
        <v>64</v>
      </c>
      <c r="H3107" t="s">
        <v>824</v>
      </c>
      <c r="I3107" t="s">
        <v>6160</v>
      </c>
      <c r="J3107">
        <v>10.938852000000001</v>
      </c>
      <c r="K3107">
        <v>-85.682947999999996</v>
      </c>
      <c r="L3107" t="s">
        <v>1225</v>
      </c>
      <c r="M3107" t="s">
        <v>327</v>
      </c>
      <c r="N3107" t="s">
        <v>340</v>
      </c>
      <c r="O3107" t="s">
        <v>341</v>
      </c>
      <c r="P3107">
        <v>15</v>
      </c>
      <c r="Q3107" t="s">
        <v>231</v>
      </c>
      <c r="S3107" t="str">
        <f>_xlfn.XLOOKUP(UNIVERSO[[#This Row],[Ruta]],'[1]CUOTA RUTA'!A:A,'[1]CUOTA RUTA'!D:D)</f>
        <v>Cargar</v>
      </c>
    </row>
    <row r="3108" spans="1:19" x14ac:dyDescent="0.25">
      <c r="A3108">
        <v>1540024236</v>
      </c>
      <c r="B3108" t="s">
        <v>6161</v>
      </c>
      <c r="C3108" t="s">
        <v>19</v>
      </c>
      <c r="D3108" t="s">
        <v>20</v>
      </c>
      <c r="E3108" t="s">
        <v>21</v>
      </c>
      <c r="F3108" t="s">
        <v>22</v>
      </c>
      <c r="G3108" t="s">
        <v>23</v>
      </c>
      <c r="H3108" t="s">
        <v>554</v>
      </c>
      <c r="I3108" t="s">
        <v>6162</v>
      </c>
      <c r="J3108">
        <v>10.006410000000001</v>
      </c>
      <c r="K3108">
        <v>-84.123419999999996</v>
      </c>
      <c r="L3108" t="s">
        <v>1225</v>
      </c>
      <c r="M3108" t="s">
        <v>27</v>
      </c>
      <c r="N3108" t="s">
        <v>28</v>
      </c>
      <c r="O3108" t="s">
        <v>29</v>
      </c>
      <c r="P3108">
        <v>16</v>
      </c>
      <c r="Q3108" t="s">
        <v>60</v>
      </c>
      <c r="S3108" t="str">
        <f>_xlfn.XLOOKUP(UNIVERSO[[#This Row],[Ruta]],'[1]CUOTA RUTA'!A:A,'[1]CUOTA RUTA'!D:D)</f>
        <v>Cargar</v>
      </c>
    </row>
    <row r="3109" spans="1:19" x14ac:dyDescent="0.25">
      <c r="A3109">
        <v>1540024394</v>
      </c>
      <c r="B3109" t="s">
        <v>6163</v>
      </c>
      <c r="C3109" t="s">
        <v>19</v>
      </c>
      <c r="D3109" t="s">
        <v>20</v>
      </c>
      <c r="E3109" t="s">
        <v>21</v>
      </c>
      <c r="F3109" t="s">
        <v>22</v>
      </c>
      <c r="G3109" t="s">
        <v>33</v>
      </c>
      <c r="H3109" t="s">
        <v>518</v>
      </c>
      <c r="I3109" t="s">
        <v>6164</v>
      </c>
      <c r="J3109">
        <v>9.9957808000000004</v>
      </c>
      <c r="K3109">
        <v>-84.148691600000006</v>
      </c>
      <c r="L3109" t="s">
        <v>1225</v>
      </c>
      <c r="M3109" t="s">
        <v>27</v>
      </c>
      <c r="N3109" t="s">
        <v>28</v>
      </c>
      <c r="O3109" t="s">
        <v>29</v>
      </c>
      <c r="P3109">
        <v>4</v>
      </c>
      <c r="Q3109" t="s">
        <v>120</v>
      </c>
      <c r="S3109" t="str">
        <f>_xlfn.XLOOKUP(UNIVERSO[[#This Row],[Ruta]],'[1]CUOTA RUTA'!A:A,'[1]CUOTA RUTA'!D:D)</f>
        <v>Cargar</v>
      </c>
    </row>
    <row r="3110" spans="1:19" x14ac:dyDescent="0.25">
      <c r="A3110">
        <v>1540024483</v>
      </c>
      <c r="B3110" t="s">
        <v>6165</v>
      </c>
      <c r="C3110" t="s">
        <v>19</v>
      </c>
      <c r="D3110" t="s">
        <v>32</v>
      </c>
      <c r="E3110" t="s">
        <v>21</v>
      </c>
      <c r="F3110" t="s">
        <v>51</v>
      </c>
      <c r="G3110" t="s">
        <v>23</v>
      </c>
      <c r="H3110" t="s">
        <v>134</v>
      </c>
      <c r="I3110" t="s">
        <v>6166</v>
      </c>
      <c r="J3110">
        <v>9.9853369999999995</v>
      </c>
      <c r="K3110">
        <v>-84.021141</v>
      </c>
      <c r="L3110" t="s">
        <v>1225</v>
      </c>
      <c r="M3110" t="s">
        <v>94</v>
      </c>
      <c r="N3110" t="s">
        <v>95</v>
      </c>
      <c r="O3110" t="s">
        <v>96</v>
      </c>
      <c r="P3110">
        <v>3</v>
      </c>
      <c r="Q3110" t="s">
        <v>101</v>
      </c>
      <c r="S3110" t="str">
        <f>_xlfn.XLOOKUP(UNIVERSO[[#This Row],[Ruta]],'[1]CUOTA RUTA'!A:A,'[1]CUOTA RUTA'!D:D)</f>
        <v>Cargar</v>
      </c>
    </row>
    <row r="3111" spans="1:19" x14ac:dyDescent="0.25">
      <c r="A3111">
        <v>1540024506</v>
      </c>
      <c r="B3111" t="s">
        <v>6167</v>
      </c>
      <c r="C3111" t="s">
        <v>19</v>
      </c>
      <c r="D3111" t="s">
        <v>32</v>
      </c>
      <c r="E3111" t="s">
        <v>21</v>
      </c>
      <c r="F3111" t="s">
        <v>22</v>
      </c>
      <c r="G3111" t="s">
        <v>33</v>
      </c>
      <c r="H3111" t="s">
        <v>879</v>
      </c>
      <c r="I3111" t="s">
        <v>6168</v>
      </c>
      <c r="J3111">
        <v>9.9303460000000001</v>
      </c>
      <c r="K3111">
        <v>-84.076716000000005</v>
      </c>
      <c r="L3111" t="s">
        <v>1225</v>
      </c>
      <c r="M3111" t="s">
        <v>71</v>
      </c>
      <c r="N3111" t="s">
        <v>72</v>
      </c>
      <c r="O3111" t="s">
        <v>73</v>
      </c>
      <c r="P3111">
        <v>5</v>
      </c>
      <c r="Q3111" t="s">
        <v>117</v>
      </c>
      <c r="S3111" t="str">
        <f>_xlfn.XLOOKUP(UNIVERSO[[#This Row],[Ruta]],'[1]CUOTA RUTA'!A:A,'[1]CUOTA RUTA'!D:D)</f>
        <v>Cargar</v>
      </c>
    </row>
    <row r="3112" spans="1:19" x14ac:dyDescent="0.25">
      <c r="A3112">
        <v>1540024595</v>
      </c>
      <c r="B3112" t="s">
        <v>6169</v>
      </c>
      <c r="C3112" t="s">
        <v>19</v>
      </c>
      <c r="D3112" t="s">
        <v>32</v>
      </c>
      <c r="E3112" t="s">
        <v>21</v>
      </c>
      <c r="F3112" t="s">
        <v>22</v>
      </c>
      <c r="G3112" t="s">
        <v>23</v>
      </c>
      <c r="H3112" t="s">
        <v>716</v>
      </c>
      <c r="I3112" t="s">
        <v>6170</v>
      </c>
      <c r="J3112">
        <v>9.9154300000000006</v>
      </c>
      <c r="K3112">
        <v>-84.035200000000003</v>
      </c>
      <c r="L3112" t="s">
        <v>1225</v>
      </c>
      <c r="M3112" t="s">
        <v>36</v>
      </c>
      <c r="N3112" t="s">
        <v>37</v>
      </c>
      <c r="O3112" t="s">
        <v>38</v>
      </c>
      <c r="P3112">
        <v>10</v>
      </c>
      <c r="Q3112" t="s">
        <v>136</v>
      </c>
      <c r="S3112" t="str">
        <f>_xlfn.XLOOKUP(UNIVERSO[[#This Row],[Ruta]],'[1]CUOTA RUTA'!A:A,'[1]CUOTA RUTA'!D:D)</f>
        <v>Cargar</v>
      </c>
    </row>
    <row r="3113" spans="1:19" x14ac:dyDescent="0.25">
      <c r="A3113">
        <v>1540024752</v>
      </c>
      <c r="B3113" t="s">
        <v>6171</v>
      </c>
      <c r="C3113" t="s">
        <v>19</v>
      </c>
      <c r="D3113" t="s">
        <v>20</v>
      </c>
      <c r="E3113" t="s">
        <v>21</v>
      </c>
      <c r="F3113" t="s">
        <v>22</v>
      </c>
      <c r="G3113" t="s">
        <v>23</v>
      </c>
      <c r="H3113" t="s">
        <v>58</v>
      </c>
      <c r="I3113" t="s">
        <v>6172</v>
      </c>
      <c r="J3113">
        <v>10.035994000000001</v>
      </c>
      <c r="K3113">
        <v>-84.160554000000005</v>
      </c>
      <c r="L3113" t="s">
        <v>1225</v>
      </c>
      <c r="M3113" t="s">
        <v>54</v>
      </c>
      <c r="N3113" t="s">
        <v>55</v>
      </c>
      <c r="O3113" t="s">
        <v>56</v>
      </c>
      <c r="P3113">
        <v>18</v>
      </c>
      <c r="Q3113" t="s">
        <v>84</v>
      </c>
      <c r="S3113" t="str">
        <f>_xlfn.XLOOKUP(UNIVERSO[[#This Row],[Ruta]],'[1]CUOTA RUTA'!A:A,'[1]CUOTA RUTA'!D:D)</f>
        <v>Cargar</v>
      </c>
    </row>
    <row r="3114" spans="1:19" x14ac:dyDescent="0.25">
      <c r="A3114">
        <v>1540024754</v>
      </c>
      <c r="B3114" t="s">
        <v>1260</v>
      </c>
      <c r="C3114" t="s">
        <v>19</v>
      </c>
      <c r="D3114" t="s">
        <v>32</v>
      </c>
      <c r="E3114" t="s">
        <v>21</v>
      </c>
      <c r="F3114" t="s">
        <v>22</v>
      </c>
      <c r="G3114" t="s">
        <v>33</v>
      </c>
      <c r="H3114" t="s">
        <v>683</v>
      </c>
      <c r="I3114" t="s">
        <v>6173</v>
      </c>
      <c r="J3114">
        <v>9.9409530000000004</v>
      </c>
      <c r="K3114">
        <v>-84.092601000000002</v>
      </c>
      <c r="L3114" t="s">
        <v>1225</v>
      </c>
      <c r="M3114" t="s">
        <v>71</v>
      </c>
      <c r="N3114" t="s">
        <v>72</v>
      </c>
      <c r="O3114" t="s">
        <v>73</v>
      </c>
      <c r="P3114">
        <v>4</v>
      </c>
      <c r="Q3114" t="s">
        <v>120</v>
      </c>
      <c r="S3114" t="str">
        <f>_xlfn.XLOOKUP(UNIVERSO[[#This Row],[Ruta]],'[1]CUOTA RUTA'!A:A,'[1]CUOTA RUTA'!D:D)</f>
        <v>Cargar</v>
      </c>
    </row>
    <row r="3115" spans="1:19" x14ac:dyDescent="0.25">
      <c r="A3115">
        <v>1540024804</v>
      </c>
      <c r="B3115" t="s">
        <v>6174</v>
      </c>
      <c r="C3115" t="s">
        <v>19</v>
      </c>
      <c r="D3115" t="s">
        <v>20</v>
      </c>
      <c r="E3115" t="s">
        <v>21</v>
      </c>
      <c r="F3115" t="s">
        <v>22</v>
      </c>
      <c r="G3115" t="s">
        <v>23</v>
      </c>
      <c r="H3115" t="s">
        <v>277</v>
      </c>
      <c r="I3115" t="s">
        <v>6175</v>
      </c>
      <c r="J3115">
        <v>9.9599600000000006</v>
      </c>
      <c r="K3115">
        <v>-84.258600000000001</v>
      </c>
      <c r="L3115" t="s">
        <v>1225</v>
      </c>
      <c r="M3115" t="s">
        <v>54</v>
      </c>
      <c r="N3115" t="s">
        <v>55</v>
      </c>
      <c r="O3115" t="s">
        <v>56</v>
      </c>
      <c r="P3115">
        <v>6</v>
      </c>
      <c r="Q3115" t="s">
        <v>49</v>
      </c>
      <c r="S3115" t="str">
        <f>_xlfn.XLOOKUP(UNIVERSO[[#This Row],[Ruta]],'[1]CUOTA RUTA'!A:A,'[1]CUOTA RUTA'!D:D)</f>
        <v>Cargar</v>
      </c>
    </row>
    <row r="3116" spans="1:19" x14ac:dyDescent="0.25">
      <c r="A3116">
        <v>1540024807</v>
      </c>
      <c r="B3116" t="s">
        <v>6176</v>
      </c>
      <c r="C3116" t="s">
        <v>19</v>
      </c>
      <c r="D3116" t="s">
        <v>337</v>
      </c>
      <c r="E3116" t="s">
        <v>21</v>
      </c>
      <c r="F3116" t="s">
        <v>51</v>
      </c>
      <c r="G3116" t="s">
        <v>23</v>
      </c>
      <c r="H3116" t="s">
        <v>824</v>
      </c>
      <c r="I3116" t="s">
        <v>6177</v>
      </c>
      <c r="J3116">
        <v>10.542173569999999</v>
      </c>
      <c r="K3116">
        <v>-85.707673880000002</v>
      </c>
      <c r="L3116" t="s">
        <v>1225</v>
      </c>
      <c r="M3116" t="s">
        <v>327</v>
      </c>
      <c r="N3116" t="s">
        <v>340</v>
      </c>
      <c r="O3116" t="s">
        <v>341</v>
      </c>
      <c r="P3116">
        <v>19</v>
      </c>
      <c r="Q3116" t="s">
        <v>67</v>
      </c>
      <c r="S3116" t="str">
        <f>_xlfn.XLOOKUP(UNIVERSO[[#This Row],[Ruta]],'[1]CUOTA RUTA'!A:A,'[1]CUOTA RUTA'!D:D)</f>
        <v>Cargar</v>
      </c>
    </row>
    <row r="3117" spans="1:19" x14ac:dyDescent="0.25">
      <c r="A3117">
        <v>1540024817</v>
      </c>
      <c r="B3117" t="s">
        <v>6178</v>
      </c>
      <c r="C3117" t="s">
        <v>19</v>
      </c>
      <c r="D3117" t="s">
        <v>20</v>
      </c>
      <c r="E3117" t="s">
        <v>21</v>
      </c>
      <c r="F3117" t="s">
        <v>22</v>
      </c>
      <c r="G3117" t="s">
        <v>64</v>
      </c>
      <c r="H3117" t="s">
        <v>901</v>
      </c>
      <c r="I3117" t="s">
        <v>6179</v>
      </c>
      <c r="J3117">
        <v>10.039985</v>
      </c>
      <c r="K3117">
        <v>-84.365151699999998</v>
      </c>
      <c r="L3117" t="s">
        <v>1225</v>
      </c>
      <c r="M3117" t="s">
        <v>46</v>
      </c>
      <c r="N3117" t="s">
        <v>47</v>
      </c>
      <c r="O3117" t="s">
        <v>48</v>
      </c>
      <c r="P3117">
        <v>5</v>
      </c>
      <c r="Q3117" t="s">
        <v>117</v>
      </c>
      <c r="S3117" t="str">
        <f>_xlfn.XLOOKUP(UNIVERSO[[#This Row],[Ruta]],'[1]CUOTA RUTA'!A:A,'[1]CUOTA RUTA'!D:D)</f>
        <v>Cargar</v>
      </c>
    </row>
    <row r="3118" spans="1:19" x14ac:dyDescent="0.25">
      <c r="A3118">
        <v>1540024844</v>
      </c>
      <c r="B3118" t="s">
        <v>6180</v>
      </c>
      <c r="C3118" t="s">
        <v>19</v>
      </c>
      <c r="D3118" t="s">
        <v>244</v>
      </c>
      <c r="E3118" t="s">
        <v>21</v>
      </c>
      <c r="F3118" t="s">
        <v>22</v>
      </c>
      <c r="G3118" t="s">
        <v>64</v>
      </c>
      <c r="H3118" t="s">
        <v>767</v>
      </c>
      <c r="I3118" t="s">
        <v>6181</v>
      </c>
      <c r="J3118">
        <v>9.1583840999999993</v>
      </c>
      <c r="K3118">
        <v>-83.572052200000002</v>
      </c>
      <c r="L3118" t="s">
        <v>1225</v>
      </c>
      <c r="M3118" t="s">
        <v>46</v>
      </c>
      <c r="N3118" t="s">
        <v>247</v>
      </c>
      <c r="O3118" t="s">
        <v>248</v>
      </c>
      <c r="P3118">
        <v>12</v>
      </c>
      <c r="Q3118" t="s">
        <v>42</v>
      </c>
      <c r="S3118" t="str">
        <f>_xlfn.XLOOKUP(UNIVERSO[[#This Row],[Ruta]],'[1]CUOTA RUTA'!A:A,'[1]CUOTA RUTA'!D:D)</f>
        <v>Cargar</v>
      </c>
    </row>
    <row r="3119" spans="1:19" x14ac:dyDescent="0.25">
      <c r="A3119">
        <v>1540024859</v>
      </c>
      <c r="B3119" t="s">
        <v>6182</v>
      </c>
      <c r="C3119" t="s">
        <v>19</v>
      </c>
      <c r="D3119" t="s">
        <v>32</v>
      </c>
      <c r="E3119" t="s">
        <v>21</v>
      </c>
      <c r="F3119" t="s">
        <v>22</v>
      </c>
      <c r="G3119" t="s">
        <v>64</v>
      </c>
      <c r="H3119" t="s">
        <v>127</v>
      </c>
      <c r="I3119" t="s">
        <v>6183</v>
      </c>
      <c r="J3119">
        <v>9.7894816666669993</v>
      </c>
      <c r="K3119">
        <v>-84.102906666660004</v>
      </c>
      <c r="L3119" t="s">
        <v>1225</v>
      </c>
      <c r="M3119" t="s">
        <v>54</v>
      </c>
      <c r="N3119" t="s">
        <v>129</v>
      </c>
      <c r="O3119" t="s">
        <v>130</v>
      </c>
      <c r="P3119">
        <v>22</v>
      </c>
      <c r="Q3119" t="s">
        <v>30</v>
      </c>
      <c r="S3119" t="str">
        <f>_xlfn.XLOOKUP(UNIVERSO[[#This Row],[Ruta]],'[1]CUOTA RUTA'!A:A,'[1]CUOTA RUTA'!D:D)</f>
        <v>Cargar</v>
      </c>
    </row>
    <row r="3120" spans="1:19" x14ac:dyDescent="0.25">
      <c r="A3120">
        <v>1540024865</v>
      </c>
      <c r="B3120" t="s">
        <v>4059</v>
      </c>
      <c r="C3120" t="s">
        <v>19</v>
      </c>
      <c r="D3120" t="s">
        <v>32</v>
      </c>
      <c r="E3120" t="s">
        <v>21</v>
      </c>
      <c r="F3120" t="s">
        <v>22</v>
      </c>
      <c r="G3120" t="s">
        <v>64</v>
      </c>
      <c r="H3120" t="s">
        <v>1191</v>
      </c>
      <c r="I3120" t="s">
        <v>6184</v>
      </c>
      <c r="J3120">
        <v>9.8957300000000004</v>
      </c>
      <c r="K3120">
        <v>-84.003330000000005</v>
      </c>
      <c r="L3120" t="s">
        <v>1225</v>
      </c>
      <c r="M3120" t="s">
        <v>36</v>
      </c>
      <c r="N3120" t="s">
        <v>37</v>
      </c>
      <c r="O3120" t="s">
        <v>38</v>
      </c>
      <c r="P3120">
        <v>17</v>
      </c>
      <c r="Q3120" t="s">
        <v>287</v>
      </c>
      <c r="S3120" t="str">
        <f>_xlfn.XLOOKUP(UNIVERSO[[#This Row],[Ruta]],'[1]CUOTA RUTA'!A:A,'[1]CUOTA RUTA'!D:D)</f>
        <v>Cargar</v>
      </c>
    </row>
    <row r="3121" spans="1:19" x14ac:dyDescent="0.25">
      <c r="A3121">
        <v>1540025090</v>
      </c>
      <c r="B3121" t="s">
        <v>6185</v>
      </c>
      <c r="C3121" t="s">
        <v>19</v>
      </c>
      <c r="D3121" t="s">
        <v>20</v>
      </c>
      <c r="E3121" t="s">
        <v>21</v>
      </c>
      <c r="F3121" t="s">
        <v>22</v>
      </c>
      <c r="G3121" t="s">
        <v>64</v>
      </c>
      <c r="H3121" t="s">
        <v>308</v>
      </c>
      <c r="I3121" t="s">
        <v>6186</v>
      </c>
      <c r="J3121">
        <v>9.8252400000000009</v>
      </c>
      <c r="K3121">
        <v>-84.208100000000002</v>
      </c>
      <c r="L3121" t="s">
        <v>1225</v>
      </c>
      <c r="M3121" t="s">
        <v>54</v>
      </c>
      <c r="N3121" t="s">
        <v>55</v>
      </c>
      <c r="O3121" t="s">
        <v>56</v>
      </c>
      <c r="P3121">
        <v>23</v>
      </c>
      <c r="Q3121" t="s">
        <v>125</v>
      </c>
      <c r="S3121" t="str">
        <f>_xlfn.XLOOKUP(UNIVERSO[[#This Row],[Ruta]],'[1]CUOTA RUTA'!A:A,'[1]CUOTA RUTA'!D:D)</f>
        <v>Cargar</v>
      </c>
    </row>
    <row r="3122" spans="1:19" x14ac:dyDescent="0.25">
      <c r="A3122">
        <v>1540025281</v>
      </c>
      <c r="B3122" t="s">
        <v>6187</v>
      </c>
      <c r="C3122" t="s">
        <v>19</v>
      </c>
      <c r="D3122" t="s">
        <v>208</v>
      </c>
      <c r="E3122" t="s">
        <v>21</v>
      </c>
      <c r="F3122" t="s">
        <v>22</v>
      </c>
      <c r="G3122" t="s">
        <v>33</v>
      </c>
      <c r="H3122" t="s">
        <v>502</v>
      </c>
      <c r="I3122" t="s">
        <v>6188</v>
      </c>
      <c r="J3122">
        <v>10.416324700000001</v>
      </c>
      <c r="K3122">
        <v>-83.654814700000003</v>
      </c>
      <c r="L3122" t="s">
        <v>1225</v>
      </c>
      <c r="M3122" t="s">
        <v>189</v>
      </c>
      <c r="N3122" t="s">
        <v>211</v>
      </c>
      <c r="O3122" t="s">
        <v>212</v>
      </c>
      <c r="P3122">
        <v>7</v>
      </c>
      <c r="Q3122" t="s">
        <v>39</v>
      </c>
      <c r="S3122" t="str">
        <f>_xlfn.XLOOKUP(UNIVERSO[[#This Row],[Ruta]],'[1]CUOTA RUTA'!A:A,'[1]CUOTA RUTA'!D:D)</f>
        <v>Cargar</v>
      </c>
    </row>
    <row r="3123" spans="1:19" x14ac:dyDescent="0.25">
      <c r="A3123">
        <v>1540025328</v>
      </c>
      <c r="B3123" t="s">
        <v>6189</v>
      </c>
      <c r="C3123" t="s">
        <v>19</v>
      </c>
      <c r="D3123" t="s">
        <v>324</v>
      </c>
      <c r="E3123" t="s">
        <v>21</v>
      </c>
      <c r="F3123" t="s">
        <v>22</v>
      </c>
      <c r="G3123" t="s">
        <v>64</v>
      </c>
      <c r="H3123" t="s">
        <v>331</v>
      </c>
      <c r="I3123" t="s">
        <v>6190</v>
      </c>
      <c r="J3123">
        <v>10.3902</v>
      </c>
      <c r="K3123">
        <v>-84.338499999999996</v>
      </c>
      <c r="L3123" t="s">
        <v>1225</v>
      </c>
      <c r="M3123" t="s">
        <v>327</v>
      </c>
      <c r="N3123" t="s">
        <v>328</v>
      </c>
      <c r="O3123" t="s">
        <v>329</v>
      </c>
      <c r="P3123">
        <v>18</v>
      </c>
      <c r="Q3123" t="s">
        <v>84</v>
      </c>
      <c r="S3123" t="str">
        <f>_xlfn.XLOOKUP(UNIVERSO[[#This Row],[Ruta]],'[1]CUOTA RUTA'!A:A,'[1]CUOTA RUTA'!D:D)</f>
        <v>Cargar</v>
      </c>
    </row>
    <row r="3124" spans="1:19" x14ac:dyDescent="0.25">
      <c r="A3124">
        <v>1540025393</v>
      </c>
      <c r="B3124" t="s">
        <v>6191</v>
      </c>
      <c r="C3124" t="s">
        <v>19</v>
      </c>
      <c r="D3124" t="s">
        <v>244</v>
      </c>
      <c r="E3124" t="s">
        <v>21</v>
      </c>
      <c r="F3124" t="s">
        <v>22</v>
      </c>
      <c r="G3124" t="s">
        <v>33</v>
      </c>
      <c r="H3124" t="s">
        <v>245</v>
      </c>
      <c r="I3124" t="s">
        <v>6192</v>
      </c>
      <c r="J3124">
        <v>9.1551279999999995</v>
      </c>
      <c r="K3124">
        <v>-83.728538999999998</v>
      </c>
      <c r="L3124" t="s">
        <v>1225</v>
      </c>
      <c r="M3124" t="s">
        <v>46</v>
      </c>
      <c r="N3124" t="s">
        <v>247</v>
      </c>
      <c r="O3124" t="s">
        <v>248</v>
      </c>
      <c r="P3124">
        <v>19</v>
      </c>
      <c r="Q3124" t="s">
        <v>67</v>
      </c>
      <c r="S3124" t="str">
        <f>_xlfn.XLOOKUP(UNIVERSO[[#This Row],[Ruta]],'[1]CUOTA RUTA'!A:A,'[1]CUOTA RUTA'!D:D)</f>
        <v>Cargar</v>
      </c>
    </row>
    <row r="3125" spans="1:19" x14ac:dyDescent="0.25">
      <c r="A3125">
        <v>1540025439</v>
      </c>
      <c r="B3125" t="s">
        <v>6193</v>
      </c>
      <c r="C3125" t="s">
        <v>19</v>
      </c>
      <c r="D3125" t="s">
        <v>20</v>
      </c>
      <c r="E3125" t="s">
        <v>21</v>
      </c>
      <c r="F3125" t="s">
        <v>22</v>
      </c>
      <c r="G3125" t="s">
        <v>64</v>
      </c>
      <c r="H3125" t="s">
        <v>743</v>
      </c>
      <c r="I3125" t="s">
        <v>6194</v>
      </c>
      <c r="J3125">
        <v>9.9760200000000001</v>
      </c>
      <c r="K3125">
        <v>-84.379499999999993</v>
      </c>
      <c r="L3125" t="s">
        <v>1225</v>
      </c>
      <c r="M3125" t="s">
        <v>46</v>
      </c>
      <c r="N3125" t="s">
        <v>47</v>
      </c>
      <c r="O3125" t="s">
        <v>48</v>
      </c>
      <c r="P3125">
        <v>10</v>
      </c>
      <c r="Q3125" t="s">
        <v>136</v>
      </c>
      <c r="S3125" t="str">
        <f>_xlfn.XLOOKUP(UNIVERSO[[#This Row],[Ruta]],'[1]CUOTA RUTA'!A:A,'[1]CUOTA RUTA'!D:D)</f>
        <v>Cargar</v>
      </c>
    </row>
    <row r="3126" spans="1:19" x14ac:dyDescent="0.25">
      <c r="A3126">
        <v>1540025463</v>
      </c>
      <c r="B3126" t="s">
        <v>6195</v>
      </c>
      <c r="C3126" t="s">
        <v>19</v>
      </c>
      <c r="D3126" t="s">
        <v>32</v>
      </c>
      <c r="E3126" t="s">
        <v>21</v>
      </c>
      <c r="F3126" t="s">
        <v>22</v>
      </c>
      <c r="G3126" t="s">
        <v>64</v>
      </c>
      <c r="H3126" t="s">
        <v>76</v>
      </c>
      <c r="I3126" t="s">
        <v>6196</v>
      </c>
      <c r="J3126">
        <v>9.9406339999999993</v>
      </c>
      <c r="K3126">
        <v>-84.027884</v>
      </c>
      <c r="L3126" t="s">
        <v>1225</v>
      </c>
      <c r="M3126" t="s">
        <v>36</v>
      </c>
      <c r="N3126" t="s">
        <v>37</v>
      </c>
      <c r="O3126" t="s">
        <v>38</v>
      </c>
      <c r="P3126">
        <v>8</v>
      </c>
      <c r="Q3126" t="s">
        <v>97</v>
      </c>
      <c r="S3126" t="str">
        <f>_xlfn.XLOOKUP(UNIVERSO[[#This Row],[Ruta]],'[1]CUOTA RUTA'!A:A,'[1]CUOTA RUTA'!D:D)</f>
        <v>Cargar</v>
      </c>
    </row>
    <row r="3127" spans="1:19" x14ac:dyDescent="0.25">
      <c r="A3127">
        <v>1540025506</v>
      </c>
      <c r="B3127" t="s">
        <v>6197</v>
      </c>
      <c r="C3127" t="s">
        <v>19</v>
      </c>
      <c r="D3127" t="s">
        <v>337</v>
      </c>
      <c r="E3127" t="s">
        <v>21</v>
      </c>
      <c r="F3127" t="s">
        <v>22</v>
      </c>
      <c r="G3127" t="s">
        <v>33</v>
      </c>
      <c r="H3127" t="s">
        <v>824</v>
      </c>
      <c r="I3127" t="s">
        <v>6198</v>
      </c>
      <c r="J3127">
        <v>11.07054383</v>
      </c>
      <c r="K3127">
        <v>-85.631954640000004</v>
      </c>
      <c r="L3127" t="s">
        <v>1225</v>
      </c>
      <c r="M3127" t="s">
        <v>327</v>
      </c>
      <c r="N3127" t="s">
        <v>340</v>
      </c>
      <c r="O3127" t="s">
        <v>341</v>
      </c>
      <c r="P3127">
        <v>15</v>
      </c>
      <c r="Q3127" t="s">
        <v>231</v>
      </c>
      <c r="S3127" t="str">
        <f>_xlfn.XLOOKUP(UNIVERSO[[#This Row],[Ruta]],'[1]CUOTA RUTA'!A:A,'[1]CUOTA RUTA'!D:D)</f>
        <v>Cargar</v>
      </c>
    </row>
    <row r="3128" spans="1:19" x14ac:dyDescent="0.25">
      <c r="A3128">
        <v>1540025510</v>
      </c>
      <c r="B3128" t="s">
        <v>6199</v>
      </c>
      <c r="C3128" t="s">
        <v>19</v>
      </c>
      <c r="D3128" t="s">
        <v>208</v>
      </c>
      <c r="E3128" t="s">
        <v>21</v>
      </c>
      <c r="F3128" t="s">
        <v>22</v>
      </c>
      <c r="G3128" t="s">
        <v>64</v>
      </c>
      <c r="H3128" t="s">
        <v>209</v>
      </c>
      <c r="I3128" t="s">
        <v>6200</v>
      </c>
      <c r="J3128">
        <v>10.24545292</v>
      </c>
      <c r="K3128">
        <v>-83.795213039999993</v>
      </c>
      <c r="L3128" t="s">
        <v>1225</v>
      </c>
      <c r="M3128" t="s">
        <v>189</v>
      </c>
      <c r="N3128" t="s">
        <v>211</v>
      </c>
      <c r="O3128" t="s">
        <v>212</v>
      </c>
      <c r="P3128">
        <v>5</v>
      </c>
      <c r="Q3128" t="s">
        <v>117</v>
      </c>
      <c r="S3128" t="str">
        <f>_xlfn.XLOOKUP(UNIVERSO[[#This Row],[Ruta]],'[1]CUOTA RUTA'!A:A,'[1]CUOTA RUTA'!D:D)</f>
        <v>Cargar</v>
      </c>
    </row>
    <row r="3129" spans="1:19" x14ac:dyDescent="0.25">
      <c r="A3129">
        <v>1540025520</v>
      </c>
      <c r="B3129" t="s">
        <v>6201</v>
      </c>
      <c r="C3129" t="s">
        <v>19</v>
      </c>
      <c r="D3129" t="s">
        <v>266</v>
      </c>
      <c r="E3129" t="s">
        <v>21</v>
      </c>
      <c r="F3129" t="s">
        <v>22</v>
      </c>
      <c r="G3129" t="s">
        <v>33</v>
      </c>
      <c r="H3129" t="s">
        <v>703</v>
      </c>
      <c r="I3129" t="s">
        <v>6202</v>
      </c>
      <c r="J3129">
        <v>9.8368400000000005</v>
      </c>
      <c r="K3129">
        <v>-83.949953333330001</v>
      </c>
      <c r="L3129" t="s">
        <v>1225</v>
      </c>
      <c r="M3129" t="s">
        <v>36</v>
      </c>
      <c r="N3129" t="s">
        <v>316</v>
      </c>
      <c r="O3129" t="s">
        <v>317</v>
      </c>
      <c r="P3129">
        <v>19</v>
      </c>
      <c r="Q3129" t="s">
        <v>67</v>
      </c>
      <c r="S3129" t="str">
        <f>_xlfn.XLOOKUP(UNIVERSO[[#This Row],[Ruta]],'[1]CUOTA RUTA'!A:A,'[1]CUOTA RUTA'!D:D)</f>
        <v>Cargar</v>
      </c>
    </row>
    <row r="3130" spans="1:19" x14ac:dyDescent="0.25">
      <c r="A3130">
        <v>1540025547</v>
      </c>
      <c r="B3130" t="s">
        <v>6203</v>
      </c>
      <c r="C3130" t="s">
        <v>19</v>
      </c>
      <c r="D3130" t="s">
        <v>20</v>
      </c>
      <c r="E3130" t="s">
        <v>21</v>
      </c>
      <c r="F3130" t="s">
        <v>22</v>
      </c>
      <c r="G3130" t="s">
        <v>64</v>
      </c>
      <c r="H3130" t="s">
        <v>285</v>
      </c>
      <c r="I3130" t="s">
        <v>6204</v>
      </c>
      <c r="J3130">
        <v>10.05577609</v>
      </c>
      <c r="K3130">
        <v>-84.10841843</v>
      </c>
      <c r="L3130" t="s">
        <v>1225</v>
      </c>
      <c r="M3130" t="s">
        <v>54</v>
      </c>
      <c r="N3130" t="s">
        <v>55</v>
      </c>
      <c r="O3130" t="s">
        <v>56</v>
      </c>
      <c r="P3130">
        <v>19</v>
      </c>
      <c r="Q3130" t="s">
        <v>67</v>
      </c>
      <c r="S3130" t="str">
        <f>_xlfn.XLOOKUP(UNIVERSO[[#This Row],[Ruta]],'[1]CUOTA RUTA'!A:A,'[1]CUOTA RUTA'!D:D)</f>
        <v>Cargar</v>
      </c>
    </row>
    <row r="3131" spans="1:19" x14ac:dyDescent="0.25">
      <c r="A3131">
        <v>1540025556</v>
      </c>
      <c r="B3131" t="s">
        <v>6205</v>
      </c>
      <c r="C3131" t="s">
        <v>19</v>
      </c>
      <c r="D3131" t="s">
        <v>20</v>
      </c>
      <c r="E3131" t="s">
        <v>21</v>
      </c>
      <c r="F3131" t="s">
        <v>22</v>
      </c>
      <c r="G3131" t="s">
        <v>64</v>
      </c>
      <c r="H3131" t="s">
        <v>250</v>
      </c>
      <c r="I3131" t="s">
        <v>6206</v>
      </c>
      <c r="J3131">
        <v>10.010987999999999</v>
      </c>
      <c r="K3131">
        <v>-84.297399999999996</v>
      </c>
      <c r="L3131" t="s">
        <v>1225</v>
      </c>
      <c r="M3131" t="s">
        <v>46</v>
      </c>
      <c r="N3131" t="s">
        <v>47</v>
      </c>
      <c r="O3131" t="s">
        <v>48</v>
      </c>
      <c r="P3131">
        <v>11</v>
      </c>
      <c r="Q3131" t="s">
        <v>108</v>
      </c>
      <c r="S3131" t="str">
        <f>_xlfn.XLOOKUP(UNIVERSO[[#This Row],[Ruta]],'[1]CUOTA RUTA'!A:A,'[1]CUOTA RUTA'!D:D)</f>
        <v>Cargar</v>
      </c>
    </row>
    <row r="3132" spans="1:19" x14ac:dyDescent="0.25">
      <c r="A3132">
        <v>1540025634</v>
      </c>
      <c r="B3132" t="s">
        <v>6207</v>
      </c>
      <c r="C3132" t="s">
        <v>19</v>
      </c>
      <c r="D3132" t="s">
        <v>244</v>
      </c>
      <c r="E3132" t="s">
        <v>21</v>
      </c>
      <c r="F3132" t="s">
        <v>22</v>
      </c>
      <c r="G3132" t="s">
        <v>64</v>
      </c>
      <c r="H3132" t="s">
        <v>767</v>
      </c>
      <c r="I3132" t="s">
        <v>6208</v>
      </c>
      <c r="J3132">
        <v>9.4292894</v>
      </c>
      <c r="K3132">
        <v>-83.645591999999994</v>
      </c>
      <c r="L3132" t="s">
        <v>1225</v>
      </c>
      <c r="M3132" t="s">
        <v>46</v>
      </c>
      <c r="N3132" t="s">
        <v>247</v>
      </c>
      <c r="O3132" t="s">
        <v>248</v>
      </c>
      <c r="P3132">
        <v>18</v>
      </c>
      <c r="Q3132" t="s">
        <v>84</v>
      </c>
      <c r="S3132" t="str">
        <f>_xlfn.XLOOKUP(UNIVERSO[[#This Row],[Ruta]],'[1]CUOTA RUTA'!A:A,'[1]CUOTA RUTA'!D:D)</f>
        <v>Cargar</v>
      </c>
    </row>
    <row r="3133" spans="1:19" x14ac:dyDescent="0.25">
      <c r="A3133">
        <v>1540025659</v>
      </c>
      <c r="B3133" t="s">
        <v>6209</v>
      </c>
      <c r="C3133" t="s">
        <v>19</v>
      </c>
      <c r="D3133" t="s">
        <v>244</v>
      </c>
      <c r="E3133" t="s">
        <v>21</v>
      </c>
      <c r="F3133" t="s">
        <v>22</v>
      </c>
      <c r="G3133" t="s">
        <v>64</v>
      </c>
      <c r="H3133" t="s">
        <v>245</v>
      </c>
      <c r="I3133" t="s">
        <v>6210</v>
      </c>
      <c r="J3133">
        <v>9.2422699999999995</v>
      </c>
      <c r="K3133">
        <v>-83.680322000000004</v>
      </c>
      <c r="L3133" t="s">
        <v>1225</v>
      </c>
      <c r="M3133" t="s">
        <v>46</v>
      </c>
      <c r="N3133" t="s">
        <v>247</v>
      </c>
      <c r="O3133" t="s">
        <v>248</v>
      </c>
      <c r="P3133">
        <v>13</v>
      </c>
      <c r="Q3133" t="s">
        <v>161</v>
      </c>
      <c r="S3133" t="str">
        <f>_xlfn.XLOOKUP(UNIVERSO[[#This Row],[Ruta]],'[1]CUOTA RUTA'!A:A,'[1]CUOTA RUTA'!D:D)</f>
        <v>Cargar</v>
      </c>
    </row>
    <row r="3134" spans="1:19" x14ac:dyDescent="0.25">
      <c r="A3134">
        <v>1540025729</v>
      </c>
      <c r="B3134" t="s">
        <v>6211</v>
      </c>
      <c r="C3134" t="s">
        <v>19</v>
      </c>
      <c r="D3134" t="s">
        <v>20</v>
      </c>
      <c r="E3134" t="s">
        <v>21</v>
      </c>
      <c r="F3134" t="s">
        <v>22</v>
      </c>
      <c r="G3134" t="s">
        <v>64</v>
      </c>
      <c r="H3134" t="s">
        <v>308</v>
      </c>
      <c r="I3134" t="s">
        <v>6212</v>
      </c>
      <c r="J3134">
        <v>9.84755</v>
      </c>
      <c r="K3134">
        <v>-84.310469999999995</v>
      </c>
      <c r="L3134" t="s">
        <v>1225</v>
      </c>
      <c r="M3134" t="s">
        <v>54</v>
      </c>
      <c r="N3134" t="s">
        <v>55</v>
      </c>
      <c r="O3134" t="s">
        <v>56</v>
      </c>
      <c r="P3134">
        <v>22</v>
      </c>
      <c r="Q3134" t="s">
        <v>30</v>
      </c>
      <c r="S3134" t="str">
        <f>_xlfn.XLOOKUP(UNIVERSO[[#This Row],[Ruta]],'[1]CUOTA RUTA'!A:A,'[1]CUOTA RUTA'!D:D)</f>
        <v>Cargar</v>
      </c>
    </row>
    <row r="3135" spans="1:19" x14ac:dyDescent="0.25">
      <c r="A3135">
        <v>1540025755</v>
      </c>
      <c r="B3135" t="s">
        <v>6213</v>
      </c>
      <c r="C3135" t="s">
        <v>19</v>
      </c>
      <c r="D3135" t="s">
        <v>32</v>
      </c>
      <c r="E3135" t="s">
        <v>21</v>
      </c>
      <c r="F3135" t="s">
        <v>22</v>
      </c>
      <c r="G3135" t="s">
        <v>33</v>
      </c>
      <c r="H3135" t="s">
        <v>112</v>
      </c>
      <c r="I3135" t="s">
        <v>6214</v>
      </c>
      <c r="J3135">
        <v>9.9742149999999992</v>
      </c>
      <c r="K3135">
        <v>-84.096496999999999</v>
      </c>
      <c r="L3135" t="s">
        <v>1225</v>
      </c>
      <c r="M3135" t="s">
        <v>94</v>
      </c>
      <c r="N3135" t="s">
        <v>95</v>
      </c>
      <c r="O3135" t="s">
        <v>96</v>
      </c>
      <c r="P3135">
        <v>11</v>
      </c>
      <c r="Q3135" t="s">
        <v>108</v>
      </c>
      <c r="S3135" t="str">
        <f>_xlfn.XLOOKUP(UNIVERSO[[#This Row],[Ruta]],'[1]CUOTA RUTA'!A:A,'[1]CUOTA RUTA'!D:D)</f>
        <v>Cargar</v>
      </c>
    </row>
    <row r="3136" spans="1:19" x14ac:dyDescent="0.25">
      <c r="A3136">
        <v>1540025773</v>
      </c>
      <c r="B3136" t="s">
        <v>6215</v>
      </c>
      <c r="C3136" t="s">
        <v>19</v>
      </c>
      <c r="D3136" t="s">
        <v>20</v>
      </c>
      <c r="E3136" t="s">
        <v>21</v>
      </c>
      <c r="F3136" t="s">
        <v>22</v>
      </c>
      <c r="G3136" t="s">
        <v>64</v>
      </c>
      <c r="H3136" t="s">
        <v>369</v>
      </c>
      <c r="I3136" t="s">
        <v>6216</v>
      </c>
      <c r="J3136">
        <v>10.014902899999999</v>
      </c>
      <c r="K3136">
        <v>-84.10529751</v>
      </c>
      <c r="L3136" t="s">
        <v>1225</v>
      </c>
      <c r="M3136" t="s">
        <v>27</v>
      </c>
      <c r="N3136" t="s">
        <v>28</v>
      </c>
      <c r="O3136" t="s">
        <v>29</v>
      </c>
      <c r="P3136">
        <v>17</v>
      </c>
      <c r="Q3136" t="s">
        <v>287</v>
      </c>
      <c r="S3136" t="str">
        <f>_xlfn.XLOOKUP(UNIVERSO[[#This Row],[Ruta]],'[1]CUOTA RUTA'!A:A,'[1]CUOTA RUTA'!D:D)</f>
        <v>Cargar</v>
      </c>
    </row>
    <row r="3137" spans="1:19" x14ac:dyDescent="0.25">
      <c r="A3137">
        <v>1540025799</v>
      </c>
      <c r="B3137" t="s">
        <v>6217</v>
      </c>
      <c r="C3137" t="s">
        <v>19</v>
      </c>
      <c r="D3137" t="s">
        <v>244</v>
      </c>
      <c r="E3137" t="s">
        <v>21</v>
      </c>
      <c r="F3137" t="s">
        <v>22</v>
      </c>
      <c r="G3137" t="s">
        <v>64</v>
      </c>
      <c r="H3137" t="s">
        <v>525</v>
      </c>
      <c r="I3137" t="s">
        <v>6218</v>
      </c>
      <c r="J3137">
        <v>9.5916899999999998</v>
      </c>
      <c r="K3137">
        <v>-84.332400000000007</v>
      </c>
      <c r="L3137" t="s">
        <v>1225</v>
      </c>
      <c r="M3137" t="s">
        <v>46</v>
      </c>
      <c r="N3137" t="s">
        <v>247</v>
      </c>
      <c r="O3137" t="s">
        <v>248</v>
      </c>
      <c r="P3137">
        <v>22</v>
      </c>
      <c r="Q3137" t="s">
        <v>30</v>
      </c>
      <c r="S3137" t="str">
        <f>_xlfn.XLOOKUP(UNIVERSO[[#This Row],[Ruta]],'[1]CUOTA RUTA'!A:A,'[1]CUOTA RUTA'!D:D)</f>
        <v>Cargar</v>
      </c>
    </row>
    <row r="3138" spans="1:19" x14ac:dyDescent="0.25">
      <c r="A3138">
        <v>1540025874</v>
      </c>
      <c r="B3138" t="s">
        <v>6219</v>
      </c>
      <c r="C3138" t="s">
        <v>19</v>
      </c>
      <c r="D3138" t="s">
        <v>324</v>
      </c>
      <c r="E3138" t="s">
        <v>21</v>
      </c>
      <c r="F3138" t="s">
        <v>22</v>
      </c>
      <c r="G3138" t="s">
        <v>33</v>
      </c>
      <c r="H3138" t="s">
        <v>6220</v>
      </c>
      <c r="I3138" t="s">
        <v>6221</v>
      </c>
      <c r="J3138">
        <v>10.944710000000001</v>
      </c>
      <c r="K3138">
        <v>-84.529448299999999</v>
      </c>
      <c r="L3138" t="s">
        <v>1225</v>
      </c>
      <c r="M3138" t="s">
        <v>327</v>
      </c>
      <c r="N3138" t="s">
        <v>328</v>
      </c>
      <c r="O3138" t="s">
        <v>329</v>
      </c>
      <c r="P3138">
        <v>23</v>
      </c>
      <c r="Q3138" t="s">
        <v>125</v>
      </c>
      <c r="S3138" t="str">
        <f>_xlfn.XLOOKUP(UNIVERSO[[#This Row],[Ruta]],'[1]CUOTA RUTA'!A:A,'[1]CUOTA RUTA'!D:D)</f>
        <v>Cargar</v>
      </c>
    </row>
    <row r="3139" spans="1:19" x14ac:dyDescent="0.25">
      <c r="A3139">
        <v>1540025932</v>
      </c>
      <c r="B3139" t="s">
        <v>6222</v>
      </c>
      <c r="C3139" t="s">
        <v>19</v>
      </c>
      <c r="D3139" t="s">
        <v>186</v>
      </c>
      <c r="E3139" t="s">
        <v>62</v>
      </c>
      <c r="F3139" t="s">
        <v>63</v>
      </c>
      <c r="G3139" t="s">
        <v>64</v>
      </c>
      <c r="H3139" t="s">
        <v>237</v>
      </c>
      <c r="I3139" t="s">
        <v>6223</v>
      </c>
      <c r="J3139">
        <v>10.083064</v>
      </c>
      <c r="K3139">
        <v>-83.330421000000001</v>
      </c>
      <c r="L3139" t="s">
        <v>1225</v>
      </c>
      <c r="M3139" t="s">
        <v>189</v>
      </c>
      <c r="N3139" t="s">
        <v>190</v>
      </c>
      <c r="O3139" t="s">
        <v>191</v>
      </c>
      <c r="P3139">
        <v>20</v>
      </c>
      <c r="Q3139" t="s">
        <v>74</v>
      </c>
      <c r="S3139" t="str">
        <f>_xlfn.XLOOKUP(UNIVERSO[[#This Row],[Ruta]],'[1]CUOTA RUTA'!A:A,'[1]CUOTA RUTA'!D:D)</f>
        <v>Cargar</v>
      </c>
    </row>
    <row r="3140" spans="1:19" x14ac:dyDescent="0.25">
      <c r="A3140">
        <v>1540025934</v>
      </c>
      <c r="B3140" t="s">
        <v>6224</v>
      </c>
      <c r="C3140" t="s">
        <v>19</v>
      </c>
      <c r="D3140" t="s">
        <v>569</v>
      </c>
      <c r="E3140" t="s">
        <v>21</v>
      </c>
      <c r="F3140" t="s">
        <v>22</v>
      </c>
      <c r="G3140" t="s">
        <v>23</v>
      </c>
      <c r="H3140" t="s">
        <v>2023</v>
      </c>
      <c r="I3140" t="s">
        <v>6225</v>
      </c>
      <c r="J3140">
        <v>8.9876923000000009</v>
      </c>
      <c r="K3140">
        <v>-83.546336600000004</v>
      </c>
      <c r="L3140" t="s">
        <v>1225</v>
      </c>
      <c r="M3140" t="s">
        <v>572</v>
      </c>
      <c r="N3140" t="s">
        <v>573</v>
      </c>
      <c r="O3140" t="s">
        <v>574</v>
      </c>
      <c r="P3140">
        <v>22</v>
      </c>
      <c r="Q3140" t="s">
        <v>30</v>
      </c>
      <c r="S3140" t="str">
        <f>_xlfn.XLOOKUP(UNIVERSO[[#This Row],[Ruta]],'[1]CUOTA RUTA'!A:A,'[1]CUOTA RUTA'!D:D)</f>
        <v>Cargar</v>
      </c>
    </row>
    <row r="3141" spans="1:19" x14ac:dyDescent="0.25">
      <c r="A3141">
        <v>1540025978</v>
      </c>
      <c r="B3141" t="s">
        <v>6226</v>
      </c>
      <c r="C3141" t="s">
        <v>19</v>
      </c>
      <c r="D3141" t="s">
        <v>32</v>
      </c>
      <c r="E3141" t="s">
        <v>21</v>
      </c>
      <c r="F3141" t="s">
        <v>22</v>
      </c>
      <c r="G3141" t="s">
        <v>33</v>
      </c>
      <c r="H3141" t="s">
        <v>1345</v>
      </c>
      <c r="I3141" t="s">
        <v>6227</v>
      </c>
      <c r="J3141">
        <v>9.9295899999999993</v>
      </c>
      <c r="K3141">
        <v>-84.070183299999997</v>
      </c>
      <c r="L3141" t="s">
        <v>1225</v>
      </c>
      <c r="M3141" t="s">
        <v>71</v>
      </c>
      <c r="N3141" t="s">
        <v>72</v>
      </c>
      <c r="O3141" t="s">
        <v>73</v>
      </c>
      <c r="P3141">
        <v>5</v>
      </c>
      <c r="Q3141" t="s">
        <v>117</v>
      </c>
      <c r="S3141" t="str">
        <f>_xlfn.XLOOKUP(UNIVERSO[[#This Row],[Ruta]],'[1]CUOTA RUTA'!A:A,'[1]CUOTA RUTA'!D:D)</f>
        <v>Cargar</v>
      </c>
    </row>
    <row r="3142" spans="1:19" x14ac:dyDescent="0.25">
      <c r="A3142">
        <v>1540026026</v>
      </c>
      <c r="B3142" t="s">
        <v>6228</v>
      </c>
      <c r="C3142" t="s">
        <v>19</v>
      </c>
      <c r="D3142" t="s">
        <v>208</v>
      </c>
      <c r="E3142" t="s">
        <v>21</v>
      </c>
      <c r="F3142" t="s">
        <v>22</v>
      </c>
      <c r="G3142" t="s">
        <v>33</v>
      </c>
      <c r="H3142" t="s">
        <v>502</v>
      </c>
      <c r="I3142" t="s">
        <v>6229</v>
      </c>
      <c r="J3142">
        <v>10.4018</v>
      </c>
      <c r="K3142">
        <v>-83.830600000000004</v>
      </c>
      <c r="L3142" t="s">
        <v>1225</v>
      </c>
      <c r="M3142" t="s">
        <v>189</v>
      </c>
      <c r="N3142" t="s">
        <v>211</v>
      </c>
      <c r="O3142" t="s">
        <v>212</v>
      </c>
      <c r="P3142">
        <v>2</v>
      </c>
      <c r="Q3142" t="s">
        <v>150</v>
      </c>
      <c r="S3142" t="str">
        <f>_xlfn.XLOOKUP(UNIVERSO[[#This Row],[Ruta]],'[1]CUOTA RUTA'!A:A,'[1]CUOTA RUTA'!D:D)</f>
        <v>Cargar</v>
      </c>
    </row>
    <row r="3143" spans="1:19" x14ac:dyDescent="0.25">
      <c r="A3143">
        <v>1540026125</v>
      </c>
      <c r="B3143" t="s">
        <v>6230</v>
      </c>
      <c r="C3143" t="s">
        <v>19</v>
      </c>
      <c r="D3143" t="s">
        <v>32</v>
      </c>
      <c r="E3143" t="s">
        <v>62</v>
      </c>
      <c r="F3143" t="s">
        <v>63</v>
      </c>
      <c r="G3143" t="s">
        <v>64</v>
      </c>
      <c r="H3143" t="s">
        <v>1113</v>
      </c>
      <c r="I3143" t="s">
        <v>6231</v>
      </c>
      <c r="J3143">
        <v>9.9226100000000006</v>
      </c>
      <c r="K3143">
        <v>-84.060561000000007</v>
      </c>
      <c r="L3143" t="s">
        <v>1225</v>
      </c>
      <c r="M3143" t="s">
        <v>36</v>
      </c>
      <c r="N3143" t="s">
        <v>37</v>
      </c>
      <c r="O3143" t="s">
        <v>38</v>
      </c>
      <c r="P3143">
        <v>7</v>
      </c>
      <c r="Q3143" t="s">
        <v>39</v>
      </c>
      <c r="S3143" t="str">
        <f>_xlfn.XLOOKUP(UNIVERSO[[#This Row],[Ruta]],'[1]CUOTA RUTA'!A:A,'[1]CUOTA RUTA'!D:D)</f>
        <v>Cargar</v>
      </c>
    </row>
    <row r="3144" spans="1:19" x14ac:dyDescent="0.25">
      <c r="A3144">
        <v>1540026168</v>
      </c>
      <c r="B3144" t="s">
        <v>6232</v>
      </c>
      <c r="C3144" t="s">
        <v>19</v>
      </c>
      <c r="D3144" t="s">
        <v>32</v>
      </c>
      <c r="E3144" t="s">
        <v>62</v>
      </c>
      <c r="F3144" t="s">
        <v>63</v>
      </c>
      <c r="G3144" t="s">
        <v>64</v>
      </c>
      <c r="H3144" t="s">
        <v>115</v>
      </c>
      <c r="I3144" t="s">
        <v>6233</v>
      </c>
      <c r="J3144">
        <v>9.9516109999999998</v>
      </c>
      <c r="K3144">
        <v>-84.088566</v>
      </c>
      <c r="L3144" t="s">
        <v>1225</v>
      </c>
      <c r="M3144" t="s">
        <v>36</v>
      </c>
      <c r="N3144" t="s">
        <v>37</v>
      </c>
      <c r="O3144" t="s">
        <v>38</v>
      </c>
      <c r="P3144">
        <v>5</v>
      </c>
      <c r="Q3144" t="s">
        <v>117</v>
      </c>
      <c r="S3144" t="str">
        <f>_xlfn.XLOOKUP(UNIVERSO[[#This Row],[Ruta]],'[1]CUOTA RUTA'!A:A,'[1]CUOTA RUTA'!D:D)</f>
        <v>Cargar</v>
      </c>
    </row>
    <row r="3145" spans="1:19" x14ac:dyDescent="0.25">
      <c r="A3145">
        <v>1540026194</v>
      </c>
      <c r="B3145" t="s">
        <v>6234</v>
      </c>
      <c r="C3145" t="s">
        <v>19</v>
      </c>
      <c r="D3145" t="s">
        <v>324</v>
      </c>
      <c r="E3145" t="s">
        <v>21</v>
      </c>
      <c r="F3145" t="s">
        <v>22</v>
      </c>
      <c r="G3145" t="s">
        <v>33</v>
      </c>
      <c r="H3145" t="s">
        <v>325</v>
      </c>
      <c r="I3145" t="s">
        <v>6235</v>
      </c>
      <c r="J3145">
        <v>10.3613</v>
      </c>
      <c r="K3145">
        <v>-84.517899999999997</v>
      </c>
      <c r="L3145" t="s">
        <v>1225</v>
      </c>
      <c r="M3145" t="s">
        <v>327</v>
      </c>
      <c r="N3145" t="s">
        <v>328</v>
      </c>
      <c r="O3145" t="s">
        <v>329</v>
      </c>
      <c r="P3145">
        <v>14</v>
      </c>
      <c r="Q3145" t="s">
        <v>181</v>
      </c>
      <c r="S3145" t="str">
        <f>_xlfn.XLOOKUP(UNIVERSO[[#This Row],[Ruta]],'[1]CUOTA RUTA'!A:A,'[1]CUOTA RUTA'!D:D)</f>
        <v>Cargar</v>
      </c>
    </row>
    <row r="3146" spans="1:19" x14ac:dyDescent="0.25">
      <c r="A3146">
        <v>1540026223</v>
      </c>
      <c r="B3146" t="s">
        <v>6236</v>
      </c>
      <c r="C3146" t="s">
        <v>19</v>
      </c>
      <c r="D3146" t="s">
        <v>20</v>
      </c>
      <c r="E3146" t="s">
        <v>21</v>
      </c>
      <c r="F3146" t="s">
        <v>22</v>
      </c>
      <c r="G3146" t="s">
        <v>23</v>
      </c>
      <c r="H3146" t="s">
        <v>369</v>
      </c>
      <c r="I3146" t="s">
        <v>6237</v>
      </c>
      <c r="J3146">
        <v>10.013781</v>
      </c>
      <c r="K3146">
        <v>-84.119485999999995</v>
      </c>
      <c r="L3146" t="s">
        <v>1225</v>
      </c>
      <c r="M3146" t="s">
        <v>27</v>
      </c>
      <c r="N3146" t="s">
        <v>28</v>
      </c>
      <c r="O3146" t="s">
        <v>29</v>
      </c>
      <c r="P3146">
        <v>14</v>
      </c>
      <c r="Q3146" t="s">
        <v>181</v>
      </c>
      <c r="S3146" t="str">
        <f>_xlfn.XLOOKUP(UNIVERSO[[#This Row],[Ruta]],'[1]CUOTA RUTA'!A:A,'[1]CUOTA RUTA'!D:D)</f>
        <v>Cargar</v>
      </c>
    </row>
    <row r="3147" spans="1:19" x14ac:dyDescent="0.25">
      <c r="A3147">
        <v>1540026247</v>
      </c>
      <c r="B3147" t="s">
        <v>6238</v>
      </c>
      <c r="C3147" t="s">
        <v>19</v>
      </c>
      <c r="D3147" t="s">
        <v>201</v>
      </c>
      <c r="E3147" t="s">
        <v>21</v>
      </c>
      <c r="F3147" t="s">
        <v>51</v>
      </c>
      <c r="G3147" t="s">
        <v>23</v>
      </c>
      <c r="H3147" t="s">
        <v>383</v>
      </c>
      <c r="I3147" t="s">
        <v>6239</v>
      </c>
      <c r="J3147">
        <v>9.9774238000000004</v>
      </c>
      <c r="K3147">
        <v>-84.848439799999994</v>
      </c>
      <c r="L3147" t="s">
        <v>1225</v>
      </c>
      <c r="M3147" t="s">
        <v>204</v>
      </c>
      <c r="N3147" t="s">
        <v>205</v>
      </c>
      <c r="O3147" t="s">
        <v>206</v>
      </c>
      <c r="P3147">
        <v>11</v>
      </c>
      <c r="Q3147" t="s">
        <v>108</v>
      </c>
      <c r="S3147" t="str">
        <f>_xlfn.XLOOKUP(UNIVERSO[[#This Row],[Ruta]],'[1]CUOTA RUTA'!A:A,'[1]CUOTA RUTA'!D:D)</f>
        <v>Cargar</v>
      </c>
    </row>
    <row r="3148" spans="1:19" x14ac:dyDescent="0.25">
      <c r="A3148">
        <v>1540026270</v>
      </c>
      <c r="B3148" t="s">
        <v>6240</v>
      </c>
      <c r="C3148" t="s">
        <v>19</v>
      </c>
      <c r="D3148" t="s">
        <v>208</v>
      </c>
      <c r="E3148" t="s">
        <v>21</v>
      </c>
      <c r="F3148" t="s">
        <v>22</v>
      </c>
      <c r="G3148" t="s">
        <v>64</v>
      </c>
      <c r="H3148" t="s">
        <v>631</v>
      </c>
      <c r="I3148" t="s">
        <v>6241</v>
      </c>
      <c r="J3148">
        <v>10.36584</v>
      </c>
      <c r="K3148">
        <v>-83.614090000000004</v>
      </c>
      <c r="L3148" t="s">
        <v>1225</v>
      </c>
      <c r="M3148" t="s">
        <v>189</v>
      </c>
      <c r="N3148" t="s">
        <v>211</v>
      </c>
      <c r="O3148" t="s">
        <v>212</v>
      </c>
      <c r="P3148">
        <v>6</v>
      </c>
      <c r="Q3148" t="s">
        <v>49</v>
      </c>
      <c r="S3148" t="str">
        <f>_xlfn.XLOOKUP(UNIVERSO[[#This Row],[Ruta]],'[1]CUOTA RUTA'!A:A,'[1]CUOTA RUTA'!D:D)</f>
        <v>Cargar</v>
      </c>
    </row>
    <row r="3149" spans="1:19" x14ac:dyDescent="0.25">
      <c r="A3149">
        <v>1540026302</v>
      </c>
      <c r="B3149" t="s">
        <v>6242</v>
      </c>
      <c r="C3149" t="s">
        <v>19</v>
      </c>
      <c r="D3149" t="s">
        <v>244</v>
      </c>
      <c r="E3149" t="s">
        <v>21</v>
      </c>
      <c r="F3149" t="s">
        <v>22</v>
      </c>
      <c r="G3149" t="s">
        <v>33</v>
      </c>
      <c r="H3149" t="s">
        <v>857</v>
      </c>
      <c r="I3149" t="s">
        <v>6243</v>
      </c>
      <c r="J3149">
        <v>9.3811549999999997</v>
      </c>
      <c r="K3149">
        <v>-83.702769000000004</v>
      </c>
      <c r="L3149" t="s">
        <v>1225</v>
      </c>
      <c r="M3149" t="s">
        <v>46</v>
      </c>
      <c r="N3149" t="s">
        <v>247</v>
      </c>
      <c r="O3149" t="s">
        <v>248</v>
      </c>
      <c r="P3149">
        <v>15</v>
      </c>
      <c r="Q3149" t="s">
        <v>231</v>
      </c>
      <c r="S3149" t="str">
        <f>_xlfn.XLOOKUP(UNIVERSO[[#This Row],[Ruta]],'[1]CUOTA RUTA'!A:A,'[1]CUOTA RUTA'!D:D)</f>
        <v>Cargar</v>
      </c>
    </row>
    <row r="3150" spans="1:19" x14ac:dyDescent="0.25">
      <c r="A3150">
        <v>1540026324</v>
      </c>
      <c r="B3150" t="s">
        <v>6244</v>
      </c>
      <c r="C3150" t="s">
        <v>19</v>
      </c>
      <c r="D3150" t="s">
        <v>32</v>
      </c>
      <c r="E3150" t="s">
        <v>21</v>
      </c>
      <c r="F3150" t="s">
        <v>22</v>
      </c>
      <c r="G3150" t="s">
        <v>33</v>
      </c>
      <c r="H3150" t="s">
        <v>115</v>
      </c>
      <c r="I3150" t="s">
        <v>6245</v>
      </c>
      <c r="J3150">
        <v>9.9423720000000007</v>
      </c>
      <c r="K3150">
        <v>-84.069773999999995</v>
      </c>
      <c r="L3150" t="s">
        <v>1225</v>
      </c>
      <c r="M3150" t="s">
        <v>36</v>
      </c>
      <c r="N3150" t="s">
        <v>37</v>
      </c>
      <c r="O3150" t="s">
        <v>38</v>
      </c>
      <c r="P3150">
        <v>4</v>
      </c>
      <c r="Q3150" t="s">
        <v>120</v>
      </c>
      <c r="S3150" t="str">
        <f>_xlfn.XLOOKUP(UNIVERSO[[#This Row],[Ruta]],'[1]CUOTA RUTA'!A:A,'[1]CUOTA RUTA'!D:D)</f>
        <v>Cargar</v>
      </c>
    </row>
    <row r="3151" spans="1:19" x14ac:dyDescent="0.25">
      <c r="A3151">
        <v>1540026390</v>
      </c>
      <c r="B3151" t="s">
        <v>6246</v>
      </c>
      <c r="C3151" t="s">
        <v>19</v>
      </c>
      <c r="D3151" t="s">
        <v>20</v>
      </c>
      <c r="E3151" t="s">
        <v>21</v>
      </c>
      <c r="F3151" t="s">
        <v>22</v>
      </c>
      <c r="G3151" t="s">
        <v>64</v>
      </c>
      <c r="H3151" t="s">
        <v>143</v>
      </c>
      <c r="I3151" t="s">
        <v>6247</v>
      </c>
      <c r="J3151">
        <v>9.94529</v>
      </c>
      <c r="K3151">
        <v>-84.131200000000007</v>
      </c>
      <c r="L3151" t="s">
        <v>1225</v>
      </c>
      <c r="M3151" t="s">
        <v>27</v>
      </c>
      <c r="N3151" t="s">
        <v>28</v>
      </c>
      <c r="O3151" t="s">
        <v>29</v>
      </c>
      <c r="P3151">
        <v>9</v>
      </c>
      <c r="Q3151" t="s">
        <v>80</v>
      </c>
      <c r="S3151" t="str">
        <f>_xlfn.XLOOKUP(UNIVERSO[[#This Row],[Ruta]],'[1]CUOTA RUTA'!A:A,'[1]CUOTA RUTA'!D:D)</f>
        <v>Cargar</v>
      </c>
    </row>
    <row r="3152" spans="1:19" x14ac:dyDescent="0.25">
      <c r="A3152">
        <v>1540026407</v>
      </c>
      <c r="B3152" t="s">
        <v>4647</v>
      </c>
      <c r="C3152" t="s">
        <v>19</v>
      </c>
      <c r="D3152" t="s">
        <v>208</v>
      </c>
      <c r="E3152" t="s">
        <v>21</v>
      </c>
      <c r="F3152" t="s">
        <v>22</v>
      </c>
      <c r="G3152" t="s">
        <v>64</v>
      </c>
      <c r="H3152" t="s">
        <v>209</v>
      </c>
      <c r="I3152" t="s">
        <v>6248</v>
      </c>
      <c r="J3152">
        <v>10.190072000000001</v>
      </c>
      <c r="K3152">
        <v>-83.574799999999996</v>
      </c>
      <c r="L3152" t="s">
        <v>1225</v>
      </c>
      <c r="M3152" t="s">
        <v>189</v>
      </c>
      <c r="N3152" t="s">
        <v>211</v>
      </c>
      <c r="O3152" t="s">
        <v>212</v>
      </c>
      <c r="P3152">
        <v>9</v>
      </c>
      <c r="Q3152" t="s">
        <v>80</v>
      </c>
      <c r="S3152" t="str">
        <f>_xlfn.XLOOKUP(UNIVERSO[[#This Row],[Ruta]],'[1]CUOTA RUTA'!A:A,'[1]CUOTA RUTA'!D:D)</f>
        <v>Cargar</v>
      </c>
    </row>
    <row r="3153" spans="1:19" x14ac:dyDescent="0.25">
      <c r="A3153">
        <v>1540026485</v>
      </c>
      <c r="B3153" t="s">
        <v>6249</v>
      </c>
      <c r="C3153" t="s">
        <v>19</v>
      </c>
      <c r="D3153" t="s">
        <v>569</v>
      </c>
      <c r="E3153" t="s">
        <v>21</v>
      </c>
      <c r="F3153" t="s">
        <v>22</v>
      </c>
      <c r="G3153" t="s">
        <v>33</v>
      </c>
      <c r="H3153" t="s">
        <v>2023</v>
      </c>
      <c r="I3153" t="s">
        <v>6250</v>
      </c>
      <c r="J3153">
        <v>8.6291277999999991</v>
      </c>
      <c r="K3153">
        <v>-83.157466200000002</v>
      </c>
      <c r="L3153" t="s">
        <v>1225</v>
      </c>
      <c r="M3153" t="s">
        <v>572</v>
      </c>
      <c r="N3153" t="s">
        <v>573</v>
      </c>
      <c r="O3153" t="s">
        <v>574</v>
      </c>
      <c r="P3153">
        <v>22</v>
      </c>
      <c r="Q3153" t="s">
        <v>30</v>
      </c>
      <c r="S3153" t="str">
        <f>_xlfn.XLOOKUP(UNIVERSO[[#This Row],[Ruta]],'[1]CUOTA RUTA'!A:A,'[1]CUOTA RUTA'!D:D)</f>
        <v>Cargar</v>
      </c>
    </row>
    <row r="3154" spans="1:19" x14ac:dyDescent="0.25">
      <c r="A3154">
        <v>1540026502</v>
      </c>
      <c r="B3154" t="s">
        <v>6251</v>
      </c>
      <c r="C3154" t="s">
        <v>19</v>
      </c>
      <c r="D3154" t="s">
        <v>32</v>
      </c>
      <c r="E3154" t="s">
        <v>21</v>
      </c>
      <c r="F3154" t="s">
        <v>22</v>
      </c>
      <c r="G3154" t="s">
        <v>33</v>
      </c>
      <c r="H3154" t="s">
        <v>716</v>
      </c>
      <c r="I3154" t="s">
        <v>6252</v>
      </c>
      <c r="J3154">
        <v>9.9113170000000004</v>
      </c>
      <c r="K3154">
        <v>-84.058789000000004</v>
      </c>
      <c r="L3154" t="s">
        <v>1225</v>
      </c>
      <c r="M3154" t="s">
        <v>36</v>
      </c>
      <c r="N3154" t="s">
        <v>37</v>
      </c>
      <c r="O3154" t="s">
        <v>38</v>
      </c>
      <c r="P3154">
        <v>11</v>
      </c>
      <c r="Q3154" t="s">
        <v>108</v>
      </c>
      <c r="S3154" t="str">
        <f>_xlfn.XLOOKUP(UNIVERSO[[#This Row],[Ruta]],'[1]CUOTA RUTA'!A:A,'[1]CUOTA RUTA'!D:D)</f>
        <v>Cargar</v>
      </c>
    </row>
    <row r="3155" spans="1:19" x14ac:dyDescent="0.25">
      <c r="A3155">
        <v>1540026512</v>
      </c>
      <c r="B3155" t="s">
        <v>6253</v>
      </c>
      <c r="C3155" t="s">
        <v>19</v>
      </c>
      <c r="D3155" t="s">
        <v>186</v>
      </c>
      <c r="E3155" t="s">
        <v>21</v>
      </c>
      <c r="F3155" t="s">
        <v>22</v>
      </c>
      <c r="G3155" t="s">
        <v>64</v>
      </c>
      <c r="H3155" t="s">
        <v>237</v>
      </c>
      <c r="I3155" t="s">
        <v>6254</v>
      </c>
      <c r="J3155">
        <v>10.0824</v>
      </c>
      <c r="K3155">
        <v>-83.336799999999997</v>
      </c>
      <c r="L3155" t="s">
        <v>1225</v>
      </c>
      <c r="M3155" t="s">
        <v>189</v>
      </c>
      <c r="N3155" t="s">
        <v>190</v>
      </c>
      <c r="O3155" t="s">
        <v>191</v>
      </c>
      <c r="P3155">
        <v>20</v>
      </c>
      <c r="Q3155" t="s">
        <v>74</v>
      </c>
      <c r="S3155" t="str">
        <f>_xlfn.XLOOKUP(UNIVERSO[[#This Row],[Ruta]],'[1]CUOTA RUTA'!A:A,'[1]CUOTA RUTA'!D:D)</f>
        <v>Cargar</v>
      </c>
    </row>
    <row r="3156" spans="1:19" x14ac:dyDescent="0.25">
      <c r="A3156">
        <v>1540026626</v>
      </c>
      <c r="B3156" t="s">
        <v>6255</v>
      </c>
      <c r="C3156" t="s">
        <v>19</v>
      </c>
      <c r="D3156" t="s">
        <v>186</v>
      </c>
      <c r="E3156" t="s">
        <v>21</v>
      </c>
      <c r="F3156" t="s">
        <v>22</v>
      </c>
      <c r="G3156" t="s">
        <v>33</v>
      </c>
      <c r="H3156" t="s">
        <v>229</v>
      </c>
      <c r="I3156" t="s">
        <v>6256</v>
      </c>
      <c r="J3156">
        <v>9.9789899999999996</v>
      </c>
      <c r="K3156">
        <v>-83.042900000000003</v>
      </c>
      <c r="L3156" t="s">
        <v>1225</v>
      </c>
      <c r="M3156" t="s">
        <v>189</v>
      </c>
      <c r="N3156" t="s">
        <v>190</v>
      </c>
      <c r="O3156" t="s">
        <v>191</v>
      </c>
      <c r="P3156">
        <v>15</v>
      </c>
      <c r="Q3156" t="s">
        <v>231</v>
      </c>
      <c r="S3156" t="str">
        <f>_xlfn.XLOOKUP(UNIVERSO[[#This Row],[Ruta]],'[1]CUOTA RUTA'!A:A,'[1]CUOTA RUTA'!D:D)</f>
        <v>Cargar</v>
      </c>
    </row>
    <row r="3157" spans="1:19" x14ac:dyDescent="0.25">
      <c r="A3157">
        <v>1540026647</v>
      </c>
      <c r="B3157" t="s">
        <v>6257</v>
      </c>
      <c r="C3157" t="s">
        <v>19</v>
      </c>
      <c r="D3157" t="s">
        <v>32</v>
      </c>
      <c r="E3157" t="s">
        <v>21</v>
      </c>
      <c r="F3157" t="s">
        <v>22</v>
      </c>
      <c r="G3157" t="s">
        <v>33</v>
      </c>
      <c r="H3157" t="s">
        <v>148</v>
      </c>
      <c r="I3157" t="s">
        <v>6258</v>
      </c>
      <c r="J3157">
        <v>10.007960000000001</v>
      </c>
      <c r="K3157">
        <v>-84.015929999999997</v>
      </c>
      <c r="L3157" t="s">
        <v>1225</v>
      </c>
      <c r="M3157" t="s">
        <v>94</v>
      </c>
      <c r="N3157" t="s">
        <v>95</v>
      </c>
      <c r="O3157" t="s">
        <v>96</v>
      </c>
      <c r="P3157">
        <v>5</v>
      </c>
      <c r="Q3157" t="s">
        <v>117</v>
      </c>
      <c r="S3157" t="str">
        <f>_xlfn.XLOOKUP(UNIVERSO[[#This Row],[Ruta]],'[1]CUOTA RUTA'!A:A,'[1]CUOTA RUTA'!D:D)</f>
        <v>Cargar</v>
      </c>
    </row>
    <row r="3158" spans="1:19" x14ac:dyDescent="0.25">
      <c r="A3158">
        <v>1540026730</v>
      </c>
      <c r="B3158" t="s">
        <v>6259</v>
      </c>
      <c r="C3158" t="s">
        <v>19</v>
      </c>
      <c r="D3158" t="s">
        <v>32</v>
      </c>
      <c r="E3158" t="s">
        <v>21</v>
      </c>
      <c r="F3158" t="s">
        <v>22</v>
      </c>
      <c r="G3158" t="s">
        <v>64</v>
      </c>
      <c r="H3158" t="s">
        <v>106</v>
      </c>
      <c r="I3158" t="s">
        <v>6260</v>
      </c>
      <c r="J3158">
        <v>9.9172799999999999</v>
      </c>
      <c r="K3158">
        <v>-84.113423999999995</v>
      </c>
      <c r="L3158" t="s">
        <v>1225</v>
      </c>
      <c r="M3158" t="s">
        <v>71</v>
      </c>
      <c r="N3158" t="s">
        <v>72</v>
      </c>
      <c r="O3158" t="s">
        <v>73</v>
      </c>
      <c r="P3158">
        <v>11</v>
      </c>
      <c r="Q3158" t="s">
        <v>108</v>
      </c>
      <c r="S3158" t="str">
        <f>_xlfn.XLOOKUP(UNIVERSO[[#This Row],[Ruta]],'[1]CUOTA RUTA'!A:A,'[1]CUOTA RUTA'!D:D)</f>
        <v>Cargar</v>
      </c>
    </row>
    <row r="3159" spans="1:19" x14ac:dyDescent="0.25">
      <c r="A3159">
        <v>1540026736</v>
      </c>
      <c r="B3159" t="s">
        <v>6261</v>
      </c>
      <c r="C3159" t="s">
        <v>19</v>
      </c>
      <c r="D3159" t="s">
        <v>20</v>
      </c>
      <c r="E3159" t="s">
        <v>21</v>
      </c>
      <c r="F3159" t="s">
        <v>22</v>
      </c>
      <c r="G3159" t="s">
        <v>33</v>
      </c>
      <c r="H3159" t="s">
        <v>913</v>
      </c>
      <c r="I3159" t="s">
        <v>6262</v>
      </c>
      <c r="J3159">
        <v>9.9651200000000006</v>
      </c>
      <c r="K3159">
        <v>-84.127700000000004</v>
      </c>
      <c r="L3159" t="s">
        <v>1225</v>
      </c>
      <c r="M3159" t="s">
        <v>27</v>
      </c>
      <c r="N3159" t="s">
        <v>28</v>
      </c>
      <c r="O3159" t="s">
        <v>29</v>
      </c>
      <c r="P3159">
        <v>11</v>
      </c>
      <c r="Q3159" t="s">
        <v>108</v>
      </c>
      <c r="S3159" t="str">
        <f>_xlfn.XLOOKUP(UNIVERSO[[#This Row],[Ruta]],'[1]CUOTA RUTA'!A:A,'[1]CUOTA RUTA'!D:D)</f>
        <v>Cargar</v>
      </c>
    </row>
    <row r="3160" spans="1:19" x14ac:dyDescent="0.25">
      <c r="A3160">
        <v>1540026762</v>
      </c>
      <c r="B3160" t="s">
        <v>2851</v>
      </c>
      <c r="C3160" t="s">
        <v>19</v>
      </c>
      <c r="D3160" t="s">
        <v>20</v>
      </c>
      <c r="E3160" t="s">
        <v>21</v>
      </c>
      <c r="F3160" t="s">
        <v>22</v>
      </c>
      <c r="G3160" t="s">
        <v>33</v>
      </c>
      <c r="H3160" t="s">
        <v>369</v>
      </c>
      <c r="I3160" t="s">
        <v>6263</v>
      </c>
      <c r="J3160">
        <v>10.012280000000001</v>
      </c>
      <c r="K3160">
        <v>-84.117419999999996</v>
      </c>
      <c r="L3160" t="s">
        <v>1225</v>
      </c>
      <c r="M3160" t="s">
        <v>27</v>
      </c>
      <c r="N3160" t="s">
        <v>28</v>
      </c>
      <c r="O3160" t="s">
        <v>29</v>
      </c>
      <c r="P3160">
        <v>14</v>
      </c>
      <c r="Q3160" t="s">
        <v>181</v>
      </c>
      <c r="S3160" t="str">
        <f>_xlfn.XLOOKUP(UNIVERSO[[#This Row],[Ruta]],'[1]CUOTA RUTA'!A:A,'[1]CUOTA RUTA'!D:D)</f>
        <v>Cargar</v>
      </c>
    </row>
    <row r="3161" spans="1:19" x14ac:dyDescent="0.25">
      <c r="A3161">
        <v>1540026778</v>
      </c>
      <c r="B3161" t="s">
        <v>6264</v>
      </c>
      <c r="C3161" t="s">
        <v>19</v>
      </c>
      <c r="D3161" t="s">
        <v>324</v>
      </c>
      <c r="E3161" t="s">
        <v>21</v>
      </c>
      <c r="F3161" t="s">
        <v>51</v>
      </c>
      <c r="G3161" t="s">
        <v>23</v>
      </c>
      <c r="H3161" t="s">
        <v>396</v>
      </c>
      <c r="I3161" t="s">
        <v>6265</v>
      </c>
      <c r="J3161">
        <v>10.442141484185999</v>
      </c>
      <c r="K3161">
        <v>-84.356395808469998</v>
      </c>
      <c r="L3161" t="s">
        <v>1225</v>
      </c>
      <c r="M3161" t="s">
        <v>327</v>
      </c>
      <c r="N3161" t="s">
        <v>328</v>
      </c>
      <c r="O3161" t="s">
        <v>329</v>
      </c>
      <c r="P3161">
        <v>19</v>
      </c>
      <c r="Q3161" t="s">
        <v>67</v>
      </c>
      <c r="S3161" t="str">
        <f>_xlfn.XLOOKUP(UNIVERSO[[#This Row],[Ruta]],'[1]CUOTA RUTA'!A:A,'[1]CUOTA RUTA'!D:D)</f>
        <v>Cargar</v>
      </c>
    </row>
    <row r="3162" spans="1:19" x14ac:dyDescent="0.25">
      <c r="A3162">
        <v>1540026789</v>
      </c>
      <c r="B3162" t="s">
        <v>6266</v>
      </c>
      <c r="C3162" t="s">
        <v>19</v>
      </c>
      <c r="D3162" t="s">
        <v>32</v>
      </c>
      <c r="E3162" t="s">
        <v>21</v>
      </c>
      <c r="F3162" t="s">
        <v>22</v>
      </c>
      <c r="G3162" t="s">
        <v>33</v>
      </c>
      <c r="H3162" t="s">
        <v>1383</v>
      </c>
      <c r="I3162" t="s">
        <v>6267</v>
      </c>
      <c r="J3162">
        <v>9.9128720000000001</v>
      </c>
      <c r="K3162">
        <v>-84.093985000000004</v>
      </c>
      <c r="L3162" t="s">
        <v>1225</v>
      </c>
      <c r="M3162" t="s">
        <v>71</v>
      </c>
      <c r="N3162" t="s">
        <v>72</v>
      </c>
      <c r="O3162" t="s">
        <v>73</v>
      </c>
      <c r="P3162">
        <v>9</v>
      </c>
      <c r="Q3162" t="s">
        <v>80</v>
      </c>
      <c r="S3162" t="str">
        <f>_xlfn.XLOOKUP(UNIVERSO[[#This Row],[Ruta]],'[1]CUOTA RUTA'!A:A,'[1]CUOTA RUTA'!D:D)</f>
        <v>Cargar</v>
      </c>
    </row>
    <row r="3163" spans="1:19" x14ac:dyDescent="0.25">
      <c r="A3163">
        <v>1540026791</v>
      </c>
      <c r="B3163" t="s">
        <v>6268</v>
      </c>
      <c r="C3163" t="s">
        <v>19</v>
      </c>
      <c r="D3163" t="s">
        <v>20</v>
      </c>
      <c r="E3163" t="s">
        <v>62</v>
      </c>
      <c r="F3163" t="s">
        <v>63</v>
      </c>
      <c r="G3163" t="s">
        <v>64</v>
      </c>
      <c r="H3163" t="s">
        <v>774</v>
      </c>
      <c r="I3163" t="s">
        <v>6269</v>
      </c>
      <c r="J3163">
        <v>9.93354523</v>
      </c>
      <c r="K3163">
        <v>-84.236813240000004</v>
      </c>
      <c r="L3163" t="s">
        <v>1225</v>
      </c>
      <c r="M3163" t="s">
        <v>54</v>
      </c>
      <c r="N3163" t="s">
        <v>55</v>
      </c>
      <c r="O3163" t="s">
        <v>56</v>
      </c>
      <c r="P3163">
        <v>10</v>
      </c>
      <c r="Q3163" t="s">
        <v>136</v>
      </c>
      <c r="S3163" t="str">
        <f>_xlfn.XLOOKUP(UNIVERSO[[#This Row],[Ruta]],'[1]CUOTA RUTA'!A:A,'[1]CUOTA RUTA'!D:D)</f>
        <v>Cargar</v>
      </c>
    </row>
    <row r="3164" spans="1:19" x14ac:dyDescent="0.25">
      <c r="A3164">
        <v>1540026794</v>
      </c>
      <c r="B3164" t="s">
        <v>6270</v>
      </c>
      <c r="C3164" t="s">
        <v>19</v>
      </c>
      <c r="D3164" t="s">
        <v>266</v>
      </c>
      <c r="E3164" t="s">
        <v>21</v>
      </c>
      <c r="F3164" t="s">
        <v>22</v>
      </c>
      <c r="G3164" t="s">
        <v>64</v>
      </c>
      <c r="H3164" t="s">
        <v>407</v>
      </c>
      <c r="I3164" t="s">
        <v>6271</v>
      </c>
      <c r="J3164">
        <v>9.7511480000000006</v>
      </c>
      <c r="K3164">
        <v>-84.005195000000001</v>
      </c>
      <c r="L3164" t="s">
        <v>1225</v>
      </c>
      <c r="M3164" t="s">
        <v>409</v>
      </c>
      <c r="N3164" t="s">
        <v>410</v>
      </c>
      <c r="O3164" t="s">
        <v>411</v>
      </c>
      <c r="P3164">
        <v>23</v>
      </c>
      <c r="Q3164" t="s">
        <v>125</v>
      </c>
      <c r="S3164" t="str">
        <f>_xlfn.XLOOKUP(UNIVERSO[[#This Row],[Ruta]],'[1]CUOTA RUTA'!A:A,'[1]CUOTA RUTA'!D:D)</f>
        <v>Cargar</v>
      </c>
    </row>
    <row r="3165" spans="1:19" x14ac:dyDescent="0.25">
      <c r="A3165">
        <v>1540026826</v>
      </c>
      <c r="B3165" t="s">
        <v>6272</v>
      </c>
      <c r="C3165" t="s">
        <v>19</v>
      </c>
      <c r="D3165" t="s">
        <v>337</v>
      </c>
      <c r="E3165" t="s">
        <v>21</v>
      </c>
      <c r="F3165" t="s">
        <v>22</v>
      </c>
      <c r="G3165" t="s">
        <v>33</v>
      </c>
      <c r="H3165" t="s">
        <v>483</v>
      </c>
      <c r="I3165" t="s">
        <v>6273</v>
      </c>
      <c r="J3165">
        <v>10.472821</v>
      </c>
      <c r="K3165">
        <v>-85.562791000000004</v>
      </c>
      <c r="L3165" t="s">
        <v>1225</v>
      </c>
      <c r="M3165" t="s">
        <v>327</v>
      </c>
      <c r="N3165" t="s">
        <v>340</v>
      </c>
      <c r="O3165" t="s">
        <v>341</v>
      </c>
      <c r="P3165">
        <v>16</v>
      </c>
      <c r="Q3165" t="s">
        <v>60</v>
      </c>
      <c r="S3165" t="str">
        <f>_xlfn.XLOOKUP(UNIVERSO[[#This Row],[Ruta]],'[1]CUOTA RUTA'!A:A,'[1]CUOTA RUTA'!D:D)</f>
        <v>Cargar</v>
      </c>
    </row>
    <row r="3166" spans="1:19" x14ac:dyDescent="0.25">
      <c r="A3166">
        <v>1540026856</v>
      </c>
      <c r="B3166" t="s">
        <v>6274</v>
      </c>
      <c r="C3166" t="s">
        <v>19</v>
      </c>
      <c r="D3166" t="s">
        <v>349</v>
      </c>
      <c r="E3166" t="s">
        <v>21</v>
      </c>
      <c r="F3166" t="s">
        <v>22</v>
      </c>
      <c r="G3166" t="s">
        <v>33</v>
      </c>
      <c r="H3166" t="s">
        <v>496</v>
      </c>
      <c r="I3166" t="s">
        <v>4908</v>
      </c>
      <c r="J3166">
        <v>10.273718000000001</v>
      </c>
      <c r="K3166">
        <v>-85.582305000000005</v>
      </c>
      <c r="L3166" t="s">
        <v>1225</v>
      </c>
      <c r="M3166" t="s">
        <v>352</v>
      </c>
      <c r="N3166" t="s">
        <v>353</v>
      </c>
      <c r="O3166" t="s">
        <v>354</v>
      </c>
      <c r="P3166">
        <v>2</v>
      </c>
      <c r="Q3166" t="s">
        <v>150</v>
      </c>
      <c r="S3166" t="str">
        <f>_xlfn.XLOOKUP(UNIVERSO[[#This Row],[Ruta]],'[1]CUOTA RUTA'!A:A,'[1]CUOTA RUTA'!D:D)</f>
        <v>Cargar</v>
      </c>
    </row>
    <row r="3167" spans="1:19" x14ac:dyDescent="0.25">
      <c r="A3167">
        <v>1540026909</v>
      </c>
      <c r="B3167" t="s">
        <v>6275</v>
      </c>
      <c r="C3167" t="s">
        <v>19</v>
      </c>
      <c r="D3167" t="s">
        <v>208</v>
      </c>
      <c r="E3167" t="s">
        <v>21</v>
      </c>
      <c r="F3167" t="s">
        <v>22</v>
      </c>
      <c r="G3167" t="s">
        <v>64</v>
      </c>
      <c r="H3167" t="s">
        <v>1794</v>
      </c>
      <c r="I3167" t="s">
        <v>6276</v>
      </c>
      <c r="J3167">
        <v>10.146699999999999</v>
      </c>
      <c r="K3167">
        <v>-83.571464000000006</v>
      </c>
      <c r="L3167" t="s">
        <v>1225</v>
      </c>
      <c r="M3167" t="s">
        <v>189</v>
      </c>
      <c r="N3167" t="s">
        <v>211</v>
      </c>
      <c r="O3167" t="s">
        <v>212</v>
      </c>
      <c r="P3167">
        <v>7</v>
      </c>
      <c r="Q3167" t="s">
        <v>39</v>
      </c>
      <c r="S3167" t="str">
        <f>_xlfn.XLOOKUP(UNIVERSO[[#This Row],[Ruta]],'[1]CUOTA RUTA'!A:A,'[1]CUOTA RUTA'!D:D)</f>
        <v>Cargar</v>
      </c>
    </row>
    <row r="3168" spans="1:19" x14ac:dyDescent="0.25">
      <c r="A3168">
        <v>1540026918</v>
      </c>
      <c r="B3168" t="s">
        <v>6277</v>
      </c>
      <c r="C3168" t="s">
        <v>19</v>
      </c>
      <c r="D3168" t="s">
        <v>208</v>
      </c>
      <c r="E3168" t="s">
        <v>21</v>
      </c>
      <c r="F3168" t="s">
        <v>22</v>
      </c>
      <c r="G3168" t="s">
        <v>64</v>
      </c>
      <c r="H3168" t="s">
        <v>502</v>
      </c>
      <c r="I3168" t="s">
        <v>6278</v>
      </c>
      <c r="J3168">
        <v>10.240318</v>
      </c>
      <c r="K3168">
        <v>-83.6541</v>
      </c>
      <c r="L3168" t="s">
        <v>1225</v>
      </c>
      <c r="M3168" t="s">
        <v>189</v>
      </c>
      <c r="N3168" t="s">
        <v>211</v>
      </c>
      <c r="O3168" t="s">
        <v>212</v>
      </c>
      <c r="P3168">
        <v>6</v>
      </c>
      <c r="Q3168" t="s">
        <v>49</v>
      </c>
      <c r="S3168" t="str">
        <f>_xlfn.XLOOKUP(UNIVERSO[[#This Row],[Ruta]],'[1]CUOTA RUTA'!A:A,'[1]CUOTA RUTA'!D:D)</f>
        <v>Cargar</v>
      </c>
    </row>
    <row r="3169" spans="1:19" x14ac:dyDescent="0.25">
      <c r="A3169">
        <v>1540026919</v>
      </c>
      <c r="B3169" t="s">
        <v>6277</v>
      </c>
      <c r="C3169" t="s">
        <v>19</v>
      </c>
      <c r="D3169" t="s">
        <v>208</v>
      </c>
      <c r="E3169" t="s">
        <v>21</v>
      </c>
      <c r="F3169" t="s">
        <v>22</v>
      </c>
      <c r="G3169" t="s">
        <v>33</v>
      </c>
      <c r="H3169" t="s">
        <v>502</v>
      </c>
      <c r="I3169" t="s">
        <v>6279</v>
      </c>
      <c r="J3169">
        <v>10.292406</v>
      </c>
      <c r="K3169">
        <v>-83.633617000000001</v>
      </c>
      <c r="L3169" t="s">
        <v>1225</v>
      </c>
      <c r="M3169" t="s">
        <v>189</v>
      </c>
      <c r="N3169" t="s">
        <v>211</v>
      </c>
      <c r="O3169" t="s">
        <v>212</v>
      </c>
      <c r="P3169">
        <v>6</v>
      </c>
      <c r="Q3169" t="s">
        <v>49</v>
      </c>
      <c r="S3169" t="str">
        <f>_xlfn.XLOOKUP(UNIVERSO[[#This Row],[Ruta]],'[1]CUOTA RUTA'!A:A,'[1]CUOTA RUTA'!D:D)</f>
        <v>Cargar</v>
      </c>
    </row>
    <row r="3170" spans="1:19" x14ac:dyDescent="0.25">
      <c r="A3170">
        <v>1540026931</v>
      </c>
      <c r="B3170" t="s">
        <v>6280</v>
      </c>
      <c r="C3170" t="s">
        <v>19</v>
      </c>
      <c r="D3170" t="s">
        <v>337</v>
      </c>
      <c r="E3170" t="s">
        <v>21</v>
      </c>
      <c r="F3170" t="s">
        <v>22</v>
      </c>
      <c r="G3170" t="s">
        <v>64</v>
      </c>
      <c r="H3170" t="s">
        <v>401</v>
      </c>
      <c r="I3170" t="s">
        <v>6281</v>
      </c>
      <c r="J3170">
        <v>10.631</v>
      </c>
      <c r="K3170">
        <v>-85.4392</v>
      </c>
      <c r="L3170" t="s">
        <v>1225</v>
      </c>
      <c r="M3170" t="s">
        <v>327</v>
      </c>
      <c r="N3170" t="s">
        <v>340</v>
      </c>
      <c r="O3170" t="s">
        <v>341</v>
      </c>
      <c r="P3170">
        <v>14</v>
      </c>
      <c r="Q3170" t="s">
        <v>181</v>
      </c>
      <c r="S3170" t="str">
        <f>_xlfn.XLOOKUP(UNIVERSO[[#This Row],[Ruta]],'[1]CUOTA RUTA'!A:A,'[1]CUOTA RUTA'!D:D)</f>
        <v>Cargar</v>
      </c>
    </row>
    <row r="3171" spans="1:19" x14ac:dyDescent="0.25">
      <c r="A3171">
        <v>1540026989</v>
      </c>
      <c r="B3171" t="s">
        <v>6282</v>
      </c>
      <c r="C3171" t="s">
        <v>19</v>
      </c>
      <c r="D3171" t="s">
        <v>186</v>
      </c>
      <c r="E3171" t="s">
        <v>21</v>
      </c>
      <c r="F3171" t="s">
        <v>22</v>
      </c>
      <c r="G3171" t="s">
        <v>64</v>
      </c>
      <c r="H3171" t="s">
        <v>420</v>
      </c>
      <c r="I3171" t="s">
        <v>6283</v>
      </c>
      <c r="J3171">
        <v>9.7312849999999997</v>
      </c>
      <c r="K3171">
        <v>-82.985271999999995</v>
      </c>
      <c r="L3171" t="s">
        <v>1225</v>
      </c>
      <c r="M3171" t="s">
        <v>189</v>
      </c>
      <c r="N3171" t="s">
        <v>190</v>
      </c>
      <c r="O3171" t="s">
        <v>191</v>
      </c>
      <c r="P3171">
        <v>18</v>
      </c>
      <c r="Q3171" t="s">
        <v>84</v>
      </c>
      <c r="S3171" t="str">
        <f>_xlfn.XLOOKUP(UNIVERSO[[#This Row],[Ruta]],'[1]CUOTA RUTA'!A:A,'[1]CUOTA RUTA'!D:D)</f>
        <v>Cargar</v>
      </c>
    </row>
    <row r="3172" spans="1:19" x14ac:dyDescent="0.25">
      <c r="A3172">
        <v>1540027010</v>
      </c>
      <c r="B3172" t="s">
        <v>6284</v>
      </c>
      <c r="C3172" t="s">
        <v>19</v>
      </c>
      <c r="D3172" t="s">
        <v>208</v>
      </c>
      <c r="E3172" t="s">
        <v>21</v>
      </c>
      <c r="F3172" t="s">
        <v>22</v>
      </c>
      <c r="G3172" t="s">
        <v>33</v>
      </c>
      <c r="H3172" t="s">
        <v>502</v>
      </c>
      <c r="I3172" t="s">
        <v>6285</v>
      </c>
      <c r="J3172">
        <v>10.463867</v>
      </c>
      <c r="K3172">
        <v>-83.613603999999995</v>
      </c>
      <c r="L3172" t="s">
        <v>1225</v>
      </c>
      <c r="M3172" t="s">
        <v>189</v>
      </c>
      <c r="N3172" t="s">
        <v>211</v>
      </c>
      <c r="O3172" t="s">
        <v>212</v>
      </c>
      <c r="P3172">
        <v>7</v>
      </c>
      <c r="Q3172" t="s">
        <v>39</v>
      </c>
      <c r="S3172" t="str">
        <f>_xlfn.XLOOKUP(UNIVERSO[[#This Row],[Ruta]],'[1]CUOTA RUTA'!A:A,'[1]CUOTA RUTA'!D:D)</f>
        <v>Cargar</v>
      </c>
    </row>
    <row r="3173" spans="1:19" x14ac:dyDescent="0.25">
      <c r="A3173">
        <v>1540027014</v>
      </c>
      <c r="B3173" t="s">
        <v>6286</v>
      </c>
      <c r="C3173" t="s">
        <v>19</v>
      </c>
      <c r="D3173" t="s">
        <v>208</v>
      </c>
      <c r="E3173" t="s">
        <v>21</v>
      </c>
      <c r="F3173" t="s">
        <v>22</v>
      </c>
      <c r="G3173" t="s">
        <v>64</v>
      </c>
      <c r="H3173" t="s">
        <v>417</v>
      </c>
      <c r="I3173" t="s">
        <v>6287</v>
      </c>
      <c r="J3173">
        <v>10.218170000000001</v>
      </c>
      <c r="K3173">
        <v>-83.748979000000006</v>
      </c>
      <c r="L3173" t="s">
        <v>1225</v>
      </c>
      <c r="M3173" t="s">
        <v>189</v>
      </c>
      <c r="N3173" t="s">
        <v>211</v>
      </c>
      <c r="O3173" t="s">
        <v>212</v>
      </c>
      <c r="P3173">
        <v>5</v>
      </c>
      <c r="Q3173" t="s">
        <v>117</v>
      </c>
      <c r="S3173" t="str">
        <f>_xlfn.XLOOKUP(UNIVERSO[[#This Row],[Ruta]],'[1]CUOTA RUTA'!A:A,'[1]CUOTA RUTA'!D:D)</f>
        <v>Cargar</v>
      </c>
    </row>
    <row r="3174" spans="1:19" x14ac:dyDescent="0.25">
      <c r="A3174">
        <v>1540027054</v>
      </c>
      <c r="B3174" t="s">
        <v>6288</v>
      </c>
      <c r="C3174" t="s">
        <v>19</v>
      </c>
      <c r="D3174" t="s">
        <v>32</v>
      </c>
      <c r="E3174" t="s">
        <v>21</v>
      </c>
      <c r="F3174" t="s">
        <v>22</v>
      </c>
      <c r="G3174" t="s">
        <v>64</v>
      </c>
      <c r="H3174" t="s">
        <v>1383</v>
      </c>
      <c r="I3174" t="s">
        <v>6289</v>
      </c>
      <c r="J3174">
        <v>9.9199509999999993</v>
      </c>
      <c r="K3174">
        <v>-84.093243000000001</v>
      </c>
      <c r="L3174" t="s">
        <v>1225</v>
      </c>
      <c r="M3174" t="s">
        <v>71</v>
      </c>
      <c r="N3174" t="s">
        <v>72</v>
      </c>
      <c r="O3174" t="s">
        <v>73</v>
      </c>
      <c r="P3174">
        <v>4</v>
      </c>
      <c r="Q3174" t="s">
        <v>120</v>
      </c>
      <c r="S3174" t="str">
        <f>_xlfn.XLOOKUP(UNIVERSO[[#This Row],[Ruta]],'[1]CUOTA RUTA'!A:A,'[1]CUOTA RUTA'!D:D)</f>
        <v>Cargar</v>
      </c>
    </row>
    <row r="3175" spans="1:19" x14ac:dyDescent="0.25">
      <c r="A3175">
        <v>1540027058</v>
      </c>
      <c r="B3175" t="s">
        <v>6290</v>
      </c>
      <c r="C3175" t="s">
        <v>19</v>
      </c>
      <c r="D3175" t="s">
        <v>20</v>
      </c>
      <c r="E3175" t="s">
        <v>21</v>
      </c>
      <c r="F3175" t="s">
        <v>22</v>
      </c>
      <c r="G3175" t="s">
        <v>64</v>
      </c>
      <c r="H3175" t="s">
        <v>901</v>
      </c>
      <c r="I3175" t="s">
        <v>6291</v>
      </c>
      <c r="J3175">
        <v>10.0170361</v>
      </c>
      <c r="K3175">
        <v>-84.339843700000003</v>
      </c>
      <c r="L3175" t="s">
        <v>1225</v>
      </c>
      <c r="M3175" t="s">
        <v>46</v>
      </c>
      <c r="N3175" t="s">
        <v>47</v>
      </c>
      <c r="O3175" t="s">
        <v>48</v>
      </c>
      <c r="P3175">
        <v>11</v>
      </c>
      <c r="Q3175" t="s">
        <v>108</v>
      </c>
      <c r="S3175" t="str">
        <f>_xlfn.XLOOKUP(UNIVERSO[[#This Row],[Ruta]],'[1]CUOTA RUTA'!A:A,'[1]CUOTA RUTA'!D:D)</f>
        <v>Cargar</v>
      </c>
    </row>
    <row r="3176" spans="1:19" x14ac:dyDescent="0.25">
      <c r="A3176">
        <v>1540027085</v>
      </c>
      <c r="B3176" t="s">
        <v>6292</v>
      </c>
      <c r="C3176" t="s">
        <v>19</v>
      </c>
      <c r="D3176" t="s">
        <v>201</v>
      </c>
      <c r="E3176" t="s">
        <v>21</v>
      </c>
      <c r="F3176" t="s">
        <v>22</v>
      </c>
      <c r="G3176" t="s">
        <v>33</v>
      </c>
      <c r="H3176" t="s">
        <v>491</v>
      </c>
      <c r="I3176" t="s">
        <v>6293</v>
      </c>
      <c r="J3176">
        <v>9.7265540000000001</v>
      </c>
      <c r="K3176">
        <v>-84.568282999999994</v>
      </c>
      <c r="L3176" t="s">
        <v>1225</v>
      </c>
      <c r="M3176" t="s">
        <v>204</v>
      </c>
      <c r="N3176" t="s">
        <v>205</v>
      </c>
      <c r="O3176" t="s">
        <v>206</v>
      </c>
      <c r="P3176">
        <v>6</v>
      </c>
      <c r="Q3176" t="s">
        <v>49</v>
      </c>
      <c r="S3176" t="str">
        <f>_xlfn.XLOOKUP(UNIVERSO[[#This Row],[Ruta]],'[1]CUOTA RUTA'!A:A,'[1]CUOTA RUTA'!D:D)</f>
        <v>Cargar</v>
      </c>
    </row>
    <row r="3177" spans="1:19" x14ac:dyDescent="0.25">
      <c r="A3177">
        <v>1540027094</v>
      </c>
      <c r="B3177" t="s">
        <v>6294</v>
      </c>
      <c r="C3177" t="s">
        <v>19</v>
      </c>
      <c r="D3177" t="s">
        <v>324</v>
      </c>
      <c r="E3177" t="s">
        <v>21</v>
      </c>
      <c r="F3177" t="s">
        <v>22</v>
      </c>
      <c r="G3177" t="s">
        <v>64</v>
      </c>
      <c r="H3177" t="s">
        <v>511</v>
      </c>
      <c r="I3177" t="s">
        <v>6295</v>
      </c>
      <c r="J3177">
        <v>10.414997</v>
      </c>
      <c r="K3177">
        <v>-84.602104999999995</v>
      </c>
      <c r="L3177" t="s">
        <v>1225</v>
      </c>
      <c r="M3177" t="s">
        <v>327</v>
      </c>
      <c r="N3177" t="s">
        <v>328</v>
      </c>
      <c r="O3177" t="s">
        <v>329</v>
      </c>
      <c r="P3177">
        <v>12</v>
      </c>
      <c r="Q3177" t="s">
        <v>42</v>
      </c>
      <c r="S3177" t="str">
        <f>_xlfn.XLOOKUP(UNIVERSO[[#This Row],[Ruta]],'[1]CUOTA RUTA'!A:A,'[1]CUOTA RUTA'!D:D)</f>
        <v>Cargar</v>
      </c>
    </row>
    <row r="3178" spans="1:19" x14ac:dyDescent="0.25">
      <c r="A3178">
        <v>1540027107</v>
      </c>
      <c r="B3178" t="s">
        <v>6296</v>
      </c>
      <c r="C3178" t="s">
        <v>19</v>
      </c>
      <c r="D3178" t="s">
        <v>337</v>
      </c>
      <c r="E3178" t="s">
        <v>21</v>
      </c>
      <c r="F3178" t="s">
        <v>22</v>
      </c>
      <c r="G3178" t="s">
        <v>64</v>
      </c>
      <c r="H3178" t="s">
        <v>338</v>
      </c>
      <c r="I3178" t="s">
        <v>6297</v>
      </c>
      <c r="J3178">
        <v>10.365900760000001</v>
      </c>
      <c r="K3178">
        <v>-85.792808669999999</v>
      </c>
      <c r="L3178" t="s">
        <v>1225</v>
      </c>
      <c r="M3178" t="s">
        <v>327</v>
      </c>
      <c r="N3178" t="s">
        <v>340</v>
      </c>
      <c r="O3178" t="s">
        <v>341</v>
      </c>
      <c r="P3178">
        <v>17</v>
      </c>
      <c r="Q3178" t="s">
        <v>287</v>
      </c>
      <c r="S3178" t="str">
        <f>_xlfn.XLOOKUP(UNIVERSO[[#This Row],[Ruta]],'[1]CUOTA RUTA'!A:A,'[1]CUOTA RUTA'!D:D)</f>
        <v>Cargar</v>
      </c>
    </row>
    <row r="3179" spans="1:19" x14ac:dyDescent="0.25">
      <c r="A3179">
        <v>1540027147</v>
      </c>
      <c r="B3179" t="s">
        <v>6298</v>
      </c>
      <c r="C3179" t="s">
        <v>19</v>
      </c>
      <c r="D3179" t="s">
        <v>349</v>
      </c>
      <c r="E3179" t="s">
        <v>21</v>
      </c>
      <c r="F3179" t="s">
        <v>22</v>
      </c>
      <c r="G3179" t="s">
        <v>64</v>
      </c>
      <c r="H3179" t="s">
        <v>359</v>
      </c>
      <c r="I3179" t="s">
        <v>6299</v>
      </c>
      <c r="J3179">
        <v>10.141368</v>
      </c>
      <c r="K3179">
        <v>-85.451182000000003</v>
      </c>
      <c r="L3179" t="s">
        <v>1225</v>
      </c>
      <c r="M3179" t="s">
        <v>352</v>
      </c>
      <c r="N3179" t="s">
        <v>353</v>
      </c>
      <c r="O3179" t="s">
        <v>354</v>
      </c>
      <c r="P3179">
        <v>12</v>
      </c>
      <c r="Q3179" t="s">
        <v>42</v>
      </c>
      <c r="S3179" t="str">
        <f>_xlfn.XLOOKUP(UNIVERSO[[#This Row],[Ruta]],'[1]CUOTA RUTA'!A:A,'[1]CUOTA RUTA'!D:D)</f>
        <v>Cargar</v>
      </c>
    </row>
    <row r="3180" spans="1:19" x14ac:dyDescent="0.25">
      <c r="A3180">
        <v>1540027222</v>
      </c>
      <c r="B3180" t="s">
        <v>5263</v>
      </c>
      <c r="C3180" t="s">
        <v>19</v>
      </c>
      <c r="D3180" t="s">
        <v>32</v>
      </c>
      <c r="E3180" t="s">
        <v>21</v>
      </c>
      <c r="F3180" t="s">
        <v>22</v>
      </c>
      <c r="G3180" t="s">
        <v>64</v>
      </c>
      <c r="H3180" t="s">
        <v>1191</v>
      </c>
      <c r="I3180" t="s">
        <v>6300</v>
      </c>
      <c r="J3180">
        <v>9.8998480000000004</v>
      </c>
      <c r="K3180">
        <v>-84.029838999999996</v>
      </c>
      <c r="L3180" t="s">
        <v>1225</v>
      </c>
      <c r="M3180" t="s">
        <v>36</v>
      </c>
      <c r="N3180" t="s">
        <v>37</v>
      </c>
      <c r="O3180" t="s">
        <v>38</v>
      </c>
      <c r="P3180">
        <v>14</v>
      </c>
      <c r="Q3180" t="s">
        <v>181</v>
      </c>
      <c r="S3180" t="str">
        <f>_xlfn.XLOOKUP(UNIVERSO[[#This Row],[Ruta]],'[1]CUOTA RUTA'!A:A,'[1]CUOTA RUTA'!D:D)</f>
        <v>Cargar</v>
      </c>
    </row>
    <row r="3181" spans="1:19" x14ac:dyDescent="0.25">
      <c r="A3181">
        <v>1540027279</v>
      </c>
      <c r="B3181" t="s">
        <v>6301</v>
      </c>
      <c r="C3181" t="s">
        <v>19</v>
      </c>
      <c r="D3181" t="s">
        <v>201</v>
      </c>
      <c r="E3181" t="s">
        <v>21</v>
      </c>
      <c r="F3181" t="s">
        <v>22</v>
      </c>
      <c r="G3181" t="s">
        <v>23</v>
      </c>
      <c r="H3181" t="s">
        <v>488</v>
      </c>
      <c r="I3181" t="s">
        <v>6302</v>
      </c>
      <c r="J3181">
        <v>10.128019999999999</v>
      </c>
      <c r="K3181">
        <v>-84.724611999999993</v>
      </c>
      <c r="L3181" t="s">
        <v>1225</v>
      </c>
      <c r="M3181" t="s">
        <v>204</v>
      </c>
      <c r="N3181" t="s">
        <v>205</v>
      </c>
      <c r="O3181" t="s">
        <v>206</v>
      </c>
      <c r="P3181">
        <v>13</v>
      </c>
      <c r="Q3181" t="s">
        <v>161</v>
      </c>
      <c r="S3181" t="str">
        <f>_xlfn.XLOOKUP(UNIVERSO[[#This Row],[Ruta]],'[1]CUOTA RUTA'!A:A,'[1]CUOTA RUTA'!D:D)</f>
        <v>Cargar</v>
      </c>
    </row>
    <row r="3182" spans="1:19" x14ac:dyDescent="0.25">
      <c r="A3182">
        <v>1540027302</v>
      </c>
      <c r="B3182" t="s">
        <v>6303</v>
      </c>
      <c r="C3182" t="s">
        <v>19</v>
      </c>
      <c r="D3182" t="s">
        <v>349</v>
      </c>
      <c r="E3182" t="s">
        <v>21</v>
      </c>
      <c r="F3182" t="s">
        <v>22</v>
      </c>
      <c r="G3182" t="s">
        <v>23</v>
      </c>
      <c r="H3182" t="s">
        <v>496</v>
      </c>
      <c r="I3182" t="s">
        <v>6304</v>
      </c>
      <c r="J3182">
        <v>10.357061570000001</v>
      </c>
      <c r="K3182">
        <v>-85.569085329999993</v>
      </c>
      <c r="L3182" t="s">
        <v>1225</v>
      </c>
      <c r="M3182" t="s">
        <v>352</v>
      </c>
      <c r="N3182" t="s">
        <v>353</v>
      </c>
      <c r="O3182" t="s">
        <v>354</v>
      </c>
      <c r="P3182">
        <v>4</v>
      </c>
      <c r="Q3182" t="s">
        <v>120</v>
      </c>
      <c r="S3182" t="str">
        <f>_xlfn.XLOOKUP(UNIVERSO[[#This Row],[Ruta]],'[1]CUOTA RUTA'!A:A,'[1]CUOTA RUTA'!D:D)</f>
        <v>Cargar</v>
      </c>
    </row>
    <row r="3183" spans="1:19" x14ac:dyDescent="0.25">
      <c r="A3183">
        <v>1540027310</v>
      </c>
      <c r="B3183" t="s">
        <v>6305</v>
      </c>
      <c r="C3183" t="s">
        <v>19</v>
      </c>
      <c r="D3183" t="s">
        <v>337</v>
      </c>
      <c r="E3183" t="s">
        <v>21</v>
      </c>
      <c r="F3183" t="s">
        <v>51</v>
      </c>
      <c r="G3183" t="s">
        <v>23</v>
      </c>
      <c r="H3183" t="s">
        <v>576</v>
      </c>
      <c r="I3183" t="s">
        <v>6306</v>
      </c>
      <c r="J3183">
        <v>10.608332000000001</v>
      </c>
      <c r="K3183">
        <v>-85.427204000000003</v>
      </c>
      <c r="L3183" t="s">
        <v>1225</v>
      </c>
      <c r="M3183" t="s">
        <v>327</v>
      </c>
      <c r="N3183" t="s">
        <v>340</v>
      </c>
      <c r="O3183" t="s">
        <v>341</v>
      </c>
      <c r="P3183">
        <v>14</v>
      </c>
      <c r="Q3183" t="s">
        <v>181</v>
      </c>
      <c r="S3183" t="str">
        <f>_xlfn.XLOOKUP(UNIVERSO[[#This Row],[Ruta]],'[1]CUOTA RUTA'!A:A,'[1]CUOTA RUTA'!D:D)</f>
        <v>Cargar</v>
      </c>
    </row>
    <row r="3184" spans="1:19" x14ac:dyDescent="0.25">
      <c r="A3184">
        <v>1540027318</v>
      </c>
      <c r="B3184" t="s">
        <v>6307</v>
      </c>
      <c r="C3184" t="s">
        <v>19</v>
      </c>
      <c r="D3184" t="s">
        <v>266</v>
      </c>
      <c r="E3184" t="s">
        <v>21</v>
      </c>
      <c r="F3184" t="s">
        <v>22</v>
      </c>
      <c r="G3184" t="s">
        <v>33</v>
      </c>
      <c r="H3184" t="s">
        <v>407</v>
      </c>
      <c r="I3184" t="s">
        <v>6308</v>
      </c>
      <c r="J3184">
        <v>9.6390700000000002</v>
      </c>
      <c r="K3184">
        <v>-84.029968999999994</v>
      </c>
      <c r="L3184" t="s">
        <v>1225</v>
      </c>
      <c r="M3184" t="s">
        <v>409</v>
      </c>
      <c r="N3184" t="s">
        <v>410</v>
      </c>
      <c r="O3184" t="s">
        <v>411</v>
      </c>
      <c r="P3184">
        <v>23</v>
      </c>
      <c r="Q3184" t="s">
        <v>125</v>
      </c>
      <c r="S3184" t="str">
        <f>_xlfn.XLOOKUP(UNIVERSO[[#This Row],[Ruta]],'[1]CUOTA RUTA'!A:A,'[1]CUOTA RUTA'!D:D)</f>
        <v>Cargar</v>
      </c>
    </row>
    <row r="3185" spans="1:19" x14ac:dyDescent="0.25">
      <c r="A3185">
        <v>1540027351</v>
      </c>
      <c r="B3185" t="s">
        <v>6309</v>
      </c>
      <c r="C3185" t="s">
        <v>19</v>
      </c>
      <c r="D3185" t="s">
        <v>32</v>
      </c>
      <c r="E3185" t="s">
        <v>21</v>
      </c>
      <c r="F3185" t="s">
        <v>22</v>
      </c>
      <c r="G3185" t="s">
        <v>64</v>
      </c>
      <c r="H3185" t="s">
        <v>1383</v>
      </c>
      <c r="I3185" t="s">
        <v>6310</v>
      </c>
      <c r="J3185">
        <v>9.916291666667</v>
      </c>
      <c r="K3185">
        <v>-84.082376666659997</v>
      </c>
      <c r="L3185" t="s">
        <v>1225</v>
      </c>
      <c r="M3185" t="s">
        <v>71</v>
      </c>
      <c r="N3185" t="s">
        <v>72</v>
      </c>
      <c r="O3185" t="s">
        <v>73</v>
      </c>
      <c r="P3185">
        <v>3</v>
      </c>
      <c r="Q3185" t="s">
        <v>101</v>
      </c>
      <c r="S3185" t="str">
        <f>_xlfn.XLOOKUP(UNIVERSO[[#This Row],[Ruta]],'[1]CUOTA RUTA'!A:A,'[1]CUOTA RUTA'!D:D)</f>
        <v>Cargar</v>
      </c>
    </row>
    <row r="3186" spans="1:19" x14ac:dyDescent="0.25">
      <c r="A3186">
        <v>1540027369</v>
      </c>
      <c r="B3186" t="s">
        <v>6311</v>
      </c>
      <c r="C3186" t="s">
        <v>19</v>
      </c>
      <c r="D3186" t="s">
        <v>20</v>
      </c>
      <c r="E3186" t="s">
        <v>21</v>
      </c>
      <c r="F3186" t="s">
        <v>22</v>
      </c>
      <c r="G3186" t="s">
        <v>33</v>
      </c>
      <c r="H3186" t="s">
        <v>901</v>
      </c>
      <c r="I3186" t="s">
        <v>6312</v>
      </c>
      <c r="J3186">
        <v>10.044510000000001</v>
      </c>
      <c r="K3186">
        <v>-84.378389999999996</v>
      </c>
      <c r="L3186" t="s">
        <v>1225</v>
      </c>
      <c r="M3186" t="s">
        <v>46</v>
      </c>
      <c r="N3186" t="s">
        <v>47</v>
      </c>
      <c r="O3186" t="s">
        <v>48</v>
      </c>
      <c r="P3186">
        <v>5</v>
      </c>
      <c r="Q3186" t="s">
        <v>117</v>
      </c>
      <c r="S3186" t="str">
        <f>_xlfn.XLOOKUP(UNIVERSO[[#This Row],[Ruta]],'[1]CUOTA RUTA'!A:A,'[1]CUOTA RUTA'!D:D)</f>
        <v>Cargar</v>
      </c>
    </row>
    <row r="3187" spans="1:19" x14ac:dyDescent="0.25">
      <c r="A3187">
        <v>1540027406</v>
      </c>
      <c r="B3187" t="s">
        <v>6313</v>
      </c>
      <c r="C3187" t="s">
        <v>19</v>
      </c>
      <c r="D3187" t="s">
        <v>32</v>
      </c>
      <c r="E3187" t="s">
        <v>21</v>
      </c>
      <c r="F3187" t="s">
        <v>22</v>
      </c>
      <c r="G3187" t="s">
        <v>23</v>
      </c>
      <c r="H3187" t="s">
        <v>86</v>
      </c>
      <c r="I3187" t="s">
        <v>6314</v>
      </c>
      <c r="J3187">
        <v>9.9066469999999995</v>
      </c>
      <c r="K3187">
        <v>-84.091059999999999</v>
      </c>
      <c r="L3187" t="s">
        <v>1225</v>
      </c>
      <c r="M3187" t="s">
        <v>71</v>
      </c>
      <c r="N3187" t="s">
        <v>72</v>
      </c>
      <c r="O3187" t="s">
        <v>73</v>
      </c>
      <c r="P3187">
        <v>6</v>
      </c>
      <c r="Q3187" t="s">
        <v>49</v>
      </c>
      <c r="S3187" t="str">
        <f>_xlfn.XLOOKUP(UNIVERSO[[#This Row],[Ruta]],'[1]CUOTA RUTA'!A:A,'[1]CUOTA RUTA'!D:D)</f>
        <v>Cargar</v>
      </c>
    </row>
    <row r="3188" spans="1:19" x14ac:dyDescent="0.25">
      <c r="A3188">
        <v>1540027444</v>
      </c>
      <c r="B3188" t="s">
        <v>6315</v>
      </c>
      <c r="C3188" t="s">
        <v>19</v>
      </c>
      <c r="D3188" t="s">
        <v>32</v>
      </c>
      <c r="E3188" t="s">
        <v>21</v>
      </c>
      <c r="F3188" t="s">
        <v>22</v>
      </c>
      <c r="G3188" t="s">
        <v>23</v>
      </c>
      <c r="H3188" t="s">
        <v>86</v>
      </c>
      <c r="I3188" t="s">
        <v>6316</v>
      </c>
      <c r="J3188">
        <v>9.8915869999999995</v>
      </c>
      <c r="K3188">
        <v>-84.077304999999996</v>
      </c>
      <c r="L3188" t="s">
        <v>1225</v>
      </c>
      <c r="M3188" t="s">
        <v>71</v>
      </c>
      <c r="N3188" t="s">
        <v>72</v>
      </c>
      <c r="O3188" t="s">
        <v>73</v>
      </c>
      <c r="P3188">
        <v>17</v>
      </c>
      <c r="Q3188" t="s">
        <v>287</v>
      </c>
      <c r="S3188" t="str">
        <f>_xlfn.XLOOKUP(UNIVERSO[[#This Row],[Ruta]],'[1]CUOTA RUTA'!A:A,'[1]CUOTA RUTA'!D:D)</f>
        <v>Cargar</v>
      </c>
    </row>
    <row r="3189" spans="1:19" x14ac:dyDescent="0.25">
      <c r="A3189">
        <v>1540027472</v>
      </c>
      <c r="B3189" t="s">
        <v>6317</v>
      </c>
      <c r="C3189" t="s">
        <v>19</v>
      </c>
      <c r="D3189" t="s">
        <v>32</v>
      </c>
      <c r="E3189" t="s">
        <v>21</v>
      </c>
      <c r="F3189" t="s">
        <v>22</v>
      </c>
      <c r="G3189" t="s">
        <v>64</v>
      </c>
      <c r="H3189" t="s">
        <v>1345</v>
      </c>
      <c r="I3189" t="s">
        <v>6318</v>
      </c>
      <c r="J3189">
        <v>9.9312719999999999</v>
      </c>
      <c r="K3189">
        <v>-84.070842999999996</v>
      </c>
      <c r="L3189" t="s">
        <v>1225</v>
      </c>
      <c r="M3189" t="s">
        <v>71</v>
      </c>
      <c r="N3189" t="s">
        <v>72</v>
      </c>
      <c r="O3189" t="s">
        <v>73</v>
      </c>
      <c r="P3189">
        <v>5</v>
      </c>
      <c r="Q3189" t="s">
        <v>117</v>
      </c>
      <c r="S3189" t="str">
        <f>_xlfn.XLOOKUP(UNIVERSO[[#This Row],[Ruta]],'[1]CUOTA RUTA'!A:A,'[1]CUOTA RUTA'!D:D)</f>
        <v>Cargar</v>
      </c>
    </row>
    <row r="3190" spans="1:19" x14ac:dyDescent="0.25">
      <c r="A3190">
        <v>1540027473</v>
      </c>
      <c r="B3190" t="s">
        <v>6319</v>
      </c>
      <c r="C3190" t="s">
        <v>19</v>
      </c>
      <c r="D3190" t="s">
        <v>186</v>
      </c>
      <c r="E3190" t="s">
        <v>21</v>
      </c>
      <c r="F3190" t="s">
        <v>22</v>
      </c>
      <c r="G3190" t="s">
        <v>64</v>
      </c>
      <c r="H3190" t="s">
        <v>229</v>
      </c>
      <c r="I3190" t="s">
        <v>6320</v>
      </c>
      <c r="J3190">
        <v>9.9860656300000006</v>
      </c>
      <c r="K3190">
        <v>-83.045215979999995</v>
      </c>
      <c r="L3190" t="s">
        <v>1225</v>
      </c>
      <c r="M3190" t="s">
        <v>189</v>
      </c>
      <c r="N3190" t="s">
        <v>190</v>
      </c>
      <c r="O3190" t="s">
        <v>191</v>
      </c>
      <c r="P3190">
        <v>14</v>
      </c>
      <c r="Q3190" t="s">
        <v>181</v>
      </c>
      <c r="S3190" t="str">
        <f>_xlfn.XLOOKUP(UNIVERSO[[#This Row],[Ruta]],'[1]CUOTA RUTA'!A:A,'[1]CUOTA RUTA'!D:D)</f>
        <v>Cargar</v>
      </c>
    </row>
    <row r="3191" spans="1:19" x14ac:dyDescent="0.25">
      <c r="A3191">
        <v>1540027531</v>
      </c>
      <c r="B3191" t="s">
        <v>4674</v>
      </c>
      <c r="C3191" t="s">
        <v>19</v>
      </c>
      <c r="D3191" t="s">
        <v>20</v>
      </c>
      <c r="E3191" t="s">
        <v>21</v>
      </c>
      <c r="F3191" t="s">
        <v>22</v>
      </c>
      <c r="G3191" t="s">
        <v>23</v>
      </c>
      <c r="H3191" t="s">
        <v>554</v>
      </c>
      <c r="I3191" t="s">
        <v>6321</v>
      </c>
      <c r="J3191">
        <v>10.016400000000001</v>
      </c>
      <c r="K3191">
        <v>-84.167900000000003</v>
      </c>
      <c r="L3191" t="s">
        <v>1225</v>
      </c>
      <c r="M3191" t="s">
        <v>27</v>
      </c>
      <c r="N3191" t="s">
        <v>28</v>
      </c>
      <c r="O3191" t="s">
        <v>29</v>
      </c>
      <c r="P3191">
        <v>20</v>
      </c>
      <c r="Q3191" t="s">
        <v>74</v>
      </c>
      <c r="S3191" t="str">
        <f>_xlfn.XLOOKUP(UNIVERSO[[#This Row],[Ruta]],'[1]CUOTA RUTA'!A:A,'[1]CUOTA RUTA'!D:D)</f>
        <v>Cargar</v>
      </c>
    </row>
    <row r="3192" spans="1:19" x14ac:dyDescent="0.25">
      <c r="A3192">
        <v>1540027564</v>
      </c>
      <c r="B3192" t="s">
        <v>3788</v>
      </c>
      <c r="C3192" t="s">
        <v>19</v>
      </c>
      <c r="D3192" t="s">
        <v>32</v>
      </c>
      <c r="E3192" t="s">
        <v>21</v>
      </c>
      <c r="F3192" t="s">
        <v>22</v>
      </c>
      <c r="G3192" t="s">
        <v>64</v>
      </c>
      <c r="H3192" t="s">
        <v>106</v>
      </c>
      <c r="I3192" t="s">
        <v>6322</v>
      </c>
      <c r="J3192">
        <v>9.9145319999999995</v>
      </c>
      <c r="K3192">
        <v>-84.112399999999994</v>
      </c>
      <c r="L3192" t="s">
        <v>1225</v>
      </c>
      <c r="M3192" t="s">
        <v>71</v>
      </c>
      <c r="N3192" t="s">
        <v>72</v>
      </c>
      <c r="O3192" t="s">
        <v>73</v>
      </c>
      <c r="P3192">
        <v>11</v>
      </c>
      <c r="Q3192" t="s">
        <v>108</v>
      </c>
      <c r="S3192" t="str">
        <f>_xlfn.XLOOKUP(UNIVERSO[[#This Row],[Ruta]],'[1]CUOTA RUTA'!A:A,'[1]CUOTA RUTA'!D:D)</f>
        <v>Cargar</v>
      </c>
    </row>
    <row r="3193" spans="1:19" x14ac:dyDescent="0.25">
      <c r="A3193">
        <v>1540027594</v>
      </c>
      <c r="B3193" t="s">
        <v>6323</v>
      </c>
      <c r="C3193" t="s">
        <v>19</v>
      </c>
      <c r="D3193" t="s">
        <v>32</v>
      </c>
      <c r="E3193" t="s">
        <v>21</v>
      </c>
      <c r="F3193" t="s">
        <v>22</v>
      </c>
      <c r="G3193" t="s">
        <v>64</v>
      </c>
      <c r="H3193" t="s">
        <v>159</v>
      </c>
      <c r="I3193" t="s">
        <v>6324</v>
      </c>
      <c r="J3193">
        <v>9.8936679999999999</v>
      </c>
      <c r="K3193">
        <v>-84.105959999999996</v>
      </c>
      <c r="L3193" t="s">
        <v>1225</v>
      </c>
      <c r="M3193" t="s">
        <v>71</v>
      </c>
      <c r="N3193" t="s">
        <v>72</v>
      </c>
      <c r="O3193" t="s">
        <v>73</v>
      </c>
      <c r="P3193">
        <v>14</v>
      </c>
      <c r="Q3193" t="s">
        <v>181</v>
      </c>
      <c r="S3193" t="str">
        <f>_xlfn.XLOOKUP(UNIVERSO[[#This Row],[Ruta]],'[1]CUOTA RUTA'!A:A,'[1]CUOTA RUTA'!D:D)</f>
        <v>Cargar</v>
      </c>
    </row>
    <row r="3194" spans="1:19" x14ac:dyDescent="0.25">
      <c r="A3194">
        <v>1540027611</v>
      </c>
      <c r="B3194" t="s">
        <v>6325</v>
      </c>
      <c r="C3194" t="s">
        <v>19</v>
      </c>
      <c r="D3194" t="s">
        <v>20</v>
      </c>
      <c r="E3194" t="s">
        <v>62</v>
      </c>
      <c r="F3194" t="s">
        <v>63</v>
      </c>
      <c r="G3194" t="s">
        <v>64</v>
      </c>
      <c r="H3194" t="s">
        <v>862</v>
      </c>
      <c r="I3194" t="s">
        <v>6326</v>
      </c>
      <c r="J3194">
        <v>9.9670496600000007</v>
      </c>
      <c r="K3194">
        <v>-84.189876630000001</v>
      </c>
      <c r="L3194" t="s">
        <v>1225</v>
      </c>
      <c r="M3194" t="s">
        <v>27</v>
      </c>
      <c r="N3194" t="s">
        <v>28</v>
      </c>
      <c r="O3194" t="s">
        <v>29</v>
      </c>
      <c r="P3194">
        <v>23</v>
      </c>
      <c r="Q3194" t="s">
        <v>125</v>
      </c>
      <c r="S3194" t="str">
        <f>_xlfn.XLOOKUP(UNIVERSO[[#This Row],[Ruta]],'[1]CUOTA RUTA'!A:A,'[1]CUOTA RUTA'!D:D)</f>
        <v>Cargar</v>
      </c>
    </row>
    <row r="3195" spans="1:19" x14ac:dyDescent="0.25">
      <c r="A3195">
        <v>1540027620</v>
      </c>
      <c r="B3195" t="s">
        <v>6327</v>
      </c>
      <c r="C3195" t="s">
        <v>19</v>
      </c>
      <c r="D3195" t="s">
        <v>208</v>
      </c>
      <c r="E3195" t="s">
        <v>21</v>
      </c>
      <c r="F3195" t="s">
        <v>22</v>
      </c>
      <c r="G3195" t="s">
        <v>23</v>
      </c>
      <c r="H3195" t="s">
        <v>719</v>
      </c>
      <c r="I3195" t="s">
        <v>1943</v>
      </c>
      <c r="J3195">
        <v>10.403297</v>
      </c>
      <c r="K3195">
        <v>-84.132876999999993</v>
      </c>
      <c r="L3195" t="s">
        <v>1225</v>
      </c>
      <c r="M3195" t="s">
        <v>189</v>
      </c>
      <c r="N3195" t="s">
        <v>211</v>
      </c>
      <c r="O3195" t="s">
        <v>212</v>
      </c>
      <c r="P3195">
        <v>11</v>
      </c>
      <c r="Q3195" t="s">
        <v>108</v>
      </c>
      <c r="S3195" t="str">
        <f>_xlfn.XLOOKUP(UNIVERSO[[#This Row],[Ruta]],'[1]CUOTA RUTA'!A:A,'[1]CUOTA RUTA'!D:D)</f>
        <v>Cargar</v>
      </c>
    </row>
    <row r="3196" spans="1:19" x14ac:dyDescent="0.25">
      <c r="A3196">
        <v>1540027638</v>
      </c>
      <c r="B3196" t="s">
        <v>6328</v>
      </c>
      <c r="C3196" t="s">
        <v>19</v>
      </c>
      <c r="D3196" t="s">
        <v>20</v>
      </c>
      <c r="E3196" t="s">
        <v>21</v>
      </c>
      <c r="F3196" t="s">
        <v>22</v>
      </c>
      <c r="G3196" t="s">
        <v>33</v>
      </c>
      <c r="H3196" t="s">
        <v>743</v>
      </c>
      <c r="I3196" t="s">
        <v>6329</v>
      </c>
      <c r="J3196">
        <v>10.010590000000001</v>
      </c>
      <c r="K3196">
        <v>-84.406599999999997</v>
      </c>
      <c r="L3196" t="s">
        <v>1225</v>
      </c>
      <c r="M3196" t="s">
        <v>46</v>
      </c>
      <c r="N3196" t="s">
        <v>47</v>
      </c>
      <c r="O3196" t="s">
        <v>48</v>
      </c>
      <c r="P3196">
        <v>8</v>
      </c>
      <c r="Q3196" t="s">
        <v>97</v>
      </c>
      <c r="S3196" t="str">
        <f>_xlfn.XLOOKUP(UNIVERSO[[#This Row],[Ruta]],'[1]CUOTA RUTA'!A:A,'[1]CUOTA RUTA'!D:D)</f>
        <v>Cargar</v>
      </c>
    </row>
    <row r="3197" spans="1:19" x14ac:dyDescent="0.25">
      <c r="A3197">
        <v>1540027653</v>
      </c>
      <c r="B3197" t="s">
        <v>6330</v>
      </c>
      <c r="C3197" t="s">
        <v>19</v>
      </c>
      <c r="D3197" t="s">
        <v>208</v>
      </c>
      <c r="E3197" t="s">
        <v>21</v>
      </c>
      <c r="F3197" t="s">
        <v>22</v>
      </c>
      <c r="G3197" t="s">
        <v>33</v>
      </c>
      <c r="H3197" t="s">
        <v>1794</v>
      </c>
      <c r="I3197" t="s">
        <v>6331</v>
      </c>
      <c r="J3197">
        <v>10.383893</v>
      </c>
      <c r="K3197">
        <v>-83.939570000000003</v>
      </c>
      <c r="L3197" t="s">
        <v>1225</v>
      </c>
      <c r="M3197" t="s">
        <v>189</v>
      </c>
      <c r="N3197" t="s">
        <v>211</v>
      </c>
      <c r="O3197" t="s">
        <v>212</v>
      </c>
      <c r="P3197">
        <v>10</v>
      </c>
      <c r="Q3197" t="s">
        <v>136</v>
      </c>
      <c r="S3197" t="str">
        <f>_xlfn.XLOOKUP(UNIVERSO[[#This Row],[Ruta]],'[1]CUOTA RUTA'!A:A,'[1]CUOTA RUTA'!D:D)</f>
        <v>Cargar</v>
      </c>
    </row>
    <row r="3198" spans="1:19" x14ac:dyDescent="0.25">
      <c r="A3198">
        <v>1540027687</v>
      </c>
      <c r="B3198" t="s">
        <v>6332</v>
      </c>
      <c r="C3198" t="s">
        <v>19</v>
      </c>
      <c r="D3198" t="s">
        <v>20</v>
      </c>
      <c r="E3198" t="s">
        <v>21</v>
      </c>
      <c r="F3198" t="s">
        <v>22</v>
      </c>
      <c r="G3198" t="s">
        <v>64</v>
      </c>
      <c r="H3198" t="s">
        <v>250</v>
      </c>
      <c r="I3198" t="s">
        <v>6333</v>
      </c>
      <c r="J3198">
        <v>10.0212</v>
      </c>
      <c r="K3198">
        <v>-84.272300000000001</v>
      </c>
      <c r="L3198" t="s">
        <v>1225</v>
      </c>
      <c r="M3198" t="s">
        <v>46</v>
      </c>
      <c r="N3198" t="s">
        <v>47</v>
      </c>
      <c r="O3198" t="s">
        <v>48</v>
      </c>
      <c r="P3198">
        <v>3</v>
      </c>
      <c r="Q3198" t="s">
        <v>101</v>
      </c>
      <c r="S3198" t="str">
        <f>_xlfn.XLOOKUP(UNIVERSO[[#This Row],[Ruta]],'[1]CUOTA RUTA'!A:A,'[1]CUOTA RUTA'!D:D)</f>
        <v>Cargar</v>
      </c>
    </row>
    <row r="3199" spans="1:19" x14ac:dyDescent="0.25">
      <c r="A3199">
        <v>1540027725</v>
      </c>
      <c r="B3199" t="s">
        <v>6334</v>
      </c>
      <c r="C3199" t="s">
        <v>19</v>
      </c>
      <c r="D3199" t="s">
        <v>324</v>
      </c>
      <c r="E3199" t="s">
        <v>21</v>
      </c>
      <c r="F3199" t="s">
        <v>22</v>
      </c>
      <c r="G3199" t="s">
        <v>33</v>
      </c>
      <c r="H3199" t="s">
        <v>390</v>
      </c>
      <c r="I3199" t="s">
        <v>6335</v>
      </c>
      <c r="J3199">
        <v>10.3323251</v>
      </c>
      <c r="K3199">
        <v>-84.444806200000002</v>
      </c>
      <c r="L3199" t="s">
        <v>1225</v>
      </c>
      <c r="M3199" t="s">
        <v>327</v>
      </c>
      <c r="N3199" t="s">
        <v>328</v>
      </c>
      <c r="O3199" t="s">
        <v>329</v>
      </c>
      <c r="P3199">
        <v>15</v>
      </c>
      <c r="Q3199" t="s">
        <v>231</v>
      </c>
      <c r="S3199" t="str">
        <f>_xlfn.XLOOKUP(UNIVERSO[[#This Row],[Ruta]],'[1]CUOTA RUTA'!A:A,'[1]CUOTA RUTA'!D:D)</f>
        <v>Cargar</v>
      </c>
    </row>
    <row r="3200" spans="1:19" x14ac:dyDescent="0.25">
      <c r="A3200">
        <v>1540027787</v>
      </c>
      <c r="B3200" t="s">
        <v>4674</v>
      </c>
      <c r="C3200" t="s">
        <v>19</v>
      </c>
      <c r="D3200" t="s">
        <v>32</v>
      </c>
      <c r="E3200" t="s">
        <v>21</v>
      </c>
      <c r="F3200" t="s">
        <v>22</v>
      </c>
      <c r="G3200" t="s">
        <v>33</v>
      </c>
      <c r="H3200" t="s">
        <v>106</v>
      </c>
      <c r="I3200" t="s">
        <v>6336</v>
      </c>
      <c r="J3200">
        <v>9.9265430000000006</v>
      </c>
      <c r="K3200">
        <v>-84.110200000000006</v>
      </c>
      <c r="L3200" t="s">
        <v>1225</v>
      </c>
      <c r="M3200" t="s">
        <v>71</v>
      </c>
      <c r="N3200" t="s">
        <v>72</v>
      </c>
      <c r="O3200" t="s">
        <v>73</v>
      </c>
      <c r="P3200">
        <v>12</v>
      </c>
      <c r="Q3200" t="s">
        <v>42</v>
      </c>
      <c r="S3200" t="str">
        <f>_xlfn.XLOOKUP(UNIVERSO[[#This Row],[Ruta]],'[1]CUOTA RUTA'!A:A,'[1]CUOTA RUTA'!D:D)</f>
        <v>Cargar</v>
      </c>
    </row>
    <row r="3201" spans="1:19" x14ac:dyDescent="0.25">
      <c r="A3201">
        <v>1540027806</v>
      </c>
      <c r="B3201" t="s">
        <v>6337</v>
      </c>
      <c r="C3201" t="s">
        <v>19</v>
      </c>
      <c r="D3201" t="s">
        <v>324</v>
      </c>
      <c r="E3201" t="s">
        <v>21</v>
      </c>
      <c r="F3201" t="s">
        <v>22</v>
      </c>
      <c r="G3201" t="s">
        <v>64</v>
      </c>
      <c r="H3201" t="s">
        <v>511</v>
      </c>
      <c r="I3201" t="s">
        <v>6338</v>
      </c>
      <c r="J3201">
        <v>10.437670000000001</v>
      </c>
      <c r="K3201">
        <v>-84.566294999999997</v>
      </c>
      <c r="L3201" t="s">
        <v>1225</v>
      </c>
      <c r="M3201" t="s">
        <v>327</v>
      </c>
      <c r="N3201" t="s">
        <v>328</v>
      </c>
      <c r="O3201" t="s">
        <v>329</v>
      </c>
      <c r="P3201">
        <v>12</v>
      </c>
      <c r="Q3201" t="s">
        <v>42</v>
      </c>
      <c r="S3201" t="str">
        <f>_xlfn.XLOOKUP(UNIVERSO[[#This Row],[Ruta]],'[1]CUOTA RUTA'!A:A,'[1]CUOTA RUTA'!D:D)</f>
        <v>Cargar</v>
      </c>
    </row>
    <row r="3202" spans="1:19" x14ac:dyDescent="0.25">
      <c r="A3202">
        <v>1540027815</v>
      </c>
      <c r="B3202" t="s">
        <v>6339</v>
      </c>
      <c r="C3202" t="s">
        <v>19</v>
      </c>
      <c r="D3202" t="s">
        <v>20</v>
      </c>
      <c r="E3202" t="s">
        <v>21</v>
      </c>
      <c r="F3202" t="s">
        <v>22</v>
      </c>
      <c r="G3202" t="s">
        <v>33</v>
      </c>
      <c r="H3202" t="s">
        <v>910</v>
      </c>
      <c r="I3202" t="s">
        <v>6340</v>
      </c>
      <c r="J3202">
        <v>10.009176610000001</v>
      </c>
      <c r="K3202">
        <v>-84.133003220000006</v>
      </c>
      <c r="L3202" t="s">
        <v>1225</v>
      </c>
      <c r="M3202" t="s">
        <v>27</v>
      </c>
      <c r="N3202" t="s">
        <v>28</v>
      </c>
      <c r="O3202" t="s">
        <v>29</v>
      </c>
      <c r="P3202">
        <v>16</v>
      </c>
      <c r="Q3202" t="s">
        <v>60</v>
      </c>
      <c r="S3202" t="str">
        <f>_xlfn.XLOOKUP(UNIVERSO[[#This Row],[Ruta]],'[1]CUOTA RUTA'!A:A,'[1]CUOTA RUTA'!D:D)</f>
        <v>Cargar</v>
      </c>
    </row>
    <row r="3203" spans="1:19" x14ac:dyDescent="0.25">
      <c r="A3203">
        <v>1540027824</v>
      </c>
      <c r="B3203" t="s">
        <v>6341</v>
      </c>
      <c r="C3203" t="s">
        <v>19</v>
      </c>
      <c r="D3203" t="s">
        <v>337</v>
      </c>
      <c r="E3203" t="s">
        <v>21</v>
      </c>
      <c r="F3203" t="s">
        <v>22</v>
      </c>
      <c r="G3203" t="s">
        <v>64</v>
      </c>
      <c r="H3203" t="s">
        <v>346</v>
      </c>
      <c r="I3203" t="s">
        <v>6342</v>
      </c>
      <c r="J3203">
        <v>10.472002030000001</v>
      </c>
      <c r="K3203">
        <v>-85.211244609999994</v>
      </c>
      <c r="L3203" t="s">
        <v>1225</v>
      </c>
      <c r="M3203" t="s">
        <v>327</v>
      </c>
      <c r="N3203" t="s">
        <v>340</v>
      </c>
      <c r="O3203" t="s">
        <v>341</v>
      </c>
      <c r="P3203">
        <v>20</v>
      </c>
      <c r="Q3203" t="s">
        <v>74</v>
      </c>
      <c r="S3203" t="str">
        <f>_xlfn.XLOOKUP(UNIVERSO[[#This Row],[Ruta]],'[1]CUOTA RUTA'!A:A,'[1]CUOTA RUTA'!D:D)</f>
        <v>Cargar</v>
      </c>
    </row>
    <row r="3204" spans="1:19" x14ac:dyDescent="0.25">
      <c r="A3204">
        <v>1540027846</v>
      </c>
      <c r="B3204" t="s">
        <v>6343</v>
      </c>
      <c r="C3204" t="s">
        <v>19</v>
      </c>
      <c r="D3204" t="s">
        <v>32</v>
      </c>
      <c r="E3204" t="s">
        <v>62</v>
      </c>
      <c r="F3204" t="s">
        <v>63</v>
      </c>
      <c r="G3204" t="s">
        <v>64</v>
      </c>
      <c r="H3204" t="s">
        <v>127</v>
      </c>
      <c r="I3204" t="s">
        <v>6344</v>
      </c>
      <c r="J3204">
        <v>9.8015333333329995</v>
      </c>
      <c r="K3204">
        <v>-84.159210000000002</v>
      </c>
      <c r="L3204" t="s">
        <v>1225</v>
      </c>
      <c r="M3204" t="s">
        <v>54</v>
      </c>
      <c r="N3204" t="s">
        <v>129</v>
      </c>
      <c r="O3204" t="s">
        <v>130</v>
      </c>
      <c r="P3204">
        <v>23</v>
      </c>
      <c r="Q3204" t="s">
        <v>125</v>
      </c>
      <c r="S3204" t="str">
        <f>_xlfn.XLOOKUP(UNIVERSO[[#This Row],[Ruta]],'[1]CUOTA RUTA'!A:A,'[1]CUOTA RUTA'!D:D)</f>
        <v>Cargar</v>
      </c>
    </row>
    <row r="3205" spans="1:19" x14ac:dyDescent="0.25">
      <c r="A3205">
        <v>1540027855</v>
      </c>
      <c r="B3205" t="s">
        <v>6345</v>
      </c>
      <c r="C3205" t="s">
        <v>19</v>
      </c>
      <c r="D3205" t="s">
        <v>324</v>
      </c>
      <c r="E3205" t="s">
        <v>21</v>
      </c>
      <c r="F3205" t="s">
        <v>22</v>
      </c>
      <c r="G3205" t="s">
        <v>64</v>
      </c>
      <c r="H3205" t="s">
        <v>331</v>
      </c>
      <c r="I3205" t="s">
        <v>6346</v>
      </c>
      <c r="J3205">
        <v>10.4312916</v>
      </c>
      <c r="K3205">
        <v>-84.231300500000003</v>
      </c>
      <c r="L3205" t="s">
        <v>1225</v>
      </c>
      <c r="M3205" t="s">
        <v>327</v>
      </c>
      <c r="N3205" t="s">
        <v>328</v>
      </c>
      <c r="O3205" t="s">
        <v>329</v>
      </c>
      <c r="P3205">
        <v>17</v>
      </c>
      <c r="Q3205" t="s">
        <v>287</v>
      </c>
      <c r="S3205" t="str">
        <f>_xlfn.XLOOKUP(UNIVERSO[[#This Row],[Ruta]],'[1]CUOTA RUTA'!A:A,'[1]CUOTA RUTA'!D:D)</f>
        <v>Cargar</v>
      </c>
    </row>
    <row r="3206" spans="1:19" x14ac:dyDescent="0.25">
      <c r="A3206">
        <v>1540027865</v>
      </c>
      <c r="B3206" t="s">
        <v>6347</v>
      </c>
      <c r="C3206" t="s">
        <v>19</v>
      </c>
      <c r="D3206" t="s">
        <v>32</v>
      </c>
      <c r="E3206" t="s">
        <v>21</v>
      </c>
      <c r="F3206" t="s">
        <v>22</v>
      </c>
      <c r="G3206" t="s">
        <v>64</v>
      </c>
      <c r="H3206" t="s">
        <v>65</v>
      </c>
      <c r="I3206" t="s">
        <v>6348</v>
      </c>
      <c r="J3206">
        <v>9.9245599999999996</v>
      </c>
      <c r="K3206">
        <v>-83.998930000000001</v>
      </c>
      <c r="L3206" t="s">
        <v>1225</v>
      </c>
      <c r="M3206" t="s">
        <v>36</v>
      </c>
      <c r="N3206" t="s">
        <v>37</v>
      </c>
      <c r="O3206" t="s">
        <v>38</v>
      </c>
      <c r="P3206">
        <v>19</v>
      </c>
      <c r="Q3206" t="s">
        <v>67</v>
      </c>
      <c r="S3206" t="str">
        <f>_xlfn.XLOOKUP(UNIVERSO[[#This Row],[Ruta]],'[1]CUOTA RUTA'!A:A,'[1]CUOTA RUTA'!D:D)</f>
        <v>Cargar</v>
      </c>
    </row>
    <row r="3207" spans="1:19" x14ac:dyDescent="0.25">
      <c r="A3207">
        <v>1540027890</v>
      </c>
      <c r="B3207" t="s">
        <v>6349</v>
      </c>
      <c r="C3207" t="s">
        <v>19</v>
      </c>
      <c r="D3207" t="s">
        <v>32</v>
      </c>
      <c r="E3207" t="s">
        <v>21</v>
      </c>
      <c r="F3207" t="s">
        <v>22</v>
      </c>
      <c r="G3207" t="s">
        <v>64</v>
      </c>
      <c r="H3207" t="s">
        <v>127</v>
      </c>
      <c r="I3207" t="s">
        <v>6350</v>
      </c>
      <c r="J3207">
        <v>9.7738849999999999</v>
      </c>
      <c r="K3207">
        <v>-84.070178333330006</v>
      </c>
      <c r="L3207" t="s">
        <v>1225</v>
      </c>
      <c r="M3207" t="s">
        <v>54</v>
      </c>
      <c r="N3207" t="s">
        <v>129</v>
      </c>
      <c r="O3207" t="s">
        <v>130</v>
      </c>
      <c r="P3207">
        <v>23</v>
      </c>
      <c r="Q3207" t="s">
        <v>125</v>
      </c>
      <c r="S3207" t="str">
        <f>_xlfn.XLOOKUP(UNIVERSO[[#This Row],[Ruta]],'[1]CUOTA RUTA'!A:A,'[1]CUOTA RUTA'!D:D)</f>
        <v>Cargar</v>
      </c>
    </row>
    <row r="3208" spans="1:19" x14ac:dyDescent="0.25">
      <c r="A3208">
        <v>1540027924</v>
      </c>
      <c r="B3208" t="s">
        <v>6351</v>
      </c>
      <c r="C3208" t="s">
        <v>19</v>
      </c>
      <c r="D3208" t="s">
        <v>32</v>
      </c>
      <c r="E3208" t="s">
        <v>21</v>
      </c>
      <c r="F3208" t="s">
        <v>22</v>
      </c>
      <c r="G3208" t="s">
        <v>33</v>
      </c>
      <c r="H3208" t="s">
        <v>148</v>
      </c>
      <c r="I3208" t="s">
        <v>6352</v>
      </c>
      <c r="J3208">
        <v>9.9750709999999998</v>
      </c>
      <c r="K3208">
        <v>-84.032492000000005</v>
      </c>
      <c r="L3208" t="s">
        <v>1225</v>
      </c>
      <c r="M3208" t="s">
        <v>94</v>
      </c>
      <c r="N3208" t="s">
        <v>95</v>
      </c>
      <c r="O3208" t="s">
        <v>96</v>
      </c>
      <c r="P3208">
        <v>2</v>
      </c>
      <c r="Q3208" t="s">
        <v>150</v>
      </c>
      <c r="S3208" t="str">
        <f>_xlfn.XLOOKUP(UNIVERSO[[#This Row],[Ruta]],'[1]CUOTA RUTA'!A:A,'[1]CUOTA RUTA'!D:D)</f>
        <v>Cargar</v>
      </c>
    </row>
    <row r="3209" spans="1:19" x14ac:dyDescent="0.25">
      <c r="A3209">
        <v>1540027993</v>
      </c>
      <c r="B3209" t="s">
        <v>6353</v>
      </c>
      <c r="C3209" t="s">
        <v>19</v>
      </c>
      <c r="D3209" t="s">
        <v>32</v>
      </c>
      <c r="E3209" t="s">
        <v>21</v>
      </c>
      <c r="F3209" t="s">
        <v>22</v>
      </c>
      <c r="G3209" t="s">
        <v>64</v>
      </c>
      <c r="H3209" t="s">
        <v>89</v>
      </c>
      <c r="I3209" t="s">
        <v>6354</v>
      </c>
      <c r="J3209">
        <v>9.9055266666670008</v>
      </c>
      <c r="K3209">
        <v>-84.081203333329995</v>
      </c>
      <c r="L3209" t="s">
        <v>1225</v>
      </c>
      <c r="M3209" t="s">
        <v>71</v>
      </c>
      <c r="N3209" t="s">
        <v>72</v>
      </c>
      <c r="O3209" t="s">
        <v>73</v>
      </c>
      <c r="P3209">
        <v>6</v>
      </c>
      <c r="Q3209" t="s">
        <v>49</v>
      </c>
      <c r="S3209" t="str">
        <f>_xlfn.XLOOKUP(UNIVERSO[[#This Row],[Ruta]],'[1]CUOTA RUTA'!A:A,'[1]CUOTA RUTA'!D:D)</f>
        <v>Cargar</v>
      </c>
    </row>
    <row r="3210" spans="1:19" x14ac:dyDescent="0.25">
      <c r="A3210">
        <v>1540028053</v>
      </c>
      <c r="B3210" t="s">
        <v>6355</v>
      </c>
      <c r="C3210" t="s">
        <v>19</v>
      </c>
      <c r="D3210" t="s">
        <v>20</v>
      </c>
      <c r="E3210" t="s">
        <v>21</v>
      </c>
      <c r="F3210" t="s">
        <v>22</v>
      </c>
      <c r="G3210" t="s">
        <v>64</v>
      </c>
      <c r="H3210" t="s">
        <v>674</v>
      </c>
      <c r="I3210" t="s">
        <v>6356</v>
      </c>
      <c r="J3210">
        <v>10.127762110000001</v>
      </c>
      <c r="K3210">
        <v>-84.434357539999993</v>
      </c>
      <c r="L3210" t="s">
        <v>1225</v>
      </c>
      <c r="M3210" t="s">
        <v>46</v>
      </c>
      <c r="N3210" t="s">
        <v>47</v>
      </c>
      <c r="O3210" t="s">
        <v>48</v>
      </c>
      <c r="P3210">
        <v>6</v>
      </c>
      <c r="Q3210" t="s">
        <v>49</v>
      </c>
      <c r="S3210" t="str">
        <f>_xlfn.XLOOKUP(UNIVERSO[[#This Row],[Ruta]],'[1]CUOTA RUTA'!A:A,'[1]CUOTA RUTA'!D:D)</f>
        <v>Cargar</v>
      </c>
    </row>
    <row r="3211" spans="1:19" x14ac:dyDescent="0.25">
      <c r="A3211">
        <v>1540028084</v>
      </c>
      <c r="B3211" t="s">
        <v>6357</v>
      </c>
      <c r="C3211" t="s">
        <v>19</v>
      </c>
      <c r="D3211" t="s">
        <v>20</v>
      </c>
      <c r="E3211" t="s">
        <v>21</v>
      </c>
      <c r="F3211" t="s">
        <v>22</v>
      </c>
      <c r="G3211" t="s">
        <v>23</v>
      </c>
      <c r="H3211" t="s">
        <v>638</v>
      </c>
      <c r="I3211" t="s">
        <v>6358</v>
      </c>
      <c r="J3211">
        <v>10.011151699999999</v>
      </c>
      <c r="K3211">
        <v>-84.219096699999994</v>
      </c>
      <c r="L3211" t="s">
        <v>1225</v>
      </c>
      <c r="M3211" t="s">
        <v>54</v>
      </c>
      <c r="N3211" t="s">
        <v>55</v>
      </c>
      <c r="O3211" t="s">
        <v>56</v>
      </c>
      <c r="P3211">
        <v>4</v>
      </c>
      <c r="Q3211" t="s">
        <v>120</v>
      </c>
      <c r="S3211" t="str">
        <f>_xlfn.XLOOKUP(UNIVERSO[[#This Row],[Ruta]],'[1]CUOTA RUTA'!A:A,'[1]CUOTA RUTA'!D:D)</f>
        <v>Cargar</v>
      </c>
    </row>
    <row r="3212" spans="1:19" x14ac:dyDescent="0.25">
      <c r="A3212">
        <v>1540028100</v>
      </c>
      <c r="B3212" t="s">
        <v>6359</v>
      </c>
      <c r="C3212" t="s">
        <v>19</v>
      </c>
      <c r="D3212" t="s">
        <v>208</v>
      </c>
      <c r="E3212" t="s">
        <v>21</v>
      </c>
      <c r="F3212" t="s">
        <v>22</v>
      </c>
      <c r="G3212" t="s">
        <v>64</v>
      </c>
      <c r="H3212" t="s">
        <v>209</v>
      </c>
      <c r="I3212" t="s">
        <v>6360</v>
      </c>
      <c r="J3212">
        <v>10.12326</v>
      </c>
      <c r="K3212">
        <v>-83.535849999999996</v>
      </c>
      <c r="L3212" t="s">
        <v>1225</v>
      </c>
      <c r="M3212" t="s">
        <v>189</v>
      </c>
      <c r="N3212" t="s">
        <v>211</v>
      </c>
      <c r="O3212" t="s">
        <v>212</v>
      </c>
      <c r="P3212">
        <v>8</v>
      </c>
      <c r="Q3212" t="s">
        <v>97</v>
      </c>
      <c r="S3212" t="str">
        <f>_xlfn.XLOOKUP(UNIVERSO[[#This Row],[Ruta]],'[1]CUOTA RUTA'!A:A,'[1]CUOTA RUTA'!D:D)</f>
        <v>Cargar</v>
      </c>
    </row>
    <row r="3213" spans="1:19" x14ac:dyDescent="0.25">
      <c r="A3213">
        <v>1540028109</v>
      </c>
      <c r="B3213" t="s">
        <v>6361</v>
      </c>
      <c r="C3213" t="s">
        <v>19</v>
      </c>
      <c r="D3213" t="s">
        <v>244</v>
      </c>
      <c r="E3213" t="s">
        <v>21</v>
      </c>
      <c r="F3213" t="s">
        <v>22</v>
      </c>
      <c r="G3213" t="s">
        <v>33</v>
      </c>
      <c r="H3213" t="s">
        <v>245</v>
      </c>
      <c r="I3213" t="s">
        <v>6362</v>
      </c>
      <c r="J3213">
        <v>9.1664616666670007</v>
      </c>
      <c r="K3213">
        <v>-83.739135000000005</v>
      </c>
      <c r="L3213" t="s">
        <v>1225</v>
      </c>
      <c r="M3213" t="s">
        <v>46</v>
      </c>
      <c r="N3213" t="s">
        <v>247</v>
      </c>
      <c r="O3213" t="s">
        <v>248</v>
      </c>
      <c r="P3213">
        <v>19</v>
      </c>
      <c r="Q3213" t="s">
        <v>67</v>
      </c>
      <c r="S3213" t="str">
        <f>_xlfn.XLOOKUP(UNIVERSO[[#This Row],[Ruta]],'[1]CUOTA RUTA'!A:A,'[1]CUOTA RUTA'!D:D)</f>
        <v>Cargar</v>
      </c>
    </row>
    <row r="3214" spans="1:19" x14ac:dyDescent="0.25">
      <c r="A3214">
        <v>1540028110</v>
      </c>
      <c r="B3214" t="s">
        <v>6363</v>
      </c>
      <c r="C3214" t="s">
        <v>19</v>
      </c>
      <c r="D3214" t="s">
        <v>32</v>
      </c>
      <c r="E3214" t="s">
        <v>21</v>
      </c>
      <c r="F3214" t="s">
        <v>22</v>
      </c>
      <c r="G3214" t="s">
        <v>64</v>
      </c>
      <c r="H3214" t="s">
        <v>1383</v>
      </c>
      <c r="I3214" t="s">
        <v>6364</v>
      </c>
      <c r="J3214">
        <v>9.9147960000000008</v>
      </c>
      <c r="K3214">
        <v>-84.090898999999993</v>
      </c>
      <c r="L3214" t="s">
        <v>1225</v>
      </c>
      <c r="M3214" t="s">
        <v>71</v>
      </c>
      <c r="N3214" t="s">
        <v>72</v>
      </c>
      <c r="O3214" t="s">
        <v>73</v>
      </c>
      <c r="P3214">
        <v>3</v>
      </c>
      <c r="Q3214" t="s">
        <v>101</v>
      </c>
      <c r="S3214" t="str">
        <f>_xlfn.XLOOKUP(UNIVERSO[[#This Row],[Ruta]],'[1]CUOTA RUTA'!A:A,'[1]CUOTA RUTA'!D:D)</f>
        <v>Cargar</v>
      </c>
    </row>
    <row r="3215" spans="1:19" x14ac:dyDescent="0.25">
      <c r="A3215">
        <v>1540028171</v>
      </c>
      <c r="B3215" t="s">
        <v>6365</v>
      </c>
      <c r="C3215" t="s">
        <v>19</v>
      </c>
      <c r="D3215" t="s">
        <v>208</v>
      </c>
      <c r="E3215" t="s">
        <v>21</v>
      </c>
      <c r="F3215" t="s">
        <v>22</v>
      </c>
      <c r="G3215" t="s">
        <v>33</v>
      </c>
      <c r="H3215" t="s">
        <v>417</v>
      </c>
      <c r="I3215" t="s">
        <v>6366</v>
      </c>
      <c r="J3215">
        <v>10.31965411</v>
      </c>
      <c r="K3215">
        <v>-83.886944869999994</v>
      </c>
      <c r="L3215" t="s">
        <v>1225</v>
      </c>
      <c r="M3215" t="s">
        <v>189</v>
      </c>
      <c r="N3215" t="s">
        <v>211</v>
      </c>
      <c r="O3215" t="s">
        <v>212</v>
      </c>
      <c r="P3215">
        <v>3</v>
      </c>
      <c r="Q3215" t="s">
        <v>101</v>
      </c>
      <c r="S3215" t="str">
        <f>_xlfn.XLOOKUP(UNIVERSO[[#This Row],[Ruta]],'[1]CUOTA RUTA'!A:A,'[1]CUOTA RUTA'!D:D)</f>
        <v>Cargar</v>
      </c>
    </row>
    <row r="3216" spans="1:19" x14ac:dyDescent="0.25">
      <c r="A3216">
        <v>1540028172</v>
      </c>
      <c r="B3216" t="s">
        <v>6367</v>
      </c>
      <c r="C3216" t="s">
        <v>19</v>
      </c>
      <c r="D3216" t="s">
        <v>208</v>
      </c>
      <c r="E3216" t="s">
        <v>62</v>
      </c>
      <c r="F3216" t="s">
        <v>63</v>
      </c>
      <c r="G3216" t="s">
        <v>64</v>
      </c>
      <c r="H3216" t="s">
        <v>631</v>
      </c>
      <c r="I3216" t="s">
        <v>6368</v>
      </c>
      <c r="J3216">
        <v>10.204171000000001</v>
      </c>
      <c r="K3216">
        <v>-83.461399999999998</v>
      </c>
      <c r="L3216" t="s">
        <v>1225</v>
      </c>
      <c r="M3216" t="s">
        <v>189</v>
      </c>
      <c r="N3216" t="s">
        <v>211</v>
      </c>
      <c r="O3216" t="s">
        <v>212</v>
      </c>
      <c r="P3216">
        <v>9</v>
      </c>
      <c r="Q3216" t="s">
        <v>80</v>
      </c>
      <c r="S3216" t="str">
        <f>_xlfn.XLOOKUP(UNIVERSO[[#This Row],[Ruta]],'[1]CUOTA RUTA'!A:A,'[1]CUOTA RUTA'!D:D)</f>
        <v>Cargar</v>
      </c>
    </row>
    <row r="3217" spans="1:19" x14ac:dyDescent="0.25">
      <c r="A3217">
        <v>1540028173</v>
      </c>
      <c r="B3217" t="s">
        <v>6369</v>
      </c>
      <c r="C3217" t="s">
        <v>19</v>
      </c>
      <c r="D3217" t="s">
        <v>20</v>
      </c>
      <c r="E3217" t="s">
        <v>21</v>
      </c>
      <c r="F3217" t="s">
        <v>22</v>
      </c>
      <c r="G3217" t="s">
        <v>64</v>
      </c>
      <c r="H3217" t="s">
        <v>263</v>
      </c>
      <c r="I3217" t="s">
        <v>6370</v>
      </c>
      <c r="J3217">
        <v>10.108510000000001</v>
      </c>
      <c r="K3217">
        <v>-84.390140000000002</v>
      </c>
      <c r="L3217" t="s">
        <v>1225</v>
      </c>
      <c r="M3217" t="s">
        <v>46</v>
      </c>
      <c r="N3217" t="s">
        <v>47</v>
      </c>
      <c r="O3217" t="s">
        <v>48</v>
      </c>
      <c r="P3217">
        <v>1</v>
      </c>
      <c r="Q3217" t="s">
        <v>155</v>
      </c>
      <c r="S3217" t="str">
        <f>_xlfn.XLOOKUP(UNIVERSO[[#This Row],[Ruta]],'[1]CUOTA RUTA'!A:A,'[1]CUOTA RUTA'!D:D)</f>
        <v>Cargar</v>
      </c>
    </row>
    <row r="3218" spans="1:19" x14ac:dyDescent="0.25">
      <c r="A3218">
        <v>1540028181</v>
      </c>
      <c r="B3218" t="s">
        <v>6371</v>
      </c>
      <c r="C3218" t="s">
        <v>19</v>
      </c>
      <c r="D3218" t="s">
        <v>20</v>
      </c>
      <c r="E3218" t="s">
        <v>21</v>
      </c>
      <c r="F3218" t="s">
        <v>22</v>
      </c>
      <c r="G3218" t="s">
        <v>64</v>
      </c>
      <c r="H3218" t="s">
        <v>913</v>
      </c>
      <c r="I3218" t="s">
        <v>6372</v>
      </c>
      <c r="J3218">
        <v>9.9615500000000008</v>
      </c>
      <c r="K3218">
        <v>-84.150049999999993</v>
      </c>
      <c r="L3218" t="s">
        <v>1225</v>
      </c>
      <c r="M3218" t="s">
        <v>27</v>
      </c>
      <c r="N3218" t="s">
        <v>28</v>
      </c>
      <c r="O3218" t="s">
        <v>29</v>
      </c>
      <c r="P3218">
        <v>1</v>
      </c>
      <c r="Q3218" t="s">
        <v>155</v>
      </c>
      <c r="S3218" t="str">
        <f>_xlfn.XLOOKUP(UNIVERSO[[#This Row],[Ruta]],'[1]CUOTA RUTA'!A:A,'[1]CUOTA RUTA'!D:D)</f>
        <v>Cargar</v>
      </c>
    </row>
    <row r="3219" spans="1:19" x14ac:dyDescent="0.25">
      <c r="A3219">
        <v>1540028190</v>
      </c>
      <c r="B3219" t="s">
        <v>798</v>
      </c>
      <c r="C3219" t="s">
        <v>19</v>
      </c>
      <c r="D3219" t="s">
        <v>32</v>
      </c>
      <c r="E3219" t="s">
        <v>21</v>
      </c>
      <c r="F3219" t="s">
        <v>22</v>
      </c>
      <c r="G3219" t="s">
        <v>33</v>
      </c>
      <c r="H3219" t="s">
        <v>716</v>
      </c>
      <c r="I3219" t="s">
        <v>6373</v>
      </c>
      <c r="J3219">
        <v>9.9132149999999992</v>
      </c>
      <c r="K3219">
        <v>-84.037947000000003</v>
      </c>
      <c r="L3219" t="s">
        <v>1225</v>
      </c>
      <c r="M3219" t="s">
        <v>36</v>
      </c>
      <c r="N3219" t="s">
        <v>37</v>
      </c>
      <c r="O3219" t="s">
        <v>38</v>
      </c>
      <c r="P3219">
        <v>10</v>
      </c>
      <c r="Q3219" t="s">
        <v>136</v>
      </c>
      <c r="S3219" t="str">
        <f>_xlfn.XLOOKUP(UNIVERSO[[#This Row],[Ruta]],'[1]CUOTA RUTA'!A:A,'[1]CUOTA RUTA'!D:D)</f>
        <v>Cargar</v>
      </c>
    </row>
    <row r="3220" spans="1:19" x14ac:dyDescent="0.25">
      <c r="A3220">
        <v>1540028197</v>
      </c>
      <c r="B3220" t="s">
        <v>6374</v>
      </c>
      <c r="C3220" t="s">
        <v>19</v>
      </c>
      <c r="D3220" t="s">
        <v>20</v>
      </c>
      <c r="E3220" t="s">
        <v>21</v>
      </c>
      <c r="F3220" t="s">
        <v>22</v>
      </c>
      <c r="G3220" t="s">
        <v>23</v>
      </c>
      <c r="H3220" t="s">
        <v>1506</v>
      </c>
      <c r="I3220" t="s">
        <v>6375</v>
      </c>
      <c r="J3220">
        <v>9.9747800000000009</v>
      </c>
      <c r="K3220">
        <v>-84.117500000000007</v>
      </c>
      <c r="L3220" t="s">
        <v>1225</v>
      </c>
      <c r="M3220" t="s">
        <v>27</v>
      </c>
      <c r="N3220" t="s">
        <v>28</v>
      </c>
      <c r="O3220" t="s">
        <v>29</v>
      </c>
      <c r="P3220">
        <v>7</v>
      </c>
      <c r="Q3220" t="s">
        <v>39</v>
      </c>
      <c r="S3220" t="str">
        <f>_xlfn.XLOOKUP(UNIVERSO[[#This Row],[Ruta]],'[1]CUOTA RUTA'!A:A,'[1]CUOTA RUTA'!D:D)</f>
        <v>Cargar</v>
      </c>
    </row>
    <row r="3221" spans="1:19" x14ac:dyDescent="0.25">
      <c r="A3221">
        <v>1540028205</v>
      </c>
      <c r="B3221" t="s">
        <v>2434</v>
      </c>
      <c r="C3221" t="s">
        <v>19</v>
      </c>
      <c r="D3221" t="s">
        <v>324</v>
      </c>
      <c r="E3221" t="s">
        <v>21</v>
      </c>
      <c r="F3221" t="s">
        <v>22</v>
      </c>
      <c r="G3221" t="s">
        <v>33</v>
      </c>
      <c r="H3221" t="s">
        <v>393</v>
      </c>
      <c r="I3221" t="s">
        <v>6376</v>
      </c>
      <c r="J3221">
        <v>10.325434</v>
      </c>
      <c r="K3221">
        <v>-84.423907799999995</v>
      </c>
      <c r="L3221" t="s">
        <v>1225</v>
      </c>
      <c r="M3221" t="s">
        <v>327</v>
      </c>
      <c r="N3221" t="s">
        <v>328</v>
      </c>
      <c r="O3221" t="s">
        <v>329</v>
      </c>
      <c r="P3221">
        <v>22</v>
      </c>
      <c r="Q3221" t="s">
        <v>30</v>
      </c>
      <c r="S3221" t="str">
        <f>_xlfn.XLOOKUP(UNIVERSO[[#This Row],[Ruta]],'[1]CUOTA RUTA'!A:A,'[1]CUOTA RUTA'!D:D)</f>
        <v>Cargar</v>
      </c>
    </row>
    <row r="3222" spans="1:19" x14ac:dyDescent="0.25">
      <c r="A3222">
        <v>1540028222</v>
      </c>
      <c r="B3222" t="s">
        <v>6377</v>
      </c>
      <c r="C3222" t="s">
        <v>19</v>
      </c>
      <c r="D3222" t="s">
        <v>244</v>
      </c>
      <c r="E3222" t="s">
        <v>21</v>
      </c>
      <c r="F3222" t="s">
        <v>22</v>
      </c>
      <c r="G3222" t="s">
        <v>33</v>
      </c>
      <c r="H3222" t="s">
        <v>436</v>
      </c>
      <c r="I3222" t="s">
        <v>6378</v>
      </c>
      <c r="J3222">
        <v>9.4327459999999999</v>
      </c>
      <c r="K3222">
        <v>-84.165255999999999</v>
      </c>
      <c r="L3222" t="s">
        <v>1225</v>
      </c>
      <c r="M3222" t="s">
        <v>46</v>
      </c>
      <c r="N3222" t="s">
        <v>247</v>
      </c>
      <c r="O3222" t="s">
        <v>248</v>
      </c>
      <c r="P3222">
        <v>21</v>
      </c>
      <c r="Q3222" t="s">
        <v>239</v>
      </c>
      <c r="S3222" t="str">
        <f>_xlfn.XLOOKUP(UNIVERSO[[#This Row],[Ruta]],'[1]CUOTA RUTA'!A:A,'[1]CUOTA RUTA'!D:D)</f>
        <v>Cargar</v>
      </c>
    </row>
    <row r="3223" spans="1:19" x14ac:dyDescent="0.25">
      <c r="A3223">
        <v>1540028251</v>
      </c>
      <c r="B3223" t="s">
        <v>6379</v>
      </c>
      <c r="C3223" t="s">
        <v>19</v>
      </c>
      <c r="D3223" t="s">
        <v>20</v>
      </c>
      <c r="E3223" t="s">
        <v>21</v>
      </c>
      <c r="F3223" t="s">
        <v>22</v>
      </c>
      <c r="G3223" t="s">
        <v>33</v>
      </c>
      <c r="H3223" t="s">
        <v>285</v>
      </c>
      <c r="I3223" t="s">
        <v>6380</v>
      </c>
      <c r="J3223">
        <v>10.011503899999999</v>
      </c>
      <c r="K3223">
        <v>-84.190178000000003</v>
      </c>
      <c r="L3223" t="s">
        <v>1225</v>
      </c>
      <c r="M3223" t="s">
        <v>54</v>
      </c>
      <c r="N3223" t="s">
        <v>55</v>
      </c>
      <c r="O3223" t="s">
        <v>56</v>
      </c>
      <c r="P3223">
        <v>17</v>
      </c>
      <c r="Q3223" t="s">
        <v>287</v>
      </c>
      <c r="S3223" t="str">
        <f>_xlfn.XLOOKUP(UNIVERSO[[#This Row],[Ruta]],'[1]CUOTA RUTA'!A:A,'[1]CUOTA RUTA'!D:D)</f>
        <v>Cargar</v>
      </c>
    </row>
    <row r="3224" spans="1:19" x14ac:dyDescent="0.25">
      <c r="A3224">
        <v>1540028256</v>
      </c>
      <c r="B3224" t="s">
        <v>6381</v>
      </c>
      <c r="C3224" t="s">
        <v>19</v>
      </c>
      <c r="D3224" t="s">
        <v>20</v>
      </c>
      <c r="E3224" t="s">
        <v>21</v>
      </c>
      <c r="F3224" t="s">
        <v>22</v>
      </c>
      <c r="G3224" t="s">
        <v>33</v>
      </c>
      <c r="H3224" t="s">
        <v>913</v>
      </c>
      <c r="I3224" t="s">
        <v>6382</v>
      </c>
      <c r="J3224">
        <v>9.9636300000000002</v>
      </c>
      <c r="K3224">
        <v>-84.150040000000004</v>
      </c>
      <c r="L3224" t="s">
        <v>1225</v>
      </c>
      <c r="M3224" t="s">
        <v>27</v>
      </c>
      <c r="N3224" t="s">
        <v>28</v>
      </c>
      <c r="O3224" t="s">
        <v>29</v>
      </c>
      <c r="P3224">
        <v>1</v>
      </c>
      <c r="Q3224" t="s">
        <v>155</v>
      </c>
      <c r="S3224" t="str">
        <f>_xlfn.XLOOKUP(UNIVERSO[[#This Row],[Ruta]],'[1]CUOTA RUTA'!A:A,'[1]CUOTA RUTA'!D:D)</f>
        <v>Cargar</v>
      </c>
    </row>
    <row r="3225" spans="1:19" x14ac:dyDescent="0.25">
      <c r="A3225">
        <v>1540028274</v>
      </c>
      <c r="B3225" t="s">
        <v>6383</v>
      </c>
      <c r="C3225" t="s">
        <v>19</v>
      </c>
      <c r="D3225" t="s">
        <v>324</v>
      </c>
      <c r="E3225" t="s">
        <v>21</v>
      </c>
      <c r="F3225" t="s">
        <v>22</v>
      </c>
      <c r="G3225" t="s">
        <v>33</v>
      </c>
      <c r="H3225" t="s">
        <v>557</v>
      </c>
      <c r="I3225" t="s">
        <v>6384</v>
      </c>
      <c r="J3225">
        <v>10.4583894</v>
      </c>
      <c r="K3225">
        <v>-84.646719399999995</v>
      </c>
      <c r="L3225" t="s">
        <v>1225</v>
      </c>
      <c r="M3225" t="s">
        <v>327</v>
      </c>
      <c r="N3225" t="s">
        <v>328</v>
      </c>
      <c r="O3225" t="s">
        <v>329</v>
      </c>
      <c r="P3225">
        <v>20</v>
      </c>
      <c r="Q3225" t="s">
        <v>74</v>
      </c>
      <c r="S3225" t="str">
        <f>_xlfn.XLOOKUP(UNIVERSO[[#This Row],[Ruta]],'[1]CUOTA RUTA'!A:A,'[1]CUOTA RUTA'!D:D)</f>
        <v>Cargar</v>
      </c>
    </row>
    <row r="3226" spans="1:19" x14ac:dyDescent="0.25">
      <c r="A3226">
        <v>1540028285</v>
      </c>
      <c r="B3226" t="s">
        <v>6385</v>
      </c>
      <c r="C3226" t="s">
        <v>19</v>
      </c>
      <c r="D3226" t="s">
        <v>20</v>
      </c>
      <c r="E3226" t="s">
        <v>21</v>
      </c>
      <c r="F3226" t="s">
        <v>22</v>
      </c>
      <c r="G3226" t="s">
        <v>33</v>
      </c>
      <c r="H3226" t="s">
        <v>888</v>
      </c>
      <c r="I3226" t="s">
        <v>6386</v>
      </c>
      <c r="J3226">
        <v>9.9993055999999996</v>
      </c>
      <c r="K3226">
        <v>-84.128052830000001</v>
      </c>
      <c r="L3226" t="s">
        <v>1225</v>
      </c>
      <c r="M3226" t="s">
        <v>27</v>
      </c>
      <c r="N3226" t="s">
        <v>28</v>
      </c>
      <c r="O3226" t="s">
        <v>29</v>
      </c>
      <c r="P3226">
        <v>12</v>
      </c>
      <c r="Q3226" t="s">
        <v>42</v>
      </c>
      <c r="S3226" t="str">
        <f>_xlfn.XLOOKUP(UNIVERSO[[#This Row],[Ruta]],'[1]CUOTA RUTA'!A:A,'[1]CUOTA RUTA'!D:D)</f>
        <v>Cargar</v>
      </c>
    </row>
    <row r="3227" spans="1:19" x14ac:dyDescent="0.25">
      <c r="A3227">
        <v>1540028300</v>
      </c>
      <c r="B3227" t="s">
        <v>6387</v>
      </c>
      <c r="C3227" t="s">
        <v>19</v>
      </c>
      <c r="D3227" t="s">
        <v>201</v>
      </c>
      <c r="E3227" t="s">
        <v>21</v>
      </c>
      <c r="F3227" t="s">
        <v>22</v>
      </c>
      <c r="G3227" t="s">
        <v>33</v>
      </c>
      <c r="H3227" t="s">
        <v>794</v>
      </c>
      <c r="I3227" t="s">
        <v>6388</v>
      </c>
      <c r="J3227">
        <v>9.6474563999999994</v>
      </c>
      <c r="K3227">
        <v>-84.629259500000003</v>
      </c>
      <c r="L3227" t="s">
        <v>1225</v>
      </c>
      <c r="M3227" t="s">
        <v>204</v>
      </c>
      <c r="N3227" t="s">
        <v>205</v>
      </c>
      <c r="O3227" t="s">
        <v>206</v>
      </c>
      <c r="P3227">
        <v>5</v>
      </c>
      <c r="Q3227" t="s">
        <v>117</v>
      </c>
      <c r="S3227" t="str">
        <f>_xlfn.XLOOKUP(UNIVERSO[[#This Row],[Ruta]],'[1]CUOTA RUTA'!A:A,'[1]CUOTA RUTA'!D:D)</f>
        <v>Cargar</v>
      </c>
    </row>
    <row r="3228" spans="1:19" x14ac:dyDescent="0.25">
      <c r="A3228">
        <v>1540028328</v>
      </c>
      <c r="B3228" t="s">
        <v>6389</v>
      </c>
      <c r="C3228" t="s">
        <v>19</v>
      </c>
      <c r="D3228" t="s">
        <v>20</v>
      </c>
      <c r="E3228" t="s">
        <v>21</v>
      </c>
      <c r="F3228" t="s">
        <v>22</v>
      </c>
      <c r="G3228" t="s">
        <v>33</v>
      </c>
      <c r="H3228" t="s">
        <v>901</v>
      </c>
      <c r="I3228" t="s">
        <v>6390</v>
      </c>
      <c r="J3228">
        <v>10.0271121</v>
      </c>
      <c r="K3228">
        <v>-84.316533300000003</v>
      </c>
      <c r="L3228" t="s">
        <v>1225</v>
      </c>
      <c r="M3228" t="s">
        <v>46</v>
      </c>
      <c r="N3228" t="s">
        <v>47</v>
      </c>
      <c r="O3228" t="s">
        <v>48</v>
      </c>
      <c r="P3228">
        <v>5</v>
      </c>
      <c r="Q3228" t="s">
        <v>117</v>
      </c>
      <c r="S3228" t="str">
        <f>_xlfn.XLOOKUP(UNIVERSO[[#This Row],[Ruta]],'[1]CUOTA RUTA'!A:A,'[1]CUOTA RUTA'!D:D)</f>
        <v>Cargar</v>
      </c>
    </row>
    <row r="3229" spans="1:19" x14ac:dyDescent="0.25">
      <c r="A3229">
        <v>1540028387</v>
      </c>
      <c r="B3229" t="s">
        <v>6391</v>
      </c>
      <c r="C3229" t="s">
        <v>19</v>
      </c>
      <c r="D3229" t="s">
        <v>244</v>
      </c>
      <c r="E3229" t="s">
        <v>21</v>
      </c>
      <c r="F3229" t="s">
        <v>22</v>
      </c>
      <c r="G3229" t="s">
        <v>64</v>
      </c>
      <c r="H3229" t="s">
        <v>857</v>
      </c>
      <c r="I3229" t="s">
        <v>6392</v>
      </c>
      <c r="J3229">
        <v>9.2683382000000005</v>
      </c>
      <c r="K3229">
        <v>-83.635705400000006</v>
      </c>
      <c r="L3229" t="s">
        <v>1225</v>
      </c>
      <c r="M3229" t="s">
        <v>46</v>
      </c>
      <c r="N3229" t="s">
        <v>247</v>
      </c>
      <c r="O3229" t="s">
        <v>248</v>
      </c>
      <c r="P3229">
        <v>18</v>
      </c>
      <c r="Q3229" t="s">
        <v>84</v>
      </c>
      <c r="S3229" t="str">
        <f>_xlfn.XLOOKUP(UNIVERSO[[#This Row],[Ruta]],'[1]CUOTA RUTA'!A:A,'[1]CUOTA RUTA'!D:D)</f>
        <v>Cargar</v>
      </c>
    </row>
    <row r="3230" spans="1:19" x14ac:dyDescent="0.25">
      <c r="A3230">
        <v>1540028410</v>
      </c>
      <c r="B3230" t="s">
        <v>6393</v>
      </c>
      <c r="C3230" t="s">
        <v>19</v>
      </c>
      <c r="D3230" t="s">
        <v>20</v>
      </c>
      <c r="E3230" t="s">
        <v>21</v>
      </c>
      <c r="F3230" t="s">
        <v>22</v>
      </c>
      <c r="G3230" t="s">
        <v>23</v>
      </c>
      <c r="H3230" t="s">
        <v>193</v>
      </c>
      <c r="I3230" t="s">
        <v>6394</v>
      </c>
      <c r="J3230">
        <v>9.9817699999999991</v>
      </c>
      <c r="K3230">
        <v>-84.381200000000007</v>
      </c>
      <c r="L3230" t="s">
        <v>1225</v>
      </c>
      <c r="M3230" t="s">
        <v>54</v>
      </c>
      <c r="N3230" t="s">
        <v>55</v>
      </c>
      <c r="O3230" t="s">
        <v>56</v>
      </c>
      <c r="P3230">
        <v>21</v>
      </c>
      <c r="Q3230" t="s">
        <v>239</v>
      </c>
      <c r="S3230" t="str">
        <f>_xlfn.XLOOKUP(UNIVERSO[[#This Row],[Ruta]],'[1]CUOTA RUTA'!A:A,'[1]CUOTA RUTA'!D:D)</f>
        <v>Cargar</v>
      </c>
    </row>
    <row r="3231" spans="1:19" x14ac:dyDescent="0.25">
      <c r="A3231">
        <v>1540028433</v>
      </c>
      <c r="B3231" t="s">
        <v>6395</v>
      </c>
      <c r="C3231" t="s">
        <v>19</v>
      </c>
      <c r="D3231" t="s">
        <v>20</v>
      </c>
      <c r="E3231" t="s">
        <v>21</v>
      </c>
      <c r="F3231" t="s">
        <v>22</v>
      </c>
      <c r="G3231" t="s">
        <v>23</v>
      </c>
      <c r="H3231" t="s">
        <v>308</v>
      </c>
      <c r="I3231" t="s">
        <v>6396</v>
      </c>
      <c r="J3231">
        <v>9.8567800000000005</v>
      </c>
      <c r="K3231">
        <v>-84.299639999999997</v>
      </c>
      <c r="L3231" t="s">
        <v>1225</v>
      </c>
      <c r="M3231" t="s">
        <v>54</v>
      </c>
      <c r="N3231" t="s">
        <v>55</v>
      </c>
      <c r="O3231" t="s">
        <v>56</v>
      </c>
      <c r="P3231">
        <v>22</v>
      </c>
      <c r="Q3231" t="s">
        <v>30</v>
      </c>
      <c r="S3231" t="str">
        <f>_xlfn.XLOOKUP(UNIVERSO[[#This Row],[Ruta]],'[1]CUOTA RUTA'!A:A,'[1]CUOTA RUTA'!D:D)</f>
        <v>Cargar</v>
      </c>
    </row>
    <row r="3232" spans="1:19" x14ac:dyDescent="0.25">
      <c r="A3232">
        <v>1540028435</v>
      </c>
      <c r="B3232" t="s">
        <v>6397</v>
      </c>
      <c r="C3232" t="s">
        <v>19</v>
      </c>
      <c r="D3232" t="s">
        <v>20</v>
      </c>
      <c r="E3232" t="s">
        <v>21</v>
      </c>
      <c r="F3232" t="s">
        <v>22</v>
      </c>
      <c r="G3232" t="s">
        <v>64</v>
      </c>
      <c r="H3232" t="s">
        <v>910</v>
      </c>
      <c r="I3232" t="s">
        <v>6398</v>
      </c>
      <c r="J3232">
        <v>10.006026200000001</v>
      </c>
      <c r="K3232">
        <v>-84.124968100000004</v>
      </c>
      <c r="L3232" t="s">
        <v>1225</v>
      </c>
      <c r="M3232" t="s">
        <v>27</v>
      </c>
      <c r="N3232" t="s">
        <v>28</v>
      </c>
      <c r="O3232" t="s">
        <v>29</v>
      </c>
      <c r="P3232">
        <v>16</v>
      </c>
      <c r="Q3232" t="s">
        <v>60</v>
      </c>
      <c r="S3232" t="str">
        <f>_xlfn.XLOOKUP(UNIVERSO[[#This Row],[Ruta]],'[1]CUOTA RUTA'!A:A,'[1]CUOTA RUTA'!D:D)</f>
        <v>Cargar</v>
      </c>
    </row>
    <row r="3233" spans="1:19" x14ac:dyDescent="0.25">
      <c r="A3233">
        <v>1540028525</v>
      </c>
      <c r="B3233" t="s">
        <v>6399</v>
      </c>
      <c r="C3233" t="s">
        <v>19</v>
      </c>
      <c r="D3233" t="s">
        <v>20</v>
      </c>
      <c r="E3233" t="s">
        <v>21</v>
      </c>
      <c r="F3233" t="s">
        <v>51</v>
      </c>
      <c r="G3233" t="s">
        <v>23</v>
      </c>
      <c r="H3233" t="s">
        <v>277</v>
      </c>
      <c r="I3233" t="s">
        <v>6400</v>
      </c>
      <c r="J3233">
        <v>9.939508</v>
      </c>
      <c r="K3233">
        <v>-84.204492000000002</v>
      </c>
      <c r="L3233" t="s">
        <v>1225</v>
      </c>
      <c r="M3233" t="s">
        <v>54</v>
      </c>
      <c r="N3233" t="s">
        <v>55</v>
      </c>
      <c r="O3233" t="s">
        <v>56</v>
      </c>
      <c r="P3233">
        <v>19</v>
      </c>
      <c r="Q3233" t="s">
        <v>67</v>
      </c>
      <c r="S3233" t="str">
        <f>_xlfn.XLOOKUP(UNIVERSO[[#This Row],[Ruta]],'[1]CUOTA RUTA'!A:A,'[1]CUOTA RUTA'!D:D)</f>
        <v>Cargar</v>
      </c>
    </row>
    <row r="3234" spans="1:19" x14ac:dyDescent="0.25">
      <c r="A3234">
        <v>1540028533</v>
      </c>
      <c r="B3234" t="s">
        <v>6401</v>
      </c>
      <c r="C3234" t="s">
        <v>19</v>
      </c>
      <c r="D3234" t="s">
        <v>20</v>
      </c>
      <c r="E3234" t="s">
        <v>21</v>
      </c>
      <c r="F3234" t="s">
        <v>22</v>
      </c>
      <c r="G3234" t="s">
        <v>64</v>
      </c>
      <c r="H3234" t="s">
        <v>311</v>
      </c>
      <c r="I3234" t="s">
        <v>6402</v>
      </c>
      <c r="J3234">
        <v>9.9682881000000005</v>
      </c>
      <c r="K3234">
        <v>-84.233074900000005</v>
      </c>
      <c r="L3234" t="s">
        <v>1225</v>
      </c>
      <c r="M3234" t="s">
        <v>54</v>
      </c>
      <c r="N3234" t="s">
        <v>55</v>
      </c>
      <c r="O3234" t="s">
        <v>56</v>
      </c>
      <c r="P3234">
        <v>9</v>
      </c>
      <c r="Q3234" t="s">
        <v>80</v>
      </c>
      <c r="S3234" t="str">
        <f>_xlfn.XLOOKUP(UNIVERSO[[#This Row],[Ruta]],'[1]CUOTA RUTA'!A:A,'[1]CUOTA RUTA'!D:D)</f>
        <v>Cargar</v>
      </c>
    </row>
    <row r="3235" spans="1:19" x14ac:dyDescent="0.25">
      <c r="A3235">
        <v>1540028565</v>
      </c>
      <c r="B3235" t="s">
        <v>6403</v>
      </c>
      <c r="C3235" t="s">
        <v>19</v>
      </c>
      <c r="D3235" t="s">
        <v>20</v>
      </c>
      <c r="E3235" t="s">
        <v>21</v>
      </c>
      <c r="F3235" t="s">
        <v>22</v>
      </c>
      <c r="G3235" t="s">
        <v>64</v>
      </c>
      <c r="H3235" t="s">
        <v>913</v>
      </c>
      <c r="I3235" t="s">
        <v>6404</v>
      </c>
      <c r="J3235">
        <v>9.9647799999999993</v>
      </c>
      <c r="K3235">
        <v>-84.153999999999996</v>
      </c>
      <c r="L3235" t="s">
        <v>1225</v>
      </c>
      <c r="M3235" t="s">
        <v>27</v>
      </c>
      <c r="N3235" t="s">
        <v>28</v>
      </c>
      <c r="O3235" t="s">
        <v>29</v>
      </c>
      <c r="P3235">
        <v>2</v>
      </c>
      <c r="Q3235" t="s">
        <v>150</v>
      </c>
      <c r="S3235" t="str">
        <f>_xlfn.XLOOKUP(UNIVERSO[[#This Row],[Ruta]],'[1]CUOTA RUTA'!A:A,'[1]CUOTA RUTA'!D:D)</f>
        <v>Cargar</v>
      </c>
    </row>
    <row r="3236" spans="1:19" x14ac:dyDescent="0.25">
      <c r="A3236">
        <v>1540028579</v>
      </c>
      <c r="B3236" t="s">
        <v>6405</v>
      </c>
      <c r="C3236" t="s">
        <v>19</v>
      </c>
      <c r="D3236" t="s">
        <v>32</v>
      </c>
      <c r="E3236" t="s">
        <v>21</v>
      </c>
      <c r="F3236" t="s">
        <v>22</v>
      </c>
      <c r="G3236" t="s">
        <v>33</v>
      </c>
      <c r="H3236" t="s">
        <v>1191</v>
      </c>
      <c r="I3236" t="s">
        <v>6406</v>
      </c>
      <c r="J3236">
        <v>9.8925630000000009</v>
      </c>
      <c r="K3236">
        <v>-83.995619000000005</v>
      </c>
      <c r="L3236" t="s">
        <v>1225</v>
      </c>
      <c r="M3236" t="s">
        <v>36</v>
      </c>
      <c r="N3236" t="s">
        <v>37</v>
      </c>
      <c r="O3236" t="s">
        <v>38</v>
      </c>
      <c r="P3236">
        <v>23</v>
      </c>
      <c r="Q3236" t="s">
        <v>125</v>
      </c>
      <c r="S3236" t="str">
        <f>_xlfn.XLOOKUP(UNIVERSO[[#This Row],[Ruta]],'[1]CUOTA RUTA'!A:A,'[1]CUOTA RUTA'!D:D)</f>
        <v>Cargar</v>
      </c>
    </row>
    <row r="3237" spans="1:19" x14ac:dyDescent="0.25">
      <c r="A3237">
        <v>1540028663</v>
      </c>
      <c r="B3237" t="s">
        <v>6407</v>
      </c>
      <c r="C3237" t="s">
        <v>19</v>
      </c>
      <c r="D3237" t="s">
        <v>208</v>
      </c>
      <c r="E3237" t="s">
        <v>21</v>
      </c>
      <c r="F3237" t="s">
        <v>22</v>
      </c>
      <c r="G3237" t="s">
        <v>33</v>
      </c>
      <c r="H3237" t="s">
        <v>221</v>
      </c>
      <c r="I3237" t="s">
        <v>6408</v>
      </c>
      <c r="J3237">
        <v>10.333227000000001</v>
      </c>
      <c r="K3237">
        <v>-83.747041999999993</v>
      </c>
      <c r="L3237" t="s">
        <v>1225</v>
      </c>
      <c r="M3237" t="s">
        <v>189</v>
      </c>
      <c r="N3237" t="s">
        <v>211</v>
      </c>
      <c r="O3237" t="s">
        <v>212</v>
      </c>
      <c r="P3237">
        <v>1</v>
      </c>
      <c r="Q3237" t="s">
        <v>155</v>
      </c>
      <c r="S3237" t="str">
        <f>_xlfn.XLOOKUP(UNIVERSO[[#This Row],[Ruta]],'[1]CUOTA RUTA'!A:A,'[1]CUOTA RUTA'!D:D)</f>
        <v>Cargar</v>
      </c>
    </row>
    <row r="3238" spans="1:19" x14ac:dyDescent="0.25">
      <c r="A3238">
        <v>1540028677</v>
      </c>
      <c r="B3238" t="s">
        <v>6409</v>
      </c>
      <c r="C3238" t="s">
        <v>19</v>
      </c>
      <c r="D3238" t="s">
        <v>32</v>
      </c>
      <c r="E3238" t="s">
        <v>21</v>
      </c>
      <c r="F3238" t="s">
        <v>22</v>
      </c>
      <c r="G3238" t="s">
        <v>64</v>
      </c>
      <c r="H3238" t="s">
        <v>89</v>
      </c>
      <c r="I3238" t="s">
        <v>6410</v>
      </c>
      <c r="J3238">
        <v>9.8931520000000006</v>
      </c>
      <c r="K3238">
        <v>-84.085322000000005</v>
      </c>
      <c r="L3238" t="s">
        <v>1225</v>
      </c>
      <c r="M3238" t="s">
        <v>71</v>
      </c>
      <c r="N3238" t="s">
        <v>72</v>
      </c>
      <c r="O3238" t="s">
        <v>73</v>
      </c>
      <c r="P3238">
        <v>8</v>
      </c>
      <c r="Q3238" t="s">
        <v>97</v>
      </c>
      <c r="S3238" t="str">
        <f>_xlfn.XLOOKUP(UNIVERSO[[#This Row],[Ruta]],'[1]CUOTA RUTA'!A:A,'[1]CUOTA RUTA'!D:D)</f>
        <v>Cargar</v>
      </c>
    </row>
    <row r="3239" spans="1:19" x14ac:dyDescent="0.25">
      <c r="A3239">
        <v>1540028699</v>
      </c>
      <c r="B3239" t="s">
        <v>6411</v>
      </c>
      <c r="C3239" t="s">
        <v>19</v>
      </c>
      <c r="D3239" t="s">
        <v>20</v>
      </c>
      <c r="E3239" t="s">
        <v>21</v>
      </c>
      <c r="F3239" t="s">
        <v>22</v>
      </c>
      <c r="G3239" t="s">
        <v>64</v>
      </c>
      <c r="H3239" t="s">
        <v>263</v>
      </c>
      <c r="I3239" t="s">
        <v>6412</v>
      </c>
      <c r="J3239">
        <v>10.077037199999999</v>
      </c>
      <c r="K3239">
        <v>-84.345160899999996</v>
      </c>
      <c r="L3239" t="s">
        <v>1225</v>
      </c>
      <c r="M3239" t="s">
        <v>46</v>
      </c>
      <c r="N3239" t="s">
        <v>47</v>
      </c>
      <c r="O3239" t="s">
        <v>48</v>
      </c>
      <c r="P3239">
        <v>5</v>
      </c>
      <c r="Q3239" t="s">
        <v>117</v>
      </c>
      <c r="S3239" t="str">
        <f>_xlfn.XLOOKUP(UNIVERSO[[#This Row],[Ruta]],'[1]CUOTA RUTA'!A:A,'[1]CUOTA RUTA'!D:D)</f>
        <v>Cargar</v>
      </c>
    </row>
    <row r="3240" spans="1:19" x14ac:dyDescent="0.25">
      <c r="A3240">
        <v>1540028715</v>
      </c>
      <c r="B3240" t="s">
        <v>2835</v>
      </c>
      <c r="C3240" t="s">
        <v>19</v>
      </c>
      <c r="D3240" t="s">
        <v>337</v>
      </c>
      <c r="E3240" t="s">
        <v>21</v>
      </c>
      <c r="F3240" t="s">
        <v>22</v>
      </c>
      <c r="G3240" t="s">
        <v>23</v>
      </c>
      <c r="H3240" t="s">
        <v>343</v>
      </c>
      <c r="I3240" t="s">
        <v>6413</v>
      </c>
      <c r="J3240">
        <v>10.390264</v>
      </c>
      <c r="K3240">
        <v>-85.618622000000002</v>
      </c>
      <c r="L3240" t="s">
        <v>1225</v>
      </c>
      <c r="M3240" t="s">
        <v>327</v>
      </c>
      <c r="N3240" t="s">
        <v>340</v>
      </c>
      <c r="O3240" t="s">
        <v>341</v>
      </c>
      <c r="P3240">
        <v>16</v>
      </c>
      <c r="Q3240" t="s">
        <v>60</v>
      </c>
      <c r="S3240" t="str">
        <f>_xlfn.XLOOKUP(UNIVERSO[[#This Row],[Ruta]],'[1]CUOTA RUTA'!A:A,'[1]CUOTA RUTA'!D:D)</f>
        <v>Cargar</v>
      </c>
    </row>
    <row r="3241" spans="1:19" x14ac:dyDescent="0.25">
      <c r="A3241">
        <v>1540028745</v>
      </c>
      <c r="B3241" t="s">
        <v>6414</v>
      </c>
      <c r="C3241" t="s">
        <v>19</v>
      </c>
      <c r="D3241" t="s">
        <v>266</v>
      </c>
      <c r="E3241" t="s">
        <v>21</v>
      </c>
      <c r="F3241" t="s">
        <v>22</v>
      </c>
      <c r="G3241" t="s">
        <v>33</v>
      </c>
      <c r="H3241" t="s">
        <v>372</v>
      </c>
      <c r="I3241" t="s">
        <v>6415</v>
      </c>
      <c r="J3241">
        <v>9.9167148300000001</v>
      </c>
      <c r="K3241">
        <v>-83.691597590000001</v>
      </c>
      <c r="L3241" t="s">
        <v>1225</v>
      </c>
      <c r="M3241" t="s">
        <v>189</v>
      </c>
      <c r="N3241" t="s">
        <v>269</v>
      </c>
      <c r="O3241" t="s">
        <v>270</v>
      </c>
      <c r="P3241">
        <v>21</v>
      </c>
      <c r="Q3241" t="s">
        <v>239</v>
      </c>
      <c r="S3241" t="str">
        <f>_xlfn.XLOOKUP(UNIVERSO[[#This Row],[Ruta]],'[1]CUOTA RUTA'!A:A,'[1]CUOTA RUTA'!D:D)</f>
        <v>Cargar</v>
      </c>
    </row>
    <row r="3242" spans="1:19" x14ac:dyDescent="0.25">
      <c r="A3242">
        <v>1540028758</v>
      </c>
      <c r="B3242" t="s">
        <v>3236</v>
      </c>
      <c r="C3242" t="s">
        <v>19</v>
      </c>
      <c r="D3242" t="s">
        <v>324</v>
      </c>
      <c r="E3242" t="s">
        <v>21</v>
      </c>
      <c r="F3242" t="s">
        <v>22</v>
      </c>
      <c r="G3242" t="s">
        <v>33</v>
      </c>
      <c r="H3242" t="s">
        <v>511</v>
      </c>
      <c r="I3242" t="s">
        <v>6416</v>
      </c>
      <c r="J3242">
        <v>10.477697341619001</v>
      </c>
      <c r="K3242">
        <v>-84.591504075710006</v>
      </c>
      <c r="L3242" t="s">
        <v>1225</v>
      </c>
      <c r="M3242" t="s">
        <v>327</v>
      </c>
      <c r="N3242" t="s">
        <v>328</v>
      </c>
      <c r="O3242" t="s">
        <v>329</v>
      </c>
      <c r="P3242">
        <v>13</v>
      </c>
      <c r="Q3242" t="s">
        <v>161</v>
      </c>
      <c r="S3242" t="str">
        <f>_xlfn.XLOOKUP(UNIVERSO[[#This Row],[Ruta]],'[1]CUOTA RUTA'!A:A,'[1]CUOTA RUTA'!D:D)</f>
        <v>Cargar</v>
      </c>
    </row>
    <row r="3243" spans="1:19" x14ac:dyDescent="0.25">
      <c r="A3243">
        <v>1540028817</v>
      </c>
      <c r="B3243" t="s">
        <v>6417</v>
      </c>
      <c r="C3243" t="s">
        <v>19</v>
      </c>
      <c r="D3243" t="s">
        <v>20</v>
      </c>
      <c r="E3243" t="s">
        <v>21</v>
      </c>
      <c r="F3243" t="s">
        <v>22</v>
      </c>
      <c r="G3243" t="s">
        <v>33</v>
      </c>
      <c r="H3243" t="s">
        <v>743</v>
      </c>
      <c r="I3243" t="s">
        <v>6418</v>
      </c>
      <c r="J3243">
        <v>10.0061</v>
      </c>
      <c r="K3243">
        <v>-84.395099999999999</v>
      </c>
      <c r="L3243" t="s">
        <v>1225</v>
      </c>
      <c r="M3243" t="s">
        <v>46</v>
      </c>
      <c r="N3243" t="s">
        <v>47</v>
      </c>
      <c r="O3243" t="s">
        <v>48</v>
      </c>
      <c r="P3243">
        <v>8</v>
      </c>
      <c r="Q3243" t="s">
        <v>97</v>
      </c>
      <c r="S3243" t="str">
        <f>_xlfn.XLOOKUP(UNIVERSO[[#This Row],[Ruta]],'[1]CUOTA RUTA'!A:A,'[1]CUOTA RUTA'!D:D)</f>
        <v>Cargar</v>
      </c>
    </row>
    <row r="3244" spans="1:19" x14ac:dyDescent="0.25">
      <c r="A3244">
        <v>1540028860</v>
      </c>
      <c r="B3244" t="s">
        <v>6419</v>
      </c>
      <c r="C3244" t="s">
        <v>19</v>
      </c>
      <c r="D3244" t="s">
        <v>349</v>
      </c>
      <c r="E3244" t="s">
        <v>21</v>
      </c>
      <c r="F3244" t="s">
        <v>22</v>
      </c>
      <c r="G3244" t="s">
        <v>33</v>
      </c>
      <c r="H3244" t="s">
        <v>496</v>
      </c>
      <c r="I3244" t="s">
        <v>6420</v>
      </c>
      <c r="J3244">
        <v>10.143077</v>
      </c>
      <c r="K3244">
        <v>-85.456411000000003</v>
      </c>
      <c r="L3244" t="s">
        <v>1225</v>
      </c>
      <c r="M3244" t="s">
        <v>352</v>
      </c>
      <c r="N3244" t="s">
        <v>353</v>
      </c>
      <c r="O3244" t="s">
        <v>354</v>
      </c>
      <c r="P3244">
        <v>13</v>
      </c>
      <c r="Q3244" t="s">
        <v>161</v>
      </c>
      <c r="S3244" t="str">
        <f>_xlfn.XLOOKUP(UNIVERSO[[#This Row],[Ruta]],'[1]CUOTA RUTA'!A:A,'[1]CUOTA RUTA'!D:D)</f>
        <v>Cargar</v>
      </c>
    </row>
    <row r="3245" spans="1:19" x14ac:dyDescent="0.25">
      <c r="A3245">
        <v>1540028930</v>
      </c>
      <c r="B3245" t="s">
        <v>6421</v>
      </c>
      <c r="C3245" t="s">
        <v>19</v>
      </c>
      <c r="D3245" t="s">
        <v>244</v>
      </c>
      <c r="E3245" t="s">
        <v>21</v>
      </c>
      <c r="F3245" t="s">
        <v>22</v>
      </c>
      <c r="G3245" t="s">
        <v>64</v>
      </c>
      <c r="H3245" t="s">
        <v>1233</v>
      </c>
      <c r="I3245" t="s">
        <v>6422</v>
      </c>
      <c r="J3245">
        <v>9.3506719999999994</v>
      </c>
      <c r="K3245">
        <v>-83.704137000000003</v>
      </c>
      <c r="L3245" t="s">
        <v>1225</v>
      </c>
      <c r="M3245" t="s">
        <v>46</v>
      </c>
      <c r="N3245" t="s">
        <v>247</v>
      </c>
      <c r="O3245" t="s">
        <v>248</v>
      </c>
      <c r="P3245">
        <v>15</v>
      </c>
      <c r="Q3245" t="s">
        <v>231</v>
      </c>
      <c r="S3245" t="str">
        <f>_xlfn.XLOOKUP(UNIVERSO[[#This Row],[Ruta]],'[1]CUOTA RUTA'!A:A,'[1]CUOTA RUTA'!D:D)</f>
        <v>Cargar</v>
      </c>
    </row>
    <row r="3246" spans="1:19" x14ac:dyDescent="0.25">
      <c r="A3246">
        <v>1540028942</v>
      </c>
      <c r="B3246" t="s">
        <v>6423</v>
      </c>
      <c r="C3246" t="s">
        <v>19</v>
      </c>
      <c r="D3246" t="s">
        <v>569</v>
      </c>
      <c r="E3246" t="s">
        <v>21</v>
      </c>
      <c r="F3246" t="s">
        <v>22</v>
      </c>
      <c r="G3246" t="s">
        <v>33</v>
      </c>
      <c r="H3246" t="s">
        <v>2023</v>
      </c>
      <c r="I3246" t="s">
        <v>6424</v>
      </c>
      <c r="J3246">
        <v>8.9758030000000009</v>
      </c>
      <c r="K3246">
        <v>-83.523403999999999</v>
      </c>
      <c r="L3246" t="s">
        <v>1225</v>
      </c>
      <c r="M3246" t="s">
        <v>572</v>
      </c>
      <c r="N3246" t="s">
        <v>573</v>
      </c>
      <c r="O3246" t="s">
        <v>574</v>
      </c>
      <c r="P3246">
        <v>22</v>
      </c>
      <c r="Q3246" t="s">
        <v>30</v>
      </c>
      <c r="S3246" t="str">
        <f>_xlfn.XLOOKUP(UNIVERSO[[#This Row],[Ruta]],'[1]CUOTA RUTA'!A:A,'[1]CUOTA RUTA'!D:D)</f>
        <v>Cargar</v>
      </c>
    </row>
    <row r="3247" spans="1:19" x14ac:dyDescent="0.25">
      <c r="A3247">
        <v>1540028960</v>
      </c>
      <c r="B3247" t="s">
        <v>6425</v>
      </c>
      <c r="C3247" t="s">
        <v>19</v>
      </c>
      <c r="D3247" t="s">
        <v>20</v>
      </c>
      <c r="E3247" t="s">
        <v>21</v>
      </c>
      <c r="F3247" t="s">
        <v>22</v>
      </c>
      <c r="G3247" t="s">
        <v>23</v>
      </c>
      <c r="H3247" t="s">
        <v>743</v>
      </c>
      <c r="I3247" t="s">
        <v>6426</v>
      </c>
      <c r="J3247">
        <v>9.9424939999999999</v>
      </c>
      <c r="K3247">
        <v>-84.379981999999998</v>
      </c>
      <c r="L3247" t="s">
        <v>1225</v>
      </c>
      <c r="M3247" t="s">
        <v>46</v>
      </c>
      <c r="N3247" t="s">
        <v>47</v>
      </c>
      <c r="O3247" t="s">
        <v>48</v>
      </c>
      <c r="P3247">
        <v>12</v>
      </c>
      <c r="Q3247" t="s">
        <v>42</v>
      </c>
      <c r="S3247" t="str">
        <f>_xlfn.XLOOKUP(UNIVERSO[[#This Row],[Ruta]],'[1]CUOTA RUTA'!A:A,'[1]CUOTA RUTA'!D:D)</f>
        <v>Cargar</v>
      </c>
    </row>
    <row r="3248" spans="1:19" x14ac:dyDescent="0.25">
      <c r="A3248">
        <v>1540028994</v>
      </c>
      <c r="B3248" t="s">
        <v>6427</v>
      </c>
      <c r="C3248" t="s">
        <v>19</v>
      </c>
      <c r="D3248" t="s">
        <v>337</v>
      </c>
      <c r="E3248" t="s">
        <v>21</v>
      </c>
      <c r="F3248" t="s">
        <v>22</v>
      </c>
      <c r="G3248" t="s">
        <v>33</v>
      </c>
      <c r="H3248" t="s">
        <v>343</v>
      </c>
      <c r="I3248" t="s">
        <v>6428</v>
      </c>
      <c r="J3248">
        <v>10.734458999999999</v>
      </c>
      <c r="K3248">
        <v>-85.478226000000006</v>
      </c>
      <c r="L3248" t="s">
        <v>1225</v>
      </c>
      <c r="M3248" t="s">
        <v>327</v>
      </c>
      <c r="N3248" t="s">
        <v>340</v>
      </c>
      <c r="O3248" t="s">
        <v>341</v>
      </c>
      <c r="P3248">
        <v>15</v>
      </c>
      <c r="Q3248" t="s">
        <v>231</v>
      </c>
      <c r="S3248" t="str">
        <f>_xlfn.XLOOKUP(UNIVERSO[[#This Row],[Ruta]],'[1]CUOTA RUTA'!A:A,'[1]CUOTA RUTA'!D:D)</f>
        <v>Cargar</v>
      </c>
    </row>
    <row r="3249" spans="1:19" x14ac:dyDescent="0.25">
      <c r="A3249">
        <v>1540029022</v>
      </c>
      <c r="B3249" t="s">
        <v>6429</v>
      </c>
      <c r="C3249" t="s">
        <v>19</v>
      </c>
      <c r="D3249" t="s">
        <v>324</v>
      </c>
      <c r="E3249" t="s">
        <v>21</v>
      </c>
      <c r="F3249" t="s">
        <v>22</v>
      </c>
      <c r="G3249" t="s">
        <v>33</v>
      </c>
      <c r="H3249" t="s">
        <v>393</v>
      </c>
      <c r="I3249" t="s">
        <v>6430</v>
      </c>
      <c r="J3249">
        <v>10.366802699999999</v>
      </c>
      <c r="K3249">
        <v>-84.341094400000003</v>
      </c>
      <c r="L3249" t="s">
        <v>1225</v>
      </c>
      <c r="M3249" t="s">
        <v>327</v>
      </c>
      <c r="N3249" t="s">
        <v>328</v>
      </c>
      <c r="O3249" t="s">
        <v>329</v>
      </c>
      <c r="P3249">
        <v>16</v>
      </c>
      <c r="Q3249" t="s">
        <v>60</v>
      </c>
      <c r="S3249" t="str">
        <f>_xlfn.XLOOKUP(UNIVERSO[[#This Row],[Ruta]],'[1]CUOTA RUTA'!A:A,'[1]CUOTA RUTA'!D:D)</f>
        <v>Cargar</v>
      </c>
    </row>
    <row r="3250" spans="1:19" x14ac:dyDescent="0.25">
      <c r="A3250">
        <v>1540029074</v>
      </c>
      <c r="B3250" t="s">
        <v>6431</v>
      </c>
      <c r="C3250" t="s">
        <v>19</v>
      </c>
      <c r="D3250" t="s">
        <v>324</v>
      </c>
      <c r="E3250" t="s">
        <v>21</v>
      </c>
      <c r="F3250" t="s">
        <v>22</v>
      </c>
      <c r="G3250" t="s">
        <v>33</v>
      </c>
      <c r="H3250" t="s">
        <v>331</v>
      </c>
      <c r="I3250" t="s">
        <v>6432</v>
      </c>
      <c r="J3250">
        <v>10.35372604058</v>
      </c>
      <c r="K3250">
        <v>-84.273253273530003</v>
      </c>
      <c r="L3250" t="s">
        <v>1225</v>
      </c>
      <c r="M3250" t="s">
        <v>327</v>
      </c>
      <c r="N3250" t="s">
        <v>328</v>
      </c>
      <c r="O3250" t="s">
        <v>329</v>
      </c>
      <c r="P3250">
        <v>16</v>
      </c>
      <c r="Q3250" t="s">
        <v>60</v>
      </c>
      <c r="S3250" t="str">
        <f>_xlfn.XLOOKUP(UNIVERSO[[#This Row],[Ruta]],'[1]CUOTA RUTA'!A:A,'[1]CUOTA RUTA'!D:D)</f>
        <v>Cargar</v>
      </c>
    </row>
    <row r="3251" spans="1:19" x14ac:dyDescent="0.25">
      <c r="A3251">
        <v>1540029181</v>
      </c>
      <c r="B3251" t="s">
        <v>6433</v>
      </c>
      <c r="C3251" t="s">
        <v>19</v>
      </c>
      <c r="D3251" t="s">
        <v>266</v>
      </c>
      <c r="E3251" t="s">
        <v>21</v>
      </c>
      <c r="F3251" t="s">
        <v>22</v>
      </c>
      <c r="G3251" t="s">
        <v>64</v>
      </c>
      <c r="H3251" t="s">
        <v>703</v>
      </c>
      <c r="I3251" t="s">
        <v>6434</v>
      </c>
      <c r="J3251">
        <v>9.8461630000000007</v>
      </c>
      <c r="K3251">
        <v>-83.982157000000001</v>
      </c>
      <c r="L3251" t="s">
        <v>1225</v>
      </c>
      <c r="M3251" t="s">
        <v>36</v>
      </c>
      <c r="N3251" t="s">
        <v>316</v>
      </c>
      <c r="O3251" t="s">
        <v>317</v>
      </c>
      <c r="P3251">
        <v>20</v>
      </c>
      <c r="Q3251" t="s">
        <v>74</v>
      </c>
      <c r="S3251" t="str">
        <f>_xlfn.XLOOKUP(UNIVERSO[[#This Row],[Ruta]],'[1]CUOTA RUTA'!A:A,'[1]CUOTA RUTA'!D:D)</f>
        <v>Cargar</v>
      </c>
    </row>
    <row r="3252" spans="1:19" x14ac:dyDescent="0.25">
      <c r="A3252">
        <v>1540029247</v>
      </c>
      <c r="B3252" t="s">
        <v>6435</v>
      </c>
      <c r="C3252" t="s">
        <v>19</v>
      </c>
      <c r="D3252" t="s">
        <v>32</v>
      </c>
      <c r="E3252" t="s">
        <v>21</v>
      </c>
      <c r="F3252" t="s">
        <v>22</v>
      </c>
      <c r="G3252" t="s">
        <v>64</v>
      </c>
      <c r="H3252" t="s">
        <v>69</v>
      </c>
      <c r="I3252" t="s">
        <v>6436</v>
      </c>
      <c r="J3252">
        <v>9.8647600000000004</v>
      </c>
      <c r="K3252">
        <v>-84.066438333329998</v>
      </c>
      <c r="L3252" t="s">
        <v>1225</v>
      </c>
      <c r="M3252" t="s">
        <v>71</v>
      </c>
      <c r="N3252" t="s">
        <v>72</v>
      </c>
      <c r="O3252" t="s">
        <v>73</v>
      </c>
      <c r="P3252">
        <v>19</v>
      </c>
      <c r="Q3252" t="s">
        <v>67</v>
      </c>
      <c r="S3252" t="str">
        <f>_xlfn.XLOOKUP(UNIVERSO[[#This Row],[Ruta]],'[1]CUOTA RUTA'!A:A,'[1]CUOTA RUTA'!D:D)</f>
        <v>Cargar</v>
      </c>
    </row>
    <row r="3253" spans="1:19" x14ac:dyDescent="0.25">
      <c r="A3253">
        <v>1540029251</v>
      </c>
      <c r="B3253" t="s">
        <v>6437</v>
      </c>
      <c r="C3253" t="s">
        <v>19</v>
      </c>
      <c r="D3253" t="s">
        <v>324</v>
      </c>
      <c r="E3253" t="s">
        <v>21</v>
      </c>
      <c r="F3253" t="s">
        <v>22</v>
      </c>
      <c r="G3253" t="s">
        <v>33</v>
      </c>
      <c r="H3253" t="s">
        <v>393</v>
      </c>
      <c r="I3253" t="s">
        <v>6438</v>
      </c>
      <c r="J3253">
        <v>10.317997</v>
      </c>
      <c r="K3253">
        <v>-84.424261000000001</v>
      </c>
      <c r="L3253" t="s">
        <v>1225</v>
      </c>
      <c r="M3253" t="s">
        <v>327</v>
      </c>
      <c r="N3253" t="s">
        <v>328</v>
      </c>
      <c r="O3253" t="s">
        <v>329</v>
      </c>
      <c r="P3253">
        <v>22</v>
      </c>
      <c r="Q3253" t="s">
        <v>30</v>
      </c>
      <c r="S3253" t="str">
        <f>_xlfn.XLOOKUP(UNIVERSO[[#This Row],[Ruta]],'[1]CUOTA RUTA'!A:A,'[1]CUOTA RUTA'!D:D)</f>
        <v>Cargar</v>
      </c>
    </row>
    <row r="3254" spans="1:19" x14ac:dyDescent="0.25">
      <c r="A3254">
        <v>1540029313</v>
      </c>
      <c r="B3254" t="s">
        <v>4756</v>
      </c>
      <c r="C3254" t="s">
        <v>19</v>
      </c>
      <c r="D3254" t="s">
        <v>20</v>
      </c>
      <c r="E3254" t="s">
        <v>21</v>
      </c>
      <c r="F3254" t="s">
        <v>22</v>
      </c>
      <c r="G3254" t="s">
        <v>23</v>
      </c>
      <c r="H3254" t="s">
        <v>277</v>
      </c>
      <c r="I3254" t="s">
        <v>6439</v>
      </c>
      <c r="J3254">
        <v>9.9311500000000006</v>
      </c>
      <c r="K3254">
        <v>-84.181960000000004</v>
      </c>
      <c r="L3254" t="s">
        <v>1225</v>
      </c>
      <c r="M3254" t="s">
        <v>54</v>
      </c>
      <c r="N3254" t="s">
        <v>55</v>
      </c>
      <c r="O3254" t="s">
        <v>56</v>
      </c>
      <c r="P3254">
        <v>11</v>
      </c>
      <c r="Q3254" t="s">
        <v>108</v>
      </c>
      <c r="S3254" t="str">
        <f>_xlfn.XLOOKUP(UNIVERSO[[#This Row],[Ruta]],'[1]CUOTA RUTA'!A:A,'[1]CUOTA RUTA'!D:D)</f>
        <v>Cargar</v>
      </c>
    </row>
    <row r="3255" spans="1:19" x14ac:dyDescent="0.25">
      <c r="A3255">
        <v>1540029338</v>
      </c>
      <c r="B3255" t="s">
        <v>1753</v>
      </c>
      <c r="C3255" t="s">
        <v>19</v>
      </c>
      <c r="D3255" t="s">
        <v>324</v>
      </c>
      <c r="E3255" t="s">
        <v>21</v>
      </c>
      <c r="F3255" t="s">
        <v>22</v>
      </c>
      <c r="G3255" t="s">
        <v>33</v>
      </c>
      <c r="H3255" t="s">
        <v>331</v>
      </c>
      <c r="I3255" t="s">
        <v>6440</v>
      </c>
      <c r="J3255">
        <v>10.4529</v>
      </c>
      <c r="K3255">
        <v>-84.273799999999994</v>
      </c>
      <c r="L3255" t="s">
        <v>1225</v>
      </c>
      <c r="M3255" t="s">
        <v>327</v>
      </c>
      <c r="N3255" t="s">
        <v>328</v>
      </c>
      <c r="O3255" t="s">
        <v>329</v>
      </c>
      <c r="P3255">
        <v>17</v>
      </c>
      <c r="Q3255" t="s">
        <v>287</v>
      </c>
      <c r="S3255" t="str">
        <f>_xlfn.XLOOKUP(UNIVERSO[[#This Row],[Ruta]],'[1]CUOTA RUTA'!A:A,'[1]CUOTA RUTA'!D:D)</f>
        <v>Cargar</v>
      </c>
    </row>
    <row r="3256" spans="1:19" x14ac:dyDescent="0.25">
      <c r="A3256">
        <v>1540029352</v>
      </c>
      <c r="B3256" t="s">
        <v>6441</v>
      </c>
      <c r="C3256" t="s">
        <v>19</v>
      </c>
      <c r="D3256" t="s">
        <v>20</v>
      </c>
      <c r="E3256" t="s">
        <v>21</v>
      </c>
      <c r="F3256" t="s">
        <v>22</v>
      </c>
      <c r="G3256" t="s">
        <v>64</v>
      </c>
      <c r="H3256" t="s">
        <v>913</v>
      </c>
      <c r="I3256" t="s">
        <v>6442</v>
      </c>
      <c r="J3256">
        <v>9.9644200000000005</v>
      </c>
      <c r="K3256">
        <v>-84.153400000000005</v>
      </c>
      <c r="L3256" t="s">
        <v>1225</v>
      </c>
      <c r="M3256" t="s">
        <v>27</v>
      </c>
      <c r="N3256" t="s">
        <v>28</v>
      </c>
      <c r="O3256" t="s">
        <v>29</v>
      </c>
      <c r="P3256">
        <v>2</v>
      </c>
      <c r="Q3256" t="s">
        <v>150</v>
      </c>
      <c r="S3256" t="str">
        <f>_xlfn.XLOOKUP(UNIVERSO[[#This Row],[Ruta]],'[1]CUOTA RUTA'!A:A,'[1]CUOTA RUTA'!D:D)</f>
        <v>Cargar</v>
      </c>
    </row>
    <row r="3257" spans="1:19" x14ac:dyDescent="0.25">
      <c r="A3257">
        <v>1540029419</v>
      </c>
      <c r="B3257" t="s">
        <v>6443</v>
      </c>
      <c r="C3257" t="s">
        <v>19</v>
      </c>
      <c r="D3257" t="s">
        <v>32</v>
      </c>
      <c r="E3257" t="s">
        <v>21</v>
      </c>
      <c r="F3257" t="s">
        <v>22</v>
      </c>
      <c r="G3257" t="s">
        <v>33</v>
      </c>
      <c r="H3257" t="s">
        <v>1383</v>
      </c>
      <c r="I3257" t="s">
        <v>6444</v>
      </c>
      <c r="J3257">
        <v>9.9180030000000006</v>
      </c>
      <c r="K3257">
        <v>-84.091211999999999</v>
      </c>
      <c r="L3257" t="s">
        <v>1225</v>
      </c>
      <c r="M3257" t="s">
        <v>71</v>
      </c>
      <c r="N3257" t="s">
        <v>72</v>
      </c>
      <c r="O3257" t="s">
        <v>73</v>
      </c>
      <c r="P3257">
        <v>4</v>
      </c>
      <c r="Q3257" t="s">
        <v>120</v>
      </c>
      <c r="S3257" t="str">
        <f>_xlfn.XLOOKUP(UNIVERSO[[#This Row],[Ruta]],'[1]CUOTA RUTA'!A:A,'[1]CUOTA RUTA'!D:D)</f>
        <v>Cargar</v>
      </c>
    </row>
    <row r="3258" spans="1:19" x14ac:dyDescent="0.25">
      <c r="A3258">
        <v>1540029518</v>
      </c>
      <c r="B3258" t="s">
        <v>6445</v>
      </c>
      <c r="C3258" t="s">
        <v>19</v>
      </c>
      <c r="D3258" t="s">
        <v>20</v>
      </c>
      <c r="E3258" t="s">
        <v>21</v>
      </c>
      <c r="F3258" t="s">
        <v>22</v>
      </c>
      <c r="G3258" t="s">
        <v>64</v>
      </c>
      <c r="H3258" t="s">
        <v>260</v>
      </c>
      <c r="I3258" t="s">
        <v>6446</v>
      </c>
      <c r="J3258">
        <v>10.083069999999999</v>
      </c>
      <c r="K3258">
        <v>-84.490970000000004</v>
      </c>
      <c r="L3258" t="s">
        <v>1225</v>
      </c>
      <c r="M3258" t="s">
        <v>46</v>
      </c>
      <c r="N3258" t="s">
        <v>47</v>
      </c>
      <c r="O3258" t="s">
        <v>48</v>
      </c>
      <c r="P3258">
        <v>7</v>
      </c>
      <c r="Q3258" t="s">
        <v>39</v>
      </c>
      <c r="S3258" t="str">
        <f>_xlfn.XLOOKUP(UNIVERSO[[#This Row],[Ruta]],'[1]CUOTA RUTA'!A:A,'[1]CUOTA RUTA'!D:D)</f>
        <v>Cargar</v>
      </c>
    </row>
    <row r="3259" spans="1:19" x14ac:dyDescent="0.25">
      <c r="A3259">
        <v>1540029610</v>
      </c>
      <c r="B3259" t="s">
        <v>6447</v>
      </c>
      <c r="C3259" t="s">
        <v>19</v>
      </c>
      <c r="D3259" t="s">
        <v>186</v>
      </c>
      <c r="E3259" t="s">
        <v>21</v>
      </c>
      <c r="F3259" t="s">
        <v>22</v>
      </c>
      <c r="G3259" t="s">
        <v>64</v>
      </c>
      <c r="H3259" t="s">
        <v>237</v>
      </c>
      <c r="I3259" t="s">
        <v>6448</v>
      </c>
      <c r="J3259">
        <v>10.020367999999999</v>
      </c>
      <c r="K3259">
        <v>-83.305228</v>
      </c>
      <c r="L3259" t="s">
        <v>1225</v>
      </c>
      <c r="M3259" t="s">
        <v>189</v>
      </c>
      <c r="N3259" t="s">
        <v>190</v>
      </c>
      <c r="O3259" t="s">
        <v>191</v>
      </c>
      <c r="P3259">
        <v>22</v>
      </c>
      <c r="Q3259" t="s">
        <v>30</v>
      </c>
      <c r="S3259" t="str">
        <f>_xlfn.XLOOKUP(UNIVERSO[[#This Row],[Ruta]],'[1]CUOTA RUTA'!A:A,'[1]CUOTA RUTA'!D:D)</f>
        <v>Cargar</v>
      </c>
    </row>
    <row r="3260" spans="1:19" x14ac:dyDescent="0.25">
      <c r="A3260">
        <v>1540029614</v>
      </c>
      <c r="B3260" t="s">
        <v>6449</v>
      </c>
      <c r="C3260" t="s">
        <v>19</v>
      </c>
      <c r="D3260" t="s">
        <v>32</v>
      </c>
      <c r="E3260" t="s">
        <v>21</v>
      </c>
      <c r="F3260" t="s">
        <v>22</v>
      </c>
      <c r="G3260" t="s">
        <v>64</v>
      </c>
      <c r="H3260" t="s">
        <v>1191</v>
      </c>
      <c r="I3260" t="s">
        <v>6450</v>
      </c>
      <c r="J3260">
        <v>9.9073539999999998</v>
      </c>
      <c r="K3260">
        <v>-84.038781</v>
      </c>
      <c r="L3260" t="s">
        <v>1225</v>
      </c>
      <c r="M3260" t="s">
        <v>36</v>
      </c>
      <c r="N3260" t="s">
        <v>37</v>
      </c>
      <c r="O3260" t="s">
        <v>38</v>
      </c>
      <c r="P3260">
        <v>14</v>
      </c>
      <c r="Q3260" t="s">
        <v>181</v>
      </c>
      <c r="S3260" t="str">
        <f>_xlfn.XLOOKUP(UNIVERSO[[#This Row],[Ruta]],'[1]CUOTA RUTA'!A:A,'[1]CUOTA RUTA'!D:D)</f>
        <v>Cargar</v>
      </c>
    </row>
    <row r="3261" spans="1:19" x14ac:dyDescent="0.25">
      <c r="A3261">
        <v>1540029630</v>
      </c>
      <c r="B3261" t="s">
        <v>6451</v>
      </c>
      <c r="C3261" t="s">
        <v>19</v>
      </c>
      <c r="D3261" t="s">
        <v>32</v>
      </c>
      <c r="E3261" t="s">
        <v>21</v>
      </c>
      <c r="F3261" t="s">
        <v>22</v>
      </c>
      <c r="G3261" t="s">
        <v>33</v>
      </c>
      <c r="H3261" t="s">
        <v>99</v>
      </c>
      <c r="I3261" t="s">
        <v>6452</v>
      </c>
      <c r="J3261">
        <v>9.9321453000000002</v>
      </c>
      <c r="K3261">
        <v>-84.077458800000002</v>
      </c>
      <c r="L3261" t="s">
        <v>1225</v>
      </c>
      <c r="M3261" t="s">
        <v>71</v>
      </c>
      <c r="N3261" t="s">
        <v>72</v>
      </c>
      <c r="O3261" t="s">
        <v>73</v>
      </c>
      <c r="P3261">
        <v>6</v>
      </c>
      <c r="Q3261" t="s">
        <v>49</v>
      </c>
      <c r="S3261" t="str">
        <f>_xlfn.XLOOKUP(UNIVERSO[[#This Row],[Ruta]],'[1]CUOTA RUTA'!A:A,'[1]CUOTA RUTA'!D:D)</f>
        <v>Cargar</v>
      </c>
    </row>
    <row r="3262" spans="1:19" x14ac:dyDescent="0.25">
      <c r="A3262">
        <v>1540029656</v>
      </c>
      <c r="B3262" t="s">
        <v>1330</v>
      </c>
      <c r="C3262" t="s">
        <v>19</v>
      </c>
      <c r="D3262" t="s">
        <v>32</v>
      </c>
      <c r="E3262" t="s">
        <v>21</v>
      </c>
      <c r="F3262" t="s">
        <v>22</v>
      </c>
      <c r="G3262" t="s">
        <v>33</v>
      </c>
      <c r="H3262" t="s">
        <v>1113</v>
      </c>
      <c r="I3262" t="s">
        <v>6453</v>
      </c>
      <c r="J3262">
        <v>9.9378290000000007</v>
      </c>
      <c r="K3262">
        <v>-84.039946</v>
      </c>
      <c r="L3262" t="s">
        <v>1225</v>
      </c>
      <c r="M3262" t="s">
        <v>36</v>
      </c>
      <c r="N3262" t="s">
        <v>37</v>
      </c>
      <c r="O3262" t="s">
        <v>38</v>
      </c>
      <c r="P3262">
        <v>8</v>
      </c>
      <c r="Q3262" t="s">
        <v>97</v>
      </c>
      <c r="S3262" t="str">
        <f>_xlfn.XLOOKUP(UNIVERSO[[#This Row],[Ruta]],'[1]CUOTA RUTA'!A:A,'[1]CUOTA RUTA'!D:D)</f>
        <v>Cargar</v>
      </c>
    </row>
    <row r="3263" spans="1:19" x14ac:dyDescent="0.25">
      <c r="A3263">
        <v>1540029666</v>
      </c>
      <c r="B3263" t="s">
        <v>6454</v>
      </c>
      <c r="C3263" t="s">
        <v>19</v>
      </c>
      <c r="D3263" t="s">
        <v>324</v>
      </c>
      <c r="E3263" t="s">
        <v>21</v>
      </c>
      <c r="F3263" t="s">
        <v>22</v>
      </c>
      <c r="G3263" t="s">
        <v>64</v>
      </c>
      <c r="H3263" t="s">
        <v>331</v>
      </c>
      <c r="I3263" t="s">
        <v>6455</v>
      </c>
      <c r="J3263">
        <v>10.4206032</v>
      </c>
      <c r="K3263">
        <v>-84.323675800000004</v>
      </c>
      <c r="L3263" t="s">
        <v>1225</v>
      </c>
      <c r="M3263" t="s">
        <v>327</v>
      </c>
      <c r="N3263" t="s">
        <v>328</v>
      </c>
      <c r="O3263" t="s">
        <v>329</v>
      </c>
      <c r="P3263">
        <v>18</v>
      </c>
      <c r="Q3263" t="s">
        <v>84</v>
      </c>
      <c r="S3263" t="str">
        <f>_xlfn.XLOOKUP(UNIVERSO[[#This Row],[Ruta]],'[1]CUOTA RUTA'!A:A,'[1]CUOTA RUTA'!D:D)</f>
        <v>Cargar</v>
      </c>
    </row>
    <row r="3264" spans="1:19" x14ac:dyDescent="0.25">
      <c r="A3264">
        <v>1540029684</v>
      </c>
      <c r="B3264" t="s">
        <v>6456</v>
      </c>
      <c r="C3264" t="s">
        <v>19</v>
      </c>
      <c r="D3264" t="s">
        <v>32</v>
      </c>
      <c r="E3264" t="s">
        <v>21</v>
      </c>
      <c r="F3264" t="s">
        <v>22</v>
      </c>
      <c r="G3264" t="s">
        <v>64</v>
      </c>
      <c r="H3264" t="s">
        <v>99</v>
      </c>
      <c r="I3264" t="s">
        <v>6457</v>
      </c>
      <c r="J3264">
        <v>9.9249849999999995</v>
      </c>
      <c r="K3264">
        <v>-84.084429999999998</v>
      </c>
      <c r="L3264" t="s">
        <v>1225</v>
      </c>
      <c r="M3264" t="s">
        <v>71</v>
      </c>
      <c r="N3264" t="s">
        <v>72</v>
      </c>
      <c r="O3264" t="s">
        <v>73</v>
      </c>
      <c r="P3264">
        <v>4</v>
      </c>
      <c r="Q3264" t="s">
        <v>120</v>
      </c>
      <c r="S3264" t="str">
        <f>_xlfn.XLOOKUP(UNIVERSO[[#This Row],[Ruta]],'[1]CUOTA RUTA'!A:A,'[1]CUOTA RUTA'!D:D)</f>
        <v>Cargar</v>
      </c>
    </row>
    <row r="3265" spans="1:19" x14ac:dyDescent="0.25">
      <c r="A3265">
        <v>1540029724</v>
      </c>
      <c r="B3265" t="s">
        <v>6458</v>
      </c>
      <c r="C3265" t="s">
        <v>19</v>
      </c>
      <c r="D3265" t="s">
        <v>32</v>
      </c>
      <c r="E3265" t="s">
        <v>21</v>
      </c>
      <c r="F3265" t="s">
        <v>22</v>
      </c>
      <c r="G3265" t="s">
        <v>23</v>
      </c>
      <c r="H3265" t="s">
        <v>1383</v>
      </c>
      <c r="I3265" t="s">
        <v>6459</v>
      </c>
      <c r="J3265">
        <v>9.9216899999999999</v>
      </c>
      <c r="K3265">
        <v>-84.084029000000001</v>
      </c>
      <c r="L3265" t="s">
        <v>1225</v>
      </c>
      <c r="M3265" t="s">
        <v>71</v>
      </c>
      <c r="N3265" t="s">
        <v>72</v>
      </c>
      <c r="O3265" t="s">
        <v>73</v>
      </c>
      <c r="P3265">
        <v>4</v>
      </c>
      <c r="Q3265" t="s">
        <v>120</v>
      </c>
      <c r="S3265" t="str">
        <f>_xlfn.XLOOKUP(UNIVERSO[[#This Row],[Ruta]],'[1]CUOTA RUTA'!A:A,'[1]CUOTA RUTA'!D:D)</f>
        <v>Cargar</v>
      </c>
    </row>
    <row r="3266" spans="1:19" x14ac:dyDescent="0.25">
      <c r="A3266">
        <v>1540029764</v>
      </c>
      <c r="B3266" t="s">
        <v>6460</v>
      </c>
      <c r="C3266" t="s">
        <v>19</v>
      </c>
      <c r="D3266" t="s">
        <v>266</v>
      </c>
      <c r="E3266" t="s">
        <v>21</v>
      </c>
      <c r="F3266" t="s">
        <v>22</v>
      </c>
      <c r="G3266" t="s">
        <v>64</v>
      </c>
      <c r="H3266" t="s">
        <v>1011</v>
      </c>
      <c r="I3266" t="s">
        <v>6461</v>
      </c>
      <c r="J3266">
        <v>9.9412033333330001</v>
      </c>
      <c r="K3266">
        <v>-83.910868333330001</v>
      </c>
      <c r="L3266" t="s">
        <v>1225</v>
      </c>
      <c r="M3266" t="s">
        <v>54</v>
      </c>
      <c r="N3266" t="s">
        <v>274</v>
      </c>
      <c r="O3266" t="s">
        <v>275</v>
      </c>
      <c r="P3266">
        <v>21</v>
      </c>
      <c r="Q3266" t="s">
        <v>239</v>
      </c>
      <c r="S3266" t="str">
        <f>_xlfn.XLOOKUP(UNIVERSO[[#This Row],[Ruta]],'[1]CUOTA RUTA'!A:A,'[1]CUOTA RUTA'!D:D)</f>
        <v>Cargar</v>
      </c>
    </row>
    <row r="3267" spans="1:19" x14ac:dyDescent="0.25">
      <c r="A3267">
        <v>1540029780</v>
      </c>
      <c r="B3267" t="s">
        <v>6462</v>
      </c>
      <c r="C3267" t="s">
        <v>19</v>
      </c>
      <c r="D3267" t="s">
        <v>266</v>
      </c>
      <c r="E3267" t="s">
        <v>21</v>
      </c>
      <c r="F3267" t="s">
        <v>22</v>
      </c>
      <c r="G3267" t="s">
        <v>33</v>
      </c>
      <c r="H3267" t="s">
        <v>314</v>
      </c>
      <c r="I3267" t="s">
        <v>6463</v>
      </c>
      <c r="J3267">
        <v>9.8728433333329999</v>
      </c>
      <c r="K3267">
        <v>-83.908566666659993</v>
      </c>
      <c r="L3267" t="s">
        <v>1225</v>
      </c>
      <c r="M3267" t="s">
        <v>36</v>
      </c>
      <c r="N3267" t="s">
        <v>316</v>
      </c>
      <c r="O3267" t="s">
        <v>317</v>
      </c>
      <c r="P3267">
        <v>16</v>
      </c>
      <c r="Q3267" t="s">
        <v>60</v>
      </c>
      <c r="S3267" t="str">
        <f>_xlfn.XLOOKUP(UNIVERSO[[#This Row],[Ruta]],'[1]CUOTA RUTA'!A:A,'[1]CUOTA RUTA'!D:D)</f>
        <v>Cargar</v>
      </c>
    </row>
    <row r="3268" spans="1:19" x14ac:dyDescent="0.25">
      <c r="A3268">
        <v>1540029785</v>
      </c>
      <c r="B3268" t="s">
        <v>6464</v>
      </c>
      <c r="C3268" t="s">
        <v>19</v>
      </c>
      <c r="D3268" t="s">
        <v>324</v>
      </c>
      <c r="E3268" t="s">
        <v>21</v>
      </c>
      <c r="F3268" t="s">
        <v>22</v>
      </c>
      <c r="G3268" t="s">
        <v>33</v>
      </c>
      <c r="H3268" t="s">
        <v>557</v>
      </c>
      <c r="I3268" t="s">
        <v>6465</v>
      </c>
      <c r="J3268">
        <v>10.468560800000001</v>
      </c>
      <c r="K3268">
        <v>-84.663884899999999</v>
      </c>
      <c r="L3268" t="s">
        <v>1225</v>
      </c>
      <c r="M3268" t="s">
        <v>327</v>
      </c>
      <c r="N3268" t="s">
        <v>328</v>
      </c>
      <c r="O3268" t="s">
        <v>329</v>
      </c>
      <c r="P3268">
        <v>21</v>
      </c>
      <c r="Q3268" t="s">
        <v>239</v>
      </c>
      <c r="S3268" t="str">
        <f>_xlfn.XLOOKUP(UNIVERSO[[#This Row],[Ruta]],'[1]CUOTA RUTA'!A:A,'[1]CUOTA RUTA'!D:D)</f>
        <v>Cargar</v>
      </c>
    </row>
    <row r="3269" spans="1:19" x14ac:dyDescent="0.25">
      <c r="A3269">
        <v>1540029819</v>
      </c>
      <c r="B3269" t="s">
        <v>6466</v>
      </c>
      <c r="C3269" t="s">
        <v>19</v>
      </c>
      <c r="D3269" t="s">
        <v>244</v>
      </c>
      <c r="E3269" t="s">
        <v>21</v>
      </c>
      <c r="F3269" t="s">
        <v>22</v>
      </c>
      <c r="G3269" t="s">
        <v>33</v>
      </c>
      <c r="H3269" t="s">
        <v>1233</v>
      </c>
      <c r="I3269" t="s">
        <v>6467</v>
      </c>
      <c r="J3269">
        <v>9.3349089999999997</v>
      </c>
      <c r="K3269">
        <v>-83.684802000000005</v>
      </c>
      <c r="L3269" t="s">
        <v>1225</v>
      </c>
      <c r="M3269" t="s">
        <v>46</v>
      </c>
      <c r="N3269" t="s">
        <v>247</v>
      </c>
      <c r="O3269" t="s">
        <v>248</v>
      </c>
      <c r="P3269">
        <v>13</v>
      </c>
      <c r="Q3269" t="s">
        <v>161</v>
      </c>
      <c r="S3269" t="str">
        <f>_xlfn.XLOOKUP(UNIVERSO[[#This Row],[Ruta]],'[1]CUOTA RUTA'!A:A,'[1]CUOTA RUTA'!D:D)</f>
        <v>Cargar</v>
      </c>
    </row>
    <row r="3270" spans="1:19" x14ac:dyDescent="0.25">
      <c r="A3270">
        <v>1540029909</v>
      </c>
      <c r="B3270" t="s">
        <v>6468</v>
      </c>
      <c r="C3270" t="s">
        <v>19</v>
      </c>
      <c r="D3270" t="s">
        <v>337</v>
      </c>
      <c r="E3270" t="s">
        <v>21</v>
      </c>
      <c r="F3270" t="s">
        <v>22</v>
      </c>
      <c r="G3270" t="s">
        <v>33</v>
      </c>
      <c r="H3270" t="s">
        <v>343</v>
      </c>
      <c r="I3270" t="s">
        <v>6469</v>
      </c>
      <c r="J3270">
        <v>10.843154</v>
      </c>
      <c r="K3270">
        <v>-85.498326000000006</v>
      </c>
      <c r="L3270" t="s">
        <v>1225</v>
      </c>
      <c r="M3270" t="s">
        <v>327</v>
      </c>
      <c r="N3270" t="s">
        <v>340</v>
      </c>
      <c r="O3270" t="s">
        <v>341</v>
      </c>
      <c r="P3270">
        <v>15</v>
      </c>
      <c r="Q3270" t="s">
        <v>231</v>
      </c>
      <c r="S3270" t="str">
        <f>_xlfn.XLOOKUP(UNIVERSO[[#This Row],[Ruta]],'[1]CUOTA RUTA'!A:A,'[1]CUOTA RUTA'!D:D)</f>
        <v>Cargar</v>
      </c>
    </row>
    <row r="3271" spans="1:19" x14ac:dyDescent="0.25">
      <c r="A3271">
        <v>1540029926</v>
      </c>
      <c r="B3271" t="s">
        <v>6470</v>
      </c>
      <c r="C3271" t="s">
        <v>19</v>
      </c>
      <c r="D3271" t="s">
        <v>208</v>
      </c>
      <c r="E3271" t="s">
        <v>21</v>
      </c>
      <c r="F3271" t="s">
        <v>22</v>
      </c>
      <c r="G3271" t="s">
        <v>33</v>
      </c>
      <c r="H3271" t="s">
        <v>221</v>
      </c>
      <c r="I3271" t="s">
        <v>6471</v>
      </c>
      <c r="J3271">
        <v>10.103007</v>
      </c>
      <c r="K3271">
        <v>-83.508399999999995</v>
      </c>
      <c r="L3271" t="s">
        <v>1225</v>
      </c>
      <c r="M3271" t="s">
        <v>189</v>
      </c>
      <c r="N3271" t="s">
        <v>211</v>
      </c>
      <c r="O3271" t="s">
        <v>212</v>
      </c>
      <c r="P3271">
        <v>8</v>
      </c>
      <c r="Q3271" t="s">
        <v>97</v>
      </c>
      <c r="S3271" t="str">
        <f>_xlfn.XLOOKUP(UNIVERSO[[#This Row],[Ruta]],'[1]CUOTA RUTA'!A:A,'[1]CUOTA RUTA'!D:D)</f>
        <v>Cargar</v>
      </c>
    </row>
    <row r="3272" spans="1:19" x14ac:dyDescent="0.25">
      <c r="A3272">
        <v>1540030054</v>
      </c>
      <c r="B3272" t="s">
        <v>6472</v>
      </c>
      <c r="C3272" t="s">
        <v>19</v>
      </c>
      <c r="D3272" t="s">
        <v>20</v>
      </c>
      <c r="E3272" t="s">
        <v>21</v>
      </c>
      <c r="F3272" t="s">
        <v>22</v>
      </c>
      <c r="G3272" t="s">
        <v>33</v>
      </c>
      <c r="H3272" t="s">
        <v>913</v>
      </c>
      <c r="I3272" t="s">
        <v>6473</v>
      </c>
      <c r="J3272">
        <v>9.9610500000000002</v>
      </c>
      <c r="K3272">
        <v>-84.112660000000005</v>
      </c>
      <c r="L3272" t="s">
        <v>1225</v>
      </c>
      <c r="M3272" t="s">
        <v>27</v>
      </c>
      <c r="N3272" t="s">
        <v>28</v>
      </c>
      <c r="O3272" t="s">
        <v>29</v>
      </c>
      <c r="P3272">
        <v>11</v>
      </c>
      <c r="Q3272" t="s">
        <v>108</v>
      </c>
      <c r="S3272" t="str">
        <f>_xlfn.XLOOKUP(UNIVERSO[[#This Row],[Ruta]],'[1]CUOTA RUTA'!A:A,'[1]CUOTA RUTA'!D:D)</f>
        <v>Cargar</v>
      </c>
    </row>
    <row r="3273" spans="1:19" x14ac:dyDescent="0.25">
      <c r="A3273">
        <v>1540030079</v>
      </c>
      <c r="B3273" t="s">
        <v>6474</v>
      </c>
      <c r="C3273" t="s">
        <v>19</v>
      </c>
      <c r="D3273" t="s">
        <v>32</v>
      </c>
      <c r="E3273" t="s">
        <v>21</v>
      </c>
      <c r="F3273" t="s">
        <v>22</v>
      </c>
      <c r="G3273" t="s">
        <v>33</v>
      </c>
      <c r="H3273" t="s">
        <v>174</v>
      </c>
      <c r="I3273" t="s">
        <v>6475</v>
      </c>
      <c r="J3273">
        <v>9.9338320000000007</v>
      </c>
      <c r="K3273">
        <v>-84.088156999999995</v>
      </c>
      <c r="L3273" t="s">
        <v>1225</v>
      </c>
      <c r="M3273" t="s">
        <v>71</v>
      </c>
      <c r="N3273" t="s">
        <v>72</v>
      </c>
      <c r="O3273" t="s">
        <v>73</v>
      </c>
      <c r="P3273">
        <v>1</v>
      </c>
      <c r="Q3273" t="s">
        <v>155</v>
      </c>
      <c r="S3273" t="str">
        <f>_xlfn.XLOOKUP(UNIVERSO[[#This Row],[Ruta]],'[1]CUOTA RUTA'!A:A,'[1]CUOTA RUTA'!D:D)</f>
        <v>Cargar</v>
      </c>
    </row>
    <row r="3274" spans="1:19" x14ac:dyDescent="0.25">
      <c r="A3274">
        <v>1540030093</v>
      </c>
      <c r="B3274" t="s">
        <v>6476</v>
      </c>
      <c r="C3274" t="s">
        <v>19</v>
      </c>
      <c r="D3274" t="s">
        <v>32</v>
      </c>
      <c r="E3274" t="s">
        <v>21</v>
      </c>
      <c r="F3274" t="s">
        <v>51</v>
      </c>
      <c r="G3274" t="s">
        <v>23</v>
      </c>
      <c r="H3274" t="s">
        <v>103</v>
      </c>
      <c r="I3274" t="s">
        <v>6477</v>
      </c>
      <c r="J3274">
        <v>9.9235466666670007</v>
      </c>
      <c r="K3274">
        <v>-84.083931666660007</v>
      </c>
      <c r="L3274" t="s">
        <v>1225</v>
      </c>
      <c r="M3274" t="s">
        <v>71</v>
      </c>
      <c r="N3274" t="s">
        <v>72</v>
      </c>
      <c r="O3274" t="s">
        <v>73</v>
      </c>
      <c r="P3274">
        <v>4</v>
      </c>
      <c r="Q3274" t="s">
        <v>120</v>
      </c>
      <c r="S3274" t="str">
        <f>_xlfn.XLOOKUP(UNIVERSO[[#This Row],[Ruta]],'[1]CUOTA RUTA'!A:A,'[1]CUOTA RUTA'!D:D)</f>
        <v>Cargar</v>
      </c>
    </row>
    <row r="3275" spans="1:19" x14ac:dyDescent="0.25">
      <c r="A3275">
        <v>1540030105</v>
      </c>
      <c r="B3275" t="s">
        <v>6478</v>
      </c>
      <c r="C3275" t="s">
        <v>19</v>
      </c>
      <c r="D3275" t="s">
        <v>20</v>
      </c>
      <c r="E3275" t="s">
        <v>62</v>
      </c>
      <c r="F3275" t="s">
        <v>63</v>
      </c>
      <c r="G3275" t="s">
        <v>33</v>
      </c>
      <c r="H3275" t="s">
        <v>722</v>
      </c>
      <c r="I3275" t="s">
        <v>6479</v>
      </c>
      <c r="J3275">
        <v>9.9504271899999992</v>
      </c>
      <c r="K3275">
        <v>-84.163750919999998</v>
      </c>
      <c r="L3275" t="s">
        <v>1225</v>
      </c>
      <c r="M3275" t="s">
        <v>27</v>
      </c>
      <c r="N3275" t="s">
        <v>28</v>
      </c>
      <c r="O3275" t="s">
        <v>29</v>
      </c>
      <c r="P3275">
        <v>22</v>
      </c>
      <c r="Q3275" t="s">
        <v>30</v>
      </c>
      <c r="S3275" t="str">
        <f>_xlfn.XLOOKUP(UNIVERSO[[#This Row],[Ruta]],'[1]CUOTA RUTA'!A:A,'[1]CUOTA RUTA'!D:D)</f>
        <v>Cargar</v>
      </c>
    </row>
    <row r="3276" spans="1:19" x14ac:dyDescent="0.25">
      <c r="A3276">
        <v>1540030184</v>
      </c>
      <c r="B3276" t="s">
        <v>6480</v>
      </c>
      <c r="C3276" t="s">
        <v>19</v>
      </c>
      <c r="D3276" t="s">
        <v>201</v>
      </c>
      <c r="E3276" t="s">
        <v>21</v>
      </c>
      <c r="F3276" t="s">
        <v>22</v>
      </c>
      <c r="G3276" t="s">
        <v>64</v>
      </c>
      <c r="H3276" t="s">
        <v>785</v>
      </c>
      <c r="I3276" t="s">
        <v>6481</v>
      </c>
      <c r="J3276">
        <v>10.069931800000001</v>
      </c>
      <c r="K3276">
        <v>-84.947612500000005</v>
      </c>
      <c r="L3276" t="s">
        <v>1225</v>
      </c>
      <c r="M3276" t="s">
        <v>204</v>
      </c>
      <c r="N3276" t="s">
        <v>205</v>
      </c>
      <c r="O3276" t="s">
        <v>206</v>
      </c>
      <c r="P3276">
        <v>12</v>
      </c>
      <c r="Q3276" t="s">
        <v>42</v>
      </c>
      <c r="S3276" t="str">
        <f>_xlfn.XLOOKUP(UNIVERSO[[#This Row],[Ruta]],'[1]CUOTA RUTA'!A:A,'[1]CUOTA RUTA'!D:D)</f>
        <v>Cargar</v>
      </c>
    </row>
    <row r="3277" spans="1:19" x14ac:dyDescent="0.25">
      <c r="A3277">
        <v>1540030204</v>
      </c>
      <c r="B3277" t="s">
        <v>6482</v>
      </c>
      <c r="C3277" t="s">
        <v>19</v>
      </c>
      <c r="D3277" t="s">
        <v>349</v>
      </c>
      <c r="E3277" t="s">
        <v>21</v>
      </c>
      <c r="F3277" t="s">
        <v>22</v>
      </c>
      <c r="G3277" t="s">
        <v>64</v>
      </c>
      <c r="H3277" t="s">
        <v>359</v>
      </c>
      <c r="I3277" t="s">
        <v>6483</v>
      </c>
      <c r="J3277">
        <v>10.024710000000001</v>
      </c>
      <c r="K3277">
        <v>-85.503178000000005</v>
      </c>
      <c r="L3277" t="s">
        <v>1225</v>
      </c>
      <c r="M3277" t="s">
        <v>352</v>
      </c>
      <c r="N3277" t="s">
        <v>353</v>
      </c>
      <c r="O3277" t="s">
        <v>354</v>
      </c>
      <c r="P3277">
        <v>14</v>
      </c>
      <c r="Q3277" t="s">
        <v>181</v>
      </c>
      <c r="S3277" t="str">
        <f>_xlfn.XLOOKUP(UNIVERSO[[#This Row],[Ruta]],'[1]CUOTA RUTA'!A:A,'[1]CUOTA RUTA'!D:D)</f>
        <v>Cargar</v>
      </c>
    </row>
    <row r="3278" spans="1:19" x14ac:dyDescent="0.25">
      <c r="A3278">
        <v>1540030214</v>
      </c>
      <c r="B3278" t="s">
        <v>2085</v>
      </c>
      <c r="C3278" t="s">
        <v>19</v>
      </c>
      <c r="D3278" t="s">
        <v>244</v>
      </c>
      <c r="E3278" t="s">
        <v>21</v>
      </c>
      <c r="F3278" t="s">
        <v>22</v>
      </c>
      <c r="G3278" t="s">
        <v>64</v>
      </c>
      <c r="H3278" t="s">
        <v>857</v>
      </c>
      <c r="I3278" t="s">
        <v>6484</v>
      </c>
      <c r="J3278">
        <v>9.3845740000000006</v>
      </c>
      <c r="K3278">
        <v>-83.705078999999998</v>
      </c>
      <c r="L3278" t="s">
        <v>1225</v>
      </c>
      <c r="M3278" t="s">
        <v>46</v>
      </c>
      <c r="N3278" t="s">
        <v>247</v>
      </c>
      <c r="O3278" t="s">
        <v>248</v>
      </c>
      <c r="P3278">
        <v>15</v>
      </c>
      <c r="Q3278" t="s">
        <v>231</v>
      </c>
      <c r="S3278" t="str">
        <f>_xlfn.XLOOKUP(UNIVERSO[[#This Row],[Ruta]],'[1]CUOTA RUTA'!A:A,'[1]CUOTA RUTA'!D:D)</f>
        <v>Cargar</v>
      </c>
    </row>
    <row r="3279" spans="1:19" x14ac:dyDescent="0.25">
      <c r="A3279">
        <v>1540030240</v>
      </c>
      <c r="B3279" t="s">
        <v>6485</v>
      </c>
      <c r="C3279" t="s">
        <v>19</v>
      </c>
      <c r="D3279" t="s">
        <v>20</v>
      </c>
      <c r="E3279" t="s">
        <v>21</v>
      </c>
      <c r="F3279" t="s">
        <v>22</v>
      </c>
      <c r="G3279" t="s">
        <v>64</v>
      </c>
      <c r="H3279" t="s">
        <v>250</v>
      </c>
      <c r="I3279" t="s">
        <v>6486</v>
      </c>
      <c r="J3279">
        <v>10.0671</v>
      </c>
      <c r="K3279">
        <v>-84.311899999999994</v>
      </c>
      <c r="L3279" t="s">
        <v>1225</v>
      </c>
      <c r="M3279" t="s">
        <v>46</v>
      </c>
      <c r="N3279" t="s">
        <v>47</v>
      </c>
      <c r="O3279" t="s">
        <v>48</v>
      </c>
      <c r="P3279">
        <v>5</v>
      </c>
      <c r="Q3279" t="s">
        <v>117</v>
      </c>
      <c r="S3279" t="str">
        <f>_xlfn.XLOOKUP(UNIVERSO[[#This Row],[Ruta]],'[1]CUOTA RUTA'!A:A,'[1]CUOTA RUTA'!D:D)</f>
        <v>Cargar</v>
      </c>
    </row>
    <row r="3280" spans="1:19" x14ac:dyDescent="0.25">
      <c r="A3280">
        <v>1540030360</v>
      </c>
      <c r="B3280" t="s">
        <v>313</v>
      </c>
      <c r="C3280" t="s">
        <v>19</v>
      </c>
      <c r="D3280" t="s">
        <v>266</v>
      </c>
      <c r="E3280" t="s">
        <v>21</v>
      </c>
      <c r="F3280" t="s">
        <v>22</v>
      </c>
      <c r="G3280" t="s">
        <v>33</v>
      </c>
      <c r="H3280" t="s">
        <v>366</v>
      </c>
      <c r="I3280" t="s">
        <v>6487</v>
      </c>
      <c r="J3280">
        <v>9.8433650000000004</v>
      </c>
      <c r="K3280">
        <v>-83.935771666660003</v>
      </c>
      <c r="L3280" t="s">
        <v>1225</v>
      </c>
      <c r="M3280" t="s">
        <v>36</v>
      </c>
      <c r="N3280" t="s">
        <v>316</v>
      </c>
      <c r="O3280" t="s">
        <v>317</v>
      </c>
      <c r="P3280">
        <v>17</v>
      </c>
      <c r="Q3280" t="s">
        <v>287</v>
      </c>
      <c r="S3280" t="str">
        <f>_xlfn.XLOOKUP(UNIVERSO[[#This Row],[Ruta]],'[1]CUOTA RUTA'!A:A,'[1]CUOTA RUTA'!D:D)</f>
        <v>Cargar</v>
      </c>
    </row>
    <row r="3281" spans="1:19" x14ac:dyDescent="0.25">
      <c r="A3281">
        <v>1540030363</v>
      </c>
      <c r="B3281" t="s">
        <v>6488</v>
      </c>
      <c r="C3281" t="s">
        <v>19</v>
      </c>
      <c r="D3281" t="s">
        <v>32</v>
      </c>
      <c r="E3281" t="s">
        <v>21</v>
      </c>
      <c r="F3281" t="s">
        <v>51</v>
      </c>
      <c r="G3281" t="s">
        <v>23</v>
      </c>
      <c r="H3281" t="s">
        <v>625</v>
      </c>
      <c r="I3281" t="s">
        <v>6489</v>
      </c>
      <c r="J3281">
        <v>9.9718</v>
      </c>
      <c r="K3281">
        <v>-84.072500000000005</v>
      </c>
      <c r="L3281" t="s">
        <v>1225</v>
      </c>
      <c r="M3281" t="s">
        <v>94</v>
      </c>
      <c r="N3281" t="s">
        <v>95</v>
      </c>
      <c r="O3281" t="s">
        <v>96</v>
      </c>
      <c r="P3281">
        <v>10</v>
      </c>
      <c r="Q3281" t="s">
        <v>136</v>
      </c>
      <c r="S3281" t="str">
        <f>_xlfn.XLOOKUP(UNIVERSO[[#This Row],[Ruta]],'[1]CUOTA RUTA'!A:A,'[1]CUOTA RUTA'!D:D)</f>
        <v>Cargar</v>
      </c>
    </row>
    <row r="3282" spans="1:19" x14ac:dyDescent="0.25">
      <c r="A3282">
        <v>1540030390</v>
      </c>
      <c r="B3282" t="s">
        <v>6490</v>
      </c>
      <c r="C3282" t="s">
        <v>19</v>
      </c>
      <c r="D3282" t="s">
        <v>186</v>
      </c>
      <c r="E3282" t="s">
        <v>21</v>
      </c>
      <c r="F3282" t="s">
        <v>22</v>
      </c>
      <c r="G3282" t="s">
        <v>64</v>
      </c>
      <c r="H3282" t="s">
        <v>237</v>
      </c>
      <c r="I3282" t="s">
        <v>6491</v>
      </c>
      <c r="J3282">
        <v>10.123357</v>
      </c>
      <c r="K3282">
        <v>-83.380505999999997</v>
      </c>
      <c r="L3282" t="s">
        <v>1225</v>
      </c>
      <c r="M3282" t="s">
        <v>189</v>
      </c>
      <c r="N3282" t="s">
        <v>190</v>
      </c>
      <c r="O3282" t="s">
        <v>191</v>
      </c>
      <c r="P3282">
        <v>22</v>
      </c>
      <c r="Q3282" t="s">
        <v>30</v>
      </c>
      <c r="S3282" t="str">
        <f>_xlfn.XLOOKUP(UNIVERSO[[#This Row],[Ruta]],'[1]CUOTA RUTA'!A:A,'[1]CUOTA RUTA'!D:D)</f>
        <v>Cargar</v>
      </c>
    </row>
    <row r="3283" spans="1:19" x14ac:dyDescent="0.25">
      <c r="A3283">
        <v>1540030395</v>
      </c>
      <c r="B3283" t="s">
        <v>6492</v>
      </c>
      <c r="C3283" t="s">
        <v>19</v>
      </c>
      <c r="D3283" t="s">
        <v>32</v>
      </c>
      <c r="E3283" t="s">
        <v>21</v>
      </c>
      <c r="F3283" t="s">
        <v>22</v>
      </c>
      <c r="G3283" t="s">
        <v>64</v>
      </c>
      <c r="H3283" t="s">
        <v>425</v>
      </c>
      <c r="I3283" t="s">
        <v>6493</v>
      </c>
      <c r="J3283">
        <v>9.8739530000000002</v>
      </c>
      <c r="K3283">
        <v>-84.078087999999994</v>
      </c>
      <c r="L3283" t="s">
        <v>1225</v>
      </c>
      <c r="M3283" t="s">
        <v>71</v>
      </c>
      <c r="N3283" t="s">
        <v>72</v>
      </c>
      <c r="O3283" t="s">
        <v>73</v>
      </c>
      <c r="P3283">
        <v>16</v>
      </c>
      <c r="Q3283" t="s">
        <v>60</v>
      </c>
      <c r="S3283" t="str">
        <f>_xlfn.XLOOKUP(UNIVERSO[[#This Row],[Ruta]],'[1]CUOTA RUTA'!A:A,'[1]CUOTA RUTA'!D:D)</f>
        <v>Cargar</v>
      </c>
    </row>
    <row r="3284" spans="1:19" x14ac:dyDescent="0.25">
      <c r="A3284">
        <v>1540030470</v>
      </c>
      <c r="B3284" t="s">
        <v>6494</v>
      </c>
      <c r="C3284" t="s">
        <v>19</v>
      </c>
      <c r="D3284" t="s">
        <v>208</v>
      </c>
      <c r="E3284" t="s">
        <v>21</v>
      </c>
      <c r="F3284" t="s">
        <v>22</v>
      </c>
      <c r="G3284" t="s">
        <v>64</v>
      </c>
      <c r="H3284" t="s">
        <v>616</v>
      </c>
      <c r="I3284" t="s">
        <v>6495</v>
      </c>
      <c r="J3284">
        <v>10.45307</v>
      </c>
      <c r="K3284">
        <v>-83.996865999999997</v>
      </c>
      <c r="L3284" t="s">
        <v>1225</v>
      </c>
      <c r="M3284" t="s">
        <v>189</v>
      </c>
      <c r="N3284" t="s">
        <v>211</v>
      </c>
      <c r="O3284" t="s">
        <v>212</v>
      </c>
      <c r="P3284">
        <v>10</v>
      </c>
      <c r="Q3284" t="s">
        <v>136</v>
      </c>
      <c r="S3284" t="str">
        <f>_xlfn.XLOOKUP(UNIVERSO[[#This Row],[Ruta]],'[1]CUOTA RUTA'!A:A,'[1]CUOTA RUTA'!D:D)</f>
        <v>Cargar</v>
      </c>
    </row>
    <row r="3285" spans="1:19" x14ac:dyDescent="0.25">
      <c r="A3285">
        <v>1540030517</v>
      </c>
      <c r="B3285" t="s">
        <v>6496</v>
      </c>
      <c r="C3285" t="s">
        <v>19</v>
      </c>
      <c r="D3285" t="s">
        <v>337</v>
      </c>
      <c r="E3285" t="s">
        <v>21</v>
      </c>
      <c r="F3285" t="s">
        <v>51</v>
      </c>
      <c r="G3285" t="s">
        <v>23</v>
      </c>
      <c r="H3285" t="s">
        <v>576</v>
      </c>
      <c r="I3285" t="s">
        <v>6497</v>
      </c>
      <c r="J3285">
        <v>10.547974</v>
      </c>
      <c r="K3285">
        <v>-85.696988000000005</v>
      </c>
      <c r="L3285" t="s">
        <v>1225</v>
      </c>
      <c r="M3285" t="s">
        <v>327</v>
      </c>
      <c r="N3285" t="s">
        <v>340</v>
      </c>
      <c r="O3285" t="s">
        <v>341</v>
      </c>
      <c r="P3285">
        <v>19</v>
      </c>
      <c r="Q3285" t="s">
        <v>67</v>
      </c>
      <c r="S3285" t="str">
        <f>_xlfn.XLOOKUP(UNIVERSO[[#This Row],[Ruta]],'[1]CUOTA RUTA'!A:A,'[1]CUOTA RUTA'!D:D)</f>
        <v>Cargar</v>
      </c>
    </row>
    <row r="3286" spans="1:19" x14ac:dyDescent="0.25">
      <c r="A3286">
        <v>1540030581</v>
      </c>
      <c r="B3286" t="s">
        <v>6498</v>
      </c>
      <c r="C3286" t="s">
        <v>19</v>
      </c>
      <c r="D3286" t="s">
        <v>20</v>
      </c>
      <c r="E3286" t="s">
        <v>21</v>
      </c>
      <c r="F3286" t="s">
        <v>22</v>
      </c>
      <c r="G3286" t="s">
        <v>33</v>
      </c>
      <c r="H3286" t="s">
        <v>458</v>
      </c>
      <c r="I3286" t="s">
        <v>6499</v>
      </c>
      <c r="J3286">
        <v>9.9496199999999995</v>
      </c>
      <c r="K3286">
        <v>-84.262039999999999</v>
      </c>
      <c r="L3286" t="s">
        <v>1225</v>
      </c>
      <c r="M3286" t="s">
        <v>54</v>
      </c>
      <c r="N3286" t="s">
        <v>55</v>
      </c>
      <c r="O3286" t="s">
        <v>56</v>
      </c>
      <c r="P3286">
        <v>20</v>
      </c>
      <c r="Q3286" t="s">
        <v>74</v>
      </c>
      <c r="S3286" t="str">
        <f>_xlfn.XLOOKUP(UNIVERSO[[#This Row],[Ruta]],'[1]CUOTA RUTA'!A:A,'[1]CUOTA RUTA'!D:D)</f>
        <v>Cargar</v>
      </c>
    </row>
    <row r="3287" spans="1:19" x14ac:dyDescent="0.25">
      <c r="A3287">
        <v>1540030587</v>
      </c>
      <c r="B3287" t="s">
        <v>6500</v>
      </c>
      <c r="C3287" t="s">
        <v>19</v>
      </c>
      <c r="D3287" t="s">
        <v>208</v>
      </c>
      <c r="E3287" t="s">
        <v>21</v>
      </c>
      <c r="F3287" t="s">
        <v>22</v>
      </c>
      <c r="G3287" t="s">
        <v>33</v>
      </c>
      <c r="H3287" t="s">
        <v>719</v>
      </c>
      <c r="I3287" t="s">
        <v>6501</v>
      </c>
      <c r="J3287">
        <v>10.371414850000001</v>
      </c>
      <c r="K3287">
        <v>-83.739866030000002</v>
      </c>
      <c r="L3287" t="s">
        <v>1225</v>
      </c>
      <c r="M3287" t="s">
        <v>189</v>
      </c>
      <c r="N3287" t="s">
        <v>211</v>
      </c>
      <c r="O3287" t="s">
        <v>212</v>
      </c>
      <c r="P3287">
        <v>1</v>
      </c>
      <c r="Q3287" t="s">
        <v>155</v>
      </c>
      <c r="S3287" t="str">
        <f>_xlfn.XLOOKUP(UNIVERSO[[#This Row],[Ruta]],'[1]CUOTA RUTA'!A:A,'[1]CUOTA RUTA'!D:D)</f>
        <v>Cargar</v>
      </c>
    </row>
    <row r="3288" spans="1:19" x14ac:dyDescent="0.25">
      <c r="A3288">
        <v>1540030682</v>
      </c>
      <c r="B3288" t="s">
        <v>6502</v>
      </c>
      <c r="C3288" t="s">
        <v>19</v>
      </c>
      <c r="D3288" t="s">
        <v>32</v>
      </c>
      <c r="E3288" t="s">
        <v>21</v>
      </c>
      <c r="F3288" t="s">
        <v>22</v>
      </c>
      <c r="G3288" t="s">
        <v>33</v>
      </c>
      <c r="H3288" t="s">
        <v>148</v>
      </c>
      <c r="I3288" t="s">
        <v>6503</v>
      </c>
      <c r="J3288">
        <v>9.9778517000000004</v>
      </c>
      <c r="K3288">
        <v>-84.029778300000004</v>
      </c>
      <c r="L3288" t="s">
        <v>1225</v>
      </c>
      <c r="M3288" t="s">
        <v>94</v>
      </c>
      <c r="N3288" t="s">
        <v>95</v>
      </c>
      <c r="O3288" t="s">
        <v>96</v>
      </c>
      <c r="P3288">
        <v>2</v>
      </c>
      <c r="Q3288" t="s">
        <v>150</v>
      </c>
      <c r="S3288" t="str">
        <f>_xlfn.XLOOKUP(UNIVERSO[[#This Row],[Ruta]],'[1]CUOTA RUTA'!A:A,'[1]CUOTA RUTA'!D:D)</f>
        <v>Cargar</v>
      </c>
    </row>
    <row r="3289" spans="1:19" x14ac:dyDescent="0.25">
      <c r="A3289">
        <v>1540030708</v>
      </c>
      <c r="B3289" t="s">
        <v>6504</v>
      </c>
      <c r="C3289" t="s">
        <v>19</v>
      </c>
      <c r="D3289" t="s">
        <v>20</v>
      </c>
      <c r="E3289" t="s">
        <v>21</v>
      </c>
      <c r="F3289" t="s">
        <v>22</v>
      </c>
      <c r="G3289" t="s">
        <v>23</v>
      </c>
      <c r="H3289" t="s">
        <v>44</v>
      </c>
      <c r="I3289" t="s">
        <v>6505</v>
      </c>
      <c r="J3289">
        <v>10.073062493759</v>
      </c>
      <c r="K3289">
        <v>-84.430511770760006</v>
      </c>
      <c r="L3289" t="s">
        <v>1225</v>
      </c>
      <c r="M3289" t="s">
        <v>46</v>
      </c>
      <c r="N3289" t="s">
        <v>47</v>
      </c>
      <c r="O3289" t="s">
        <v>48</v>
      </c>
      <c r="P3289">
        <v>7</v>
      </c>
      <c r="Q3289" t="s">
        <v>39</v>
      </c>
      <c r="S3289" t="str">
        <f>_xlfn.XLOOKUP(UNIVERSO[[#This Row],[Ruta]],'[1]CUOTA RUTA'!A:A,'[1]CUOTA RUTA'!D:D)</f>
        <v>Cargar</v>
      </c>
    </row>
    <row r="3290" spans="1:19" x14ac:dyDescent="0.25">
      <c r="A3290">
        <v>1540030752</v>
      </c>
      <c r="B3290" t="s">
        <v>6506</v>
      </c>
      <c r="C3290" t="s">
        <v>19</v>
      </c>
      <c r="D3290" t="s">
        <v>569</v>
      </c>
      <c r="E3290" t="s">
        <v>21</v>
      </c>
      <c r="F3290" t="s">
        <v>51</v>
      </c>
      <c r="G3290" t="s">
        <v>33</v>
      </c>
      <c r="H3290" t="s">
        <v>570</v>
      </c>
      <c r="I3290" t="s">
        <v>6507</v>
      </c>
      <c r="J3290">
        <v>8.6761890000000008</v>
      </c>
      <c r="K3290">
        <v>-83.063355999999999</v>
      </c>
      <c r="L3290" t="s">
        <v>1225</v>
      </c>
      <c r="M3290" t="s">
        <v>572</v>
      </c>
      <c r="N3290" t="s">
        <v>573</v>
      </c>
      <c r="O3290" t="s">
        <v>574</v>
      </c>
      <c r="P3290">
        <v>23</v>
      </c>
      <c r="Q3290" t="s">
        <v>125</v>
      </c>
      <c r="S3290" t="str">
        <f>_xlfn.XLOOKUP(UNIVERSO[[#This Row],[Ruta]],'[1]CUOTA RUTA'!A:A,'[1]CUOTA RUTA'!D:D)</f>
        <v>Cargar</v>
      </c>
    </row>
    <row r="3291" spans="1:19" x14ac:dyDescent="0.25">
      <c r="A3291">
        <v>1540030765</v>
      </c>
      <c r="B3291" t="s">
        <v>6508</v>
      </c>
      <c r="C3291" t="s">
        <v>19</v>
      </c>
      <c r="D3291" t="s">
        <v>20</v>
      </c>
      <c r="E3291" t="s">
        <v>21</v>
      </c>
      <c r="F3291" t="s">
        <v>22</v>
      </c>
      <c r="G3291" t="s">
        <v>33</v>
      </c>
      <c r="H3291" t="s">
        <v>24</v>
      </c>
      <c r="I3291" t="s">
        <v>6509</v>
      </c>
      <c r="J3291">
        <v>10.00116045</v>
      </c>
      <c r="K3291">
        <v>-84.11549248</v>
      </c>
      <c r="L3291" t="s">
        <v>1225</v>
      </c>
      <c r="M3291" t="s">
        <v>27</v>
      </c>
      <c r="N3291" t="s">
        <v>28</v>
      </c>
      <c r="O3291" t="s">
        <v>29</v>
      </c>
      <c r="P3291">
        <v>13</v>
      </c>
      <c r="Q3291" t="s">
        <v>161</v>
      </c>
      <c r="S3291" t="str">
        <f>_xlfn.XLOOKUP(UNIVERSO[[#This Row],[Ruta]],'[1]CUOTA RUTA'!A:A,'[1]CUOTA RUTA'!D:D)</f>
        <v>Cargar</v>
      </c>
    </row>
    <row r="3292" spans="1:19" x14ac:dyDescent="0.25">
      <c r="A3292">
        <v>1540030803</v>
      </c>
      <c r="B3292" t="s">
        <v>6510</v>
      </c>
      <c r="C3292" t="s">
        <v>19</v>
      </c>
      <c r="D3292" t="s">
        <v>32</v>
      </c>
      <c r="E3292" t="s">
        <v>21</v>
      </c>
      <c r="F3292" t="s">
        <v>22</v>
      </c>
      <c r="G3292" t="s">
        <v>64</v>
      </c>
      <c r="H3292" t="s">
        <v>76</v>
      </c>
      <c r="I3292" t="s">
        <v>6511</v>
      </c>
      <c r="J3292">
        <v>9.9494000000000007</v>
      </c>
      <c r="K3292">
        <v>-84.022120000000001</v>
      </c>
      <c r="L3292" t="s">
        <v>1225</v>
      </c>
      <c r="M3292" t="s">
        <v>36</v>
      </c>
      <c r="N3292" t="s">
        <v>37</v>
      </c>
      <c r="O3292" t="s">
        <v>38</v>
      </c>
      <c r="P3292">
        <v>9</v>
      </c>
      <c r="Q3292" t="s">
        <v>80</v>
      </c>
      <c r="S3292" t="str">
        <f>_xlfn.XLOOKUP(UNIVERSO[[#This Row],[Ruta]],'[1]CUOTA RUTA'!A:A,'[1]CUOTA RUTA'!D:D)</f>
        <v>Cargar</v>
      </c>
    </row>
    <row r="3293" spans="1:19" x14ac:dyDescent="0.25">
      <c r="A3293">
        <v>1540030839</v>
      </c>
      <c r="B3293" t="s">
        <v>6512</v>
      </c>
      <c r="C3293" t="s">
        <v>19</v>
      </c>
      <c r="D3293" t="s">
        <v>32</v>
      </c>
      <c r="E3293" t="s">
        <v>21</v>
      </c>
      <c r="F3293" t="s">
        <v>22</v>
      </c>
      <c r="G3293" t="s">
        <v>33</v>
      </c>
      <c r="H3293" t="s">
        <v>174</v>
      </c>
      <c r="I3293" t="s">
        <v>6513</v>
      </c>
      <c r="J3293">
        <v>9.9373280000000008</v>
      </c>
      <c r="K3293">
        <v>-84.079667999999998</v>
      </c>
      <c r="L3293" t="s">
        <v>1225</v>
      </c>
      <c r="M3293" t="s">
        <v>71</v>
      </c>
      <c r="N3293" t="s">
        <v>72</v>
      </c>
      <c r="O3293" t="s">
        <v>73</v>
      </c>
      <c r="P3293">
        <v>2</v>
      </c>
      <c r="Q3293" t="s">
        <v>150</v>
      </c>
      <c r="S3293" t="str">
        <f>_xlfn.XLOOKUP(UNIVERSO[[#This Row],[Ruta]],'[1]CUOTA RUTA'!A:A,'[1]CUOTA RUTA'!D:D)</f>
        <v>Cargar</v>
      </c>
    </row>
    <row r="3294" spans="1:19" x14ac:dyDescent="0.25">
      <c r="A3294">
        <v>1540030845</v>
      </c>
      <c r="B3294" t="s">
        <v>6514</v>
      </c>
      <c r="C3294" t="s">
        <v>19</v>
      </c>
      <c r="D3294" t="s">
        <v>244</v>
      </c>
      <c r="E3294" t="s">
        <v>21</v>
      </c>
      <c r="F3294" t="s">
        <v>22</v>
      </c>
      <c r="G3294" t="s">
        <v>64</v>
      </c>
      <c r="H3294" t="s">
        <v>566</v>
      </c>
      <c r="I3294" t="s">
        <v>5581</v>
      </c>
      <c r="J3294">
        <v>9.1724428000000007</v>
      </c>
      <c r="K3294">
        <v>-83.3344132</v>
      </c>
      <c r="L3294" t="s">
        <v>1225</v>
      </c>
      <c r="M3294" t="s">
        <v>46</v>
      </c>
      <c r="N3294" t="s">
        <v>247</v>
      </c>
      <c r="O3294" t="s">
        <v>248</v>
      </c>
      <c r="P3294">
        <v>12</v>
      </c>
      <c r="Q3294" t="s">
        <v>42</v>
      </c>
      <c r="S3294" t="str">
        <f>_xlfn.XLOOKUP(UNIVERSO[[#This Row],[Ruta]],'[1]CUOTA RUTA'!A:A,'[1]CUOTA RUTA'!D:D)</f>
        <v>Cargar</v>
      </c>
    </row>
    <row r="3295" spans="1:19" x14ac:dyDescent="0.25">
      <c r="A3295">
        <v>1540030887</v>
      </c>
      <c r="B3295" t="s">
        <v>6515</v>
      </c>
      <c r="C3295" t="s">
        <v>19</v>
      </c>
      <c r="D3295" t="s">
        <v>244</v>
      </c>
      <c r="E3295" t="s">
        <v>21</v>
      </c>
      <c r="F3295" t="s">
        <v>22</v>
      </c>
      <c r="G3295" t="s">
        <v>64</v>
      </c>
      <c r="H3295" t="s">
        <v>566</v>
      </c>
      <c r="I3295" t="s">
        <v>6516</v>
      </c>
      <c r="J3295">
        <v>9.1700149999999994</v>
      </c>
      <c r="K3295">
        <v>-83.331460399999997</v>
      </c>
      <c r="L3295" t="s">
        <v>1225</v>
      </c>
      <c r="M3295" t="s">
        <v>46</v>
      </c>
      <c r="N3295" t="s">
        <v>247</v>
      </c>
      <c r="O3295" t="s">
        <v>248</v>
      </c>
      <c r="P3295">
        <v>12</v>
      </c>
      <c r="Q3295" t="s">
        <v>42</v>
      </c>
      <c r="S3295" t="str">
        <f>_xlfn.XLOOKUP(UNIVERSO[[#This Row],[Ruta]],'[1]CUOTA RUTA'!A:A,'[1]CUOTA RUTA'!D:D)</f>
        <v>Cargar</v>
      </c>
    </row>
    <row r="3296" spans="1:19" x14ac:dyDescent="0.25">
      <c r="A3296">
        <v>1540030894</v>
      </c>
      <c r="B3296" t="s">
        <v>6517</v>
      </c>
      <c r="C3296" t="s">
        <v>19</v>
      </c>
      <c r="D3296" t="s">
        <v>208</v>
      </c>
      <c r="E3296" t="s">
        <v>21</v>
      </c>
      <c r="F3296" t="s">
        <v>22</v>
      </c>
      <c r="G3296" t="s">
        <v>33</v>
      </c>
      <c r="H3296" t="s">
        <v>417</v>
      </c>
      <c r="I3296" t="s">
        <v>6518</v>
      </c>
      <c r="J3296">
        <v>10.20975</v>
      </c>
      <c r="K3296">
        <v>-83.741335000000007</v>
      </c>
      <c r="L3296" t="s">
        <v>1225</v>
      </c>
      <c r="M3296" t="s">
        <v>189</v>
      </c>
      <c r="N3296" t="s">
        <v>211</v>
      </c>
      <c r="O3296" t="s">
        <v>212</v>
      </c>
      <c r="P3296">
        <v>6</v>
      </c>
      <c r="Q3296" t="s">
        <v>49</v>
      </c>
      <c r="S3296" t="str">
        <f>_xlfn.XLOOKUP(UNIVERSO[[#This Row],[Ruta]],'[1]CUOTA RUTA'!A:A,'[1]CUOTA RUTA'!D:D)</f>
        <v>Cargar</v>
      </c>
    </row>
    <row r="3297" spans="1:19" x14ac:dyDescent="0.25">
      <c r="A3297">
        <v>1540030980</v>
      </c>
      <c r="B3297" t="s">
        <v>6519</v>
      </c>
      <c r="C3297" t="s">
        <v>19</v>
      </c>
      <c r="D3297" t="s">
        <v>20</v>
      </c>
      <c r="E3297" t="s">
        <v>21</v>
      </c>
      <c r="F3297" t="s">
        <v>22</v>
      </c>
      <c r="G3297" t="s">
        <v>64</v>
      </c>
      <c r="H3297" t="s">
        <v>280</v>
      </c>
      <c r="I3297" t="s">
        <v>6520</v>
      </c>
      <c r="J3297">
        <v>10.0182</v>
      </c>
      <c r="K3297">
        <v>-84.216390000000004</v>
      </c>
      <c r="L3297" t="s">
        <v>1225</v>
      </c>
      <c r="M3297" t="s">
        <v>54</v>
      </c>
      <c r="N3297" t="s">
        <v>55</v>
      </c>
      <c r="O3297" t="s">
        <v>56</v>
      </c>
      <c r="P3297">
        <v>1</v>
      </c>
      <c r="Q3297" t="s">
        <v>155</v>
      </c>
      <c r="S3297" t="str">
        <f>_xlfn.XLOOKUP(UNIVERSO[[#This Row],[Ruta]],'[1]CUOTA RUTA'!A:A,'[1]CUOTA RUTA'!D:D)</f>
        <v>Cargar</v>
      </c>
    </row>
    <row r="3298" spans="1:19" x14ac:dyDescent="0.25">
      <c r="A3298">
        <v>1540030981</v>
      </c>
      <c r="B3298" t="s">
        <v>6521</v>
      </c>
      <c r="C3298" t="s">
        <v>19</v>
      </c>
      <c r="D3298" t="s">
        <v>20</v>
      </c>
      <c r="E3298" t="s">
        <v>21</v>
      </c>
      <c r="F3298" t="s">
        <v>22</v>
      </c>
      <c r="G3298" t="s">
        <v>23</v>
      </c>
      <c r="H3298" t="s">
        <v>263</v>
      </c>
      <c r="I3298" t="s">
        <v>6522</v>
      </c>
      <c r="J3298">
        <v>10.09916394</v>
      </c>
      <c r="K3298">
        <v>-84.381394889999996</v>
      </c>
      <c r="L3298" t="s">
        <v>1225</v>
      </c>
      <c r="M3298" t="s">
        <v>46</v>
      </c>
      <c r="N3298" t="s">
        <v>47</v>
      </c>
      <c r="O3298" t="s">
        <v>48</v>
      </c>
      <c r="P3298">
        <v>1</v>
      </c>
      <c r="Q3298" t="s">
        <v>155</v>
      </c>
      <c r="S3298" t="str">
        <f>_xlfn.XLOOKUP(UNIVERSO[[#This Row],[Ruta]],'[1]CUOTA RUTA'!A:A,'[1]CUOTA RUTA'!D:D)</f>
        <v>Cargar</v>
      </c>
    </row>
    <row r="3299" spans="1:19" x14ac:dyDescent="0.25">
      <c r="A3299">
        <v>1540030996</v>
      </c>
      <c r="B3299" t="s">
        <v>6523</v>
      </c>
      <c r="C3299" t="s">
        <v>19</v>
      </c>
      <c r="D3299" t="s">
        <v>20</v>
      </c>
      <c r="E3299" t="s">
        <v>21</v>
      </c>
      <c r="F3299" t="s">
        <v>22</v>
      </c>
      <c r="G3299" t="s">
        <v>64</v>
      </c>
      <c r="H3299" t="s">
        <v>369</v>
      </c>
      <c r="I3299" t="s">
        <v>6524</v>
      </c>
      <c r="J3299">
        <v>10.03273059</v>
      </c>
      <c r="K3299">
        <v>-84.133078409999996</v>
      </c>
      <c r="L3299" t="s">
        <v>1225</v>
      </c>
      <c r="M3299" t="s">
        <v>27</v>
      </c>
      <c r="N3299" t="s">
        <v>28</v>
      </c>
      <c r="O3299" t="s">
        <v>29</v>
      </c>
      <c r="P3299">
        <v>21</v>
      </c>
      <c r="Q3299" t="s">
        <v>239</v>
      </c>
      <c r="S3299" t="str">
        <f>_xlfn.XLOOKUP(UNIVERSO[[#This Row],[Ruta]],'[1]CUOTA RUTA'!A:A,'[1]CUOTA RUTA'!D:D)</f>
        <v>Cargar</v>
      </c>
    </row>
    <row r="3300" spans="1:19" x14ac:dyDescent="0.25">
      <c r="A3300">
        <v>1540031041</v>
      </c>
      <c r="B3300" t="s">
        <v>6525</v>
      </c>
      <c r="C3300" t="s">
        <v>19</v>
      </c>
      <c r="D3300" t="s">
        <v>324</v>
      </c>
      <c r="E3300" t="s">
        <v>21</v>
      </c>
      <c r="F3300" t="s">
        <v>22</v>
      </c>
      <c r="G3300" t="s">
        <v>33</v>
      </c>
      <c r="H3300" t="s">
        <v>325</v>
      </c>
      <c r="I3300" t="s">
        <v>6526</v>
      </c>
      <c r="J3300">
        <v>10.359724999999999</v>
      </c>
      <c r="K3300">
        <v>-84.509136999999996</v>
      </c>
      <c r="L3300" t="s">
        <v>1225</v>
      </c>
      <c r="M3300" t="s">
        <v>327</v>
      </c>
      <c r="N3300" t="s">
        <v>328</v>
      </c>
      <c r="O3300" t="s">
        <v>329</v>
      </c>
      <c r="P3300">
        <v>14</v>
      </c>
      <c r="Q3300" t="s">
        <v>181</v>
      </c>
      <c r="S3300" t="str">
        <f>_xlfn.XLOOKUP(UNIVERSO[[#This Row],[Ruta]],'[1]CUOTA RUTA'!A:A,'[1]CUOTA RUTA'!D:D)</f>
        <v>Cargar</v>
      </c>
    </row>
    <row r="3301" spans="1:19" x14ac:dyDescent="0.25">
      <c r="A3301">
        <v>1540031053</v>
      </c>
      <c r="B3301" t="s">
        <v>6527</v>
      </c>
      <c r="C3301" t="s">
        <v>19</v>
      </c>
      <c r="D3301" t="s">
        <v>208</v>
      </c>
      <c r="E3301" t="s">
        <v>21</v>
      </c>
      <c r="F3301" t="s">
        <v>22</v>
      </c>
      <c r="G3301" t="s">
        <v>64</v>
      </c>
      <c r="H3301" t="s">
        <v>502</v>
      </c>
      <c r="I3301" t="s">
        <v>6528</v>
      </c>
      <c r="J3301">
        <v>10.378408</v>
      </c>
      <c r="K3301">
        <v>-83.750763000000006</v>
      </c>
      <c r="L3301" t="s">
        <v>1225</v>
      </c>
      <c r="M3301" t="s">
        <v>189</v>
      </c>
      <c r="N3301" t="s">
        <v>211</v>
      </c>
      <c r="O3301" t="s">
        <v>212</v>
      </c>
      <c r="P3301">
        <v>1</v>
      </c>
      <c r="Q3301" t="s">
        <v>155</v>
      </c>
      <c r="S3301" t="str">
        <f>_xlfn.XLOOKUP(UNIVERSO[[#This Row],[Ruta]],'[1]CUOTA RUTA'!A:A,'[1]CUOTA RUTA'!D:D)</f>
        <v>Cargar</v>
      </c>
    </row>
    <row r="3302" spans="1:19" x14ac:dyDescent="0.25">
      <c r="A3302">
        <v>1540031079</v>
      </c>
      <c r="B3302" t="s">
        <v>6529</v>
      </c>
      <c r="C3302" t="s">
        <v>19</v>
      </c>
      <c r="D3302" t="s">
        <v>244</v>
      </c>
      <c r="E3302" t="s">
        <v>21</v>
      </c>
      <c r="F3302" t="s">
        <v>22</v>
      </c>
      <c r="G3302" t="s">
        <v>33</v>
      </c>
      <c r="H3302" t="s">
        <v>1233</v>
      </c>
      <c r="I3302" t="s">
        <v>6530</v>
      </c>
      <c r="J3302">
        <v>9.3357480000000006</v>
      </c>
      <c r="K3302">
        <v>-83.670910000000006</v>
      </c>
      <c r="L3302" t="s">
        <v>1225</v>
      </c>
      <c r="M3302" t="s">
        <v>46</v>
      </c>
      <c r="N3302" t="s">
        <v>247</v>
      </c>
      <c r="O3302" t="s">
        <v>248</v>
      </c>
      <c r="P3302">
        <v>15</v>
      </c>
      <c r="Q3302" t="s">
        <v>231</v>
      </c>
      <c r="S3302" t="str">
        <f>_xlfn.XLOOKUP(UNIVERSO[[#This Row],[Ruta]],'[1]CUOTA RUTA'!A:A,'[1]CUOTA RUTA'!D:D)</f>
        <v>Cargar</v>
      </c>
    </row>
    <row r="3303" spans="1:19" x14ac:dyDescent="0.25">
      <c r="A3303">
        <v>1540031094</v>
      </c>
      <c r="B3303" t="s">
        <v>6531</v>
      </c>
      <c r="C3303" t="s">
        <v>19</v>
      </c>
      <c r="D3303" t="s">
        <v>201</v>
      </c>
      <c r="E3303" t="s">
        <v>21</v>
      </c>
      <c r="F3303" t="s">
        <v>22</v>
      </c>
      <c r="G3303" t="s">
        <v>33</v>
      </c>
      <c r="H3303" t="s">
        <v>491</v>
      </c>
      <c r="I3303" t="s">
        <v>6532</v>
      </c>
      <c r="J3303">
        <v>9.6644545999999991</v>
      </c>
      <c r="K3303">
        <v>-84.640739499999995</v>
      </c>
      <c r="L3303" t="s">
        <v>1225</v>
      </c>
      <c r="M3303" t="s">
        <v>204</v>
      </c>
      <c r="N3303" t="s">
        <v>205</v>
      </c>
      <c r="O3303" t="s">
        <v>206</v>
      </c>
      <c r="P3303">
        <v>4</v>
      </c>
      <c r="Q3303" t="s">
        <v>120</v>
      </c>
      <c r="S3303" t="str">
        <f>_xlfn.XLOOKUP(UNIVERSO[[#This Row],[Ruta]],'[1]CUOTA RUTA'!A:A,'[1]CUOTA RUTA'!D:D)</f>
        <v>Cargar</v>
      </c>
    </row>
    <row r="3304" spans="1:19" x14ac:dyDescent="0.25">
      <c r="A3304">
        <v>1540031118</v>
      </c>
      <c r="B3304" t="s">
        <v>6533</v>
      </c>
      <c r="C3304" t="s">
        <v>19</v>
      </c>
      <c r="D3304" t="s">
        <v>20</v>
      </c>
      <c r="E3304" t="s">
        <v>21</v>
      </c>
      <c r="F3304" t="s">
        <v>22</v>
      </c>
      <c r="G3304" t="s">
        <v>23</v>
      </c>
      <c r="H3304" t="s">
        <v>308</v>
      </c>
      <c r="I3304" t="s">
        <v>6534</v>
      </c>
      <c r="J3304">
        <v>9.8760379999999994</v>
      </c>
      <c r="K3304">
        <v>-84.446083999999999</v>
      </c>
      <c r="L3304" t="s">
        <v>1225</v>
      </c>
      <c r="M3304" t="s">
        <v>54</v>
      </c>
      <c r="N3304" t="s">
        <v>55</v>
      </c>
      <c r="O3304" t="s">
        <v>56</v>
      </c>
      <c r="P3304">
        <v>21</v>
      </c>
      <c r="Q3304" t="s">
        <v>239</v>
      </c>
      <c r="S3304" t="str">
        <f>_xlfn.XLOOKUP(UNIVERSO[[#This Row],[Ruta]],'[1]CUOTA RUTA'!A:A,'[1]CUOTA RUTA'!D:D)</f>
        <v>Cargar</v>
      </c>
    </row>
    <row r="3305" spans="1:19" x14ac:dyDescent="0.25">
      <c r="A3305">
        <v>1540031151</v>
      </c>
      <c r="B3305" t="s">
        <v>6535</v>
      </c>
      <c r="C3305" t="s">
        <v>19</v>
      </c>
      <c r="D3305" t="s">
        <v>266</v>
      </c>
      <c r="E3305" t="s">
        <v>21</v>
      </c>
      <c r="F3305" t="s">
        <v>22</v>
      </c>
      <c r="G3305" t="s">
        <v>33</v>
      </c>
      <c r="H3305" t="s">
        <v>321</v>
      </c>
      <c r="I3305" t="s">
        <v>6536</v>
      </c>
      <c r="J3305">
        <v>9.7933918310819994</v>
      </c>
      <c r="K3305">
        <v>-83.852300806900004</v>
      </c>
      <c r="L3305" t="s">
        <v>1225</v>
      </c>
      <c r="M3305" t="s">
        <v>54</v>
      </c>
      <c r="N3305" t="s">
        <v>274</v>
      </c>
      <c r="O3305" t="s">
        <v>275</v>
      </c>
      <c r="P3305">
        <v>23</v>
      </c>
      <c r="Q3305" t="s">
        <v>125</v>
      </c>
      <c r="S3305" t="str">
        <f>_xlfn.XLOOKUP(UNIVERSO[[#This Row],[Ruta]],'[1]CUOTA RUTA'!A:A,'[1]CUOTA RUTA'!D:D)</f>
        <v>Cargar</v>
      </c>
    </row>
    <row r="3306" spans="1:19" x14ac:dyDescent="0.25">
      <c r="A3306">
        <v>1540031180</v>
      </c>
      <c r="B3306" t="s">
        <v>6537</v>
      </c>
      <c r="C3306" t="s">
        <v>19</v>
      </c>
      <c r="D3306" t="s">
        <v>20</v>
      </c>
      <c r="E3306" t="s">
        <v>21</v>
      </c>
      <c r="F3306" t="s">
        <v>22</v>
      </c>
      <c r="G3306" t="s">
        <v>33</v>
      </c>
      <c r="H3306" t="s">
        <v>1021</v>
      </c>
      <c r="I3306" t="s">
        <v>6538</v>
      </c>
      <c r="J3306">
        <v>10.114055199999999</v>
      </c>
      <c r="K3306">
        <v>-84.216953099999998</v>
      </c>
      <c r="L3306" t="s">
        <v>1225</v>
      </c>
      <c r="M3306" t="s">
        <v>46</v>
      </c>
      <c r="N3306" t="s">
        <v>47</v>
      </c>
      <c r="O3306" t="s">
        <v>48</v>
      </c>
      <c r="P3306">
        <v>12</v>
      </c>
      <c r="Q3306" t="s">
        <v>42</v>
      </c>
      <c r="S3306" t="str">
        <f>_xlfn.XLOOKUP(UNIVERSO[[#This Row],[Ruta]],'[1]CUOTA RUTA'!A:A,'[1]CUOTA RUTA'!D:D)</f>
        <v>Cargar</v>
      </c>
    </row>
    <row r="3307" spans="1:19" x14ac:dyDescent="0.25">
      <c r="A3307">
        <v>1540031227</v>
      </c>
      <c r="B3307" t="s">
        <v>6539</v>
      </c>
      <c r="C3307" t="s">
        <v>19</v>
      </c>
      <c r="D3307" t="s">
        <v>20</v>
      </c>
      <c r="E3307" t="s">
        <v>21</v>
      </c>
      <c r="F3307" t="s">
        <v>22</v>
      </c>
      <c r="G3307" t="s">
        <v>64</v>
      </c>
      <c r="H3307" t="s">
        <v>143</v>
      </c>
      <c r="I3307" t="s">
        <v>6540</v>
      </c>
      <c r="J3307">
        <v>9.9504199999999994</v>
      </c>
      <c r="K3307">
        <v>-84.113349999999997</v>
      </c>
      <c r="L3307" t="s">
        <v>1225</v>
      </c>
      <c r="M3307" t="s">
        <v>27</v>
      </c>
      <c r="N3307" t="s">
        <v>28</v>
      </c>
      <c r="O3307" t="s">
        <v>29</v>
      </c>
      <c r="P3307">
        <v>10</v>
      </c>
      <c r="Q3307" t="s">
        <v>136</v>
      </c>
      <c r="S3307" t="str">
        <f>_xlfn.XLOOKUP(UNIVERSO[[#This Row],[Ruta]],'[1]CUOTA RUTA'!A:A,'[1]CUOTA RUTA'!D:D)</f>
        <v>Cargar</v>
      </c>
    </row>
    <row r="3308" spans="1:19" x14ac:dyDescent="0.25">
      <c r="A3308">
        <v>1540031234</v>
      </c>
      <c r="B3308" t="s">
        <v>6458</v>
      </c>
      <c r="C3308" t="s">
        <v>19</v>
      </c>
      <c r="D3308" t="s">
        <v>349</v>
      </c>
      <c r="E3308" t="s">
        <v>21</v>
      </c>
      <c r="F3308" t="s">
        <v>51</v>
      </c>
      <c r="G3308" t="s">
        <v>23</v>
      </c>
      <c r="H3308" t="s">
        <v>359</v>
      </c>
      <c r="I3308" t="s">
        <v>6541</v>
      </c>
      <c r="J3308">
        <v>10.028009000000001</v>
      </c>
      <c r="K3308">
        <v>-85.233506000000006</v>
      </c>
      <c r="L3308" t="s">
        <v>1225</v>
      </c>
      <c r="M3308" t="s">
        <v>352</v>
      </c>
      <c r="N3308" t="s">
        <v>353</v>
      </c>
      <c r="O3308" t="s">
        <v>354</v>
      </c>
      <c r="P3308">
        <v>11</v>
      </c>
      <c r="Q3308" t="s">
        <v>108</v>
      </c>
      <c r="S3308" t="str">
        <f>_xlfn.XLOOKUP(UNIVERSO[[#This Row],[Ruta]],'[1]CUOTA RUTA'!A:A,'[1]CUOTA RUTA'!D:D)</f>
        <v>Cargar</v>
      </c>
    </row>
    <row r="3309" spans="1:19" x14ac:dyDescent="0.25">
      <c r="A3309">
        <v>1540031246</v>
      </c>
      <c r="B3309" t="s">
        <v>6542</v>
      </c>
      <c r="C3309" t="s">
        <v>19</v>
      </c>
      <c r="D3309" t="s">
        <v>32</v>
      </c>
      <c r="E3309" t="s">
        <v>21</v>
      </c>
      <c r="F3309" t="s">
        <v>22</v>
      </c>
      <c r="G3309" t="s">
        <v>23</v>
      </c>
      <c r="H3309" t="s">
        <v>34</v>
      </c>
      <c r="I3309" t="s">
        <v>6543</v>
      </c>
      <c r="J3309">
        <v>9.9115850000000005</v>
      </c>
      <c r="K3309">
        <v>-84.040846999999999</v>
      </c>
      <c r="L3309" t="s">
        <v>1225</v>
      </c>
      <c r="M3309" t="s">
        <v>36</v>
      </c>
      <c r="N3309" t="s">
        <v>37</v>
      </c>
      <c r="O3309" t="s">
        <v>38</v>
      </c>
      <c r="P3309">
        <v>11</v>
      </c>
      <c r="Q3309" t="s">
        <v>108</v>
      </c>
      <c r="S3309" t="str">
        <f>_xlfn.XLOOKUP(UNIVERSO[[#This Row],[Ruta]],'[1]CUOTA RUTA'!A:A,'[1]CUOTA RUTA'!D:D)</f>
        <v>Cargar</v>
      </c>
    </row>
    <row r="3310" spans="1:19" x14ac:dyDescent="0.25">
      <c r="A3310">
        <v>1540031362</v>
      </c>
      <c r="B3310" t="s">
        <v>6544</v>
      </c>
      <c r="C3310" t="s">
        <v>19</v>
      </c>
      <c r="D3310" t="s">
        <v>208</v>
      </c>
      <c r="E3310" t="s">
        <v>62</v>
      </c>
      <c r="F3310" t="s">
        <v>63</v>
      </c>
      <c r="G3310" t="s">
        <v>33</v>
      </c>
      <c r="H3310" t="s">
        <v>631</v>
      </c>
      <c r="I3310" t="s">
        <v>6545</v>
      </c>
      <c r="J3310">
        <v>10.0991</v>
      </c>
      <c r="K3310">
        <v>-83.432599999999994</v>
      </c>
      <c r="L3310" t="s">
        <v>1225</v>
      </c>
      <c r="M3310" t="s">
        <v>189</v>
      </c>
      <c r="N3310" t="s">
        <v>211</v>
      </c>
      <c r="O3310" t="s">
        <v>212</v>
      </c>
      <c r="P3310">
        <v>8</v>
      </c>
      <c r="Q3310" t="s">
        <v>97</v>
      </c>
      <c r="S3310" t="str">
        <f>_xlfn.XLOOKUP(UNIVERSO[[#This Row],[Ruta]],'[1]CUOTA RUTA'!A:A,'[1]CUOTA RUTA'!D:D)</f>
        <v>Cargar</v>
      </c>
    </row>
    <row r="3311" spans="1:19" x14ac:dyDescent="0.25">
      <c r="A3311">
        <v>1540031407</v>
      </c>
      <c r="B3311" t="s">
        <v>6546</v>
      </c>
      <c r="C3311" t="s">
        <v>19</v>
      </c>
      <c r="D3311" t="s">
        <v>208</v>
      </c>
      <c r="E3311" t="s">
        <v>21</v>
      </c>
      <c r="F3311" t="s">
        <v>22</v>
      </c>
      <c r="G3311" t="s">
        <v>23</v>
      </c>
      <c r="H3311" t="s">
        <v>417</v>
      </c>
      <c r="I3311" t="s">
        <v>6547</v>
      </c>
      <c r="J3311">
        <v>10.210672000000001</v>
      </c>
      <c r="K3311">
        <v>-83.789658000000003</v>
      </c>
      <c r="L3311" t="s">
        <v>1225</v>
      </c>
      <c r="M3311" t="s">
        <v>189</v>
      </c>
      <c r="N3311" t="s">
        <v>211</v>
      </c>
      <c r="O3311" t="s">
        <v>212</v>
      </c>
      <c r="P3311">
        <v>4</v>
      </c>
      <c r="Q3311" t="s">
        <v>120</v>
      </c>
      <c r="S3311" t="str">
        <f>_xlfn.XLOOKUP(UNIVERSO[[#This Row],[Ruta]],'[1]CUOTA RUTA'!A:A,'[1]CUOTA RUTA'!D:D)</f>
        <v>Cargar</v>
      </c>
    </row>
    <row r="3312" spans="1:19" x14ac:dyDescent="0.25">
      <c r="A3312">
        <v>1540031431</v>
      </c>
      <c r="B3312" t="s">
        <v>6548</v>
      </c>
      <c r="C3312" t="s">
        <v>19</v>
      </c>
      <c r="D3312" t="s">
        <v>244</v>
      </c>
      <c r="E3312" t="s">
        <v>21</v>
      </c>
      <c r="F3312" t="s">
        <v>22</v>
      </c>
      <c r="G3312" t="s">
        <v>64</v>
      </c>
      <c r="H3312" t="s">
        <v>436</v>
      </c>
      <c r="I3312" t="s">
        <v>6549</v>
      </c>
      <c r="J3312">
        <v>9.4718590000000003</v>
      </c>
      <c r="K3312">
        <v>-84.059522999999999</v>
      </c>
      <c r="L3312" t="s">
        <v>1225</v>
      </c>
      <c r="M3312" t="s">
        <v>46</v>
      </c>
      <c r="N3312" t="s">
        <v>247</v>
      </c>
      <c r="O3312" t="s">
        <v>248</v>
      </c>
      <c r="P3312">
        <v>20</v>
      </c>
      <c r="Q3312" t="s">
        <v>74</v>
      </c>
      <c r="S3312" t="str">
        <f>_xlfn.XLOOKUP(UNIVERSO[[#This Row],[Ruta]],'[1]CUOTA RUTA'!A:A,'[1]CUOTA RUTA'!D:D)</f>
        <v>Cargar</v>
      </c>
    </row>
    <row r="3313" spans="1:19" x14ac:dyDescent="0.25">
      <c r="A3313">
        <v>1540031432</v>
      </c>
      <c r="B3313" t="s">
        <v>766</v>
      </c>
      <c r="C3313" t="s">
        <v>19</v>
      </c>
      <c r="D3313" t="s">
        <v>324</v>
      </c>
      <c r="E3313" t="s">
        <v>21</v>
      </c>
      <c r="F3313" t="s">
        <v>22</v>
      </c>
      <c r="G3313" t="s">
        <v>33</v>
      </c>
      <c r="H3313" t="s">
        <v>557</v>
      </c>
      <c r="I3313" t="s">
        <v>6550</v>
      </c>
      <c r="J3313">
        <v>10.476606</v>
      </c>
      <c r="K3313">
        <v>-84.644315000000006</v>
      </c>
      <c r="L3313" t="s">
        <v>1225</v>
      </c>
      <c r="M3313" t="s">
        <v>327</v>
      </c>
      <c r="N3313" t="s">
        <v>328</v>
      </c>
      <c r="O3313" t="s">
        <v>329</v>
      </c>
      <c r="P3313">
        <v>21</v>
      </c>
      <c r="Q3313" t="s">
        <v>239</v>
      </c>
      <c r="S3313" t="str">
        <f>_xlfn.XLOOKUP(UNIVERSO[[#This Row],[Ruta]],'[1]CUOTA RUTA'!A:A,'[1]CUOTA RUTA'!D:D)</f>
        <v>Cargar</v>
      </c>
    </row>
    <row r="3314" spans="1:19" x14ac:dyDescent="0.25">
      <c r="A3314">
        <v>1540031477</v>
      </c>
      <c r="B3314" t="s">
        <v>6551</v>
      </c>
      <c r="C3314" t="s">
        <v>19</v>
      </c>
      <c r="D3314" t="s">
        <v>20</v>
      </c>
      <c r="E3314" t="s">
        <v>21</v>
      </c>
      <c r="F3314" t="s">
        <v>22</v>
      </c>
      <c r="G3314" t="s">
        <v>64</v>
      </c>
      <c r="H3314" t="s">
        <v>280</v>
      </c>
      <c r="I3314" t="s">
        <v>6552</v>
      </c>
      <c r="J3314">
        <v>10.0213717</v>
      </c>
      <c r="K3314">
        <v>-84.224526699999998</v>
      </c>
      <c r="L3314" t="s">
        <v>1225</v>
      </c>
      <c r="M3314" t="s">
        <v>54</v>
      </c>
      <c r="N3314" t="s">
        <v>55</v>
      </c>
      <c r="O3314" t="s">
        <v>56</v>
      </c>
      <c r="P3314">
        <v>2</v>
      </c>
      <c r="Q3314" t="s">
        <v>150</v>
      </c>
      <c r="S3314" t="str">
        <f>_xlfn.XLOOKUP(UNIVERSO[[#This Row],[Ruta]],'[1]CUOTA RUTA'!A:A,'[1]CUOTA RUTA'!D:D)</f>
        <v>Cargar</v>
      </c>
    </row>
    <row r="3315" spans="1:19" x14ac:dyDescent="0.25">
      <c r="A3315">
        <v>1540031545</v>
      </c>
      <c r="B3315" t="s">
        <v>6553</v>
      </c>
      <c r="C3315" t="s">
        <v>19</v>
      </c>
      <c r="D3315" t="s">
        <v>186</v>
      </c>
      <c r="E3315" t="s">
        <v>21</v>
      </c>
      <c r="F3315" t="s">
        <v>22</v>
      </c>
      <c r="G3315" t="s">
        <v>64</v>
      </c>
      <c r="H3315" t="s">
        <v>187</v>
      </c>
      <c r="I3315" t="s">
        <v>6554</v>
      </c>
      <c r="J3315">
        <v>10.000515</v>
      </c>
      <c r="K3315">
        <v>-83.048435999999995</v>
      </c>
      <c r="L3315" t="s">
        <v>1225</v>
      </c>
      <c r="M3315" t="s">
        <v>189</v>
      </c>
      <c r="N3315" t="s">
        <v>190</v>
      </c>
      <c r="O3315" t="s">
        <v>191</v>
      </c>
      <c r="P3315">
        <v>13</v>
      </c>
      <c r="Q3315" t="s">
        <v>161</v>
      </c>
      <c r="S3315" t="str">
        <f>_xlfn.XLOOKUP(UNIVERSO[[#This Row],[Ruta]],'[1]CUOTA RUTA'!A:A,'[1]CUOTA RUTA'!D:D)</f>
        <v>Cargar</v>
      </c>
    </row>
    <row r="3316" spans="1:19" x14ac:dyDescent="0.25">
      <c r="A3316">
        <v>1540031559</v>
      </c>
      <c r="B3316" t="s">
        <v>6555</v>
      </c>
      <c r="C3316" t="s">
        <v>19</v>
      </c>
      <c r="D3316" t="s">
        <v>266</v>
      </c>
      <c r="E3316" t="s">
        <v>21</v>
      </c>
      <c r="F3316" t="s">
        <v>22</v>
      </c>
      <c r="G3316" t="s">
        <v>23</v>
      </c>
      <c r="H3316" t="s">
        <v>314</v>
      </c>
      <c r="I3316" t="s">
        <v>6556</v>
      </c>
      <c r="J3316">
        <v>9.8771149999999999</v>
      </c>
      <c r="K3316">
        <v>-83.933970000000002</v>
      </c>
      <c r="L3316" t="s">
        <v>1225</v>
      </c>
      <c r="M3316" t="s">
        <v>36</v>
      </c>
      <c r="N3316" t="s">
        <v>316</v>
      </c>
      <c r="O3316" t="s">
        <v>317</v>
      </c>
      <c r="P3316">
        <v>21</v>
      </c>
      <c r="Q3316" t="s">
        <v>239</v>
      </c>
      <c r="S3316" t="str">
        <f>_xlfn.XLOOKUP(UNIVERSO[[#This Row],[Ruta]],'[1]CUOTA RUTA'!A:A,'[1]CUOTA RUTA'!D:D)</f>
        <v>Cargar</v>
      </c>
    </row>
    <row r="3317" spans="1:19" x14ac:dyDescent="0.25">
      <c r="A3317">
        <v>1540031571</v>
      </c>
      <c r="B3317" t="s">
        <v>6557</v>
      </c>
      <c r="C3317" t="s">
        <v>19</v>
      </c>
      <c r="D3317" t="s">
        <v>208</v>
      </c>
      <c r="E3317" t="s">
        <v>21</v>
      </c>
      <c r="F3317" t="s">
        <v>22</v>
      </c>
      <c r="G3317" t="s">
        <v>64</v>
      </c>
      <c r="H3317" t="s">
        <v>417</v>
      </c>
      <c r="I3317" t="s">
        <v>6558</v>
      </c>
      <c r="J3317">
        <v>10.218195</v>
      </c>
      <c r="K3317">
        <v>-83.765906999999999</v>
      </c>
      <c r="L3317" t="s">
        <v>1225</v>
      </c>
      <c r="M3317" t="s">
        <v>189</v>
      </c>
      <c r="N3317" t="s">
        <v>211</v>
      </c>
      <c r="O3317" t="s">
        <v>212</v>
      </c>
      <c r="P3317">
        <v>6</v>
      </c>
      <c r="Q3317" t="s">
        <v>49</v>
      </c>
      <c r="S3317" t="str">
        <f>_xlfn.XLOOKUP(UNIVERSO[[#This Row],[Ruta]],'[1]CUOTA RUTA'!A:A,'[1]CUOTA RUTA'!D:D)</f>
        <v>Cargar</v>
      </c>
    </row>
    <row r="3318" spans="1:19" x14ac:dyDescent="0.25">
      <c r="A3318">
        <v>1540031581</v>
      </c>
      <c r="B3318" t="s">
        <v>6559</v>
      </c>
      <c r="C3318" t="s">
        <v>19</v>
      </c>
      <c r="D3318" t="s">
        <v>324</v>
      </c>
      <c r="E3318" t="s">
        <v>21</v>
      </c>
      <c r="F3318" t="s">
        <v>22</v>
      </c>
      <c r="G3318" t="s">
        <v>64</v>
      </c>
      <c r="H3318" t="s">
        <v>557</v>
      </c>
      <c r="I3318" t="s">
        <v>6560</v>
      </c>
      <c r="J3318">
        <v>10.467536000000001</v>
      </c>
      <c r="K3318">
        <v>-84.660670999999994</v>
      </c>
      <c r="L3318" t="s">
        <v>1225</v>
      </c>
      <c r="M3318" t="s">
        <v>327</v>
      </c>
      <c r="N3318" t="s">
        <v>328</v>
      </c>
      <c r="O3318" t="s">
        <v>329</v>
      </c>
      <c r="P3318">
        <v>21</v>
      </c>
      <c r="Q3318" t="s">
        <v>239</v>
      </c>
      <c r="S3318" t="str">
        <f>_xlfn.XLOOKUP(UNIVERSO[[#This Row],[Ruta]],'[1]CUOTA RUTA'!A:A,'[1]CUOTA RUTA'!D:D)</f>
        <v>Cargar</v>
      </c>
    </row>
    <row r="3319" spans="1:19" x14ac:dyDescent="0.25">
      <c r="A3319">
        <v>1540031627</v>
      </c>
      <c r="B3319" t="s">
        <v>6561</v>
      </c>
      <c r="C3319" t="s">
        <v>19</v>
      </c>
      <c r="D3319" t="s">
        <v>20</v>
      </c>
      <c r="E3319" t="s">
        <v>21</v>
      </c>
      <c r="F3319" t="s">
        <v>22</v>
      </c>
      <c r="G3319" t="s">
        <v>64</v>
      </c>
      <c r="H3319" t="s">
        <v>638</v>
      </c>
      <c r="I3319" t="s">
        <v>6562</v>
      </c>
      <c r="J3319">
        <v>10.014089999999999</v>
      </c>
      <c r="K3319">
        <v>-84.228620000000006</v>
      </c>
      <c r="L3319" t="s">
        <v>1225</v>
      </c>
      <c r="M3319" t="s">
        <v>54</v>
      </c>
      <c r="N3319" t="s">
        <v>55</v>
      </c>
      <c r="O3319" t="s">
        <v>56</v>
      </c>
      <c r="P3319">
        <v>2</v>
      </c>
      <c r="Q3319" t="s">
        <v>150</v>
      </c>
      <c r="S3319" t="str">
        <f>_xlfn.XLOOKUP(UNIVERSO[[#This Row],[Ruta]],'[1]CUOTA RUTA'!A:A,'[1]CUOTA RUTA'!D:D)</f>
        <v>Cargar</v>
      </c>
    </row>
    <row r="3320" spans="1:19" x14ac:dyDescent="0.25">
      <c r="A3320">
        <v>1540031649</v>
      </c>
      <c r="B3320" t="s">
        <v>6563</v>
      </c>
      <c r="C3320" t="s">
        <v>19</v>
      </c>
      <c r="D3320" t="s">
        <v>20</v>
      </c>
      <c r="E3320" t="s">
        <v>21</v>
      </c>
      <c r="F3320" t="s">
        <v>22</v>
      </c>
      <c r="G3320" t="s">
        <v>64</v>
      </c>
      <c r="H3320" t="s">
        <v>913</v>
      </c>
      <c r="I3320" t="s">
        <v>6564</v>
      </c>
      <c r="J3320">
        <v>9.9614100000000008</v>
      </c>
      <c r="K3320">
        <v>-84.152019999999993</v>
      </c>
      <c r="L3320" t="s">
        <v>1225</v>
      </c>
      <c r="M3320" t="s">
        <v>27</v>
      </c>
      <c r="N3320" t="s">
        <v>28</v>
      </c>
      <c r="O3320" t="s">
        <v>29</v>
      </c>
      <c r="P3320">
        <v>1</v>
      </c>
      <c r="Q3320" t="s">
        <v>155</v>
      </c>
      <c r="S3320" t="str">
        <f>_xlfn.XLOOKUP(UNIVERSO[[#This Row],[Ruta]],'[1]CUOTA RUTA'!A:A,'[1]CUOTA RUTA'!D:D)</f>
        <v>Cargar</v>
      </c>
    </row>
    <row r="3321" spans="1:19" x14ac:dyDescent="0.25">
      <c r="A3321">
        <v>1540031656</v>
      </c>
      <c r="B3321" t="s">
        <v>6565</v>
      </c>
      <c r="C3321" t="s">
        <v>19</v>
      </c>
      <c r="D3321" t="s">
        <v>186</v>
      </c>
      <c r="E3321" t="s">
        <v>62</v>
      </c>
      <c r="F3321" t="s">
        <v>63</v>
      </c>
      <c r="G3321" t="s">
        <v>64</v>
      </c>
      <c r="H3321" t="s">
        <v>420</v>
      </c>
      <c r="I3321" t="s">
        <v>6566</v>
      </c>
      <c r="J3321">
        <v>9.9628270000000008</v>
      </c>
      <c r="K3321">
        <v>-83.075086999999996</v>
      </c>
      <c r="L3321" t="s">
        <v>1225</v>
      </c>
      <c r="M3321" t="s">
        <v>189</v>
      </c>
      <c r="N3321" t="s">
        <v>190</v>
      </c>
      <c r="O3321" t="s">
        <v>191</v>
      </c>
      <c r="P3321">
        <v>16</v>
      </c>
      <c r="Q3321" t="s">
        <v>60</v>
      </c>
      <c r="S3321" t="str">
        <f>_xlfn.XLOOKUP(UNIVERSO[[#This Row],[Ruta]],'[1]CUOTA RUTA'!A:A,'[1]CUOTA RUTA'!D:D)</f>
        <v>Cargar</v>
      </c>
    </row>
    <row r="3322" spans="1:19" x14ac:dyDescent="0.25">
      <c r="A3322">
        <v>1540031682</v>
      </c>
      <c r="B3322" t="s">
        <v>6567</v>
      </c>
      <c r="C3322" t="s">
        <v>19</v>
      </c>
      <c r="D3322" t="s">
        <v>32</v>
      </c>
      <c r="E3322" t="s">
        <v>21</v>
      </c>
      <c r="F3322" t="s">
        <v>22</v>
      </c>
      <c r="G3322" t="s">
        <v>33</v>
      </c>
      <c r="H3322" t="s">
        <v>82</v>
      </c>
      <c r="I3322" t="s">
        <v>6568</v>
      </c>
      <c r="J3322">
        <v>9.8989259999999994</v>
      </c>
      <c r="K3322">
        <v>-84.063539000000006</v>
      </c>
      <c r="L3322" t="s">
        <v>1225</v>
      </c>
      <c r="M3322" t="s">
        <v>71</v>
      </c>
      <c r="N3322" t="s">
        <v>72</v>
      </c>
      <c r="O3322" t="s">
        <v>73</v>
      </c>
      <c r="P3322">
        <v>18</v>
      </c>
      <c r="Q3322" t="s">
        <v>84</v>
      </c>
      <c r="S3322" t="str">
        <f>_xlfn.XLOOKUP(UNIVERSO[[#This Row],[Ruta]],'[1]CUOTA RUTA'!A:A,'[1]CUOTA RUTA'!D:D)</f>
        <v>Cargar</v>
      </c>
    </row>
    <row r="3323" spans="1:19" x14ac:dyDescent="0.25">
      <c r="A3323">
        <v>1540031691</v>
      </c>
      <c r="B3323" t="s">
        <v>6569</v>
      </c>
      <c r="C3323" t="s">
        <v>19</v>
      </c>
      <c r="D3323" t="s">
        <v>201</v>
      </c>
      <c r="E3323" t="s">
        <v>21</v>
      </c>
      <c r="F3323" t="s">
        <v>22</v>
      </c>
      <c r="G3323" t="s">
        <v>33</v>
      </c>
      <c r="H3323" t="s">
        <v>794</v>
      </c>
      <c r="I3323" t="s">
        <v>6570</v>
      </c>
      <c r="J3323">
        <v>9.6104731999999995</v>
      </c>
      <c r="K3323">
        <v>-84.613175200000001</v>
      </c>
      <c r="L3323" t="s">
        <v>1225</v>
      </c>
      <c r="M3323" t="s">
        <v>204</v>
      </c>
      <c r="N3323" t="s">
        <v>205</v>
      </c>
      <c r="O3323" t="s">
        <v>206</v>
      </c>
      <c r="P3323">
        <v>6</v>
      </c>
      <c r="Q3323" t="s">
        <v>49</v>
      </c>
      <c r="S3323" t="str">
        <f>_xlfn.XLOOKUP(UNIVERSO[[#This Row],[Ruta]],'[1]CUOTA RUTA'!A:A,'[1]CUOTA RUTA'!D:D)</f>
        <v>Cargar</v>
      </c>
    </row>
    <row r="3324" spans="1:19" x14ac:dyDescent="0.25">
      <c r="A3324">
        <v>1540031696</v>
      </c>
      <c r="B3324" t="s">
        <v>6571</v>
      </c>
      <c r="C3324" t="s">
        <v>19</v>
      </c>
      <c r="D3324" t="s">
        <v>324</v>
      </c>
      <c r="E3324" t="s">
        <v>21</v>
      </c>
      <c r="F3324" t="s">
        <v>22</v>
      </c>
      <c r="G3324" t="s">
        <v>64</v>
      </c>
      <c r="H3324" t="s">
        <v>511</v>
      </c>
      <c r="I3324" t="s">
        <v>6572</v>
      </c>
      <c r="J3324">
        <v>10.445701856484</v>
      </c>
      <c r="K3324">
        <v>-84.591405481600006</v>
      </c>
      <c r="L3324" t="s">
        <v>1225</v>
      </c>
      <c r="M3324" t="s">
        <v>327</v>
      </c>
      <c r="N3324" t="s">
        <v>328</v>
      </c>
      <c r="O3324" t="s">
        <v>329</v>
      </c>
      <c r="P3324">
        <v>12</v>
      </c>
      <c r="Q3324" t="s">
        <v>42</v>
      </c>
      <c r="S3324" t="str">
        <f>_xlfn.XLOOKUP(UNIVERSO[[#This Row],[Ruta]],'[1]CUOTA RUTA'!A:A,'[1]CUOTA RUTA'!D:D)</f>
        <v>Cargar</v>
      </c>
    </row>
    <row r="3325" spans="1:19" x14ac:dyDescent="0.25">
      <c r="A3325">
        <v>1540031700</v>
      </c>
      <c r="B3325" t="s">
        <v>6573</v>
      </c>
      <c r="C3325" t="s">
        <v>19</v>
      </c>
      <c r="D3325" t="s">
        <v>324</v>
      </c>
      <c r="E3325" t="s">
        <v>21</v>
      </c>
      <c r="F3325" t="s">
        <v>22</v>
      </c>
      <c r="G3325" t="s">
        <v>33</v>
      </c>
      <c r="H3325" t="s">
        <v>511</v>
      </c>
      <c r="I3325" t="s">
        <v>6574</v>
      </c>
      <c r="J3325">
        <v>10.5539384</v>
      </c>
      <c r="K3325">
        <v>-84.649423999999996</v>
      </c>
      <c r="L3325" t="s">
        <v>1225</v>
      </c>
      <c r="M3325" t="s">
        <v>327</v>
      </c>
      <c r="N3325" t="s">
        <v>328</v>
      </c>
      <c r="O3325" t="s">
        <v>329</v>
      </c>
      <c r="P3325">
        <v>21</v>
      </c>
      <c r="Q3325" t="s">
        <v>239</v>
      </c>
      <c r="S3325" t="str">
        <f>_xlfn.XLOOKUP(UNIVERSO[[#This Row],[Ruta]],'[1]CUOTA RUTA'!A:A,'[1]CUOTA RUTA'!D:D)</f>
        <v>Cargar</v>
      </c>
    </row>
    <row r="3326" spans="1:19" x14ac:dyDescent="0.25">
      <c r="A3326">
        <v>1540031711</v>
      </c>
      <c r="B3326" t="s">
        <v>6575</v>
      </c>
      <c r="C3326" t="s">
        <v>19</v>
      </c>
      <c r="D3326" t="s">
        <v>20</v>
      </c>
      <c r="E3326" t="s">
        <v>21</v>
      </c>
      <c r="F3326" t="s">
        <v>22</v>
      </c>
      <c r="G3326" t="s">
        <v>33</v>
      </c>
      <c r="H3326" t="s">
        <v>913</v>
      </c>
      <c r="I3326" t="s">
        <v>6576</v>
      </c>
      <c r="J3326">
        <v>9.9713689999999993</v>
      </c>
      <c r="K3326">
        <v>-84.137074999999996</v>
      </c>
      <c r="L3326" t="s">
        <v>1225</v>
      </c>
      <c r="M3326" t="s">
        <v>27</v>
      </c>
      <c r="N3326" t="s">
        <v>28</v>
      </c>
      <c r="O3326" t="s">
        <v>29</v>
      </c>
      <c r="P3326">
        <v>11</v>
      </c>
      <c r="Q3326" t="s">
        <v>108</v>
      </c>
      <c r="S3326" t="str">
        <f>_xlfn.XLOOKUP(UNIVERSO[[#This Row],[Ruta]],'[1]CUOTA RUTA'!A:A,'[1]CUOTA RUTA'!D:D)</f>
        <v>Cargar</v>
      </c>
    </row>
    <row r="3327" spans="1:19" x14ac:dyDescent="0.25">
      <c r="A3327">
        <v>1540031714</v>
      </c>
      <c r="B3327" t="s">
        <v>6577</v>
      </c>
      <c r="C3327" t="s">
        <v>19</v>
      </c>
      <c r="D3327" t="s">
        <v>208</v>
      </c>
      <c r="E3327" t="s">
        <v>21</v>
      </c>
      <c r="F3327" t="s">
        <v>22</v>
      </c>
      <c r="G3327" t="s">
        <v>33</v>
      </c>
      <c r="H3327" t="s">
        <v>719</v>
      </c>
      <c r="I3327" t="s">
        <v>6578</v>
      </c>
      <c r="J3327">
        <v>10.366947</v>
      </c>
      <c r="K3327">
        <v>-83.734583000000001</v>
      </c>
      <c r="L3327" t="s">
        <v>1225</v>
      </c>
      <c r="M3327" t="s">
        <v>189</v>
      </c>
      <c r="N3327" t="s">
        <v>211</v>
      </c>
      <c r="O3327" t="s">
        <v>212</v>
      </c>
      <c r="P3327">
        <v>1</v>
      </c>
      <c r="Q3327" t="s">
        <v>155</v>
      </c>
      <c r="S3327" t="str">
        <f>_xlfn.XLOOKUP(UNIVERSO[[#This Row],[Ruta]],'[1]CUOTA RUTA'!A:A,'[1]CUOTA RUTA'!D:D)</f>
        <v>Cargar</v>
      </c>
    </row>
    <row r="3328" spans="1:19" x14ac:dyDescent="0.25">
      <c r="A3328">
        <v>1540031722</v>
      </c>
      <c r="B3328" t="s">
        <v>6579</v>
      </c>
      <c r="C3328" t="s">
        <v>19</v>
      </c>
      <c r="D3328" t="s">
        <v>186</v>
      </c>
      <c r="E3328" t="s">
        <v>21</v>
      </c>
      <c r="F3328" t="s">
        <v>22</v>
      </c>
      <c r="G3328" t="s">
        <v>64</v>
      </c>
      <c r="H3328" t="s">
        <v>237</v>
      </c>
      <c r="I3328" t="s">
        <v>6580</v>
      </c>
      <c r="J3328">
        <v>10.076801</v>
      </c>
      <c r="K3328">
        <v>-83.334976999999995</v>
      </c>
      <c r="L3328" t="s">
        <v>1225</v>
      </c>
      <c r="M3328" t="s">
        <v>189</v>
      </c>
      <c r="N3328" t="s">
        <v>190</v>
      </c>
      <c r="O3328" t="s">
        <v>191</v>
      </c>
      <c r="P3328">
        <v>21</v>
      </c>
      <c r="Q3328" t="s">
        <v>239</v>
      </c>
      <c r="S3328" t="str">
        <f>_xlfn.XLOOKUP(UNIVERSO[[#This Row],[Ruta]],'[1]CUOTA RUTA'!A:A,'[1]CUOTA RUTA'!D:D)</f>
        <v>Cargar</v>
      </c>
    </row>
    <row r="3329" spans="1:19" x14ac:dyDescent="0.25">
      <c r="A3329">
        <v>1540031725</v>
      </c>
      <c r="B3329" t="s">
        <v>6581</v>
      </c>
      <c r="C3329" t="s">
        <v>19</v>
      </c>
      <c r="D3329" t="s">
        <v>32</v>
      </c>
      <c r="E3329" t="s">
        <v>21</v>
      </c>
      <c r="F3329" t="s">
        <v>22</v>
      </c>
      <c r="G3329" t="s">
        <v>33</v>
      </c>
      <c r="H3329" t="s">
        <v>425</v>
      </c>
      <c r="I3329" t="s">
        <v>6582</v>
      </c>
      <c r="J3329">
        <v>9.8716716400000006</v>
      </c>
      <c r="K3329">
        <v>-84.082406759999998</v>
      </c>
      <c r="L3329" t="s">
        <v>1225</v>
      </c>
      <c r="M3329" t="s">
        <v>71</v>
      </c>
      <c r="N3329" t="s">
        <v>72</v>
      </c>
      <c r="O3329" t="s">
        <v>73</v>
      </c>
      <c r="P3329">
        <v>16</v>
      </c>
      <c r="Q3329" t="s">
        <v>60</v>
      </c>
      <c r="S3329" t="str">
        <f>_xlfn.XLOOKUP(UNIVERSO[[#This Row],[Ruta]],'[1]CUOTA RUTA'!A:A,'[1]CUOTA RUTA'!D:D)</f>
        <v>Cargar</v>
      </c>
    </row>
    <row r="3330" spans="1:19" x14ac:dyDescent="0.25">
      <c r="A3330">
        <v>1540031794</v>
      </c>
      <c r="B3330" t="s">
        <v>6537</v>
      </c>
      <c r="C3330" t="s">
        <v>19</v>
      </c>
      <c r="D3330" t="s">
        <v>32</v>
      </c>
      <c r="E3330" t="s">
        <v>21</v>
      </c>
      <c r="F3330" t="s">
        <v>22</v>
      </c>
      <c r="G3330" t="s">
        <v>33</v>
      </c>
      <c r="H3330" t="s">
        <v>1113</v>
      </c>
      <c r="I3330" t="s">
        <v>6583</v>
      </c>
      <c r="J3330">
        <v>9.9305079999999997</v>
      </c>
      <c r="K3330">
        <v>-84.04692</v>
      </c>
      <c r="L3330" t="s">
        <v>1225</v>
      </c>
      <c r="M3330" t="s">
        <v>36</v>
      </c>
      <c r="N3330" t="s">
        <v>37</v>
      </c>
      <c r="O3330" t="s">
        <v>38</v>
      </c>
      <c r="P3330">
        <v>7</v>
      </c>
      <c r="Q3330" t="s">
        <v>39</v>
      </c>
      <c r="S3330" t="str">
        <f>_xlfn.XLOOKUP(UNIVERSO[[#This Row],[Ruta]],'[1]CUOTA RUTA'!A:A,'[1]CUOTA RUTA'!D:D)</f>
        <v>Cargar</v>
      </c>
    </row>
    <row r="3331" spans="1:19" x14ac:dyDescent="0.25">
      <c r="A3331">
        <v>1540031862</v>
      </c>
      <c r="B3331" t="s">
        <v>6584</v>
      </c>
      <c r="C3331" t="s">
        <v>19</v>
      </c>
      <c r="D3331" t="s">
        <v>32</v>
      </c>
      <c r="E3331" t="s">
        <v>21</v>
      </c>
      <c r="F3331" t="s">
        <v>22</v>
      </c>
      <c r="G3331" t="s">
        <v>33</v>
      </c>
      <c r="H3331" t="s">
        <v>179</v>
      </c>
      <c r="I3331" t="s">
        <v>6585</v>
      </c>
      <c r="J3331">
        <v>9.8924339999999997</v>
      </c>
      <c r="K3331">
        <v>-84.035399999999996</v>
      </c>
      <c r="L3331" t="s">
        <v>1225</v>
      </c>
      <c r="M3331" t="s">
        <v>36</v>
      </c>
      <c r="N3331" t="s">
        <v>37</v>
      </c>
      <c r="O3331" t="s">
        <v>38</v>
      </c>
      <c r="P3331">
        <v>16</v>
      </c>
      <c r="Q3331" t="s">
        <v>60</v>
      </c>
      <c r="S3331" t="str">
        <f>_xlfn.XLOOKUP(UNIVERSO[[#This Row],[Ruta]],'[1]CUOTA RUTA'!A:A,'[1]CUOTA RUTA'!D:D)</f>
        <v>Cargar</v>
      </c>
    </row>
    <row r="3332" spans="1:19" x14ac:dyDescent="0.25">
      <c r="A3332">
        <v>1540031866</v>
      </c>
      <c r="B3332" t="s">
        <v>6586</v>
      </c>
      <c r="C3332" t="s">
        <v>19</v>
      </c>
      <c r="D3332" t="s">
        <v>349</v>
      </c>
      <c r="E3332" t="s">
        <v>21</v>
      </c>
      <c r="F3332" t="s">
        <v>22</v>
      </c>
      <c r="G3332" t="s">
        <v>33</v>
      </c>
      <c r="H3332" t="s">
        <v>448</v>
      </c>
      <c r="I3332" t="s">
        <v>6587</v>
      </c>
      <c r="J3332">
        <v>10.278938999999999</v>
      </c>
      <c r="K3332">
        <v>-85.525448999999995</v>
      </c>
      <c r="L3332" t="s">
        <v>1225</v>
      </c>
      <c r="M3332" t="s">
        <v>352</v>
      </c>
      <c r="N3332" t="s">
        <v>353</v>
      </c>
      <c r="O3332" t="s">
        <v>354</v>
      </c>
      <c r="P3332">
        <v>3</v>
      </c>
      <c r="Q3332" t="s">
        <v>101</v>
      </c>
      <c r="S3332" t="str">
        <f>_xlfn.XLOOKUP(UNIVERSO[[#This Row],[Ruta]],'[1]CUOTA RUTA'!A:A,'[1]CUOTA RUTA'!D:D)</f>
        <v>Cargar</v>
      </c>
    </row>
    <row r="3333" spans="1:19" x14ac:dyDescent="0.25">
      <c r="A3333">
        <v>1540031894</v>
      </c>
      <c r="B3333" t="s">
        <v>6588</v>
      </c>
      <c r="C3333" t="s">
        <v>19</v>
      </c>
      <c r="D3333" t="s">
        <v>349</v>
      </c>
      <c r="E3333" t="s">
        <v>21</v>
      </c>
      <c r="F3333" t="s">
        <v>22</v>
      </c>
      <c r="G3333" t="s">
        <v>23</v>
      </c>
      <c r="H3333" t="s">
        <v>496</v>
      </c>
      <c r="I3333" t="s">
        <v>6589</v>
      </c>
      <c r="J3333">
        <v>9.9485600000000005</v>
      </c>
      <c r="K3333">
        <v>-85.033600000000007</v>
      </c>
      <c r="L3333" t="s">
        <v>1225</v>
      </c>
      <c r="M3333" t="s">
        <v>352</v>
      </c>
      <c r="N3333" t="s">
        <v>353</v>
      </c>
      <c r="O3333" t="s">
        <v>354</v>
      </c>
      <c r="P3333">
        <v>15</v>
      </c>
      <c r="Q3333" t="s">
        <v>231</v>
      </c>
      <c r="S3333" t="str">
        <f>_xlfn.XLOOKUP(UNIVERSO[[#This Row],[Ruta]],'[1]CUOTA RUTA'!A:A,'[1]CUOTA RUTA'!D:D)</f>
        <v>Cargar</v>
      </c>
    </row>
    <row r="3334" spans="1:19" x14ac:dyDescent="0.25">
      <c r="A3334">
        <v>1540031906</v>
      </c>
      <c r="B3334" t="s">
        <v>2687</v>
      </c>
      <c r="C3334" t="s">
        <v>19</v>
      </c>
      <c r="D3334" t="s">
        <v>20</v>
      </c>
      <c r="E3334" t="s">
        <v>21</v>
      </c>
      <c r="F3334" t="s">
        <v>22</v>
      </c>
      <c r="G3334" t="s">
        <v>33</v>
      </c>
      <c r="H3334" t="s">
        <v>1021</v>
      </c>
      <c r="I3334" t="s">
        <v>6590</v>
      </c>
      <c r="J3334">
        <v>10.08141045</v>
      </c>
      <c r="K3334">
        <v>-84.209398649999997</v>
      </c>
      <c r="L3334" t="s">
        <v>1225</v>
      </c>
      <c r="M3334" t="s">
        <v>46</v>
      </c>
      <c r="N3334" t="s">
        <v>47</v>
      </c>
      <c r="O3334" t="s">
        <v>48</v>
      </c>
      <c r="P3334">
        <v>12</v>
      </c>
      <c r="Q3334" t="s">
        <v>42</v>
      </c>
      <c r="S3334" t="str">
        <f>_xlfn.XLOOKUP(UNIVERSO[[#This Row],[Ruta]],'[1]CUOTA RUTA'!A:A,'[1]CUOTA RUTA'!D:D)</f>
        <v>Cargar</v>
      </c>
    </row>
    <row r="3335" spans="1:19" x14ac:dyDescent="0.25">
      <c r="A3335">
        <v>1540031914</v>
      </c>
      <c r="B3335" t="s">
        <v>6591</v>
      </c>
      <c r="C3335" t="s">
        <v>19</v>
      </c>
      <c r="D3335" t="s">
        <v>201</v>
      </c>
      <c r="E3335" t="s">
        <v>62</v>
      </c>
      <c r="F3335" t="s">
        <v>63</v>
      </c>
      <c r="G3335" t="s">
        <v>33</v>
      </c>
      <c r="H3335" t="s">
        <v>785</v>
      </c>
      <c r="I3335" t="s">
        <v>6592</v>
      </c>
      <c r="J3335">
        <v>9.9926736999999992</v>
      </c>
      <c r="K3335">
        <v>-84.720637800000006</v>
      </c>
      <c r="L3335" t="s">
        <v>1225</v>
      </c>
      <c r="M3335" t="s">
        <v>204</v>
      </c>
      <c r="N3335" t="s">
        <v>205</v>
      </c>
      <c r="O3335" t="s">
        <v>206</v>
      </c>
      <c r="P3335">
        <v>8</v>
      </c>
      <c r="Q3335" t="s">
        <v>97</v>
      </c>
      <c r="S3335" t="str">
        <f>_xlfn.XLOOKUP(UNIVERSO[[#This Row],[Ruta]],'[1]CUOTA RUTA'!A:A,'[1]CUOTA RUTA'!D:D)</f>
        <v>Cargar</v>
      </c>
    </row>
    <row r="3336" spans="1:19" x14ac:dyDescent="0.25">
      <c r="A3336">
        <v>1540031938</v>
      </c>
      <c r="B3336" t="s">
        <v>6593</v>
      </c>
      <c r="C3336" t="s">
        <v>19</v>
      </c>
      <c r="D3336" t="s">
        <v>324</v>
      </c>
      <c r="E3336" t="s">
        <v>21</v>
      </c>
      <c r="F3336" t="s">
        <v>22</v>
      </c>
      <c r="G3336" t="s">
        <v>33</v>
      </c>
      <c r="H3336" t="s">
        <v>511</v>
      </c>
      <c r="I3336" t="s">
        <v>6594</v>
      </c>
      <c r="J3336">
        <v>10.473100000000001</v>
      </c>
      <c r="K3336">
        <v>-84.590599999999995</v>
      </c>
      <c r="L3336" t="s">
        <v>1225</v>
      </c>
      <c r="M3336" t="s">
        <v>327</v>
      </c>
      <c r="N3336" t="s">
        <v>328</v>
      </c>
      <c r="O3336" t="s">
        <v>329</v>
      </c>
      <c r="P3336">
        <v>13</v>
      </c>
      <c r="Q3336" t="s">
        <v>161</v>
      </c>
      <c r="S3336" t="str">
        <f>_xlfn.XLOOKUP(UNIVERSO[[#This Row],[Ruta]],'[1]CUOTA RUTA'!A:A,'[1]CUOTA RUTA'!D:D)</f>
        <v>Cargar</v>
      </c>
    </row>
    <row r="3337" spans="1:19" x14ac:dyDescent="0.25">
      <c r="A3337">
        <v>1540031984</v>
      </c>
      <c r="B3337" t="s">
        <v>6595</v>
      </c>
      <c r="C3337" t="s">
        <v>19</v>
      </c>
      <c r="D3337" t="s">
        <v>244</v>
      </c>
      <c r="E3337" t="s">
        <v>21</v>
      </c>
      <c r="F3337" t="s">
        <v>22</v>
      </c>
      <c r="G3337" t="s">
        <v>64</v>
      </c>
      <c r="H3337" t="s">
        <v>436</v>
      </c>
      <c r="I3337" t="s">
        <v>6596</v>
      </c>
      <c r="J3337">
        <v>9.4362600000000008</v>
      </c>
      <c r="K3337">
        <v>-84.164599999999993</v>
      </c>
      <c r="L3337" t="s">
        <v>1225</v>
      </c>
      <c r="M3337" t="s">
        <v>46</v>
      </c>
      <c r="N3337" t="s">
        <v>247</v>
      </c>
      <c r="O3337" t="s">
        <v>248</v>
      </c>
      <c r="P3337">
        <v>21</v>
      </c>
      <c r="Q3337" t="s">
        <v>239</v>
      </c>
      <c r="S3337" t="str">
        <f>_xlfn.XLOOKUP(UNIVERSO[[#This Row],[Ruta]],'[1]CUOTA RUTA'!A:A,'[1]CUOTA RUTA'!D:D)</f>
        <v>Cargar</v>
      </c>
    </row>
    <row r="3338" spans="1:19" x14ac:dyDescent="0.25">
      <c r="A3338">
        <v>1540032042</v>
      </c>
      <c r="B3338" t="s">
        <v>6597</v>
      </c>
      <c r="C3338" t="s">
        <v>19</v>
      </c>
      <c r="D3338" t="s">
        <v>186</v>
      </c>
      <c r="E3338" t="s">
        <v>21</v>
      </c>
      <c r="F3338" t="s">
        <v>22</v>
      </c>
      <c r="G3338" t="s">
        <v>64</v>
      </c>
      <c r="H3338" t="s">
        <v>229</v>
      </c>
      <c r="I3338" t="s">
        <v>6598</v>
      </c>
      <c r="J3338">
        <v>9.9803842500000002</v>
      </c>
      <c r="K3338">
        <v>-83.052087869999994</v>
      </c>
      <c r="L3338" t="s">
        <v>1225</v>
      </c>
      <c r="M3338" t="s">
        <v>189</v>
      </c>
      <c r="N3338" t="s">
        <v>190</v>
      </c>
      <c r="O3338" t="s">
        <v>191</v>
      </c>
      <c r="P3338">
        <v>14</v>
      </c>
      <c r="Q3338" t="s">
        <v>181</v>
      </c>
      <c r="S3338" t="str">
        <f>_xlfn.XLOOKUP(UNIVERSO[[#This Row],[Ruta]],'[1]CUOTA RUTA'!A:A,'[1]CUOTA RUTA'!D:D)</f>
        <v>Cargar</v>
      </c>
    </row>
    <row r="3339" spans="1:19" x14ac:dyDescent="0.25">
      <c r="A3339">
        <v>1540032050</v>
      </c>
      <c r="B3339" t="s">
        <v>6599</v>
      </c>
      <c r="C3339" t="s">
        <v>19</v>
      </c>
      <c r="D3339" t="s">
        <v>32</v>
      </c>
      <c r="E3339" t="s">
        <v>21</v>
      </c>
      <c r="F3339" t="s">
        <v>22</v>
      </c>
      <c r="G3339" t="s">
        <v>23</v>
      </c>
      <c r="H3339" t="s">
        <v>86</v>
      </c>
      <c r="I3339" t="s">
        <v>6600</v>
      </c>
      <c r="J3339">
        <v>9.9053850000000008</v>
      </c>
      <c r="K3339">
        <v>-84.079300000000003</v>
      </c>
      <c r="L3339" t="s">
        <v>1225</v>
      </c>
      <c r="M3339" t="s">
        <v>71</v>
      </c>
      <c r="N3339" t="s">
        <v>72</v>
      </c>
      <c r="O3339" t="s">
        <v>73</v>
      </c>
      <c r="P3339">
        <v>6</v>
      </c>
      <c r="Q3339" t="s">
        <v>49</v>
      </c>
      <c r="S3339" t="str">
        <f>_xlfn.XLOOKUP(UNIVERSO[[#This Row],[Ruta]],'[1]CUOTA RUTA'!A:A,'[1]CUOTA RUTA'!D:D)</f>
        <v>Cargar</v>
      </c>
    </row>
    <row r="3340" spans="1:19" x14ac:dyDescent="0.25">
      <c r="A3340">
        <v>1540032103</v>
      </c>
      <c r="B3340" t="s">
        <v>6601</v>
      </c>
      <c r="C3340" t="s">
        <v>19</v>
      </c>
      <c r="D3340" t="s">
        <v>20</v>
      </c>
      <c r="E3340" t="s">
        <v>21</v>
      </c>
      <c r="F3340" t="s">
        <v>22</v>
      </c>
      <c r="G3340" t="s">
        <v>64</v>
      </c>
      <c r="H3340" t="s">
        <v>250</v>
      </c>
      <c r="I3340" t="s">
        <v>6602</v>
      </c>
      <c r="J3340">
        <v>10.0350704</v>
      </c>
      <c r="K3340">
        <v>-84.231337300000007</v>
      </c>
      <c r="L3340" t="s">
        <v>1225</v>
      </c>
      <c r="M3340" t="s">
        <v>46</v>
      </c>
      <c r="N3340" t="s">
        <v>47</v>
      </c>
      <c r="O3340" t="s">
        <v>48</v>
      </c>
      <c r="P3340">
        <v>3</v>
      </c>
      <c r="Q3340" t="s">
        <v>101</v>
      </c>
      <c r="S3340" t="str">
        <f>_xlfn.XLOOKUP(UNIVERSO[[#This Row],[Ruta]],'[1]CUOTA RUTA'!A:A,'[1]CUOTA RUTA'!D:D)</f>
        <v>Cargar</v>
      </c>
    </row>
    <row r="3341" spans="1:19" x14ac:dyDescent="0.25">
      <c r="A3341">
        <v>1540032125</v>
      </c>
      <c r="B3341" t="s">
        <v>6603</v>
      </c>
      <c r="C3341" t="s">
        <v>19</v>
      </c>
      <c r="D3341" t="s">
        <v>20</v>
      </c>
      <c r="E3341" t="s">
        <v>21</v>
      </c>
      <c r="F3341" t="s">
        <v>22</v>
      </c>
      <c r="G3341" t="s">
        <v>33</v>
      </c>
      <c r="H3341" t="s">
        <v>260</v>
      </c>
      <c r="I3341" t="s">
        <v>6604</v>
      </c>
      <c r="J3341">
        <v>10.0882305</v>
      </c>
      <c r="K3341">
        <v>-84.473074499999996</v>
      </c>
      <c r="L3341" t="s">
        <v>1225</v>
      </c>
      <c r="M3341" t="s">
        <v>46</v>
      </c>
      <c r="N3341" t="s">
        <v>47</v>
      </c>
      <c r="O3341" t="s">
        <v>48</v>
      </c>
      <c r="P3341">
        <v>6</v>
      </c>
      <c r="Q3341" t="s">
        <v>49</v>
      </c>
      <c r="S3341" t="str">
        <f>_xlfn.XLOOKUP(UNIVERSO[[#This Row],[Ruta]],'[1]CUOTA RUTA'!A:A,'[1]CUOTA RUTA'!D:D)</f>
        <v>Cargar</v>
      </c>
    </row>
    <row r="3342" spans="1:19" x14ac:dyDescent="0.25">
      <c r="A3342">
        <v>1540032163</v>
      </c>
      <c r="B3342" t="s">
        <v>6605</v>
      </c>
      <c r="C3342" t="s">
        <v>19</v>
      </c>
      <c r="D3342" t="s">
        <v>20</v>
      </c>
      <c r="E3342" t="s">
        <v>21</v>
      </c>
      <c r="F3342" t="s">
        <v>22</v>
      </c>
      <c r="G3342" t="s">
        <v>64</v>
      </c>
      <c r="H3342" t="s">
        <v>308</v>
      </c>
      <c r="I3342" t="s">
        <v>6606</v>
      </c>
      <c r="J3342">
        <v>9.8432200000000005</v>
      </c>
      <c r="K3342">
        <v>-84.519159999999999</v>
      </c>
      <c r="L3342" t="s">
        <v>1225</v>
      </c>
      <c r="M3342" t="s">
        <v>54</v>
      </c>
      <c r="N3342" t="s">
        <v>55</v>
      </c>
      <c r="O3342" t="s">
        <v>56</v>
      </c>
      <c r="P3342">
        <v>22</v>
      </c>
      <c r="Q3342" t="s">
        <v>30</v>
      </c>
      <c r="S3342" t="str">
        <f>_xlfn.XLOOKUP(UNIVERSO[[#This Row],[Ruta]],'[1]CUOTA RUTA'!A:A,'[1]CUOTA RUTA'!D:D)</f>
        <v>Cargar</v>
      </c>
    </row>
    <row r="3343" spans="1:19" x14ac:dyDescent="0.25">
      <c r="A3343">
        <v>1540032208</v>
      </c>
      <c r="B3343" t="s">
        <v>6607</v>
      </c>
      <c r="C3343" t="s">
        <v>19</v>
      </c>
      <c r="D3343" t="s">
        <v>244</v>
      </c>
      <c r="E3343" t="s">
        <v>62</v>
      </c>
      <c r="F3343" t="s">
        <v>63</v>
      </c>
      <c r="G3343" t="s">
        <v>64</v>
      </c>
      <c r="H3343" t="s">
        <v>566</v>
      </c>
      <c r="I3343" t="s">
        <v>6608</v>
      </c>
      <c r="J3343">
        <v>9.3720540000000003</v>
      </c>
      <c r="K3343">
        <v>-83.704593000000003</v>
      </c>
      <c r="L3343" t="s">
        <v>1225</v>
      </c>
      <c r="M3343" t="s">
        <v>46</v>
      </c>
      <c r="N3343" t="s">
        <v>247</v>
      </c>
      <c r="O3343" t="s">
        <v>248</v>
      </c>
      <c r="P3343">
        <v>14</v>
      </c>
      <c r="Q3343" t="s">
        <v>181</v>
      </c>
      <c r="S3343" t="str">
        <f>_xlfn.XLOOKUP(UNIVERSO[[#This Row],[Ruta]],'[1]CUOTA RUTA'!A:A,'[1]CUOTA RUTA'!D:D)</f>
        <v>Cargar</v>
      </c>
    </row>
    <row r="3344" spans="1:19" x14ac:dyDescent="0.25">
      <c r="A3344">
        <v>1540032331</v>
      </c>
      <c r="B3344" t="s">
        <v>2719</v>
      </c>
      <c r="C3344" t="s">
        <v>19</v>
      </c>
      <c r="D3344" t="s">
        <v>244</v>
      </c>
      <c r="E3344" t="s">
        <v>21</v>
      </c>
      <c r="F3344" t="s">
        <v>22</v>
      </c>
      <c r="G3344" t="s">
        <v>33</v>
      </c>
      <c r="H3344" t="s">
        <v>566</v>
      </c>
      <c r="I3344" t="s">
        <v>6609</v>
      </c>
      <c r="J3344">
        <v>9.3669279999999997</v>
      </c>
      <c r="K3344">
        <v>-83.694310999999999</v>
      </c>
      <c r="L3344" t="s">
        <v>1225</v>
      </c>
      <c r="M3344" t="s">
        <v>46</v>
      </c>
      <c r="N3344" t="s">
        <v>247</v>
      </c>
      <c r="O3344" t="s">
        <v>248</v>
      </c>
      <c r="P3344">
        <v>14</v>
      </c>
      <c r="Q3344" t="s">
        <v>181</v>
      </c>
      <c r="S3344" t="str">
        <f>_xlfn.XLOOKUP(UNIVERSO[[#This Row],[Ruta]],'[1]CUOTA RUTA'!A:A,'[1]CUOTA RUTA'!D:D)</f>
        <v>Cargar</v>
      </c>
    </row>
    <row r="3345" spans="1:19" x14ac:dyDescent="0.25">
      <c r="A3345">
        <v>1540032358</v>
      </c>
      <c r="B3345" t="s">
        <v>6610</v>
      </c>
      <c r="C3345" t="s">
        <v>19</v>
      </c>
      <c r="D3345" t="s">
        <v>208</v>
      </c>
      <c r="E3345" t="s">
        <v>21</v>
      </c>
      <c r="F3345" t="s">
        <v>22</v>
      </c>
      <c r="G3345" t="s">
        <v>64</v>
      </c>
      <c r="H3345" t="s">
        <v>631</v>
      </c>
      <c r="I3345" t="s">
        <v>6611</v>
      </c>
      <c r="J3345">
        <v>10.524015479999999</v>
      </c>
      <c r="K3345">
        <v>-83.992251760000002</v>
      </c>
      <c r="L3345" t="s">
        <v>1225</v>
      </c>
      <c r="M3345" t="s">
        <v>189</v>
      </c>
      <c r="N3345" t="s">
        <v>211</v>
      </c>
      <c r="O3345" t="s">
        <v>212</v>
      </c>
      <c r="P3345">
        <v>10</v>
      </c>
      <c r="Q3345" t="s">
        <v>136</v>
      </c>
      <c r="S3345" t="str">
        <f>_xlfn.XLOOKUP(UNIVERSO[[#This Row],[Ruta]],'[1]CUOTA RUTA'!A:A,'[1]CUOTA RUTA'!D:D)</f>
        <v>Cargar</v>
      </c>
    </row>
    <row r="3346" spans="1:19" x14ac:dyDescent="0.25">
      <c r="A3346">
        <v>1540032400</v>
      </c>
      <c r="B3346" t="s">
        <v>6612</v>
      </c>
      <c r="C3346" t="s">
        <v>19</v>
      </c>
      <c r="D3346" t="s">
        <v>201</v>
      </c>
      <c r="E3346" t="s">
        <v>21</v>
      </c>
      <c r="F3346" t="s">
        <v>22</v>
      </c>
      <c r="G3346" t="s">
        <v>23</v>
      </c>
      <c r="H3346" t="s">
        <v>202</v>
      </c>
      <c r="I3346" t="s">
        <v>6613</v>
      </c>
      <c r="J3346">
        <v>9.9927560999999994</v>
      </c>
      <c r="K3346">
        <v>-84.720716300000007</v>
      </c>
      <c r="L3346" t="s">
        <v>1225</v>
      </c>
      <c r="M3346" t="s">
        <v>204</v>
      </c>
      <c r="N3346" t="s">
        <v>205</v>
      </c>
      <c r="O3346" t="s">
        <v>206</v>
      </c>
      <c r="P3346">
        <v>8</v>
      </c>
      <c r="Q3346" t="s">
        <v>97</v>
      </c>
      <c r="S3346" t="str">
        <f>_xlfn.XLOOKUP(UNIVERSO[[#This Row],[Ruta]],'[1]CUOTA RUTA'!A:A,'[1]CUOTA RUTA'!D:D)</f>
        <v>Cargar</v>
      </c>
    </row>
    <row r="3347" spans="1:19" x14ac:dyDescent="0.25">
      <c r="A3347">
        <v>1540032440</v>
      </c>
      <c r="B3347" t="s">
        <v>6614</v>
      </c>
      <c r="C3347" t="s">
        <v>19</v>
      </c>
      <c r="D3347" t="s">
        <v>349</v>
      </c>
      <c r="E3347" t="s">
        <v>21</v>
      </c>
      <c r="F3347" t="s">
        <v>22</v>
      </c>
      <c r="G3347" t="s">
        <v>23</v>
      </c>
      <c r="H3347" t="s">
        <v>359</v>
      </c>
      <c r="I3347" t="s">
        <v>6615</v>
      </c>
      <c r="J3347">
        <v>10.253603</v>
      </c>
      <c r="K3347">
        <v>-85.718117000000007</v>
      </c>
      <c r="L3347" t="s">
        <v>1225</v>
      </c>
      <c r="M3347" t="s">
        <v>352</v>
      </c>
      <c r="N3347" t="s">
        <v>353</v>
      </c>
      <c r="O3347" t="s">
        <v>354</v>
      </c>
      <c r="P3347">
        <v>4</v>
      </c>
      <c r="Q3347" t="s">
        <v>120</v>
      </c>
      <c r="S3347" t="str">
        <f>_xlfn.XLOOKUP(UNIVERSO[[#This Row],[Ruta]],'[1]CUOTA RUTA'!A:A,'[1]CUOTA RUTA'!D:D)</f>
        <v>Cargar</v>
      </c>
    </row>
    <row r="3348" spans="1:19" x14ac:dyDescent="0.25">
      <c r="A3348">
        <v>1540032516</v>
      </c>
      <c r="B3348" t="s">
        <v>6616</v>
      </c>
      <c r="C3348" t="s">
        <v>19</v>
      </c>
      <c r="D3348" t="s">
        <v>266</v>
      </c>
      <c r="E3348" t="s">
        <v>21</v>
      </c>
      <c r="F3348" t="s">
        <v>22</v>
      </c>
      <c r="G3348" t="s">
        <v>23</v>
      </c>
      <c r="H3348" t="s">
        <v>703</v>
      </c>
      <c r="I3348" t="s">
        <v>6617</v>
      </c>
      <c r="J3348">
        <v>9.8410399999999996</v>
      </c>
      <c r="K3348">
        <v>-83.942719999999994</v>
      </c>
      <c r="L3348" t="s">
        <v>1225</v>
      </c>
      <c r="M3348" t="s">
        <v>36</v>
      </c>
      <c r="N3348" t="s">
        <v>316</v>
      </c>
      <c r="O3348" t="s">
        <v>317</v>
      </c>
      <c r="P3348">
        <v>19</v>
      </c>
      <c r="Q3348" t="s">
        <v>67</v>
      </c>
      <c r="S3348" t="str">
        <f>_xlfn.XLOOKUP(UNIVERSO[[#This Row],[Ruta]],'[1]CUOTA RUTA'!A:A,'[1]CUOTA RUTA'!D:D)</f>
        <v>Cargar</v>
      </c>
    </row>
    <row r="3349" spans="1:19" x14ac:dyDescent="0.25">
      <c r="A3349">
        <v>1540032544</v>
      </c>
      <c r="B3349" t="s">
        <v>6618</v>
      </c>
      <c r="C3349" t="s">
        <v>19</v>
      </c>
      <c r="D3349" t="s">
        <v>349</v>
      </c>
      <c r="E3349" t="s">
        <v>21</v>
      </c>
      <c r="F3349" t="s">
        <v>22</v>
      </c>
      <c r="G3349" t="s">
        <v>64</v>
      </c>
      <c r="H3349" t="s">
        <v>359</v>
      </c>
      <c r="I3349" t="s">
        <v>6619</v>
      </c>
      <c r="J3349">
        <v>10.2736</v>
      </c>
      <c r="K3349">
        <v>-85.635900000000007</v>
      </c>
      <c r="L3349" t="s">
        <v>1225</v>
      </c>
      <c r="M3349" t="s">
        <v>352</v>
      </c>
      <c r="N3349" t="s">
        <v>353</v>
      </c>
      <c r="O3349" t="s">
        <v>354</v>
      </c>
      <c r="P3349">
        <v>4</v>
      </c>
      <c r="Q3349" t="s">
        <v>120</v>
      </c>
      <c r="S3349" t="str">
        <f>_xlfn.XLOOKUP(UNIVERSO[[#This Row],[Ruta]],'[1]CUOTA RUTA'!A:A,'[1]CUOTA RUTA'!D:D)</f>
        <v>Cargar</v>
      </c>
    </row>
    <row r="3350" spans="1:19" x14ac:dyDescent="0.25">
      <c r="A3350">
        <v>1540032624</v>
      </c>
      <c r="B3350" t="s">
        <v>6620</v>
      </c>
      <c r="C3350" t="s">
        <v>19</v>
      </c>
      <c r="D3350" t="s">
        <v>208</v>
      </c>
      <c r="E3350" t="s">
        <v>21</v>
      </c>
      <c r="F3350" t="s">
        <v>22</v>
      </c>
      <c r="G3350" t="s">
        <v>64</v>
      </c>
      <c r="H3350" t="s">
        <v>631</v>
      </c>
      <c r="I3350" t="s">
        <v>6621</v>
      </c>
      <c r="J3350">
        <v>10.634626839999999</v>
      </c>
      <c r="K3350">
        <v>-83.925409500000001</v>
      </c>
      <c r="L3350" t="s">
        <v>1225</v>
      </c>
      <c r="M3350" t="s">
        <v>189</v>
      </c>
      <c r="N3350" t="s">
        <v>211</v>
      </c>
      <c r="O3350" t="s">
        <v>212</v>
      </c>
      <c r="P3350">
        <v>11</v>
      </c>
      <c r="Q3350" t="s">
        <v>108</v>
      </c>
      <c r="S3350" t="str">
        <f>_xlfn.XLOOKUP(UNIVERSO[[#This Row],[Ruta]],'[1]CUOTA RUTA'!A:A,'[1]CUOTA RUTA'!D:D)</f>
        <v>Cargar</v>
      </c>
    </row>
    <row r="3351" spans="1:19" x14ac:dyDescent="0.25">
      <c r="A3351">
        <v>1540032681</v>
      </c>
      <c r="B3351" t="s">
        <v>6622</v>
      </c>
      <c r="C3351" t="s">
        <v>19</v>
      </c>
      <c r="D3351" t="s">
        <v>208</v>
      </c>
      <c r="E3351" t="s">
        <v>21</v>
      </c>
      <c r="F3351" t="s">
        <v>22</v>
      </c>
      <c r="G3351" t="s">
        <v>64</v>
      </c>
      <c r="H3351" t="s">
        <v>209</v>
      </c>
      <c r="I3351" t="s">
        <v>6623</v>
      </c>
      <c r="J3351">
        <v>10.211427</v>
      </c>
      <c r="K3351">
        <v>-83.898330999999999</v>
      </c>
      <c r="L3351" t="s">
        <v>1225</v>
      </c>
      <c r="M3351" t="s">
        <v>189</v>
      </c>
      <c r="N3351" t="s">
        <v>211</v>
      </c>
      <c r="O3351" t="s">
        <v>212</v>
      </c>
      <c r="P3351">
        <v>4</v>
      </c>
      <c r="Q3351" t="s">
        <v>120</v>
      </c>
      <c r="S3351" t="str">
        <f>_xlfn.XLOOKUP(UNIVERSO[[#This Row],[Ruta]],'[1]CUOTA RUTA'!A:A,'[1]CUOTA RUTA'!D:D)</f>
        <v>Cargar</v>
      </c>
    </row>
    <row r="3352" spans="1:19" x14ac:dyDescent="0.25">
      <c r="A3352">
        <v>1540032723</v>
      </c>
      <c r="B3352" t="s">
        <v>6624</v>
      </c>
      <c r="C3352" t="s">
        <v>19</v>
      </c>
      <c r="D3352" t="s">
        <v>20</v>
      </c>
      <c r="E3352" t="s">
        <v>21</v>
      </c>
      <c r="F3352" t="s">
        <v>22</v>
      </c>
      <c r="G3352" t="s">
        <v>23</v>
      </c>
      <c r="H3352" t="s">
        <v>303</v>
      </c>
      <c r="I3352" t="s">
        <v>6625</v>
      </c>
      <c r="J3352">
        <v>9.9813700000000001</v>
      </c>
      <c r="K3352">
        <v>-84.180490000000006</v>
      </c>
      <c r="L3352" t="s">
        <v>1225</v>
      </c>
      <c r="M3352" t="s">
        <v>54</v>
      </c>
      <c r="N3352" t="s">
        <v>55</v>
      </c>
      <c r="O3352" t="s">
        <v>56</v>
      </c>
      <c r="P3352">
        <v>17</v>
      </c>
      <c r="Q3352" t="s">
        <v>287</v>
      </c>
      <c r="S3352" t="str">
        <f>_xlfn.XLOOKUP(UNIVERSO[[#This Row],[Ruta]],'[1]CUOTA RUTA'!A:A,'[1]CUOTA RUTA'!D:D)</f>
        <v>Cargar</v>
      </c>
    </row>
    <row r="3353" spans="1:19" x14ac:dyDescent="0.25">
      <c r="A3353">
        <v>1540032742</v>
      </c>
      <c r="B3353" t="s">
        <v>6626</v>
      </c>
      <c r="C3353" t="s">
        <v>19</v>
      </c>
      <c r="D3353" t="s">
        <v>201</v>
      </c>
      <c r="E3353" t="s">
        <v>21</v>
      </c>
      <c r="F3353" t="s">
        <v>22</v>
      </c>
      <c r="G3353" t="s">
        <v>64</v>
      </c>
      <c r="H3353" t="s">
        <v>785</v>
      </c>
      <c r="I3353" t="s">
        <v>6627</v>
      </c>
      <c r="J3353">
        <v>9.9942069</v>
      </c>
      <c r="K3353">
        <v>-84.701466699999997</v>
      </c>
      <c r="L3353" t="s">
        <v>1225</v>
      </c>
      <c r="M3353" t="s">
        <v>204</v>
      </c>
      <c r="N3353" t="s">
        <v>205</v>
      </c>
      <c r="O3353" t="s">
        <v>206</v>
      </c>
      <c r="P3353">
        <v>13</v>
      </c>
      <c r="Q3353" t="s">
        <v>161</v>
      </c>
      <c r="S3353" t="str">
        <f>_xlfn.XLOOKUP(UNIVERSO[[#This Row],[Ruta]],'[1]CUOTA RUTA'!A:A,'[1]CUOTA RUTA'!D:D)</f>
        <v>Cargar</v>
      </c>
    </row>
    <row r="3354" spans="1:19" x14ac:dyDescent="0.25">
      <c r="A3354">
        <v>1540032778</v>
      </c>
      <c r="B3354" t="s">
        <v>6628</v>
      </c>
      <c r="C3354" t="s">
        <v>19</v>
      </c>
      <c r="D3354" t="s">
        <v>244</v>
      </c>
      <c r="E3354" t="s">
        <v>21</v>
      </c>
      <c r="F3354" t="s">
        <v>22</v>
      </c>
      <c r="G3354" t="s">
        <v>33</v>
      </c>
      <c r="H3354" t="s">
        <v>245</v>
      </c>
      <c r="I3354" t="s">
        <v>6629</v>
      </c>
      <c r="J3354">
        <v>9.3632530000000003</v>
      </c>
      <c r="K3354">
        <v>-83.662664000000007</v>
      </c>
      <c r="L3354" t="s">
        <v>1225</v>
      </c>
      <c r="M3354" t="s">
        <v>46</v>
      </c>
      <c r="N3354" t="s">
        <v>247</v>
      </c>
      <c r="O3354" t="s">
        <v>248</v>
      </c>
      <c r="P3354">
        <v>15</v>
      </c>
      <c r="Q3354" t="s">
        <v>231</v>
      </c>
      <c r="S3354" t="str">
        <f>_xlfn.XLOOKUP(UNIVERSO[[#This Row],[Ruta]],'[1]CUOTA RUTA'!A:A,'[1]CUOTA RUTA'!D:D)</f>
        <v>Cargar</v>
      </c>
    </row>
    <row r="3355" spans="1:19" x14ac:dyDescent="0.25">
      <c r="A3355">
        <v>1540032782</v>
      </c>
      <c r="B3355" t="s">
        <v>6630</v>
      </c>
      <c r="C3355" t="s">
        <v>19</v>
      </c>
      <c r="D3355" t="s">
        <v>201</v>
      </c>
      <c r="E3355" t="s">
        <v>21</v>
      </c>
      <c r="F3355" t="s">
        <v>22</v>
      </c>
      <c r="G3355" t="s">
        <v>33</v>
      </c>
      <c r="H3355" t="s">
        <v>334</v>
      </c>
      <c r="I3355" t="s">
        <v>6631</v>
      </c>
      <c r="J3355">
        <v>9.9865484999999996</v>
      </c>
      <c r="K3355">
        <v>-84.713769299999996</v>
      </c>
      <c r="L3355" t="s">
        <v>1225</v>
      </c>
      <c r="M3355" t="s">
        <v>204</v>
      </c>
      <c r="N3355" t="s">
        <v>205</v>
      </c>
      <c r="O3355" t="s">
        <v>206</v>
      </c>
      <c r="P3355">
        <v>8</v>
      </c>
      <c r="Q3355" t="s">
        <v>97</v>
      </c>
      <c r="S3355" t="str">
        <f>_xlfn.XLOOKUP(UNIVERSO[[#This Row],[Ruta]],'[1]CUOTA RUTA'!A:A,'[1]CUOTA RUTA'!D:D)</f>
        <v>Cargar</v>
      </c>
    </row>
    <row r="3356" spans="1:19" x14ac:dyDescent="0.25">
      <c r="A3356">
        <v>1540032841</v>
      </c>
      <c r="B3356" t="s">
        <v>6632</v>
      </c>
      <c r="C3356" t="s">
        <v>19</v>
      </c>
      <c r="D3356" t="s">
        <v>32</v>
      </c>
      <c r="E3356" t="s">
        <v>21</v>
      </c>
      <c r="F3356" t="s">
        <v>51</v>
      </c>
      <c r="G3356" t="s">
        <v>23</v>
      </c>
      <c r="H3356" t="s">
        <v>103</v>
      </c>
      <c r="I3356" t="s">
        <v>6633</v>
      </c>
      <c r="J3356">
        <v>9.9377580000000005</v>
      </c>
      <c r="K3356">
        <v>-84.069344999999998</v>
      </c>
      <c r="L3356" t="s">
        <v>1225</v>
      </c>
      <c r="M3356" t="s">
        <v>71</v>
      </c>
      <c r="N3356" t="s">
        <v>72</v>
      </c>
      <c r="O3356" t="s">
        <v>73</v>
      </c>
      <c r="P3356">
        <v>6</v>
      </c>
      <c r="Q3356" t="s">
        <v>49</v>
      </c>
      <c r="S3356" t="str">
        <f>_xlfn.XLOOKUP(UNIVERSO[[#This Row],[Ruta]],'[1]CUOTA RUTA'!A:A,'[1]CUOTA RUTA'!D:D)</f>
        <v>Cargar</v>
      </c>
    </row>
    <row r="3357" spans="1:19" x14ac:dyDescent="0.25">
      <c r="A3357">
        <v>1540032844</v>
      </c>
      <c r="B3357" t="s">
        <v>6634</v>
      </c>
      <c r="C3357" t="s">
        <v>19</v>
      </c>
      <c r="D3357" t="s">
        <v>244</v>
      </c>
      <c r="E3357" t="s">
        <v>21</v>
      </c>
      <c r="F3357" t="s">
        <v>22</v>
      </c>
      <c r="G3357" t="s">
        <v>33</v>
      </c>
      <c r="H3357" t="s">
        <v>1233</v>
      </c>
      <c r="I3357" t="s">
        <v>6635</v>
      </c>
      <c r="J3357">
        <v>9.2535559999999997</v>
      </c>
      <c r="K3357">
        <v>-83.864236000000005</v>
      </c>
      <c r="L3357" t="s">
        <v>1225</v>
      </c>
      <c r="M3357" t="s">
        <v>46</v>
      </c>
      <c r="N3357" t="s">
        <v>247</v>
      </c>
      <c r="O3357" t="s">
        <v>248</v>
      </c>
      <c r="P3357">
        <v>16</v>
      </c>
      <c r="Q3357" t="s">
        <v>60</v>
      </c>
      <c r="S3357" t="str">
        <f>_xlfn.XLOOKUP(UNIVERSO[[#This Row],[Ruta]],'[1]CUOTA RUTA'!A:A,'[1]CUOTA RUTA'!D:D)</f>
        <v>Cargar</v>
      </c>
    </row>
    <row r="3358" spans="1:19" x14ac:dyDescent="0.25">
      <c r="A3358">
        <v>1540032904</v>
      </c>
      <c r="B3358" t="s">
        <v>6636</v>
      </c>
      <c r="C3358" t="s">
        <v>19</v>
      </c>
      <c r="D3358" t="s">
        <v>20</v>
      </c>
      <c r="E3358" t="s">
        <v>21</v>
      </c>
      <c r="F3358" t="s">
        <v>22</v>
      </c>
      <c r="G3358" t="s">
        <v>23</v>
      </c>
      <c r="H3358" t="s">
        <v>674</v>
      </c>
      <c r="I3358" t="s">
        <v>6637</v>
      </c>
      <c r="J3358">
        <v>10.106805634057</v>
      </c>
      <c r="K3358">
        <v>-84.465732981710005</v>
      </c>
      <c r="L3358" t="s">
        <v>1225</v>
      </c>
      <c r="M3358" t="s">
        <v>46</v>
      </c>
      <c r="N3358" t="s">
        <v>47</v>
      </c>
      <c r="O3358" t="s">
        <v>48</v>
      </c>
      <c r="P3358">
        <v>6</v>
      </c>
      <c r="Q3358" t="s">
        <v>49</v>
      </c>
      <c r="S3358" t="str">
        <f>_xlfn.XLOOKUP(UNIVERSO[[#This Row],[Ruta]],'[1]CUOTA RUTA'!A:A,'[1]CUOTA RUTA'!D:D)</f>
        <v>Cargar</v>
      </c>
    </row>
    <row r="3359" spans="1:19" x14ac:dyDescent="0.25">
      <c r="A3359">
        <v>1540032942</v>
      </c>
      <c r="B3359" t="s">
        <v>6638</v>
      </c>
      <c r="C3359" t="s">
        <v>19</v>
      </c>
      <c r="D3359" t="s">
        <v>20</v>
      </c>
      <c r="E3359" t="s">
        <v>21</v>
      </c>
      <c r="F3359" t="s">
        <v>22</v>
      </c>
      <c r="G3359" t="s">
        <v>64</v>
      </c>
      <c r="H3359" t="s">
        <v>458</v>
      </c>
      <c r="I3359" t="s">
        <v>6639</v>
      </c>
      <c r="J3359">
        <v>9.9439273000000004</v>
      </c>
      <c r="K3359">
        <v>-84.263652199999996</v>
      </c>
      <c r="L3359" t="s">
        <v>1225</v>
      </c>
      <c r="M3359" t="s">
        <v>54</v>
      </c>
      <c r="N3359" t="s">
        <v>55</v>
      </c>
      <c r="O3359" t="s">
        <v>56</v>
      </c>
      <c r="P3359">
        <v>20</v>
      </c>
      <c r="Q3359" t="s">
        <v>74</v>
      </c>
      <c r="S3359" t="str">
        <f>_xlfn.XLOOKUP(UNIVERSO[[#This Row],[Ruta]],'[1]CUOTA RUTA'!A:A,'[1]CUOTA RUTA'!D:D)</f>
        <v>Cargar</v>
      </c>
    </row>
    <row r="3360" spans="1:19" x14ac:dyDescent="0.25">
      <c r="A3360">
        <v>1540032973</v>
      </c>
      <c r="B3360" t="s">
        <v>6640</v>
      </c>
      <c r="C3360" t="s">
        <v>19</v>
      </c>
      <c r="D3360" t="s">
        <v>20</v>
      </c>
      <c r="E3360" t="s">
        <v>62</v>
      </c>
      <c r="F3360" t="s">
        <v>63</v>
      </c>
      <c r="G3360" t="s">
        <v>33</v>
      </c>
      <c r="H3360" t="s">
        <v>369</v>
      </c>
      <c r="I3360" t="s">
        <v>6641</v>
      </c>
      <c r="J3360">
        <v>10.0132905</v>
      </c>
      <c r="K3360">
        <v>-84.105858650000002</v>
      </c>
      <c r="L3360" t="s">
        <v>1225</v>
      </c>
      <c r="M3360" t="s">
        <v>27</v>
      </c>
      <c r="N3360" t="s">
        <v>28</v>
      </c>
      <c r="O3360" t="s">
        <v>29</v>
      </c>
      <c r="P3360">
        <v>17</v>
      </c>
      <c r="Q3360" t="s">
        <v>287</v>
      </c>
      <c r="S3360" t="str">
        <f>_xlfn.XLOOKUP(UNIVERSO[[#This Row],[Ruta]],'[1]CUOTA RUTA'!A:A,'[1]CUOTA RUTA'!D:D)</f>
        <v>Cargar</v>
      </c>
    </row>
    <row r="3361" spans="1:19" x14ac:dyDescent="0.25">
      <c r="A3361">
        <v>1540033115</v>
      </c>
      <c r="B3361" t="s">
        <v>6642</v>
      </c>
      <c r="C3361" t="s">
        <v>19</v>
      </c>
      <c r="D3361" t="s">
        <v>20</v>
      </c>
      <c r="E3361" t="s">
        <v>21</v>
      </c>
      <c r="F3361" t="s">
        <v>22</v>
      </c>
      <c r="G3361" t="s">
        <v>64</v>
      </c>
      <c r="H3361" t="s">
        <v>308</v>
      </c>
      <c r="I3361" t="s">
        <v>6643</v>
      </c>
      <c r="J3361">
        <v>9.9130500000000001</v>
      </c>
      <c r="K3361">
        <v>-84.448099999999997</v>
      </c>
      <c r="L3361" t="s">
        <v>1225</v>
      </c>
      <c r="M3361" t="s">
        <v>54</v>
      </c>
      <c r="N3361" t="s">
        <v>55</v>
      </c>
      <c r="O3361" t="s">
        <v>56</v>
      </c>
      <c r="P3361">
        <v>21</v>
      </c>
      <c r="Q3361" t="s">
        <v>239</v>
      </c>
      <c r="S3361" t="str">
        <f>_xlfn.XLOOKUP(UNIVERSO[[#This Row],[Ruta]],'[1]CUOTA RUTA'!A:A,'[1]CUOTA RUTA'!D:D)</f>
        <v>Cargar</v>
      </c>
    </row>
    <row r="3362" spans="1:19" x14ac:dyDescent="0.25">
      <c r="A3362">
        <v>1540033133</v>
      </c>
      <c r="B3362" t="s">
        <v>6644</v>
      </c>
      <c r="C3362" t="s">
        <v>19</v>
      </c>
      <c r="D3362" t="s">
        <v>32</v>
      </c>
      <c r="E3362" t="s">
        <v>21</v>
      </c>
      <c r="F3362" t="s">
        <v>22</v>
      </c>
      <c r="G3362" t="s">
        <v>33</v>
      </c>
      <c r="H3362" t="s">
        <v>698</v>
      </c>
      <c r="I3362" t="s">
        <v>6645</v>
      </c>
      <c r="J3362">
        <v>9.9574149999999992</v>
      </c>
      <c r="K3362">
        <v>-84.023050999999995</v>
      </c>
      <c r="L3362" t="s">
        <v>1225</v>
      </c>
      <c r="M3362" t="s">
        <v>94</v>
      </c>
      <c r="N3362" t="s">
        <v>95</v>
      </c>
      <c r="O3362" t="s">
        <v>96</v>
      </c>
      <c r="P3362">
        <v>8</v>
      </c>
      <c r="Q3362" t="s">
        <v>97</v>
      </c>
      <c r="S3362" t="str">
        <f>_xlfn.XLOOKUP(UNIVERSO[[#This Row],[Ruta]],'[1]CUOTA RUTA'!A:A,'[1]CUOTA RUTA'!D:D)</f>
        <v>Cargar</v>
      </c>
    </row>
    <row r="3363" spans="1:19" x14ac:dyDescent="0.25">
      <c r="A3363">
        <v>1540033155</v>
      </c>
      <c r="B3363" t="s">
        <v>844</v>
      </c>
      <c r="C3363" t="s">
        <v>19</v>
      </c>
      <c r="D3363" t="s">
        <v>324</v>
      </c>
      <c r="E3363" t="s">
        <v>21</v>
      </c>
      <c r="F3363" t="s">
        <v>51</v>
      </c>
      <c r="G3363" t="s">
        <v>23</v>
      </c>
      <c r="H3363" t="s">
        <v>396</v>
      </c>
      <c r="I3363" t="s">
        <v>6646</v>
      </c>
      <c r="J3363">
        <v>10.4575</v>
      </c>
      <c r="K3363">
        <v>-84.556700000000006</v>
      </c>
      <c r="L3363" t="s">
        <v>1225</v>
      </c>
      <c r="M3363" t="s">
        <v>327</v>
      </c>
      <c r="N3363" t="s">
        <v>328</v>
      </c>
      <c r="O3363" t="s">
        <v>329</v>
      </c>
      <c r="P3363">
        <v>12</v>
      </c>
      <c r="Q3363" t="s">
        <v>42</v>
      </c>
      <c r="S3363" t="str">
        <f>_xlfn.XLOOKUP(UNIVERSO[[#This Row],[Ruta]],'[1]CUOTA RUTA'!A:A,'[1]CUOTA RUTA'!D:D)</f>
        <v>Cargar</v>
      </c>
    </row>
    <row r="3364" spans="1:19" x14ac:dyDescent="0.25">
      <c r="A3364">
        <v>1540033158</v>
      </c>
      <c r="B3364" t="s">
        <v>6647</v>
      </c>
      <c r="C3364" t="s">
        <v>19</v>
      </c>
      <c r="D3364" t="s">
        <v>186</v>
      </c>
      <c r="E3364" t="s">
        <v>21</v>
      </c>
      <c r="F3364" t="s">
        <v>22</v>
      </c>
      <c r="G3364" t="s">
        <v>64</v>
      </c>
      <c r="H3364" t="s">
        <v>420</v>
      </c>
      <c r="I3364" t="s">
        <v>6648</v>
      </c>
      <c r="J3364">
        <v>9.6994520000000009</v>
      </c>
      <c r="K3364">
        <v>-82.938123000000004</v>
      </c>
      <c r="L3364" t="s">
        <v>1225</v>
      </c>
      <c r="M3364" t="s">
        <v>189</v>
      </c>
      <c r="N3364" t="s">
        <v>190</v>
      </c>
      <c r="O3364" t="s">
        <v>191</v>
      </c>
      <c r="P3364">
        <v>18</v>
      </c>
      <c r="Q3364" t="s">
        <v>84</v>
      </c>
      <c r="S3364" t="str">
        <f>_xlfn.XLOOKUP(UNIVERSO[[#This Row],[Ruta]],'[1]CUOTA RUTA'!A:A,'[1]CUOTA RUTA'!D:D)</f>
        <v>Cargar</v>
      </c>
    </row>
    <row r="3365" spans="1:19" x14ac:dyDescent="0.25">
      <c r="A3365">
        <v>1540033207</v>
      </c>
      <c r="B3365" t="s">
        <v>6649</v>
      </c>
      <c r="C3365" t="s">
        <v>19</v>
      </c>
      <c r="D3365" t="s">
        <v>201</v>
      </c>
      <c r="E3365" t="s">
        <v>21</v>
      </c>
      <c r="F3365" t="s">
        <v>22</v>
      </c>
      <c r="G3365" t="s">
        <v>23</v>
      </c>
      <c r="H3365" t="s">
        <v>202</v>
      </c>
      <c r="I3365" t="s">
        <v>6650</v>
      </c>
      <c r="J3365">
        <v>9.9780599999999993</v>
      </c>
      <c r="K3365">
        <v>-84.742684999999994</v>
      </c>
      <c r="L3365" t="s">
        <v>1225</v>
      </c>
      <c r="M3365" t="s">
        <v>204</v>
      </c>
      <c r="N3365" t="s">
        <v>205</v>
      </c>
      <c r="O3365" t="s">
        <v>206</v>
      </c>
      <c r="P3365">
        <v>9</v>
      </c>
      <c r="Q3365" t="s">
        <v>80</v>
      </c>
      <c r="S3365" t="str">
        <f>_xlfn.XLOOKUP(UNIVERSO[[#This Row],[Ruta]],'[1]CUOTA RUTA'!A:A,'[1]CUOTA RUTA'!D:D)</f>
        <v>Cargar</v>
      </c>
    </row>
    <row r="3366" spans="1:19" x14ac:dyDescent="0.25">
      <c r="A3366">
        <v>1540033216</v>
      </c>
      <c r="B3366" t="s">
        <v>6651</v>
      </c>
      <c r="C3366" t="s">
        <v>19</v>
      </c>
      <c r="D3366" t="s">
        <v>244</v>
      </c>
      <c r="E3366" t="s">
        <v>21</v>
      </c>
      <c r="F3366" t="s">
        <v>22</v>
      </c>
      <c r="G3366" t="s">
        <v>33</v>
      </c>
      <c r="H3366" t="s">
        <v>819</v>
      </c>
      <c r="I3366" t="s">
        <v>6652</v>
      </c>
      <c r="J3366">
        <v>9.5644150000000003</v>
      </c>
      <c r="K3366">
        <v>-84.219511999999995</v>
      </c>
      <c r="L3366" t="s">
        <v>1225</v>
      </c>
      <c r="M3366" t="s">
        <v>46</v>
      </c>
      <c r="N3366" t="s">
        <v>247</v>
      </c>
      <c r="O3366" t="s">
        <v>248</v>
      </c>
      <c r="P3366">
        <v>22</v>
      </c>
      <c r="Q3366" t="s">
        <v>30</v>
      </c>
      <c r="S3366" t="str">
        <f>_xlfn.XLOOKUP(UNIVERSO[[#This Row],[Ruta]],'[1]CUOTA RUTA'!A:A,'[1]CUOTA RUTA'!D:D)</f>
        <v>Cargar</v>
      </c>
    </row>
    <row r="3367" spans="1:19" x14ac:dyDescent="0.25">
      <c r="A3367">
        <v>1540033231</v>
      </c>
      <c r="B3367" t="s">
        <v>6653</v>
      </c>
      <c r="C3367" t="s">
        <v>19</v>
      </c>
      <c r="D3367" t="s">
        <v>337</v>
      </c>
      <c r="E3367" t="s">
        <v>21</v>
      </c>
      <c r="F3367" t="s">
        <v>22</v>
      </c>
      <c r="G3367" t="s">
        <v>64</v>
      </c>
      <c r="H3367" t="s">
        <v>451</v>
      </c>
      <c r="I3367" t="s">
        <v>6654</v>
      </c>
      <c r="J3367">
        <v>10.647632</v>
      </c>
      <c r="K3367">
        <v>-85.437404000000001</v>
      </c>
      <c r="L3367" t="s">
        <v>1225</v>
      </c>
      <c r="M3367" t="s">
        <v>327</v>
      </c>
      <c r="N3367" t="s">
        <v>340</v>
      </c>
      <c r="O3367" t="s">
        <v>341</v>
      </c>
      <c r="P3367">
        <v>12</v>
      </c>
      <c r="Q3367" t="s">
        <v>42</v>
      </c>
      <c r="S3367" t="str">
        <f>_xlfn.XLOOKUP(UNIVERSO[[#This Row],[Ruta]],'[1]CUOTA RUTA'!A:A,'[1]CUOTA RUTA'!D:D)</f>
        <v>Cargar</v>
      </c>
    </row>
    <row r="3368" spans="1:19" x14ac:dyDescent="0.25">
      <c r="A3368">
        <v>1540033268</v>
      </c>
      <c r="B3368" t="s">
        <v>6655</v>
      </c>
      <c r="C3368" t="s">
        <v>19</v>
      </c>
      <c r="D3368" t="s">
        <v>324</v>
      </c>
      <c r="E3368" t="s">
        <v>21</v>
      </c>
      <c r="F3368" t="s">
        <v>22</v>
      </c>
      <c r="G3368" t="s">
        <v>33</v>
      </c>
      <c r="H3368" t="s">
        <v>511</v>
      </c>
      <c r="I3368" t="s">
        <v>6656</v>
      </c>
      <c r="J3368">
        <v>10.406885000000001</v>
      </c>
      <c r="K3368">
        <v>-84.598500999999999</v>
      </c>
      <c r="L3368" t="s">
        <v>1225</v>
      </c>
      <c r="M3368" t="s">
        <v>327</v>
      </c>
      <c r="N3368" t="s">
        <v>328</v>
      </c>
      <c r="O3368" t="s">
        <v>329</v>
      </c>
      <c r="P3368">
        <v>12</v>
      </c>
      <c r="Q3368" t="s">
        <v>42</v>
      </c>
      <c r="S3368" t="str">
        <f>_xlfn.XLOOKUP(UNIVERSO[[#This Row],[Ruta]],'[1]CUOTA RUTA'!A:A,'[1]CUOTA RUTA'!D:D)</f>
        <v>Cargar</v>
      </c>
    </row>
    <row r="3369" spans="1:19" x14ac:dyDescent="0.25">
      <c r="A3369">
        <v>1540033313</v>
      </c>
      <c r="B3369" t="s">
        <v>6657</v>
      </c>
      <c r="C3369" t="s">
        <v>19</v>
      </c>
      <c r="D3369" t="s">
        <v>32</v>
      </c>
      <c r="E3369" t="s">
        <v>21</v>
      </c>
      <c r="F3369" t="s">
        <v>22</v>
      </c>
      <c r="G3369" t="s">
        <v>23</v>
      </c>
      <c r="H3369" t="s">
        <v>134</v>
      </c>
      <c r="I3369" t="s">
        <v>6658</v>
      </c>
      <c r="J3369">
        <v>10.0245</v>
      </c>
      <c r="K3369">
        <v>-84.032700000000006</v>
      </c>
      <c r="L3369" t="s">
        <v>1225</v>
      </c>
      <c r="M3369" t="s">
        <v>94</v>
      </c>
      <c r="N3369" t="s">
        <v>95</v>
      </c>
      <c r="O3369" t="s">
        <v>96</v>
      </c>
      <c r="P3369">
        <v>5</v>
      </c>
      <c r="Q3369" t="s">
        <v>117</v>
      </c>
      <c r="S3369" t="str">
        <f>_xlfn.XLOOKUP(UNIVERSO[[#This Row],[Ruta]],'[1]CUOTA RUTA'!A:A,'[1]CUOTA RUTA'!D:D)</f>
        <v>Cargar</v>
      </c>
    </row>
    <row r="3370" spans="1:19" x14ac:dyDescent="0.25">
      <c r="A3370">
        <v>1540033366</v>
      </c>
      <c r="B3370" t="s">
        <v>6659</v>
      </c>
      <c r="C3370" t="s">
        <v>19</v>
      </c>
      <c r="D3370" t="s">
        <v>337</v>
      </c>
      <c r="E3370" t="s">
        <v>21</v>
      </c>
      <c r="F3370" t="s">
        <v>22</v>
      </c>
      <c r="G3370" t="s">
        <v>33</v>
      </c>
      <c r="H3370" t="s">
        <v>346</v>
      </c>
      <c r="I3370" t="s">
        <v>6660</v>
      </c>
      <c r="J3370">
        <v>10.471956580000001</v>
      </c>
      <c r="K3370">
        <v>-85.211236249999999</v>
      </c>
      <c r="L3370" t="s">
        <v>1225</v>
      </c>
      <c r="M3370" t="s">
        <v>327</v>
      </c>
      <c r="N3370" t="s">
        <v>340</v>
      </c>
      <c r="O3370" t="s">
        <v>341</v>
      </c>
      <c r="P3370">
        <v>20</v>
      </c>
      <c r="Q3370" t="s">
        <v>74</v>
      </c>
      <c r="S3370" t="str">
        <f>_xlfn.XLOOKUP(UNIVERSO[[#This Row],[Ruta]],'[1]CUOTA RUTA'!A:A,'[1]CUOTA RUTA'!D:D)</f>
        <v>Cargar</v>
      </c>
    </row>
    <row r="3371" spans="1:19" x14ac:dyDescent="0.25">
      <c r="A3371">
        <v>1540033405</v>
      </c>
      <c r="B3371" t="s">
        <v>5382</v>
      </c>
      <c r="C3371" t="s">
        <v>19</v>
      </c>
      <c r="D3371" t="s">
        <v>337</v>
      </c>
      <c r="E3371" t="s">
        <v>21</v>
      </c>
      <c r="F3371" t="s">
        <v>22</v>
      </c>
      <c r="G3371" t="s">
        <v>23</v>
      </c>
      <c r="H3371" t="s">
        <v>824</v>
      </c>
      <c r="I3371" t="s">
        <v>6661</v>
      </c>
      <c r="J3371">
        <v>10.42264415</v>
      </c>
      <c r="K3371">
        <v>-85.097052880000007</v>
      </c>
      <c r="L3371" t="s">
        <v>1225</v>
      </c>
      <c r="M3371" t="s">
        <v>327</v>
      </c>
      <c r="N3371" t="s">
        <v>340</v>
      </c>
      <c r="O3371" t="s">
        <v>341</v>
      </c>
      <c r="P3371">
        <v>21</v>
      </c>
      <c r="Q3371" t="s">
        <v>239</v>
      </c>
      <c r="S3371" t="str">
        <f>_xlfn.XLOOKUP(UNIVERSO[[#This Row],[Ruta]],'[1]CUOTA RUTA'!A:A,'[1]CUOTA RUTA'!D:D)</f>
        <v>Cargar</v>
      </c>
    </row>
    <row r="3372" spans="1:19" x14ac:dyDescent="0.25">
      <c r="A3372">
        <v>1540033476</v>
      </c>
      <c r="B3372" t="s">
        <v>6662</v>
      </c>
      <c r="C3372" t="s">
        <v>19</v>
      </c>
      <c r="D3372" t="s">
        <v>208</v>
      </c>
      <c r="E3372" t="s">
        <v>62</v>
      </c>
      <c r="F3372" t="s">
        <v>63</v>
      </c>
      <c r="G3372" t="s">
        <v>64</v>
      </c>
      <c r="H3372" t="s">
        <v>616</v>
      </c>
      <c r="I3372" t="s">
        <v>6663</v>
      </c>
      <c r="J3372">
        <v>10.434480000000001</v>
      </c>
      <c r="K3372">
        <v>-83.989140000000006</v>
      </c>
      <c r="L3372" t="s">
        <v>1225</v>
      </c>
      <c r="M3372" t="s">
        <v>189</v>
      </c>
      <c r="N3372" t="s">
        <v>211</v>
      </c>
      <c r="O3372" t="s">
        <v>212</v>
      </c>
      <c r="P3372">
        <v>10</v>
      </c>
      <c r="Q3372" t="s">
        <v>136</v>
      </c>
      <c r="S3372" t="str">
        <f>_xlfn.XLOOKUP(UNIVERSO[[#This Row],[Ruta]],'[1]CUOTA RUTA'!A:A,'[1]CUOTA RUTA'!D:D)</f>
        <v>Cargar</v>
      </c>
    </row>
    <row r="3373" spans="1:19" x14ac:dyDescent="0.25">
      <c r="A3373">
        <v>1540033481</v>
      </c>
      <c r="B3373" t="s">
        <v>6664</v>
      </c>
      <c r="C3373" t="s">
        <v>19</v>
      </c>
      <c r="D3373" t="s">
        <v>186</v>
      </c>
      <c r="E3373" t="s">
        <v>21</v>
      </c>
      <c r="F3373" t="s">
        <v>22</v>
      </c>
      <c r="G3373" t="s">
        <v>33</v>
      </c>
      <c r="H3373" t="s">
        <v>241</v>
      </c>
      <c r="I3373" t="s">
        <v>6665</v>
      </c>
      <c r="J3373">
        <v>10.012406</v>
      </c>
      <c r="K3373">
        <v>-83.232693999999995</v>
      </c>
      <c r="L3373" t="s">
        <v>1225</v>
      </c>
      <c r="M3373" t="s">
        <v>189</v>
      </c>
      <c r="N3373" t="s">
        <v>190</v>
      </c>
      <c r="O3373" t="s">
        <v>191</v>
      </c>
      <c r="P3373">
        <v>23</v>
      </c>
      <c r="Q3373" t="s">
        <v>125</v>
      </c>
      <c r="S3373" t="str">
        <f>_xlfn.XLOOKUP(UNIVERSO[[#This Row],[Ruta]],'[1]CUOTA RUTA'!A:A,'[1]CUOTA RUTA'!D:D)</f>
        <v>Cargar</v>
      </c>
    </row>
    <row r="3374" spans="1:19" x14ac:dyDescent="0.25">
      <c r="A3374">
        <v>1540033572</v>
      </c>
      <c r="B3374" t="s">
        <v>6666</v>
      </c>
      <c r="C3374" t="s">
        <v>19</v>
      </c>
      <c r="D3374" t="s">
        <v>201</v>
      </c>
      <c r="E3374" t="s">
        <v>21</v>
      </c>
      <c r="F3374" t="s">
        <v>22</v>
      </c>
      <c r="G3374" t="s">
        <v>23</v>
      </c>
      <c r="H3374" t="s">
        <v>593</v>
      </c>
      <c r="I3374" t="s">
        <v>6667</v>
      </c>
      <c r="J3374">
        <v>9.9778936999999992</v>
      </c>
      <c r="K3374">
        <v>-84.828794099999996</v>
      </c>
      <c r="L3374" t="s">
        <v>1225</v>
      </c>
      <c r="M3374" t="s">
        <v>204</v>
      </c>
      <c r="N3374" t="s">
        <v>205</v>
      </c>
      <c r="O3374" t="s">
        <v>206</v>
      </c>
      <c r="P3374">
        <v>11</v>
      </c>
      <c r="Q3374" t="s">
        <v>108</v>
      </c>
      <c r="S3374" t="str">
        <f>_xlfn.XLOOKUP(UNIVERSO[[#This Row],[Ruta]],'[1]CUOTA RUTA'!A:A,'[1]CUOTA RUTA'!D:D)</f>
        <v>Cargar</v>
      </c>
    </row>
    <row r="3375" spans="1:19" x14ac:dyDescent="0.25">
      <c r="A3375">
        <v>1540033588</v>
      </c>
      <c r="B3375" t="s">
        <v>6668</v>
      </c>
      <c r="C3375" t="s">
        <v>19</v>
      </c>
      <c r="D3375" t="s">
        <v>32</v>
      </c>
      <c r="E3375" t="s">
        <v>21</v>
      </c>
      <c r="F3375" t="s">
        <v>22</v>
      </c>
      <c r="G3375" t="s">
        <v>33</v>
      </c>
      <c r="H3375" t="s">
        <v>716</v>
      </c>
      <c r="I3375" t="s">
        <v>6669</v>
      </c>
      <c r="J3375">
        <v>9.9144229999999993</v>
      </c>
      <c r="K3375">
        <v>-84.033212000000006</v>
      </c>
      <c r="L3375" t="s">
        <v>1225</v>
      </c>
      <c r="M3375" t="s">
        <v>36</v>
      </c>
      <c r="N3375" t="s">
        <v>37</v>
      </c>
      <c r="O3375" t="s">
        <v>38</v>
      </c>
      <c r="P3375">
        <v>10</v>
      </c>
      <c r="Q3375" t="s">
        <v>136</v>
      </c>
      <c r="S3375" t="str">
        <f>_xlfn.XLOOKUP(UNIVERSO[[#This Row],[Ruta]],'[1]CUOTA RUTA'!A:A,'[1]CUOTA RUTA'!D:D)</f>
        <v>Cargar</v>
      </c>
    </row>
    <row r="3376" spans="1:19" x14ac:dyDescent="0.25">
      <c r="A3376">
        <v>1540033589</v>
      </c>
      <c r="B3376" t="s">
        <v>6670</v>
      </c>
      <c r="C3376" t="s">
        <v>19</v>
      </c>
      <c r="D3376" t="s">
        <v>32</v>
      </c>
      <c r="E3376" t="s">
        <v>21</v>
      </c>
      <c r="F3376" t="s">
        <v>22</v>
      </c>
      <c r="G3376" t="s">
        <v>64</v>
      </c>
      <c r="H3376" t="s">
        <v>159</v>
      </c>
      <c r="I3376" t="s">
        <v>6671</v>
      </c>
      <c r="J3376">
        <v>9.8981030000000008</v>
      </c>
      <c r="K3376">
        <v>-84.111609000000001</v>
      </c>
      <c r="L3376" t="s">
        <v>1225</v>
      </c>
      <c r="M3376" t="s">
        <v>71</v>
      </c>
      <c r="N3376" t="s">
        <v>72</v>
      </c>
      <c r="O3376" t="s">
        <v>73</v>
      </c>
      <c r="P3376">
        <v>13</v>
      </c>
      <c r="Q3376" t="s">
        <v>161</v>
      </c>
      <c r="S3376" t="str">
        <f>_xlfn.XLOOKUP(UNIVERSO[[#This Row],[Ruta]],'[1]CUOTA RUTA'!A:A,'[1]CUOTA RUTA'!D:D)</f>
        <v>Cargar</v>
      </c>
    </row>
    <row r="3377" spans="1:19" x14ac:dyDescent="0.25">
      <c r="A3377">
        <v>1540033631</v>
      </c>
      <c r="B3377" t="s">
        <v>6672</v>
      </c>
      <c r="C3377" t="s">
        <v>19</v>
      </c>
      <c r="D3377" t="s">
        <v>569</v>
      </c>
      <c r="E3377" t="s">
        <v>21</v>
      </c>
      <c r="F3377" t="s">
        <v>22</v>
      </c>
      <c r="G3377" t="s">
        <v>64</v>
      </c>
      <c r="H3377" t="s">
        <v>570</v>
      </c>
      <c r="I3377" t="s">
        <v>6673</v>
      </c>
      <c r="J3377">
        <v>8.6588969999999996</v>
      </c>
      <c r="K3377">
        <v>-83.073976000000002</v>
      </c>
      <c r="L3377" t="s">
        <v>1225</v>
      </c>
      <c r="M3377" t="s">
        <v>572</v>
      </c>
      <c r="N3377" t="s">
        <v>573</v>
      </c>
      <c r="O3377" t="s">
        <v>574</v>
      </c>
      <c r="P3377">
        <v>23</v>
      </c>
      <c r="Q3377" t="s">
        <v>125</v>
      </c>
      <c r="S3377" t="str">
        <f>_xlfn.XLOOKUP(UNIVERSO[[#This Row],[Ruta]],'[1]CUOTA RUTA'!A:A,'[1]CUOTA RUTA'!D:D)</f>
        <v>Cargar</v>
      </c>
    </row>
    <row r="3378" spans="1:19" x14ac:dyDescent="0.25">
      <c r="A3378">
        <v>1540033716</v>
      </c>
      <c r="B3378" t="s">
        <v>6674</v>
      </c>
      <c r="C3378" t="s">
        <v>19</v>
      </c>
      <c r="D3378" t="s">
        <v>349</v>
      </c>
      <c r="E3378" t="s">
        <v>21</v>
      </c>
      <c r="F3378" t="s">
        <v>22</v>
      </c>
      <c r="G3378" t="s">
        <v>33</v>
      </c>
      <c r="H3378" t="s">
        <v>448</v>
      </c>
      <c r="I3378" t="s">
        <v>6675</v>
      </c>
      <c r="J3378">
        <v>10.218702</v>
      </c>
      <c r="K3378">
        <v>-85.554367999999997</v>
      </c>
      <c r="L3378" t="s">
        <v>1225</v>
      </c>
      <c r="M3378" t="s">
        <v>352</v>
      </c>
      <c r="N3378" t="s">
        <v>353</v>
      </c>
      <c r="O3378" t="s">
        <v>354</v>
      </c>
      <c r="P3378">
        <v>3</v>
      </c>
      <c r="Q3378" t="s">
        <v>101</v>
      </c>
      <c r="S3378" t="str">
        <f>_xlfn.XLOOKUP(UNIVERSO[[#This Row],[Ruta]],'[1]CUOTA RUTA'!A:A,'[1]CUOTA RUTA'!D:D)</f>
        <v>Cargar</v>
      </c>
    </row>
    <row r="3379" spans="1:19" x14ac:dyDescent="0.25">
      <c r="A3379">
        <v>1540033769</v>
      </c>
      <c r="B3379" t="s">
        <v>6676</v>
      </c>
      <c r="C3379" t="s">
        <v>19</v>
      </c>
      <c r="D3379" t="s">
        <v>208</v>
      </c>
      <c r="E3379" t="s">
        <v>21</v>
      </c>
      <c r="F3379" t="s">
        <v>22</v>
      </c>
      <c r="G3379" t="s">
        <v>33</v>
      </c>
      <c r="H3379" t="s">
        <v>209</v>
      </c>
      <c r="I3379" t="s">
        <v>6677</v>
      </c>
      <c r="J3379">
        <v>10.21106</v>
      </c>
      <c r="K3379">
        <v>-83.898526000000004</v>
      </c>
      <c r="L3379" t="s">
        <v>1225</v>
      </c>
      <c r="M3379" t="s">
        <v>189</v>
      </c>
      <c r="N3379" t="s">
        <v>211</v>
      </c>
      <c r="O3379" t="s">
        <v>212</v>
      </c>
      <c r="P3379">
        <v>4</v>
      </c>
      <c r="Q3379" t="s">
        <v>120</v>
      </c>
      <c r="S3379" t="str">
        <f>_xlfn.XLOOKUP(UNIVERSO[[#This Row],[Ruta]],'[1]CUOTA RUTA'!A:A,'[1]CUOTA RUTA'!D:D)</f>
        <v>Cargar</v>
      </c>
    </row>
    <row r="3380" spans="1:19" x14ac:dyDescent="0.25">
      <c r="A3380">
        <v>1540033786</v>
      </c>
      <c r="B3380" t="s">
        <v>6678</v>
      </c>
      <c r="C3380" t="s">
        <v>19</v>
      </c>
      <c r="D3380" t="s">
        <v>20</v>
      </c>
      <c r="E3380" t="s">
        <v>21</v>
      </c>
      <c r="F3380" t="s">
        <v>22</v>
      </c>
      <c r="G3380" t="s">
        <v>23</v>
      </c>
      <c r="H3380" t="s">
        <v>250</v>
      </c>
      <c r="I3380" t="s">
        <v>6679</v>
      </c>
      <c r="J3380">
        <v>10.038650000000001</v>
      </c>
      <c r="K3380">
        <v>-84.239109999999997</v>
      </c>
      <c r="L3380" t="s">
        <v>1225</v>
      </c>
      <c r="M3380" t="s">
        <v>46</v>
      </c>
      <c r="N3380" t="s">
        <v>47</v>
      </c>
      <c r="O3380" t="s">
        <v>48</v>
      </c>
      <c r="P3380">
        <v>2</v>
      </c>
      <c r="Q3380" t="s">
        <v>150</v>
      </c>
      <c r="S3380" t="str">
        <f>_xlfn.XLOOKUP(UNIVERSO[[#This Row],[Ruta]],'[1]CUOTA RUTA'!A:A,'[1]CUOTA RUTA'!D:D)</f>
        <v>Cargar</v>
      </c>
    </row>
    <row r="3381" spans="1:19" x14ac:dyDescent="0.25">
      <c r="A3381">
        <v>1540033788</v>
      </c>
      <c r="B3381" t="s">
        <v>6680</v>
      </c>
      <c r="C3381" t="s">
        <v>19</v>
      </c>
      <c r="D3381" t="s">
        <v>324</v>
      </c>
      <c r="E3381" t="s">
        <v>21</v>
      </c>
      <c r="F3381" t="s">
        <v>22</v>
      </c>
      <c r="G3381" t="s">
        <v>33</v>
      </c>
      <c r="H3381" t="s">
        <v>390</v>
      </c>
      <c r="I3381" t="s">
        <v>6681</v>
      </c>
      <c r="J3381">
        <v>10.334</v>
      </c>
      <c r="K3381">
        <v>-84.427400000000006</v>
      </c>
      <c r="L3381" t="s">
        <v>1225</v>
      </c>
      <c r="M3381" t="s">
        <v>327</v>
      </c>
      <c r="N3381" t="s">
        <v>328</v>
      </c>
      <c r="O3381" t="s">
        <v>329</v>
      </c>
      <c r="P3381">
        <v>22</v>
      </c>
      <c r="Q3381" t="s">
        <v>30</v>
      </c>
      <c r="S3381" t="str">
        <f>_xlfn.XLOOKUP(UNIVERSO[[#This Row],[Ruta]],'[1]CUOTA RUTA'!A:A,'[1]CUOTA RUTA'!D:D)</f>
        <v>Cargar</v>
      </c>
    </row>
    <row r="3382" spans="1:19" x14ac:dyDescent="0.25">
      <c r="A3382">
        <v>1540033800</v>
      </c>
      <c r="B3382" t="s">
        <v>6682</v>
      </c>
      <c r="C3382" t="s">
        <v>19</v>
      </c>
      <c r="D3382" t="s">
        <v>201</v>
      </c>
      <c r="E3382" t="s">
        <v>21</v>
      </c>
      <c r="F3382" t="s">
        <v>22</v>
      </c>
      <c r="G3382" t="s">
        <v>33</v>
      </c>
      <c r="H3382" t="s">
        <v>528</v>
      </c>
      <c r="I3382" t="s">
        <v>6683</v>
      </c>
      <c r="J3382">
        <v>10.254110000000001</v>
      </c>
      <c r="K3382">
        <v>-85.055424000000002</v>
      </c>
      <c r="L3382" t="s">
        <v>1225</v>
      </c>
      <c r="M3382" t="s">
        <v>327</v>
      </c>
      <c r="N3382" t="s">
        <v>530</v>
      </c>
      <c r="O3382" t="s">
        <v>531</v>
      </c>
      <c r="P3382">
        <v>1</v>
      </c>
      <c r="Q3382" t="s">
        <v>155</v>
      </c>
      <c r="S3382" t="str">
        <f>_xlfn.XLOOKUP(UNIVERSO[[#This Row],[Ruta]],'[1]CUOTA RUTA'!A:A,'[1]CUOTA RUTA'!D:D)</f>
        <v>Cargar</v>
      </c>
    </row>
    <row r="3383" spans="1:19" x14ac:dyDescent="0.25">
      <c r="A3383">
        <v>1540033807</v>
      </c>
      <c r="B3383" t="s">
        <v>6684</v>
      </c>
      <c r="C3383" t="s">
        <v>19</v>
      </c>
      <c r="D3383" t="s">
        <v>266</v>
      </c>
      <c r="E3383" t="s">
        <v>21</v>
      </c>
      <c r="F3383" t="s">
        <v>22</v>
      </c>
      <c r="G3383" t="s">
        <v>23</v>
      </c>
      <c r="H3383" t="s">
        <v>703</v>
      </c>
      <c r="I3383" t="s">
        <v>6685</v>
      </c>
      <c r="J3383">
        <v>9.8377133333329994</v>
      </c>
      <c r="K3383">
        <v>-83.984454999999997</v>
      </c>
      <c r="L3383" t="s">
        <v>1225</v>
      </c>
      <c r="M3383" t="s">
        <v>36</v>
      </c>
      <c r="N3383" t="s">
        <v>316</v>
      </c>
      <c r="O3383" t="s">
        <v>317</v>
      </c>
      <c r="P3383">
        <v>20</v>
      </c>
      <c r="Q3383" t="s">
        <v>74</v>
      </c>
      <c r="S3383" t="str">
        <f>_xlfn.XLOOKUP(UNIVERSO[[#This Row],[Ruta]],'[1]CUOTA RUTA'!A:A,'[1]CUOTA RUTA'!D:D)</f>
        <v>Cargar</v>
      </c>
    </row>
    <row r="3384" spans="1:19" x14ac:dyDescent="0.25">
      <c r="A3384">
        <v>1540033834</v>
      </c>
      <c r="B3384" t="s">
        <v>6686</v>
      </c>
      <c r="C3384" t="s">
        <v>19</v>
      </c>
      <c r="D3384" t="s">
        <v>32</v>
      </c>
      <c r="E3384" t="s">
        <v>21</v>
      </c>
      <c r="F3384" t="s">
        <v>51</v>
      </c>
      <c r="G3384" t="s">
        <v>23</v>
      </c>
      <c r="H3384" t="s">
        <v>34</v>
      </c>
      <c r="I3384" t="s">
        <v>6687</v>
      </c>
      <c r="J3384">
        <v>9.9011329999999997</v>
      </c>
      <c r="K3384">
        <v>-84.026570000000007</v>
      </c>
      <c r="L3384" t="s">
        <v>1225</v>
      </c>
      <c r="M3384" t="s">
        <v>36</v>
      </c>
      <c r="N3384" t="s">
        <v>37</v>
      </c>
      <c r="O3384" t="s">
        <v>38</v>
      </c>
      <c r="P3384">
        <v>15</v>
      </c>
      <c r="Q3384" t="s">
        <v>231</v>
      </c>
      <c r="S3384" t="str">
        <f>_xlfn.XLOOKUP(UNIVERSO[[#This Row],[Ruta]],'[1]CUOTA RUTA'!A:A,'[1]CUOTA RUTA'!D:D)</f>
        <v>Cargar</v>
      </c>
    </row>
    <row r="3385" spans="1:19" x14ac:dyDescent="0.25">
      <c r="A3385">
        <v>1540033851</v>
      </c>
      <c r="B3385" t="s">
        <v>6688</v>
      </c>
      <c r="C3385" t="s">
        <v>19</v>
      </c>
      <c r="D3385" t="s">
        <v>20</v>
      </c>
      <c r="E3385" t="s">
        <v>21</v>
      </c>
      <c r="F3385" t="s">
        <v>22</v>
      </c>
      <c r="G3385" t="s">
        <v>33</v>
      </c>
      <c r="H3385" t="s">
        <v>901</v>
      </c>
      <c r="I3385" t="s">
        <v>6689</v>
      </c>
      <c r="J3385">
        <v>10.059415891711</v>
      </c>
      <c r="K3385">
        <v>-84.432223642319997</v>
      </c>
      <c r="L3385" t="s">
        <v>1225</v>
      </c>
      <c r="M3385" t="s">
        <v>46</v>
      </c>
      <c r="N3385" t="s">
        <v>47</v>
      </c>
      <c r="O3385" t="s">
        <v>48</v>
      </c>
      <c r="P3385">
        <v>8</v>
      </c>
      <c r="Q3385" t="s">
        <v>97</v>
      </c>
      <c r="S3385" t="str">
        <f>_xlfn.XLOOKUP(UNIVERSO[[#This Row],[Ruta]],'[1]CUOTA RUTA'!A:A,'[1]CUOTA RUTA'!D:D)</f>
        <v>Cargar</v>
      </c>
    </row>
    <row r="3386" spans="1:19" x14ac:dyDescent="0.25">
      <c r="A3386">
        <v>1540033895</v>
      </c>
      <c r="B3386" t="s">
        <v>6690</v>
      </c>
      <c r="C3386" t="s">
        <v>19</v>
      </c>
      <c r="D3386" t="s">
        <v>20</v>
      </c>
      <c r="E3386" t="s">
        <v>21</v>
      </c>
      <c r="F3386" t="s">
        <v>51</v>
      </c>
      <c r="G3386" t="s">
        <v>23</v>
      </c>
      <c r="H3386" t="s">
        <v>874</v>
      </c>
      <c r="I3386" t="s">
        <v>6691</v>
      </c>
      <c r="J3386">
        <v>9.9848540000000003</v>
      </c>
      <c r="K3386">
        <v>-84.116264999999999</v>
      </c>
      <c r="L3386" t="s">
        <v>1225</v>
      </c>
      <c r="M3386" t="s">
        <v>27</v>
      </c>
      <c r="N3386" t="s">
        <v>28</v>
      </c>
      <c r="O3386" t="s">
        <v>29</v>
      </c>
      <c r="P3386">
        <v>6</v>
      </c>
      <c r="Q3386" t="s">
        <v>49</v>
      </c>
      <c r="S3386" t="str">
        <f>_xlfn.XLOOKUP(UNIVERSO[[#This Row],[Ruta]],'[1]CUOTA RUTA'!A:A,'[1]CUOTA RUTA'!D:D)</f>
        <v>Cargar</v>
      </c>
    </row>
    <row r="3387" spans="1:19" x14ac:dyDescent="0.25">
      <c r="A3387">
        <v>1540033900</v>
      </c>
      <c r="B3387" t="s">
        <v>6692</v>
      </c>
      <c r="C3387" t="s">
        <v>19</v>
      </c>
      <c r="D3387" t="s">
        <v>20</v>
      </c>
      <c r="E3387" t="s">
        <v>21</v>
      </c>
      <c r="F3387" t="s">
        <v>22</v>
      </c>
      <c r="G3387" t="s">
        <v>33</v>
      </c>
      <c r="H3387" t="s">
        <v>638</v>
      </c>
      <c r="I3387" t="s">
        <v>6693</v>
      </c>
      <c r="J3387">
        <v>10.00342</v>
      </c>
      <c r="K3387">
        <v>-84.221100000000007</v>
      </c>
      <c r="L3387" t="s">
        <v>1225</v>
      </c>
      <c r="M3387" t="s">
        <v>54</v>
      </c>
      <c r="N3387" t="s">
        <v>55</v>
      </c>
      <c r="O3387" t="s">
        <v>56</v>
      </c>
      <c r="P3387">
        <v>3</v>
      </c>
      <c r="Q3387" t="s">
        <v>101</v>
      </c>
      <c r="S3387" t="str">
        <f>_xlfn.XLOOKUP(UNIVERSO[[#This Row],[Ruta]],'[1]CUOTA RUTA'!A:A,'[1]CUOTA RUTA'!D:D)</f>
        <v>Cargar</v>
      </c>
    </row>
    <row r="3388" spans="1:19" x14ac:dyDescent="0.25">
      <c r="A3388">
        <v>1540033939</v>
      </c>
      <c r="B3388" t="s">
        <v>4100</v>
      </c>
      <c r="C3388" t="s">
        <v>19</v>
      </c>
      <c r="D3388" t="s">
        <v>20</v>
      </c>
      <c r="E3388" t="s">
        <v>21</v>
      </c>
      <c r="F3388" t="s">
        <v>22</v>
      </c>
      <c r="G3388" t="s">
        <v>33</v>
      </c>
      <c r="H3388" t="s">
        <v>910</v>
      </c>
      <c r="I3388" t="s">
        <v>6694</v>
      </c>
      <c r="J3388">
        <v>10.007107</v>
      </c>
      <c r="K3388">
        <v>-84.132924000000003</v>
      </c>
      <c r="L3388" t="s">
        <v>1225</v>
      </c>
      <c r="M3388" t="s">
        <v>27</v>
      </c>
      <c r="N3388" t="s">
        <v>28</v>
      </c>
      <c r="O3388" t="s">
        <v>29</v>
      </c>
      <c r="P3388">
        <v>16</v>
      </c>
      <c r="Q3388" t="s">
        <v>60</v>
      </c>
      <c r="S3388" t="str">
        <f>_xlfn.XLOOKUP(UNIVERSO[[#This Row],[Ruta]],'[1]CUOTA RUTA'!A:A,'[1]CUOTA RUTA'!D:D)</f>
        <v>Cargar</v>
      </c>
    </row>
    <row r="3389" spans="1:19" x14ac:dyDescent="0.25">
      <c r="A3389">
        <v>1540033940</v>
      </c>
      <c r="B3389" t="s">
        <v>6695</v>
      </c>
      <c r="C3389" t="s">
        <v>19</v>
      </c>
      <c r="D3389" t="s">
        <v>201</v>
      </c>
      <c r="E3389" t="s">
        <v>21</v>
      </c>
      <c r="F3389" t="s">
        <v>22</v>
      </c>
      <c r="G3389" t="s">
        <v>33</v>
      </c>
      <c r="H3389" t="s">
        <v>202</v>
      </c>
      <c r="I3389" t="s">
        <v>6696</v>
      </c>
      <c r="J3389">
        <v>9.9859159999999996</v>
      </c>
      <c r="K3389">
        <v>-84.752043999999998</v>
      </c>
      <c r="L3389" t="s">
        <v>1225</v>
      </c>
      <c r="M3389" t="s">
        <v>204</v>
      </c>
      <c r="N3389" t="s">
        <v>205</v>
      </c>
      <c r="O3389" t="s">
        <v>206</v>
      </c>
      <c r="P3389">
        <v>9</v>
      </c>
      <c r="Q3389" t="s">
        <v>80</v>
      </c>
      <c r="S3389" t="str">
        <f>_xlfn.XLOOKUP(UNIVERSO[[#This Row],[Ruta]],'[1]CUOTA RUTA'!A:A,'[1]CUOTA RUTA'!D:D)</f>
        <v>Cargar</v>
      </c>
    </row>
    <row r="3390" spans="1:19" x14ac:dyDescent="0.25">
      <c r="A3390">
        <v>1540033941</v>
      </c>
      <c r="B3390" t="s">
        <v>6697</v>
      </c>
      <c r="C3390" t="s">
        <v>19</v>
      </c>
      <c r="D3390" t="s">
        <v>266</v>
      </c>
      <c r="E3390" t="s">
        <v>21</v>
      </c>
      <c r="F3390" t="s">
        <v>22</v>
      </c>
      <c r="G3390" t="s">
        <v>33</v>
      </c>
      <c r="H3390" t="s">
        <v>314</v>
      </c>
      <c r="I3390" t="s">
        <v>6698</v>
      </c>
      <c r="J3390">
        <v>9.8711889999999993</v>
      </c>
      <c r="K3390">
        <v>-83.901053099999999</v>
      </c>
      <c r="L3390" t="s">
        <v>1225</v>
      </c>
      <c r="M3390" t="s">
        <v>36</v>
      </c>
      <c r="N3390" t="s">
        <v>316</v>
      </c>
      <c r="O3390" t="s">
        <v>317</v>
      </c>
      <c r="P3390">
        <v>16</v>
      </c>
      <c r="Q3390" t="s">
        <v>60</v>
      </c>
      <c r="S3390" t="str">
        <f>_xlfn.XLOOKUP(UNIVERSO[[#This Row],[Ruta]],'[1]CUOTA RUTA'!A:A,'[1]CUOTA RUTA'!D:D)</f>
        <v>Cargar</v>
      </c>
    </row>
    <row r="3391" spans="1:19" x14ac:dyDescent="0.25">
      <c r="A3391">
        <v>1540033946</v>
      </c>
      <c r="B3391" t="s">
        <v>6699</v>
      </c>
      <c r="C3391" t="s">
        <v>19</v>
      </c>
      <c r="D3391" t="s">
        <v>32</v>
      </c>
      <c r="E3391" t="s">
        <v>21</v>
      </c>
      <c r="F3391" t="s">
        <v>22</v>
      </c>
      <c r="G3391" t="s">
        <v>33</v>
      </c>
      <c r="H3391" t="s">
        <v>134</v>
      </c>
      <c r="I3391" t="s">
        <v>6700</v>
      </c>
      <c r="J3391">
        <v>9.9705309999999994</v>
      </c>
      <c r="K3391">
        <v>-84.030850000000001</v>
      </c>
      <c r="L3391" t="s">
        <v>1225</v>
      </c>
      <c r="M3391" t="s">
        <v>94</v>
      </c>
      <c r="N3391" t="s">
        <v>95</v>
      </c>
      <c r="O3391" t="s">
        <v>96</v>
      </c>
      <c r="P3391">
        <v>2</v>
      </c>
      <c r="Q3391" t="s">
        <v>150</v>
      </c>
      <c r="S3391" t="str">
        <f>_xlfn.XLOOKUP(UNIVERSO[[#This Row],[Ruta]],'[1]CUOTA RUTA'!A:A,'[1]CUOTA RUTA'!D:D)</f>
        <v>Cargar</v>
      </c>
    </row>
    <row r="3392" spans="1:19" x14ac:dyDescent="0.25">
      <c r="A3392">
        <v>1540033961</v>
      </c>
      <c r="B3392" t="s">
        <v>6701</v>
      </c>
      <c r="C3392" t="s">
        <v>19</v>
      </c>
      <c r="D3392" t="s">
        <v>208</v>
      </c>
      <c r="E3392" t="s">
        <v>21</v>
      </c>
      <c r="F3392" t="s">
        <v>22</v>
      </c>
      <c r="G3392" t="s">
        <v>64</v>
      </c>
      <c r="H3392" t="s">
        <v>719</v>
      </c>
      <c r="I3392" t="s">
        <v>6702</v>
      </c>
      <c r="J3392">
        <v>10.410847</v>
      </c>
      <c r="K3392">
        <v>-84.125714000000002</v>
      </c>
      <c r="L3392" t="s">
        <v>1225</v>
      </c>
      <c r="M3392" t="s">
        <v>189</v>
      </c>
      <c r="N3392" t="s">
        <v>211</v>
      </c>
      <c r="O3392" t="s">
        <v>212</v>
      </c>
      <c r="P3392">
        <v>11</v>
      </c>
      <c r="Q3392" t="s">
        <v>108</v>
      </c>
      <c r="S3392" t="str">
        <f>_xlfn.XLOOKUP(UNIVERSO[[#This Row],[Ruta]],'[1]CUOTA RUTA'!A:A,'[1]CUOTA RUTA'!D:D)</f>
        <v>Cargar</v>
      </c>
    </row>
    <row r="3393" spans="1:19" x14ac:dyDescent="0.25">
      <c r="A3393">
        <v>1540033980</v>
      </c>
      <c r="B3393" t="s">
        <v>6703</v>
      </c>
      <c r="C3393" t="s">
        <v>19</v>
      </c>
      <c r="D3393" t="s">
        <v>32</v>
      </c>
      <c r="E3393" t="s">
        <v>21</v>
      </c>
      <c r="F3393" t="s">
        <v>22</v>
      </c>
      <c r="G3393" t="s">
        <v>33</v>
      </c>
      <c r="H3393" t="s">
        <v>1113</v>
      </c>
      <c r="I3393" t="s">
        <v>6704</v>
      </c>
      <c r="J3393">
        <v>9.9384200000000007</v>
      </c>
      <c r="K3393">
        <v>-84.037599999999998</v>
      </c>
      <c r="L3393" t="s">
        <v>1225</v>
      </c>
      <c r="M3393" t="s">
        <v>36</v>
      </c>
      <c r="N3393" t="s">
        <v>37</v>
      </c>
      <c r="O3393" t="s">
        <v>38</v>
      </c>
      <c r="P3393">
        <v>8</v>
      </c>
      <c r="Q3393" t="s">
        <v>97</v>
      </c>
      <c r="S3393" t="str">
        <f>_xlfn.XLOOKUP(UNIVERSO[[#This Row],[Ruta]],'[1]CUOTA RUTA'!A:A,'[1]CUOTA RUTA'!D:D)</f>
        <v>Cargar</v>
      </c>
    </row>
    <row r="3394" spans="1:19" x14ac:dyDescent="0.25">
      <c r="A3394">
        <v>1540033987</v>
      </c>
      <c r="B3394" t="s">
        <v>3187</v>
      </c>
      <c r="C3394" t="s">
        <v>19</v>
      </c>
      <c r="D3394" t="s">
        <v>349</v>
      </c>
      <c r="E3394" t="s">
        <v>21</v>
      </c>
      <c r="F3394" t="s">
        <v>22</v>
      </c>
      <c r="G3394" t="s">
        <v>33</v>
      </c>
      <c r="H3394" t="s">
        <v>359</v>
      </c>
      <c r="I3394" t="s">
        <v>6705</v>
      </c>
      <c r="J3394">
        <v>10.080883</v>
      </c>
      <c r="K3394">
        <v>-85.276156999999998</v>
      </c>
      <c r="L3394" t="s">
        <v>1225</v>
      </c>
      <c r="M3394" t="s">
        <v>352</v>
      </c>
      <c r="N3394" t="s">
        <v>353</v>
      </c>
      <c r="O3394" t="s">
        <v>354</v>
      </c>
      <c r="P3394">
        <v>11</v>
      </c>
      <c r="Q3394" t="s">
        <v>108</v>
      </c>
      <c r="S3394" t="str">
        <f>_xlfn.XLOOKUP(UNIVERSO[[#This Row],[Ruta]],'[1]CUOTA RUTA'!A:A,'[1]CUOTA RUTA'!D:D)</f>
        <v>Cargar</v>
      </c>
    </row>
    <row r="3395" spans="1:19" x14ac:dyDescent="0.25">
      <c r="A3395">
        <v>1540033996</v>
      </c>
      <c r="B3395" t="s">
        <v>6706</v>
      </c>
      <c r="C3395" t="s">
        <v>19</v>
      </c>
      <c r="D3395" t="s">
        <v>349</v>
      </c>
      <c r="E3395" t="s">
        <v>21</v>
      </c>
      <c r="F3395" t="s">
        <v>22</v>
      </c>
      <c r="G3395" t="s">
        <v>64</v>
      </c>
      <c r="H3395" t="s">
        <v>350</v>
      </c>
      <c r="I3395" t="s">
        <v>6707</v>
      </c>
      <c r="J3395">
        <v>9.9207000000000001</v>
      </c>
      <c r="K3395">
        <v>-85.567154000000002</v>
      </c>
      <c r="L3395" t="s">
        <v>1225</v>
      </c>
      <c r="M3395" t="s">
        <v>352</v>
      </c>
      <c r="N3395" t="s">
        <v>353</v>
      </c>
      <c r="O3395" t="s">
        <v>354</v>
      </c>
      <c r="P3395">
        <v>8</v>
      </c>
      <c r="Q3395" t="s">
        <v>97</v>
      </c>
      <c r="S3395" t="str">
        <f>_xlfn.XLOOKUP(UNIVERSO[[#This Row],[Ruta]],'[1]CUOTA RUTA'!A:A,'[1]CUOTA RUTA'!D:D)</f>
        <v>Cargar</v>
      </c>
    </row>
    <row r="3396" spans="1:19" x14ac:dyDescent="0.25">
      <c r="A3396">
        <v>1540034006</v>
      </c>
      <c r="B3396" t="s">
        <v>6708</v>
      </c>
      <c r="C3396" t="s">
        <v>19</v>
      </c>
      <c r="D3396" t="s">
        <v>244</v>
      </c>
      <c r="E3396" t="s">
        <v>21</v>
      </c>
      <c r="F3396" t="s">
        <v>22</v>
      </c>
      <c r="G3396" t="s">
        <v>33</v>
      </c>
      <c r="H3396" t="s">
        <v>566</v>
      </c>
      <c r="I3396" t="s">
        <v>6709</v>
      </c>
      <c r="J3396">
        <v>9.3731249999999999</v>
      </c>
      <c r="K3396">
        <v>-83.701893999999996</v>
      </c>
      <c r="L3396" t="s">
        <v>1225</v>
      </c>
      <c r="M3396" t="s">
        <v>46</v>
      </c>
      <c r="N3396" t="s">
        <v>247</v>
      </c>
      <c r="O3396" t="s">
        <v>248</v>
      </c>
      <c r="P3396">
        <v>14</v>
      </c>
      <c r="Q3396" t="s">
        <v>181</v>
      </c>
      <c r="S3396" t="str">
        <f>_xlfn.XLOOKUP(UNIVERSO[[#This Row],[Ruta]],'[1]CUOTA RUTA'!A:A,'[1]CUOTA RUTA'!D:D)</f>
        <v>Cargar</v>
      </c>
    </row>
    <row r="3397" spans="1:19" x14ac:dyDescent="0.25">
      <c r="A3397">
        <v>1540034029</v>
      </c>
      <c r="B3397" t="s">
        <v>6710</v>
      </c>
      <c r="C3397" t="s">
        <v>19</v>
      </c>
      <c r="D3397" t="s">
        <v>32</v>
      </c>
      <c r="E3397" t="s">
        <v>21</v>
      </c>
      <c r="F3397" t="s">
        <v>22</v>
      </c>
      <c r="G3397" t="s">
        <v>64</v>
      </c>
      <c r="H3397" t="s">
        <v>1383</v>
      </c>
      <c r="I3397" t="s">
        <v>6711</v>
      </c>
      <c r="J3397">
        <v>9.9135340000000003</v>
      </c>
      <c r="K3397">
        <v>-84.094341999999997</v>
      </c>
      <c r="L3397" t="s">
        <v>1225</v>
      </c>
      <c r="M3397" t="s">
        <v>71</v>
      </c>
      <c r="N3397" t="s">
        <v>72</v>
      </c>
      <c r="O3397" t="s">
        <v>73</v>
      </c>
      <c r="P3397">
        <v>9</v>
      </c>
      <c r="Q3397" t="s">
        <v>80</v>
      </c>
      <c r="S3397" t="str">
        <f>_xlfn.XLOOKUP(UNIVERSO[[#This Row],[Ruta]],'[1]CUOTA RUTA'!A:A,'[1]CUOTA RUTA'!D:D)</f>
        <v>Cargar</v>
      </c>
    </row>
    <row r="3398" spans="1:19" x14ac:dyDescent="0.25">
      <c r="A3398">
        <v>1540034068</v>
      </c>
      <c r="B3398" t="s">
        <v>6712</v>
      </c>
      <c r="C3398" t="s">
        <v>19</v>
      </c>
      <c r="D3398" t="s">
        <v>244</v>
      </c>
      <c r="E3398" t="s">
        <v>62</v>
      </c>
      <c r="F3398" t="s">
        <v>63</v>
      </c>
      <c r="G3398" t="s">
        <v>64</v>
      </c>
      <c r="H3398" t="s">
        <v>566</v>
      </c>
      <c r="I3398" t="s">
        <v>6713</v>
      </c>
      <c r="J3398">
        <v>9.36388</v>
      </c>
      <c r="K3398">
        <v>-83.694266999999996</v>
      </c>
      <c r="L3398" t="s">
        <v>1225</v>
      </c>
      <c r="M3398" t="s">
        <v>46</v>
      </c>
      <c r="N3398" t="s">
        <v>247</v>
      </c>
      <c r="O3398" t="s">
        <v>248</v>
      </c>
      <c r="P3398">
        <v>14</v>
      </c>
      <c r="Q3398" t="s">
        <v>181</v>
      </c>
      <c r="S3398" t="str">
        <f>_xlfn.XLOOKUP(UNIVERSO[[#This Row],[Ruta]],'[1]CUOTA RUTA'!A:A,'[1]CUOTA RUTA'!D:D)</f>
        <v>Cargar</v>
      </c>
    </row>
    <row r="3399" spans="1:19" x14ac:dyDescent="0.25">
      <c r="A3399">
        <v>1540034091</v>
      </c>
      <c r="B3399" t="s">
        <v>6714</v>
      </c>
      <c r="C3399" t="s">
        <v>19</v>
      </c>
      <c r="D3399" t="s">
        <v>20</v>
      </c>
      <c r="E3399" t="s">
        <v>21</v>
      </c>
      <c r="F3399" t="s">
        <v>22</v>
      </c>
      <c r="G3399" t="s">
        <v>23</v>
      </c>
      <c r="H3399" t="s">
        <v>58</v>
      </c>
      <c r="I3399" t="s">
        <v>6715</v>
      </c>
      <c r="J3399">
        <v>10.015926</v>
      </c>
      <c r="K3399">
        <v>-84.208821999999998</v>
      </c>
      <c r="L3399" t="s">
        <v>1225</v>
      </c>
      <c r="M3399" t="s">
        <v>54</v>
      </c>
      <c r="N3399" t="s">
        <v>55</v>
      </c>
      <c r="O3399" t="s">
        <v>56</v>
      </c>
      <c r="P3399">
        <v>1</v>
      </c>
      <c r="Q3399" t="s">
        <v>155</v>
      </c>
      <c r="S3399" t="str">
        <f>_xlfn.XLOOKUP(UNIVERSO[[#This Row],[Ruta]],'[1]CUOTA RUTA'!A:A,'[1]CUOTA RUTA'!D:D)</f>
        <v>Cargar</v>
      </c>
    </row>
    <row r="3400" spans="1:19" x14ac:dyDescent="0.25">
      <c r="A3400">
        <v>1540034100</v>
      </c>
      <c r="B3400" t="s">
        <v>6716</v>
      </c>
      <c r="C3400" t="s">
        <v>19</v>
      </c>
      <c r="D3400" t="s">
        <v>32</v>
      </c>
      <c r="E3400" t="s">
        <v>21</v>
      </c>
      <c r="F3400" t="s">
        <v>22</v>
      </c>
      <c r="G3400" t="s">
        <v>64</v>
      </c>
      <c r="H3400" t="s">
        <v>425</v>
      </c>
      <c r="I3400" t="s">
        <v>6717</v>
      </c>
      <c r="J3400">
        <v>9.8675300000000004</v>
      </c>
      <c r="K3400">
        <v>-84.080600000000004</v>
      </c>
      <c r="L3400" t="s">
        <v>1225</v>
      </c>
      <c r="M3400" t="s">
        <v>71</v>
      </c>
      <c r="N3400" t="s">
        <v>72</v>
      </c>
      <c r="O3400" t="s">
        <v>73</v>
      </c>
      <c r="P3400">
        <v>16</v>
      </c>
      <c r="Q3400" t="s">
        <v>60</v>
      </c>
      <c r="S3400" t="str">
        <f>_xlfn.XLOOKUP(UNIVERSO[[#This Row],[Ruta]],'[1]CUOTA RUTA'!A:A,'[1]CUOTA RUTA'!D:D)</f>
        <v>Cargar</v>
      </c>
    </row>
    <row r="3401" spans="1:19" x14ac:dyDescent="0.25">
      <c r="A3401">
        <v>1540034109</v>
      </c>
      <c r="B3401" t="s">
        <v>6718</v>
      </c>
      <c r="C3401" t="s">
        <v>19</v>
      </c>
      <c r="D3401" t="s">
        <v>337</v>
      </c>
      <c r="E3401" t="s">
        <v>21</v>
      </c>
      <c r="F3401" t="s">
        <v>22</v>
      </c>
      <c r="G3401" t="s">
        <v>23</v>
      </c>
      <c r="H3401" t="s">
        <v>483</v>
      </c>
      <c r="I3401" t="s">
        <v>6719</v>
      </c>
      <c r="J3401">
        <v>10.465868520000001</v>
      </c>
      <c r="K3401">
        <v>-84.968742969999994</v>
      </c>
      <c r="L3401" t="s">
        <v>1225</v>
      </c>
      <c r="M3401" t="s">
        <v>327</v>
      </c>
      <c r="N3401" t="s">
        <v>340</v>
      </c>
      <c r="O3401" t="s">
        <v>341</v>
      </c>
      <c r="P3401">
        <v>23</v>
      </c>
      <c r="Q3401" t="s">
        <v>125</v>
      </c>
      <c r="S3401" t="str">
        <f>_xlfn.XLOOKUP(UNIVERSO[[#This Row],[Ruta]],'[1]CUOTA RUTA'!A:A,'[1]CUOTA RUTA'!D:D)</f>
        <v>Cargar</v>
      </c>
    </row>
    <row r="3402" spans="1:19" x14ac:dyDescent="0.25">
      <c r="A3402">
        <v>1540034171</v>
      </c>
      <c r="B3402" t="s">
        <v>6720</v>
      </c>
      <c r="C3402" t="s">
        <v>19</v>
      </c>
      <c r="D3402" t="s">
        <v>208</v>
      </c>
      <c r="E3402" t="s">
        <v>21</v>
      </c>
      <c r="F3402" t="s">
        <v>22</v>
      </c>
      <c r="G3402" t="s">
        <v>64</v>
      </c>
      <c r="H3402" t="s">
        <v>209</v>
      </c>
      <c r="I3402" t="s">
        <v>6721</v>
      </c>
      <c r="J3402">
        <v>10.226531</v>
      </c>
      <c r="K3402">
        <v>-83.899178000000006</v>
      </c>
      <c r="L3402" t="s">
        <v>1225</v>
      </c>
      <c r="M3402" t="s">
        <v>189</v>
      </c>
      <c r="N3402" t="s">
        <v>211</v>
      </c>
      <c r="O3402" t="s">
        <v>212</v>
      </c>
      <c r="P3402">
        <v>4</v>
      </c>
      <c r="Q3402" t="s">
        <v>120</v>
      </c>
      <c r="S3402" t="str">
        <f>_xlfn.XLOOKUP(UNIVERSO[[#This Row],[Ruta]],'[1]CUOTA RUTA'!A:A,'[1]CUOTA RUTA'!D:D)</f>
        <v>Cargar</v>
      </c>
    </row>
    <row r="3403" spans="1:19" x14ac:dyDescent="0.25">
      <c r="A3403">
        <v>1540034203</v>
      </c>
      <c r="B3403" t="s">
        <v>6722</v>
      </c>
      <c r="C3403" t="s">
        <v>19</v>
      </c>
      <c r="D3403" t="s">
        <v>266</v>
      </c>
      <c r="E3403" t="s">
        <v>21</v>
      </c>
      <c r="F3403" t="s">
        <v>22</v>
      </c>
      <c r="G3403" t="s">
        <v>64</v>
      </c>
      <c r="H3403" t="s">
        <v>272</v>
      </c>
      <c r="I3403" t="s">
        <v>6723</v>
      </c>
      <c r="J3403">
        <v>9.8510407999999998</v>
      </c>
      <c r="K3403">
        <v>-83.718435900000003</v>
      </c>
      <c r="L3403" t="s">
        <v>1225</v>
      </c>
      <c r="M3403" t="s">
        <v>54</v>
      </c>
      <c r="N3403" t="s">
        <v>274</v>
      </c>
      <c r="O3403" t="s">
        <v>275</v>
      </c>
      <c r="P3403">
        <v>24</v>
      </c>
      <c r="Q3403" t="s">
        <v>947</v>
      </c>
      <c r="S3403" t="str">
        <f>_xlfn.XLOOKUP(UNIVERSO[[#This Row],[Ruta]],'[1]CUOTA RUTA'!A:A,'[1]CUOTA RUTA'!D:D)</f>
        <v>Cargar</v>
      </c>
    </row>
    <row r="3404" spans="1:19" x14ac:dyDescent="0.25">
      <c r="A3404">
        <v>1540034255</v>
      </c>
      <c r="B3404" t="s">
        <v>6724</v>
      </c>
      <c r="C3404" t="s">
        <v>19</v>
      </c>
      <c r="D3404" t="s">
        <v>208</v>
      </c>
      <c r="E3404" t="s">
        <v>21</v>
      </c>
      <c r="F3404" t="s">
        <v>22</v>
      </c>
      <c r="G3404" t="s">
        <v>64</v>
      </c>
      <c r="H3404" t="s">
        <v>209</v>
      </c>
      <c r="I3404" t="s">
        <v>6725</v>
      </c>
      <c r="J3404">
        <v>10.210637</v>
      </c>
      <c r="K3404">
        <v>-83.843898999999993</v>
      </c>
      <c r="L3404" t="s">
        <v>1225</v>
      </c>
      <c r="M3404" t="s">
        <v>189</v>
      </c>
      <c r="N3404" t="s">
        <v>211</v>
      </c>
      <c r="O3404" t="s">
        <v>212</v>
      </c>
      <c r="P3404">
        <v>4</v>
      </c>
      <c r="Q3404" t="s">
        <v>120</v>
      </c>
      <c r="S3404" t="str">
        <f>_xlfn.XLOOKUP(UNIVERSO[[#This Row],[Ruta]],'[1]CUOTA RUTA'!A:A,'[1]CUOTA RUTA'!D:D)</f>
        <v>Cargar</v>
      </c>
    </row>
    <row r="3405" spans="1:19" x14ac:dyDescent="0.25">
      <c r="A3405">
        <v>1540034301</v>
      </c>
      <c r="B3405" t="s">
        <v>6726</v>
      </c>
      <c r="C3405" t="s">
        <v>19</v>
      </c>
      <c r="D3405" t="s">
        <v>337</v>
      </c>
      <c r="E3405" t="s">
        <v>21</v>
      </c>
      <c r="F3405" t="s">
        <v>22</v>
      </c>
      <c r="G3405" t="s">
        <v>23</v>
      </c>
      <c r="H3405" t="s">
        <v>824</v>
      </c>
      <c r="I3405" t="s">
        <v>6497</v>
      </c>
      <c r="J3405">
        <v>10.54109572</v>
      </c>
      <c r="K3405">
        <v>-85.695453520000001</v>
      </c>
      <c r="L3405" t="s">
        <v>1225</v>
      </c>
      <c r="M3405" t="s">
        <v>327</v>
      </c>
      <c r="N3405" t="s">
        <v>340</v>
      </c>
      <c r="O3405" t="s">
        <v>341</v>
      </c>
      <c r="P3405">
        <v>19</v>
      </c>
      <c r="Q3405" t="s">
        <v>67</v>
      </c>
      <c r="S3405" t="str">
        <f>_xlfn.XLOOKUP(UNIVERSO[[#This Row],[Ruta]],'[1]CUOTA RUTA'!A:A,'[1]CUOTA RUTA'!D:D)</f>
        <v>Cargar</v>
      </c>
    </row>
    <row r="3406" spans="1:19" x14ac:dyDescent="0.25">
      <c r="A3406">
        <v>1540034382</v>
      </c>
      <c r="B3406" t="s">
        <v>6727</v>
      </c>
      <c r="C3406" t="s">
        <v>19</v>
      </c>
      <c r="D3406" t="s">
        <v>324</v>
      </c>
      <c r="E3406" t="s">
        <v>21</v>
      </c>
      <c r="F3406" t="s">
        <v>22</v>
      </c>
      <c r="G3406" t="s">
        <v>33</v>
      </c>
      <c r="H3406" t="s">
        <v>511</v>
      </c>
      <c r="I3406" t="s">
        <v>6728</v>
      </c>
      <c r="J3406">
        <v>10.475904</v>
      </c>
      <c r="K3406">
        <v>-84.574856999999994</v>
      </c>
      <c r="L3406" t="s">
        <v>1225</v>
      </c>
      <c r="M3406" t="s">
        <v>327</v>
      </c>
      <c r="N3406" t="s">
        <v>328</v>
      </c>
      <c r="O3406" t="s">
        <v>329</v>
      </c>
      <c r="P3406">
        <v>13</v>
      </c>
      <c r="Q3406" t="s">
        <v>161</v>
      </c>
      <c r="S3406" t="str">
        <f>_xlfn.XLOOKUP(UNIVERSO[[#This Row],[Ruta]],'[1]CUOTA RUTA'!A:A,'[1]CUOTA RUTA'!D:D)</f>
        <v>Cargar</v>
      </c>
    </row>
    <row r="3407" spans="1:19" x14ac:dyDescent="0.25">
      <c r="A3407">
        <v>1540034398</v>
      </c>
      <c r="B3407" t="s">
        <v>6729</v>
      </c>
      <c r="C3407" t="s">
        <v>19</v>
      </c>
      <c r="D3407" t="s">
        <v>32</v>
      </c>
      <c r="E3407" t="s">
        <v>21</v>
      </c>
      <c r="F3407" t="s">
        <v>22</v>
      </c>
      <c r="G3407" t="s">
        <v>64</v>
      </c>
      <c r="H3407" t="s">
        <v>115</v>
      </c>
      <c r="I3407" t="s">
        <v>6730</v>
      </c>
      <c r="J3407">
        <v>9.9575200000000006</v>
      </c>
      <c r="K3407">
        <v>-84.078500000000005</v>
      </c>
      <c r="L3407" t="s">
        <v>1225</v>
      </c>
      <c r="M3407" t="s">
        <v>36</v>
      </c>
      <c r="N3407" t="s">
        <v>37</v>
      </c>
      <c r="O3407" t="s">
        <v>38</v>
      </c>
      <c r="P3407">
        <v>3</v>
      </c>
      <c r="Q3407" t="s">
        <v>101</v>
      </c>
      <c r="S3407" t="str">
        <f>_xlfn.XLOOKUP(UNIVERSO[[#This Row],[Ruta]],'[1]CUOTA RUTA'!A:A,'[1]CUOTA RUTA'!D:D)</f>
        <v>Cargar</v>
      </c>
    </row>
    <row r="3408" spans="1:19" x14ac:dyDescent="0.25">
      <c r="A3408">
        <v>1540034430</v>
      </c>
      <c r="B3408" t="s">
        <v>6731</v>
      </c>
      <c r="C3408" t="s">
        <v>19</v>
      </c>
      <c r="D3408" t="s">
        <v>324</v>
      </c>
      <c r="E3408" t="s">
        <v>21</v>
      </c>
      <c r="F3408" t="s">
        <v>22</v>
      </c>
      <c r="G3408" t="s">
        <v>33</v>
      </c>
      <c r="H3408" t="s">
        <v>511</v>
      </c>
      <c r="I3408" t="s">
        <v>6732</v>
      </c>
      <c r="J3408">
        <v>10.445817999999999</v>
      </c>
      <c r="K3408">
        <v>-84.584789999999998</v>
      </c>
      <c r="L3408" t="s">
        <v>1225</v>
      </c>
      <c r="M3408" t="s">
        <v>327</v>
      </c>
      <c r="N3408" t="s">
        <v>328</v>
      </c>
      <c r="O3408" t="s">
        <v>329</v>
      </c>
      <c r="P3408">
        <v>12</v>
      </c>
      <c r="Q3408" t="s">
        <v>42</v>
      </c>
      <c r="S3408" t="str">
        <f>_xlfn.XLOOKUP(UNIVERSO[[#This Row],[Ruta]],'[1]CUOTA RUTA'!A:A,'[1]CUOTA RUTA'!D:D)</f>
        <v>Cargar</v>
      </c>
    </row>
    <row r="3409" spans="1:19" x14ac:dyDescent="0.25">
      <c r="A3409">
        <v>1540034536</v>
      </c>
      <c r="B3409" t="s">
        <v>6733</v>
      </c>
      <c r="C3409" t="s">
        <v>19</v>
      </c>
      <c r="D3409" t="s">
        <v>32</v>
      </c>
      <c r="E3409" t="s">
        <v>21</v>
      </c>
      <c r="F3409" t="s">
        <v>22</v>
      </c>
      <c r="G3409" t="s">
        <v>33</v>
      </c>
      <c r="H3409" t="s">
        <v>65</v>
      </c>
      <c r="I3409" t="s">
        <v>6734</v>
      </c>
      <c r="J3409">
        <v>9.9096980000000006</v>
      </c>
      <c r="K3409">
        <v>-84.000739999999993</v>
      </c>
      <c r="L3409" t="s">
        <v>1225</v>
      </c>
      <c r="M3409" t="s">
        <v>36</v>
      </c>
      <c r="N3409" t="s">
        <v>37</v>
      </c>
      <c r="O3409" t="s">
        <v>38</v>
      </c>
      <c r="P3409">
        <v>18</v>
      </c>
      <c r="Q3409" t="s">
        <v>84</v>
      </c>
      <c r="S3409" t="str">
        <f>_xlfn.XLOOKUP(UNIVERSO[[#This Row],[Ruta]],'[1]CUOTA RUTA'!A:A,'[1]CUOTA RUTA'!D:D)</f>
        <v>Cargar</v>
      </c>
    </row>
    <row r="3410" spans="1:19" x14ac:dyDescent="0.25">
      <c r="A3410">
        <v>1540034644</v>
      </c>
      <c r="B3410" t="s">
        <v>6735</v>
      </c>
      <c r="C3410" t="s">
        <v>19</v>
      </c>
      <c r="D3410" t="s">
        <v>32</v>
      </c>
      <c r="E3410" t="s">
        <v>21</v>
      </c>
      <c r="F3410" t="s">
        <v>22</v>
      </c>
      <c r="G3410" t="s">
        <v>23</v>
      </c>
      <c r="H3410" t="s">
        <v>1383</v>
      </c>
      <c r="I3410" t="s">
        <v>6736</v>
      </c>
      <c r="J3410">
        <v>9.9146020000000004</v>
      </c>
      <c r="K3410">
        <v>-84.082671000000005</v>
      </c>
      <c r="L3410" t="s">
        <v>1225</v>
      </c>
      <c r="M3410" t="s">
        <v>71</v>
      </c>
      <c r="N3410" t="s">
        <v>72</v>
      </c>
      <c r="O3410" t="s">
        <v>73</v>
      </c>
      <c r="P3410">
        <v>3</v>
      </c>
      <c r="Q3410" t="s">
        <v>101</v>
      </c>
      <c r="S3410" t="str">
        <f>_xlfn.XLOOKUP(UNIVERSO[[#This Row],[Ruta]],'[1]CUOTA RUTA'!A:A,'[1]CUOTA RUTA'!D:D)</f>
        <v>Cargar</v>
      </c>
    </row>
    <row r="3411" spans="1:19" x14ac:dyDescent="0.25">
      <c r="A3411">
        <v>1540034649</v>
      </c>
      <c r="B3411" t="s">
        <v>6737</v>
      </c>
      <c r="C3411" t="s">
        <v>19</v>
      </c>
      <c r="D3411" t="s">
        <v>20</v>
      </c>
      <c r="E3411" t="s">
        <v>21</v>
      </c>
      <c r="F3411" t="s">
        <v>22</v>
      </c>
      <c r="G3411" t="s">
        <v>23</v>
      </c>
      <c r="H3411" t="s">
        <v>58</v>
      </c>
      <c r="I3411" t="s">
        <v>6738</v>
      </c>
      <c r="J3411">
        <v>10.03119</v>
      </c>
      <c r="K3411">
        <v>-84.203739999999996</v>
      </c>
      <c r="L3411" t="s">
        <v>1225</v>
      </c>
      <c r="M3411" t="s">
        <v>54</v>
      </c>
      <c r="N3411" t="s">
        <v>55</v>
      </c>
      <c r="O3411" t="s">
        <v>56</v>
      </c>
      <c r="P3411">
        <v>16</v>
      </c>
      <c r="Q3411" t="s">
        <v>60</v>
      </c>
      <c r="S3411" t="str">
        <f>_xlfn.XLOOKUP(UNIVERSO[[#This Row],[Ruta]],'[1]CUOTA RUTA'!A:A,'[1]CUOTA RUTA'!D:D)</f>
        <v>Cargar</v>
      </c>
    </row>
    <row r="3412" spans="1:19" x14ac:dyDescent="0.25">
      <c r="A3412">
        <v>1540034687</v>
      </c>
      <c r="B3412" t="s">
        <v>6739</v>
      </c>
      <c r="C3412" t="s">
        <v>19</v>
      </c>
      <c r="D3412" t="s">
        <v>569</v>
      </c>
      <c r="E3412" t="s">
        <v>21</v>
      </c>
      <c r="F3412" t="s">
        <v>22</v>
      </c>
      <c r="G3412" t="s">
        <v>33</v>
      </c>
      <c r="H3412" t="s">
        <v>570</v>
      </c>
      <c r="I3412" t="s">
        <v>6740</v>
      </c>
      <c r="J3412">
        <v>8.6557980000000008</v>
      </c>
      <c r="K3412">
        <v>-83.067244000000002</v>
      </c>
      <c r="L3412" t="s">
        <v>1225</v>
      </c>
      <c r="M3412" t="s">
        <v>572</v>
      </c>
      <c r="N3412" t="s">
        <v>573</v>
      </c>
      <c r="O3412" t="s">
        <v>574</v>
      </c>
      <c r="P3412">
        <v>23</v>
      </c>
      <c r="Q3412" t="s">
        <v>125</v>
      </c>
      <c r="S3412" t="str">
        <f>_xlfn.XLOOKUP(UNIVERSO[[#This Row],[Ruta]],'[1]CUOTA RUTA'!A:A,'[1]CUOTA RUTA'!D:D)</f>
        <v>Cargar</v>
      </c>
    </row>
    <row r="3413" spans="1:19" x14ac:dyDescent="0.25">
      <c r="A3413">
        <v>1540034745</v>
      </c>
      <c r="B3413" t="s">
        <v>6741</v>
      </c>
      <c r="C3413" t="s">
        <v>19</v>
      </c>
      <c r="D3413" t="s">
        <v>349</v>
      </c>
      <c r="E3413" t="s">
        <v>21</v>
      </c>
      <c r="F3413" t="s">
        <v>22</v>
      </c>
      <c r="G3413" t="s">
        <v>64</v>
      </c>
      <c r="H3413" t="s">
        <v>448</v>
      </c>
      <c r="I3413" t="s">
        <v>6742</v>
      </c>
      <c r="J3413">
        <v>10.295845</v>
      </c>
      <c r="K3413">
        <v>-85.836954000000006</v>
      </c>
      <c r="L3413" t="s">
        <v>1225</v>
      </c>
      <c r="M3413" t="s">
        <v>352</v>
      </c>
      <c r="N3413" t="s">
        <v>353</v>
      </c>
      <c r="O3413" t="s">
        <v>354</v>
      </c>
      <c r="P3413">
        <v>5</v>
      </c>
      <c r="Q3413" t="s">
        <v>117</v>
      </c>
      <c r="S3413" t="str">
        <f>_xlfn.XLOOKUP(UNIVERSO[[#This Row],[Ruta]],'[1]CUOTA RUTA'!A:A,'[1]CUOTA RUTA'!D:D)</f>
        <v>Cargar</v>
      </c>
    </row>
    <row r="3414" spans="1:19" x14ac:dyDescent="0.25">
      <c r="A3414">
        <v>1540034789</v>
      </c>
      <c r="B3414" t="s">
        <v>6743</v>
      </c>
      <c r="C3414" t="s">
        <v>19</v>
      </c>
      <c r="D3414" t="s">
        <v>32</v>
      </c>
      <c r="E3414" t="s">
        <v>21</v>
      </c>
      <c r="F3414" t="s">
        <v>22</v>
      </c>
      <c r="G3414" t="s">
        <v>33</v>
      </c>
      <c r="H3414" t="s">
        <v>148</v>
      </c>
      <c r="I3414" t="s">
        <v>6744</v>
      </c>
      <c r="J3414">
        <v>9.9754129999999996</v>
      </c>
      <c r="K3414">
        <v>-83.966707999999997</v>
      </c>
      <c r="L3414" t="s">
        <v>1225</v>
      </c>
      <c r="M3414" t="s">
        <v>94</v>
      </c>
      <c r="N3414" t="s">
        <v>95</v>
      </c>
      <c r="O3414" t="s">
        <v>96</v>
      </c>
      <c r="P3414">
        <v>12</v>
      </c>
      <c r="Q3414" t="s">
        <v>42</v>
      </c>
      <c r="S3414" t="str">
        <f>_xlfn.XLOOKUP(UNIVERSO[[#This Row],[Ruta]],'[1]CUOTA RUTA'!A:A,'[1]CUOTA RUTA'!D:D)</f>
        <v>Cargar</v>
      </c>
    </row>
    <row r="3415" spans="1:19" x14ac:dyDescent="0.25">
      <c r="A3415">
        <v>1540034842</v>
      </c>
      <c r="B3415" t="s">
        <v>6745</v>
      </c>
      <c r="C3415" t="s">
        <v>19</v>
      </c>
      <c r="D3415" t="s">
        <v>186</v>
      </c>
      <c r="E3415" t="s">
        <v>21</v>
      </c>
      <c r="F3415" t="s">
        <v>22</v>
      </c>
      <c r="G3415" t="s">
        <v>64</v>
      </c>
      <c r="H3415" t="s">
        <v>187</v>
      </c>
      <c r="I3415" t="s">
        <v>6746</v>
      </c>
      <c r="J3415">
        <v>9.9952030000000001</v>
      </c>
      <c r="K3415">
        <v>-83.050791000000004</v>
      </c>
      <c r="L3415" t="s">
        <v>1225</v>
      </c>
      <c r="M3415" t="s">
        <v>189</v>
      </c>
      <c r="N3415" t="s">
        <v>190</v>
      </c>
      <c r="O3415" t="s">
        <v>191</v>
      </c>
      <c r="P3415">
        <v>13</v>
      </c>
      <c r="Q3415" t="s">
        <v>161</v>
      </c>
      <c r="S3415" t="str">
        <f>_xlfn.XLOOKUP(UNIVERSO[[#This Row],[Ruta]],'[1]CUOTA RUTA'!A:A,'[1]CUOTA RUTA'!D:D)</f>
        <v>Cargar</v>
      </c>
    </row>
    <row r="3416" spans="1:19" x14ac:dyDescent="0.25">
      <c r="A3416">
        <v>1540034866</v>
      </c>
      <c r="B3416" t="s">
        <v>6747</v>
      </c>
      <c r="C3416" t="s">
        <v>19</v>
      </c>
      <c r="D3416" t="s">
        <v>266</v>
      </c>
      <c r="E3416" t="s">
        <v>21</v>
      </c>
      <c r="F3416" t="s">
        <v>22</v>
      </c>
      <c r="G3416" t="s">
        <v>64</v>
      </c>
      <c r="H3416" t="s">
        <v>1011</v>
      </c>
      <c r="I3416" t="s">
        <v>6748</v>
      </c>
      <c r="J3416">
        <v>9.8825516666670001</v>
      </c>
      <c r="K3416">
        <v>-83.933791666659999</v>
      </c>
      <c r="L3416" t="s">
        <v>1225</v>
      </c>
      <c r="M3416" t="s">
        <v>54</v>
      </c>
      <c r="N3416" t="s">
        <v>274</v>
      </c>
      <c r="O3416" t="s">
        <v>275</v>
      </c>
      <c r="P3416">
        <v>23</v>
      </c>
      <c r="Q3416" t="s">
        <v>125</v>
      </c>
      <c r="S3416" t="str">
        <f>_xlfn.XLOOKUP(UNIVERSO[[#This Row],[Ruta]],'[1]CUOTA RUTA'!A:A,'[1]CUOTA RUTA'!D:D)</f>
        <v>Cargar</v>
      </c>
    </row>
    <row r="3417" spans="1:19" x14ac:dyDescent="0.25">
      <c r="A3417">
        <v>1540034914</v>
      </c>
      <c r="B3417" t="s">
        <v>6749</v>
      </c>
      <c r="C3417" t="s">
        <v>19</v>
      </c>
      <c r="D3417" t="s">
        <v>20</v>
      </c>
      <c r="E3417" t="s">
        <v>21</v>
      </c>
      <c r="F3417" t="s">
        <v>22</v>
      </c>
      <c r="G3417" t="s">
        <v>64</v>
      </c>
      <c r="H3417" t="s">
        <v>1506</v>
      </c>
      <c r="I3417" t="s">
        <v>6750</v>
      </c>
      <c r="J3417">
        <v>9.9786351999999994</v>
      </c>
      <c r="K3417">
        <v>-84.146690100000001</v>
      </c>
      <c r="L3417" t="s">
        <v>1225</v>
      </c>
      <c r="M3417" t="s">
        <v>27</v>
      </c>
      <c r="N3417" t="s">
        <v>28</v>
      </c>
      <c r="O3417" t="s">
        <v>29</v>
      </c>
      <c r="P3417">
        <v>11</v>
      </c>
      <c r="Q3417" t="s">
        <v>108</v>
      </c>
      <c r="S3417" t="str">
        <f>_xlfn.XLOOKUP(UNIVERSO[[#This Row],[Ruta]],'[1]CUOTA RUTA'!A:A,'[1]CUOTA RUTA'!D:D)</f>
        <v>Cargar</v>
      </c>
    </row>
    <row r="3418" spans="1:19" x14ac:dyDescent="0.25">
      <c r="A3418">
        <v>1540034961</v>
      </c>
      <c r="B3418" t="s">
        <v>6751</v>
      </c>
      <c r="C3418" t="s">
        <v>19</v>
      </c>
      <c r="D3418" t="s">
        <v>32</v>
      </c>
      <c r="E3418" t="s">
        <v>21</v>
      </c>
      <c r="F3418" t="s">
        <v>22</v>
      </c>
      <c r="G3418" t="s">
        <v>33</v>
      </c>
      <c r="H3418" t="s">
        <v>625</v>
      </c>
      <c r="I3418" t="s">
        <v>6752</v>
      </c>
      <c r="J3418">
        <v>9.9720466666669996</v>
      </c>
      <c r="K3418">
        <v>-84.049836666659999</v>
      </c>
      <c r="L3418" t="s">
        <v>1225</v>
      </c>
      <c r="M3418" t="s">
        <v>94</v>
      </c>
      <c r="N3418" t="s">
        <v>95</v>
      </c>
      <c r="O3418" t="s">
        <v>96</v>
      </c>
      <c r="P3418">
        <v>7</v>
      </c>
      <c r="Q3418" t="s">
        <v>39</v>
      </c>
      <c r="S3418" t="str">
        <f>_xlfn.XLOOKUP(UNIVERSO[[#This Row],[Ruta]],'[1]CUOTA RUTA'!A:A,'[1]CUOTA RUTA'!D:D)</f>
        <v>Cargar</v>
      </c>
    </row>
    <row r="3419" spans="1:19" x14ac:dyDescent="0.25">
      <c r="A3419">
        <v>1540034965</v>
      </c>
      <c r="B3419" t="s">
        <v>6753</v>
      </c>
      <c r="C3419" t="s">
        <v>19</v>
      </c>
      <c r="D3419" t="s">
        <v>32</v>
      </c>
      <c r="E3419" t="s">
        <v>21</v>
      </c>
      <c r="F3419" t="s">
        <v>22</v>
      </c>
      <c r="G3419" t="s">
        <v>23</v>
      </c>
      <c r="H3419" t="s">
        <v>115</v>
      </c>
      <c r="I3419" t="s">
        <v>6754</v>
      </c>
      <c r="J3419">
        <v>9.9590150000000008</v>
      </c>
      <c r="K3419">
        <v>-84.093209999999999</v>
      </c>
      <c r="L3419" t="s">
        <v>1225</v>
      </c>
      <c r="M3419" t="s">
        <v>36</v>
      </c>
      <c r="N3419" t="s">
        <v>37</v>
      </c>
      <c r="O3419" t="s">
        <v>38</v>
      </c>
      <c r="P3419">
        <v>6</v>
      </c>
      <c r="Q3419" t="s">
        <v>49</v>
      </c>
      <c r="S3419" t="str">
        <f>_xlfn.XLOOKUP(UNIVERSO[[#This Row],[Ruta]],'[1]CUOTA RUTA'!A:A,'[1]CUOTA RUTA'!D:D)</f>
        <v>Cargar</v>
      </c>
    </row>
    <row r="3420" spans="1:19" x14ac:dyDescent="0.25">
      <c r="A3420">
        <v>1540034994</v>
      </c>
      <c r="B3420" t="s">
        <v>6755</v>
      </c>
      <c r="C3420" t="s">
        <v>19</v>
      </c>
      <c r="D3420" t="s">
        <v>20</v>
      </c>
      <c r="E3420" t="s">
        <v>21</v>
      </c>
      <c r="F3420" t="s">
        <v>22</v>
      </c>
      <c r="G3420" t="s">
        <v>33</v>
      </c>
      <c r="H3420" t="s">
        <v>910</v>
      </c>
      <c r="I3420" t="s">
        <v>6756</v>
      </c>
      <c r="J3420">
        <v>10.0194823</v>
      </c>
      <c r="K3420">
        <v>-84.155879299999995</v>
      </c>
      <c r="L3420" t="s">
        <v>1225</v>
      </c>
      <c r="M3420" t="s">
        <v>27</v>
      </c>
      <c r="N3420" t="s">
        <v>28</v>
      </c>
      <c r="O3420" t="s">
        <v>29</v>
      </c>
      <c r="P3420">
        <v>21</v>
      </c>
      <c r="Q3420" t="s">
        <v>239</v>
      </c>
      <c r="S3420" t="str">
        <f>_xlfn.XLOOKUP(UNIVERSO[[#This Row],[Ruta]],'[1]CUOTA RUTA'!A:A,'[1]CUOTA RUTA'!D:D)</f>
        <v>Cargar</v>
      </c>
    </row>
    <row r="3421" spans="1:19" x14ac:dyDescent="0.25">
      <c r="A3421">
        <v>1540034998</v>
      </c>
      <c r="B3421" t="s">
        <v>6757</v>
      </c>
      <c r="C3421" t="s">
        <v>19</v>
      </c>
      <c r="D3421" t="s">
        <v>266</v>
      </c>
      <c r="E3421" t="s">
        <v>21</v>
      </c>
      <c r="F3421" t="s">
        <v>22</v>
      </c>
      <c r="G3421" t="s">
        <v>23</v>
      </c>
      <c r="H3421" t="s">
        <v>372</v>
      </c>
      <c r="I3421" t="s">
        <v>6758</v>
      </c>
      <c r="J3421">
        <v>9.90467209</v>
      </c>
      <c r="K3421">
        <v>-83.687323460000002</v>
      </c>
      <c r="L3421" t="s">
        <v>1225</v>
      </c>
      <c r="M3421" t="s">
        <v>189</v>
      </c>
      <c r="N3421" t="s">
        <v>269</v>
      </c>
      <c r="O3421" t="s">
        <v>270</v>
      </c>
      <c r="P3421">
        <v>21</v>
      </c>
      <c r="Q3421" t="s">
        <v>239</v>
      </c>
      <c r="S3421" t="str">
        <f>_xlfn.XLOOKUP(UNIVERSO[[#This Row],[Ruta]],'[1]CUOTA RUTA'!A:A,'[1]CUOTA RUTA'!D:D)</f>
        <v>Cargar</v>
      </c>
    </row>
    <row r="3422" spans="1:19" x14ac:dyDescent="0.25">
      <c r="A3422">
        <v>1540035078</v>
      </c>
      <c r="B3422" t="s">
        <v>6759</v>
      </c>
      <c r="C3422" t="s">
        <v>19</v>
      </c>
      <c r="D3422" t="s">
        <v>20</v>
      </c>
      <c r="E3422" t="s">
        <v>21</v>
      </c>
      <c r="F3422" t="s">
        <v>22</v>
      </c>
      <c r="G3422" t="s">
        <v>33</v>
      </c>
      <c r="H3422" t="s">
        <v>285</v>
      </c>
      <c r="I3422" t="s">
        <v>6760</v>
      </c>
      <c r="J3422">
        <v>10.006731200000001</v>
      </c>
      <c r="K3422">
        <v>-84.202431700000005</v>
      </c>
      <c r="L3422" t="s">
        <v>1225</v>
      </c>
      <c r="M3422" t="s">
        <v>54</v>
      </c>
      <c r="N3422" t="s">
        <v>55</v>
      </c>
      <c r="O3422" t="s">
        <v>56</v>
      </c>
      <c r="P3422">
        <v>3</v>
      </c>
      <c r="Q3422" t="s">
        <v>101</v>
      </c>
      <c r="S3422" t="str">
        <f>_xlfn.XLOOKUP(UNIVERSO[[#This Row],[Ruta]],'[1]CUOTA RUTA'!A:A,'[1]CUOTA RUTA'!D:D)</f>
        <v>Cargar</v>
      </c>
    </row>
    <row r="3423" spans="1:19" x14ac:dyDescent="0.25">
      <c r="A3423">
        <v>1540035127</v>
      </c>
      <c r="B3423" t="s">
        <v>6761</v>
      </c>
      <c r="C3423" t="s">
        <v>19</v>
      </c>
      <c r="D3423" t="s">
        <v>208</v>
      </c>
      <c r="E3423" t="s">
        <v>21</v>
      </c>
      <c r="F3423" t="s">
        <v>22</v>
      </c>
      <c r="G3423" t="s">
        <v>33</v>
      </c>
      <c r="H3423" t="s">
        <v>631</v>
      </c>
      <c r="I3423" t="s">
        <v>6762</v>
      </c>
      <c r="J3423">
        <v>10.333155229999999</v>
      </c>
      <c r="K3423">
        <v>-83.598226890000007</v>
      </c>
      <c r="L3423" t="s">
        <v>1225</v>
      </c>
      <c r="M3423" t="s">
        <v>189</v>
      </c>
      <c r="N3423" t="s">
        <v>211</v>
      </c>
      <c r="O3423" t="s">
        <v>212</v>
      </c>
      <c r="P3423">
        <v>6</v>
      </c>
      <c r="Q3423" t="s">
        <v>49</v>
      </c>
      <c r="S3423" t="str">
        <f>_xlfn.XLOOKUP(UNIVERSO[[#This Row],[Ruta]],'[1]CUOTA RUTA'!A:A,'[1]CUOTA RUTA'!D:D)</f>
        <v>Cargar</v>
      </c>
    </row>
    <row r="3424" spans="1:19" x14ac:dyDescent="0.25">
      <c r="A3424">
        <v>1540035129</v>
      </c>
      <c r="B3424" t="s">
        <v>6763</v>
      </c>
      <c r="C3424" t="s">
        <v>19</v>
      </c>
      <c r="D3424" t="s">
        <v>20</v>
      </c>
      <c r="E3424" t="s">
        <v>21</v>
      </c>
      <c r="F3424" t="s">
        <v>22</v>
      </c>
      <c r="G3424" t="s">
        <v>64</v>
      </c>
      <c r="H3424" t="s">
        <v>1021</v>
      </c>
      <c r="I3424" t="s">
        <v>6764</v>
      </c>
      <c r="J3424">
        <v>10.0966483</v>
      </c>
      <c r="K3424">
        <v>-84.242633299999994</v>
      </c>
      <c r="L3424" t="s">
        <v>1225</v>
      </c>
      <c r="M3424" t="s">
        <v>46</v>
      </c>
      <c r="N3424" t="s">
        <v>47</v>
      </c>
      <c r="O3424" t="s">
        <v>48</v>
      </c>
      <c r="P3424">
        <v>2</v>
      </c>
      <c r="Q3424" t="s">
        <v>150</v>
      </c>
      <c r="S3424" t="str">
        <f>_xlfn.XLOOKUP(UNIVERSO[[#This Row],[Ruta]],'[1]CUOTA RUTA'!A:A,'[1]CUOTA RUTA'!D:D)</f>
        <v>Cargar</v>
      </c>
    </row>
    <row r="3425" spans="1:19" x14ac:dyDescent="0.25">
      <c r="A3425">
        <v>1540035169</v>
      </c>
      <c r="B3425" t="s">
        <v>622</v>
      </c>
      <c r="C3425" t="s">
        <v>19</v>
      </c>
      <c r="D3425" t="s">
        <v>32</v>
      </c>
      <c r="E3425" t="s">
        <v>21</v>
      </c>
      <c r="F3425" t="s">
        <v>22</v>
      </c>
      <c r="G3425" t="s">
        <v>23</v>
      </c>
      <c r="H3425" t="s">
        <v>179</v>
      </c>
      <c r="I3425" t="s">
        <v>6765</v>
      </c>
      <c r="J3425">
        <v>9.9065670000000008</v>
      </c>
      <c r="K3425">
        <v>-84.062736999999998</v>
      </c>
      <c r="L3425" t="s">
        <v>1225</v>
      </c>
      <c r="M3425" t="s">
        <v>36</v>
      </c>
      <c r="N3425" t="s">
        <v>37</v>
      </c>
      <c r="O3425" t="s">
        <v>38</v>
      </c>
      <c r="P3425">
        <v>12</v>
      </c>
      <c r="Q3425" t="s">
        <v>42</v>
      </c>
      <c r="S3425" t="str">
        <f>_xlfn.XLOOKUP(UNIVERSO[[#This Row],[Ruta]],'[1]CUOTA RUTA'!A:A,'[1]CUOTA RUTA'!D:D)</f>
        <v>Cargar</v>
      </c>
    </row>
    <row r="3426" spans="1:19" x14ac:dyDescent="0.25">
      <c r="A3426">
        <v>1540035173</v>
      </c>
      <c r="B3426" t="s">
        <v>6766</v>
      </c>
      <c r="C3426" t="s">
        <v>19</v>
      </c>
      <c r="D3426" t="s">
        <v>32</v>
      </c>
      <c r="E3426" t="s">
        <v>21</v>
      </c>
      <c r="F3426" t="s">
        <v>22</v>
      </c>
      <c r="G3426" t="s">
        <v>33</v>
      </c>
      <c r="H3426" t="s">
        <v>159</v>
      </c>
      <c r="I3426" t="s">
        <v>6767</v>
      </c>
      <c r="J3426">
        <v>9.8931520000000006</v>
      </c>
      <c r="K3426">
        <v>-84.108897999999996</v>
      </c>
      <c r="L3426" t="s">
        <v>1225</v>
      </c>
      <c r="M3426" t="s">
        <v>71</v>
      </c>
      <c r="N3426" t="s">
        <v>72</v>
      </c>
      <c r="O3426" t="s">
        <v>73</v>
      </c>
      <c r="P3426">
        <v>14</v>
      </c>
      <c r="Q3426" t="s">
        <v>181</v>
      </c>
      <c r="S3426" t="str">
        <f>_xlfn.XLOOKUP(UNIVERSO[[#This Row],[Ruta]],'[1]CUOTA RUTA'!A:A,'[1]CUOTA RUTA'!D:D)</f>
        <v>Cargar</v>
      </c>
    </row>
    <row r="3427" spans="1:19" x14ac:dyDescent="0.25">
      <c r="A3427">
        <v>1540035307</v>
      </c>
      <c r="B3427" t="s">
        <v>6768</v>
      </c>
      <c r="C3427" t="s">
        <v>19</v>
      </c>
      <c r="D3427" t="s">
        <v>337</v>
      </c>
      <c r="E3427" t="s">
        <v>21</v>
      </c>
      <c r="F3427" t="s">
        <v>22</v>
      </c>
      <c r="G3427" t="s">
        <v>64</v>
      </c>
      <c r="H3427" t="s">
        <v>343</v>
      </c>
      <c r="I3427" t="s">
        <v>6769</v>
      </c>
      <c r="J3427">
        <v>10.660379000000001</v>
      </c>
      <c r="K3427">
        <v>-85.419199000000006</v>
      </c>
      <c r="L3427" t="s">
        <v>1225</v>
      </c>
      <c r="M3427" t="s">
        <v>327</v>
      </c>
      <c r="N3427" t="s">
        <v>340</v>
      </c>
      <c r="O3427" t="s">
        <v>341</v>
      </c>
      <c r="P3427">
        <v>14</v>
      </c>
      <c r="Q3427" t="s">
        <v>181</v>
      </c>
      <c r="S3427" t="str">
        <f>_xlfn.XLOOKUP(UNIVERSO[[#This Row],[Ruta]],'[1]CUOTA RUTA'!A:A,'[1]CUOTA RUTA'!D:D)</f>
        <v>Cargar</v>
      </c>
    </row>
    <row r="3428" spans="1:19" x14ac:dyDescent="0.25">
      <c r="A3428">
        <v>1540035357</v>
      </c>
      <c r="B3428" t="s">
        <v>6770</v>
      </c>
      <c r="C3428" t="s">
        <v>19</v>
      </c>
      <c r="D3428" t="s">
        <v>32</v>
      </c>
      <c r="E3428" t="s">
        <v>21</v>
      </c>
      <c r="F3428" t="s">
        <v>22</v>
      </c>
      <c r="G3428" t="s">
        <v>64</v>
      </c>
      <c r="H3428" t="s">
        <v>625</v>
      </c>
      <c r="I3428" t="s">
        <v>6771</v>
      </c>
      <c r="J3428">
        <v>10.025603333333001</v>
      </c>
      <c r="K3428">
        <v>-84.047569999999993</v>
      </c>
      <c r="L3428" t="s">
        <v>1225</v>
      </c>
      <c r="M3428" t="s">
        <v>94</v>
      </c>
      <c r="N3428" t="s">
        <v>95</v>
      </c>
      <c r="O3428" t="s">
        <v>96</v>
      </c>
      <c r="P3428">
        <v>12</v>
      </c>
      <c r="Q3428" t="s">
        <v>42</v>
      </c>
      <c r="S3428" t="str">
        <f>_xlfn.XLOOKUP(UNIVERSO[[#This Row],[Ruta]],'[1]CUOTA RUTA'!A:A,'[1]CUOTA RUTA'!D:D)</f>
        <v>Cargar</v>
      </c>
    </row>
    <row r="3429" spans="1:19" x14ac:dyDescent="0.25">
      <c r="A3429">
        <v>1540035391</v>
      </c>
      <c r="B3429" t="s">
        <v>6772</v>
      </c>
      <c r="C3429" t="s">
        <v>19</v>
      </c>
      <c r="D3429" t="s">
        <v>337</v>
      </c>
      <c r="E3429" t="s">
        <v>21</v>
      </c>
      <c r="F3429" t="s">
        <v>22</v>
      </c>
      <c r="G3429" t="s">
        <v>64</v>
      </c>
      <c r="H3429" t="s">
        <v>824</v>
      </c>
      <c r="I3429" t="s">
        <v>6773</v>
      </c>
      <c r="J3429">
        <v>10.54377066</v>
      </c>
      <c r="K3429">
        <v>-85.718499410000007</v>
      </c>
      <c r="L3429" t="s">
        <v>1225</v>
      </c>
      <c r="M3429" t="s">
        <v>327</v>
      </c>
      <c r="N3429" t="s">
        <v>340</v>
      </c>
      <c r="O3429" t="s">
        <v>341</v>
      </c>
      <c r="P3429">
        <v>19</v>
      </c>
      <c r="Q3429" t="s">
        <v>67</v>
      </c>
      <c r="S3429" t="str">
        <f>_xlfn.XLOOKUP(UNIVERSO[[#This Row],[Ruta]],'[1]CUOTA RUTA'!A:A,'[1]CUOTA RUTA'!D:D)</f>
        <v>Cargar</v>
      </c>
    </row>
    <row r="3430" spans="1:19" x14ac:dyDescent="0.25">
      <c r="A3430">
        <v>1540035455</v>
      </c>
      <c r="B3430" t="s">
        <v>4880</v>
      </c>
      <c r="C3430" t="s">
        <v>19</v>
      </c>
      <c r="D3430" t="s">
        <v>324</v>
      </c>
      <c r="E3430" t="s">
        <v>21</v>
      </c>
      <c r="F3430" t="s">
        <v>22</v>
      </c>
      <c r="G3430" t="s">
        <v>33</v>
      </c>
      <c r="H3430" t="s">
        <v>393</v>
      </c>
      <c r="I3430" t="s">
        <v>6774</v>
      </c>
      <c r="J3430">
        <v>10.345473999999999</v>
      </c>
      <c r="K3430">
        <v>-84.433329000000001</v>
      </c>
      <c r="L3430" t="s">
        <v>1225</v>
      </c>
      <c r="M3430" t="s">
        <v>327</v>
      </c>
      <c r="N3430" t="s">
        <v>328</v>
      </c>
      <c r="O3430" t="s">
        <v>329</v>
      </c>
      <c r="P3430">
        <v>15</v>
      </c>
      <c r="Q3430" t="s">
        <v>231</v>
      </c>
      <c r="S3430" t="str">
        <f>_xlfn.XLOOKUP(UNIVERSO[[#This Row],[Ruta]],'[1]CUOTA RUTA'!A:A,'[1]CUOTA RUTA'!D:D)</f>
        <v>Cargar</v>
      </c>
    </row>
    <row r="3431" spans="1:19" x14ac:dyDescent="0.25">
      <c r="A3431">
        <v>1540035488</v>
      </c>
      <c r="B3431" t="s">
        <v>6775</v>
      </c>
      <c r="C3431" t="s">
        <v>19</v>
      </c>
      <c r="D3431" t="s">
        <v>20</v>
      </c>
      <c r="E3431" t="s">
        <v>21</v>
      </c>
      <c r="F3431" t="s">
        <v>22</v>
      </c>
      <c r="G3431" t="s">
        <v>64</v>
      </c>
      <c r="H3431" t="s">
        <v>44</v>
      </c>
      <c r="I3431" t="s">
        <v>6776</v>
      </c>
      <c r="J3431">
        <v>10.10388</v>
      </c>
      <c r="K3431">
        <v>-84.401290000000003</v>
      </c>
      <c r="L3431" t="s">
        <v>1225</v>
      </c>
      <c r="M3431" t="s">
        <v>46</v>
      </c>
      <c r="N3431" t="s">
        <v>47</v>
      </c>
      <c r="O3431" t="s">
        <v>48</v>
      </c>
      <c r="P3431">
        <v>1</v>
      </c>
      <c r="Q3431" t="s">
        <v>155</v>
      </c>
      <c r="S3431" t="str">
        <f>_xlfn.XLOOKUP(UNIVERSO[[#This Row],[Ruta]],'[1]CUOTA RUTA'!A:A,'[1]CUOTA RUTA'!D:D)</f>
        <v>Cargar</v>
      </c>
    </row>
    <row r="3432" spans="1:19" x14ac:dyDescent="0.25">
      <c r="A3432">
        <v>1540035490</v>
      </c>
      <c r="B3432" t="s">
        <v>6777</v>
      </c>
      <c r="C3432" t="s">
        <v>19</v>
      </c>
      <c r="D3432" t="s">
        <v>20</v>
      </c>
      <c r="E3432" t="s">
        <v>21</v>
      </c>
      <c r="F3432" t="s">
        <v>22</v>
      </c>
      <c r="G3432" t="s">
        <v>23</v>
      </c>
      <c r="H3432" t="s">
        <v>743</v>
      </c>
      <c r="I3432" t="s">
        <v>6778</v>
      </c>
      <c r="J3432">
        <v>10.002560000000001</v>
      </c>
      <c r="K3432">
        <v>-84.377470000000002</v>
      </c>
      <c r="L3432" t="s">
        <v>1225</v>
      </c>
      <c r="M3432" t="s">
        <v>46</v>
      </c>
      <c r="N3432" t="s">
        <v>47</v>
      </c>
      <c r="O3432" t="s">
        <v>48</v>
      </c>
      <c r="P3432">
        <v>10</v>
      </c>
      <c r="Q3432" t="s">
        <v>136</v>
      </c>
      <c r="S3432" t="str">
        <f>_xlfn.XLOOKUP(UNIVERSO[[#This Row],[Ruta]],'[1]CUOTA RUTA'!A:A,'[1]CUOTA RUTA'!D:D)</f>
        <v>Cargar</v>
      </c>
    </row>
    <row r="3433" spans="1:19" x14ac:dyDescent="0.25">
      <c r="A3433">
        <v>1540035580</v>
      </c>
      <c r="B3433" t="s">
        <v>6779</v>
      </c>
      <c r="C3433" t="s">
        <v>19</v>
      </c>
      <c r="D3433" t="s">
        <v>32</v>
      </c>
      <c r="E3433" t="s">
        <v>21</v>
      </c>
      <c r="F3433" t="s">
        <v>22</v>
      </c>
      <c r="G3433" t="s">
        <v>23</v>
      </c>
      <c r="H3433" t="s">
        <v>138</v>
      </c>
      <c r="I3433" t="s">
        <v>6780</v>
      </c>
      <c r="J3433">
        <v>9.9380109999999995</v>
      </c>
      <c r="K3433">
        <v>-84.026263</v>
      </c>
      <c r="L3433" t="s">
        <v>1225</v>
      </c>
      <c r="M3433" t="s">
        <v>36</v>
      </c>
      <c r="N3433" t="s">
        <v>37</v>
      </c>
      <c r="O3433" t="s">
        <v>38</v>
      </c>
      <c r="P3433">
        <v>9</v>
      </c>
      <c r="Q3433" t="s">
        <v>80</v>
      </c>
      <c r="S3433" t="str">
        <f>_xlfn.XLOOKUP(UNIVERSO[[#This Row],[Ruta]],'[1]CUOTA RUTA'!A:A,'[1]CUOTA RUTA'!D:D)</f>
        <v>Cargar</v>
      </c>
    </row>
    <row r="3434" spans="1:19" x14ac:dyDescent="0.25">
      <c r="A3434">
        <v>1540035608</v>
      </c>
      <c r="B3434" t="s">
        <v>5605</v>
      </c>
      <c r="C3434" t="s">
        <v>19</v>
      </c>
      <c r="D3434" t="s">
        <v>20</v>
      </c>
      <c r="E3434" t="s">
        <v>21</v>
      </c>
      <c r="F3434" t="s">
        <v>22</v>
      </c>
      <c r="G3434" t="s">
        <v>33</v>
      </c>
      <c r="H3434" t="s">
        <v>975</v>
      </c>
      <c r="I3434" t="s">
        <v>6781</v>
      </c>
      <c r="J3434">
        <v>10.0124569</v>
      </c>
      <c r="K3434">
        <v>-84.106078299999993</v>
      </c>
      <c r="L3434" t="s">
        <v>1225</v>
      </c>
      <c r="M3434" t="s">
        <v>27</v>
      </c>
      <c r="N3434" t="s">
        <v>28</v>
      </c>
      <c r="O3434" t="s">
        <v>29</v>
      </c>
      <c r="P3434">
        <v>18</v>
      </c>
      <c r="Q3434" t="s">
        <v>84</v>
      </c>
      <c r="S3434" t="str">
        <f>_xlfn.XLOOKUP(UNIVERSO[[#This Row],[Ruta]],'[1]CUOTA RUTA'!A:A,'[1]CUOTA RUTA'!D:D)</f>
        <v>Cargar</v>
      </c>
    </row>
    <row r="3435" spans="1:19" x14ac:dyDescent="0.25">
      <c r="A3435">
        <v>1540035652</v>
      </c>
      <c r="B3435" t="s">
        <v>6782</v>
      </c>
      <c r="C3435" t="s">
        <v>19</v>
      </c>
      <c r="D3435" t="s">
        <v>266</v>
      </c>
      <c r="E3435" t="s">
        <v>21</v>
      </c>
      <c r="F3435" t="s">
        <v>22</v>
      </c>
      <c r="G3435" t="s">
        <v>64</v>
      </c>
      <c r="H3435" t="s">
        <v>706</v>
      </c>
      <c r="I3435" t="s">
        <v>6783</v>
      </c>
      <c r="J3435">
        <v>9.8530320000000007</v>
      </c>
      <c r="K3435">
        <v>-83.941702000000006</v>
      </c>
      <c r="L3435" t="s">
        <v>1225</v>
      </c>
      <c r="M3435" t="s">
        <v>36</v>
      </c>
      <c r="N3435" t="s">
        <v>316</v>
      </c>
      <c r="O3435" t="s">
        <v>317</v>
      </c>
      <c r="P3435">
        <v>17</v>
      </c>
      <c r="Q3435" t="s">
        <v>287</v>
      </c>
      <c r="S3435" t="str">
        <f>_xlfn.XLOOKUP(UNIVERSO[[#This Row],[Ruta]],'[1]CUOTA RUTA'!A:A,'[1]CUOTA RUTA'!D:D)</f>
        <v>Cargar</v>
      </c>
    </row>
    <row r="3436" spans="1:19" x14ac:dyDescent="0.25">
      <c r="A3436">
        <v>1540035660</v>
      </c>
      <c r="B3436" t="s">
        <v>6784</v>
      </c>
      <c r="C3436" t="s">
        <v>19</v>
      </c>
      <c r="D3436" t="s">
        <v>324</v>
      </c>
      <c r="E3436" t="s">
        <v>21</v>
      </c>
      <c r="F3436" t="s">
        <v>51</v>
      </c>
      <c r="G3436" t="s">
        <v>23</v>
      </c>
      <c r="H3436" t="s">
        <v>396</v>
      </c>
      <c r="I3436" t="s">
        <v>6785</v>
      </c>
      <c r="J3436">
        <v>10.3207</v>
      </c>
      <c r="K3436">
        <v>-84.429599999999994</v>
      </c>
      <c r="L3436" t="s">
        <v>1225</v>
      </c>
      <c r="M3436" t="s">
        <v>327</v>
      </c>
      <c r="N3436" t="s">
        <v>328</v>
      </c>
      <c r="O3436" t="s">
        <v>329</v>
      </c>
      <c r="P3436">
        <v>22</v>
      </c>
      <c r="Q3436" t="s">
        <v>30</v>
      </c>
      <c r="S3436" t="str">
        <f>_xlfn.XLOOKUP(UNIVERSO[[#This Row],[Ruta]],'[1]CUOTA RUTA'!A:A,'[1]CUOTA RUTA'!D:D)</f>
        <v>Cargar</v>
      </c>
    </row>
    <row r="3437" spans="1:19" x14ac:dyDescent="0.25">
      <c r="A3437">
        <v>1540035669</v>
      </c>
      <c r="B3437" t="s">
        <v>6786</v>
      </c>
      <c r="C3437" t="s">
        <v>19</v>
      </c>
      <c r="D3437" t="s">
        <v>324</v>
      </c>
      <c r="E3437" t="s">
        <v>21</v>
      </c>
      <c r="F3437" t="s">
        <v>22</v>
      </c>
      <c r="G3437" t="s">
        <v>64</v>
      </c>
      <c r="H3437" t="s">
        <v>331</v>
      </c>
      <c r="I3437" t="s">
        <v>6787</v>
      </c>
      <c r="J3437">
        <v>10.323124999999999</v>
      </c>
      <c r="K3437">
        <v>-84.244365999999999</v>
      </c>
      <c r="L3437" t="s">
        <v>1225</v>
      </c>
      <c r="M3437" t="s">
        <v>327</v>
      </c>
      <c r="N3437" t="s">
        <v>328</v>
      </c>
      <c r="O3437" t="s">
        <v>329</v>
      </c>
      <c r="P3437">
        <v>16</v>
      </c>
      <c r="Q3437" t="s">
        <v>60</v>
      </c>
      <c r="S3437" t="str">
        <f>_xlfn.XLOOKUP(UNIVERSO[[#This Row],[Ruta]],'[1]CUOTA RUTA'!A:A,'[1]CUOTA RUTA'!D:D)</f>
        <v>Cargar</v>
      </c>
    </row>
    <row r="3438" spans="1:19" x14ac:dyDescent="0.25">
      <c r="A3438">
        <v>1540035705</v>
      </c>
      <c r="B3438" t="s">
        <v>6788</v>
      </c>
      <c r="C3438" t="s">
        <v>19</v>
      </c>
      <c r="D3438" t="s">
        <v>266</v>
      </c>
      <c r="E3438" t="s">
        <v>21</v>
      </c>
      <c r="F3438" t="s">
        <v>22</v>
      </c>
      <c r="G3438" t="s">
        <v>64</v>
      </c>
      <c r="H3438" t="s">
        <v>321</v>
      </c>
      <c r="I3438" t="s">
        <v>6789</v>
      </c>
      <c r="J3438">
        <v>9.8208149999999996</v>
      </c>
      <c r="K3438">
        <v>-83.947657000000007</v>
      </c>
      <c r="L3438" t="s">
        <v>1225</v>
      </c>
      <c r="M3438" t="s">
        <v>54</v>
      </c>
      <c r="N3438" t="s">
        <v>274</v>
      </c>
      <c r="O3438" t="s">
        <v>275</v>
      </c>
      <c r="P3438">
        <v>23</v>
      </c>
      <c r="Q3438" t="s">
        <v>125</v>
      </c>
      <c r="S3438" t="str">
        <f>_xlfn.XLOOKUP(UNIVERSO[[#This Row],[Ruta]],'[1]CUOTA RUTA'!A:A,'[1]CUOTA RUTA'!D:D)</f>
        <v>Cargar</v>
      </c>
    </row>
    <row r="3439" spans="1:19" x14ac:dyDescent="0.25">
      <c r="A3439">
        <v>1540035712</v>
      </c>
      <c r="B3439" t="s">
        <v>6790</v>
      </c>
      <c r="C3439" t="s">
        <v>19</v>
      </c>
      <c r="D3439" t="s">
        <v>32</v>
      </c>
      <c r="E3439" t="s">
        <v>21</v>
      </c>
      <c r="F3439" t="s">
        <v>22</v>
      </c>
      <c r="G3439" t="s">
        <v>64</v>
      </c>
      <c r="H3439" t="s">
        <v>99</v>
      </c>
      <c r="I3439" t="s">
        <v>6791</v>
      </c>
      <c r="J3439">
        <v>9.9318200000000001</v>
      </c>
      <c r="K3439">
        <v>-84.084175000000002</v>
      </c>
      <c r="L3439" t="s">
        <v>1225</v>
      </c>
      <c r="M3439" t="s">
        <v>71</v>
      </c>
      <c r="N3439" t="s">
        <v>72</v>
      </c>
      <c r="O3439" t="s">
        <v>73</v>
      </c>
      <c r="P3439">
        <v>1</v>
      </c>
      <c r="Q3439" t="s">
        <v>155</v>
      </c>
      <c r="S3439" t="str">
        <f>_xlfn.XLOOKUP(UNIVERSO[[#This Row],[Ruta]],'[1]CUOTA RUTA'!A:A,'[1]CUOTA RUTA'!D:D)</f>
        <v>Cargar</v>
      </c>
    </row>
    <row r="3440" spans="1:19" x14ac:dyDescent="0.25">
      <c r="A3440">
        <v>1540035768</v>
      </c>
      <c r="B3440" t="s">
        <v>6792</v>
      </c>
      <c r="C3440" t="s">
        <v>19</v>
      </c>
      <c r="D3440" t="s">
        <v>208</v>
      </c>
      <c r="E3440" t="s">
        <v>21</v>
      </c>
      <c r="F3440" t="s">
        <v>22</v>
      </c>
      <c r="G3440" t="s">
        <v>33</v>
      </c>
      <c r="H3440" t="s">
        <v>1794</v>
      </c>
      <c r="I3440" t="s">
        <v>6793</v>
      </c>
      <c r="J3440">
        <v>10.338585999999999</v>
      </c>
      <c r="K3440">
        <v>-83.956000000000003</v>
      </c>
      <c r="L3440" t="s">
        <v>1225</v>
      </c>
      <c r="M3440" t="s">
        <v>189</v>
      </c>
      <c r="N3440" t="s">
        <v>211</v>
      </c>
      <c r="O3440" t="s">
        <v>212</v>
      </c>
      <c r="P3440">
        <v>3</v>
      </c>
      <c r="Q3440" t="s">
        <v>101</v>
      </c>
      <c r="S3440" t="str">
        <f>_xlfn.XLOOKUP(UNIVERSO[[#This Row],[Ruta]],'[1]CUOTA RUTA'!A:A,'[1]CUOTA RUTA'!D:D)</f>
        <v>Cargar</v>
      </c>
    </row>
    <row r="3441" spans="1:19" x14ac:dyDescent="0.25">
      <c r="A3441">
        <v>1540035813</v>
      </c>
      <c r="B3441" t="s">
        <v>6794</v>
      </c>
      <c r="C3441" t="s">
        <v>19</v>
      </c>
      <c r="D3441" t="s">
        <v>266</v>
      </c>
      <c r="E3441" t="s">
        <v>21</v>
      </c>
      <c r="F3441" t="s">
        <v>22</v>
      </c>
      <c r="G3441" t="s">
        <v>33</v>
      </c>
      <c r="H3441" t="s">
        <v>703</v>
      </c>
      <c r="I3441" t="s">
        <v>6795</v>
      </c>
      <c r="J3441">
        <v>9.8380966666669991</v>
      </c>
      <c r="K3441">
        <v>-83.982911666660002</v>
      </c>
      <c r="L3441" t="s">
        <v>1225</v>
      </c>
      <c r="M3441" t="s">
        <v>36</v>
      </c>
      <c r="N3441" t="s">
        <v>316</v>
      </c>
      <c r="O3441" t="s">
        <v>317</v>
      </c>
      <c r="P3441">
        <v>20</v>
      </c>
      <c r="Q3441" t="s">
        <v>74</v>
      </c>
      <c r="S3441" t="str">
        <f>_xlfn.XLOOKUP(UNIVERSO[[#This Row],[Ruta]],'[1]CUOTA RUTA'!A:A,'[1]CUOTA RUTA'!D:D)</f>
        <v>Cargar</v>
      </c>
    </row>
    <row r="3442" spans="1:19" x14ac:dyDescent="0.25">
      <c r="A3442">
        <v>1540035860</v>
      </c>
      <c r="B3442" t="s">
        <v>6796</v>
      </c>
      <c r="C3442" t="s">
        <v>19</v>
      </c>
      <c r="D3442" t="s">
        <v>324</v>
      </c>
      <c r="E3442" t="s">
        <v>21</v>
      </c>
      <c r="F3442" t="s">
        <v>22</v>
      </c>
      <c r="G3442" t="s">
        <v>64</v>
      </c>
      <c r="H3442" t="s">
        <v>390</v>
      </c>
      <c r="I3442" t="s">
        <v>6797</v>
      </c>
      <c r="J3442">
        <v>10.324638999999999</v>
      </c>
      <c r="K3442">
        <v>-84.431991999999994</v>
      </c>
      <c r="L3442" t="s">
        <v>1225</v>
      </c>
      <c r="M3442" t="s">
        <v>327</v>
      </c>
      <c r="N3442" t="s">
        <v>328</v>
      </c>
      <c r="O3442" t="s">
        <v>329</v>
      </c>
      <c r="P3442">
        <v>22</v>
      </c>
      <c r="Q3442" t="s">
        <v>30</v>
      </c>
      <c r="S3442" t="str">
        <f>_xlfn.XLOOKUP(UNIVERSO[[#This Row],[Ruta]],'[1]CUOTA RUTA'!A:A,'[1]CUOTA RUTA'!D:D)</f>
        <v>Cargar</v>
      </c>
    </row>
    <row r="3443" spans="1:19" x14ac:dyDescent="0.25">
      <c r="A3443">
        <v>1540035882</v>
      </c>
      <c r="B3443" t="s">
        <v>6798</v>
      </c>
      <c r="C3443" t="s">
        <v>19</v>
      </c>
      <c r="D3443" t="s">
        <v>20</v>
      </c>
      <c r="E3443" t="s">
        <v>21</v>
      </c>
      <c r="F3443" t="s">
        <v>22</v>
      </c>
      <c r="G3443" t="s">
        <v>23</v>
      </c>
      <c r="H3443" t="s">
        <v>1506</v>
      </c>
      <c r="I3443" t="s">
        <v>6799</v>
      </c>
      <c r="J3443">
        <v>9.9807000000000006</v>
      </c>
      <c r="K3443">
        <v>-84.115229999999997</v>
      </c>
      <c r="L3443" t="s">
        <v>1225</v>
      </c>
      <c r="M3443" t="s">
        <v>27</v>
      </c>
      <c r="N3443" t="s">
        <v>28</v>
      </c>
      <c r="O3443" t="s">
        <v>29</v>
      </c>
      <c r="P3443">
        <v>6</v>
      </c>
      <c r="Q3443" t="s">
        <v>49</v>
      </c>
      <c r="S3443" t="str">
        <f>_xlfn.XLOOKUP(UNIVERSO[[#This Row],[Ruta]],'[1]CUOTA RUTA'!A:A,'[1]CUOTA RUTA'!D:D)</f>
        <v>Cargar</v>
      </c>
    </row>
    <row r="3444" spans="1:19" x14ac:dyDescent="0.25">
      <c r="A3444">
        <v>1540035907</v>
      </c>
      <c r="B3444" t="s">
        <v>6800</v>
      </c>
      <c r="C3444" t="s">
        <v>19</v>
      </c>
      <c r="D3444" t="s">
        <v>32</v>
      </c>
      <c r="E3444" t="s">
        <v>21</v>
      </c>
      <c r="F3444" t="s">
        <v>22</v>
      </c>
      <c r="G3444" t="s">
        <v>33</v>
      </c>
      <c r="H3444" t="s">
        <v>82</v>
      </c>
      <c r="I3444" t="s">
        <v>6801</v>
      </c>
      <c r="J3444">
        <v>9.9005109999999998</v>
      </c>
      <c r="K3444">
        <v>-84.076515999999998</v>
      </c>
      <c r="L3444" t="s">
        <v>1225</v>
      </c>
      <c r="M3444" t="s">
        <v>71</v>
      </c>
      <c r="N3444" t="s">
        <v>72</v>
      </c>
      <c r="O3444" t="s">
        <v>73</v>
      </c>
      <c r="P3444">
        <v>7</v>
      </c>
      <c r="Q3444" t="s">
        <v>39</v>
      </c>
      <c r="S3444" t="str">
        <f>_xlfn.XLOOKUP(UNIVERSO[[#This Row],[Ruta]],'[1]CUOTA RUTA'!A:A,'[1]CUOTA RUTA'!D:D)</f>
        <v>Cargar</v>
      </c>
    </row>
    <row r="3445" spans="1:19" x14ac:dyDescent="0.25">
      <c r="A3445">
        <v>1540035935</v>
      </c>
      <c r="B3445" t="s">
        <v>2174</v>
      </c>
      <c r="C3445" t="s">
        <v>19</v>
      </c>
      <c r="D3445" t="s">
        <v>266</v>
      </c>
      <c r="E3445" t="s">
        <v>21</v>
      </c>
      <c r="F3445" t="s">
        <v>22</v>
      </c>
      <c r="G3445" t="s">
        <v>64</v>
      </c>
      <c r="H3445" t="s">
        <v>407</v>
      </c>
      <c r="I3445" t="s">
        <v>6802</v>
      </c>
      <c r="J3445">
        <v>9.6289619999999996</v>
      </c>
      <c r="K3445">
        <v>-84.030647000000002</v>
      </c>
      <c r="L3445" t="s">
        <v>1225</v>
      </c>
      <c r="M3445" t="s">
        <v>409</v>
      </c>
      <c r="N3445" t="s">
        <v>410</v>
      </c>
      <c r="O3445" t="s">
        <v>411</v>
      </c>
      <c r="P3445">
        <v>23</v>
      </c>
      <c r="Q3445" t="s">
        <v>125</v>
      </c>
      <c r="S3445" t="str">
        <f>_xlfn.XLOOKUP(UNIVERSO[[#This Row],[Ruta]],'[1]CUOTA RUTA'!A:A,'[1]CUOTA RUTA'!D:D)</f>
        <v>Cargar</v>
      </c>
    </row>
    <row r="3446" spans="1:19" x14ac:dyDescent="0.25">
      <c r="A3446">
        <v>1540036012</v>
      </c>
      <c r="B3446" t="s">
        <v>6803</v>
      </c>
      <c r="C3446" t="s">
        <v>19</v>
      </c>
      <c r="D3446" t="s">
        <v>266</v>
      </c>
      <c r="E3446" t="s">
        <v>21</v>
      </c>
      <c r="F3446" t="s">
        <v>22</v>
      </c>
      <c r="G3446" t="s">
        <v>64</v>
      </c>
      <c r="H3446" t="s">
        <v>267</v>
      </c>
      <c r="I3446" t="s">
        <v>6804</v>
      </c>
      <c r="J3446">
        <v>9.8642454399999995</v>
      </c>
      <c r="K3446">
        <v>-83.631188350000002</v>
      </c>
      <c r="L3446" t="s">
        <v>1225</v>
      </c>
      <c r="M3446" t="s">
        <v>189</v>
      </c>
      <c r="N3446" t="s">
        <v>269</v>
      </c>
      <c r="O3446" t="s">
        <v>270</v>
      </c>
      <c r="P3446">
        <v>20</v>
      </c>
      <c r="Q3446" t="s">
        <v>74</v>
      </c>
      <c r="S3446" t="str">
        <f>_xlfn.XLOOKUP(UNIVERSO[[#This Row],[Ruta]],'[1]CUOTA RUTA'!A:A,'[1]CUOTA RUTA'!D:D)</f>
        <v>Cargar</v>
      </c>
    </row>
    <row r="3447" spans="1:19" x14ac:dyDescent="0.25">
      <c r="A3447">
        <v>1540036074</v>
      </c>
      <c r="B3447" t="s">
        <v>6805</v>
      </c>
      <c r="C3447" t="s">
        <v>19</v>
      </c>
      <c r="D3447" t="s">
        <v>32</v>
      </c>
      <c r="E3447" t="s">
        <v>21</v>
      </c>
      <c r="F3447" t="s">
        <v>22</v>
      </c>
      <c r="G3447" t="s">
        <v>33</v>
      </c>
      <c r="H3447" t="s">
        <v>698</v>
      </c>
      <c r="I3447" t="s">
        <v>6806</v>
      </c>
      <c r="J3447">
        <v>9.9538550000000008</v>
      </c>
      <c r="K3447">
        <v>-84.037082999999996</v>
      </c>
      <c r="L3447" t="s">
        <v>1225</v>
      </c>
      <c r="M3447" t="s">
        <v>94</v>
      </c>
      <c r="N3447" t="s">
        <v>95</v>
      </c>
      <c r="O3447" t="s">
        <v>96</v>
      </c>
      <c r="P3447">
        <v>7</v>
      </c>
      <c r="Q3447" t="s">
        <v>39</v>
      </c>
      <c r="S3447" t="str">
        <f>_xlfn.XLOOKUP(UNIVERSO[[#This Row],[Ruta]],'[1]CUOTA RUTA'!A:A,'[1]CUOTA RUTA'!D:D)</f>
        <v>Cargar</v>
      </c>
    </row>
    <row r="3448" spans="1:19" x14ac:dyDescent="0.25">
      <c r="A3448">
        <v>1540036083</v>
      </c>
      <c r="B3448" t="s">
        <v>6807</v>
      </c>
      <c r="C3448" t="s">
        <v>19</v>
      </c>
      <c r="D3448" t="s">
        <v>324</v>
      </c>
      <c r="E3448" t="s">
        <v>21</v>
      </c>
      <c r="F3448" t="s">
        <v>22</v>
      </c>
      <c r="G3448" t="s">
        <v>64</v>
      </c>
      <c r="H3448" t="s">
        <v>325</v>
      </c>
      <c r="I3448" t="s">
        <v>6808</v>
      </c>
      <c r="J3448">
        <v>10.368</v>
      </c>
      <c r="K3448">
        <v>-84.476299999999995</v>
      </c>
      <c r="L3448" t="s">
        <v>1225</v>
      </c>
      <c r="M3448" t="s">
        <v>327</v>
      </c>
      <c r="N3448" t="s">
        <v>328</v>
      </c>
      <c r="O3448" t="s">
        <v>329</v>
      </c>
      <c r="P3448">
        <v>14</v>
      </c>
      <c r="Q3448" t="s">
        <v>181</v>
      </c>
      <c r="S3448" t="str">
        <f>_xlfn.XLOOKUP(UNIVERSO[[#This Row],[Ruta]],'[1]CUOTA RUTA'!A:A,'[1]CUOTA RUTA'!D:D)</f>
        <v>Cargar</v>
      </c>
    </row>
    <row r="3449" spans="1:19" x14ac:dyDescent="0.25">
      <c r="A3449">
        <v>1540036116</v>
      </c>
      <c r="B3449" t="s">
        <v>6809</v>
      </c>
      <c r="C3449" t="s">
        <v>19</v>
      </c>
      <c r="D3449" t="s">
        <v>20</v>
      </c>
      <c r="E3449" t="s">
        <v>21</v>
      </c>
      <c r="F3449" t="s">
        <v>22</v>
      </c>
      <c r="G3449" t="s">
        <v>64</v>
      </c>
      <c r="H3449" t="s">
        <v>975</v>
      </c>
      <c r="I3449" t="s">
        <v>6810</v>
      </c>
      <c r="J3449">
        <v>10.008141999999999</v>
      </c>
      <c r="K3449">
        <v>-84.117552000000003</v>
      </c>
      <c r="L3449" t="s">
        <v>1225</v>
      </c>
      <c r="M3449" t="s">
        <v>27</v>
      </c>
      <c r="N3449" t="s">
        <v>28</v>
      </c>
      <c r="O3449" t="s">
        <v>29</v>
      </c>
      <c r="P3449">
        <v>14</v>
      </c>
      <c r="Q3449" t="s">
        <v>181</v>
      </c>
      <c r="S3449" t="str">
        <f>_xlfn.XLOOKUP(UNIVERSO[[#This Row],[Ruta]],'[1]CUOTA RUTA'!A:A,'[1]CUOTA RUTA'!D:D)</f>
        <v>Cargar</v>
      </c>
    </row>
    <row r="3450" spans="1:19" x14ac:dyDescent="0.25">
      <c r="A3450">
        <v>1540036130</v>
      </c>
      <c r="B3450" t="s">
        <v>5774</v>
      </c>
      <c r="C3450" t="s">
        <v>19</v>
      </c>
      <c r="D3450" t="s">
        <v>32</v>
      </c>
      <c r="E3450" t="s">
        <v>21</v>
      </c>
      <c r="F3450" t="s">
        <v>22</v>
      </c>
      <c r="G3450" t="s">
        <v>64</v>
      </c>
      <c r="H3450" t="s">
        <v>69</v>
      </c>
      <c r="I3450" t="s">
        <v>6811</v>
      </c>
      <c r="J3450">
        <v>9.8745366666669998</v>
      </c>
      <c r="K3450">
        <v>-84.063455000000005</v>
      </c>
      <c r="L3450" t="s">
        <v>1225</v>
      </c>
      <c r="M3450" t="s">
        <v>71</v>
      </c>
      <c r="N3450" t="s">
        <v>72</v>
      </c>
      <c r="O3450" t="s">
        <v>73</v>
      </c>
      <c r="P3450">
        <v>19</v>
      </c>
      <c r="Q3450" t="s">
        <v>67</v>
      </c>
      <c r="S3450" t="str">
        <f>_xlfn.XLOOKUP(UNIVERSO[[#This Row],[Ruta]],'[1]CUOTA RUTA'!A:A,'[1]CUOTA RUTA'!D:D)</f>
        <v>Cargar</v>
      </c>
    </row>
    <row r="3451" spans="1:19" x14ac:dyDescent="0.25">
      <c r="A3451">
        <v>1540036155</v>
      </c>
      <c r="B3451" t="s">
        <v>6812</v>
      </c>
      <c r="C3451" t="s">
        <v>19</v>
      </c>
      <c r="D3451" t="s">
        <v>324</v>
      </c>
      <c r="E3451" t="s">
        <v>21</v>
      </c>
      <c r="F3451" t="s">
        <v>22</v>
      </c>
      <c r="G3451" t="s">
        <v>64</v>
      </c>
      <c r="H3451" t="s">
        <v>511</v>
      </c>
      <c r="I3451" t="s">
        <v>6813</v>
      </c>
      <c r="J3451">
        <v>10.4779506</v>
      </c>
      <c r="K3451">
        <v>-84.581332399999994</v>
      </c>
      <c r="L3451" t="s">
        <v>1225</v>
      </c>
      <c r="M3451" t="s">
        <v>327</v>
      </c>
      <c r="N3451" t="s">
        <v>328</v>
      </c>
      <c r="O3451" t="s">
        <v>329</v>
      </c>
      <c r="P3451">
        <v>13</v>
      </c>
      <c r="Q3451" t="s">
        <v>161</v>
      </c>
      <c r="S3451" t="str">
        <f>_xlfn.XLOOKUP(UNIVERSO[[#This Row],[Ruta]],'[1]CUOTA RUTA'!A:A,'[1]CUOTA RUTA'!D:D)</f>
        <v>Cargar</v>
      </c>
    </row>
    <row r="3452" spans="1:19" x14ac:dyDescent="0.25">
      <c r="A3452">
        <v>1540036175</v>
      </c>
      <c r="B3452" t="s">
        <v>6814</v>
      </c>
      <c r="C3452" t="s">
        <v>19</v>
      </c>
      <c r="D3452" t="s">
        <v>32</v>
      </c>
      <c r="E3452" t="s">
        <v>21</v>
      </c>
      <c r="F3452" t="s">
        <v>22</v>
      </c>
      <c r="G3452" t="s">
        <v>33</v>
      </c>
      <c r="H3452" t="s">
        <v>69</v>
      </c>
      <c r="I3452" t="s">
        <v>6815</v>
      </c>
      <c r="J3452">
        <v>9.8488199999999999</v>
      </c>
      <c r="K3452">
        <v>-84.065436666660005</v>
      </c>
      <c r="L3452" t="s">
        <v>1225</v>
      </c>
      <c r="M3452" t="s">
        <v>71</v>
      </c>
      <c r="N3452" t="s">
        <v>72</v>
      </c>
      <c r="O3452" t="s">
        <v>73</v>
      </c>
      <c r="P3452">
        <v>22</v>
      </c>
      <c r="Q3452" t="s">
        <v>30</v>
      </c>
      <c r="S3452" t="str">
        <f>_xlfn.XLOOKUP(UNIVERSO[[#This Row],[Ruta]],'[1]CUOTA RUTA'!A:A,'[1]CUOTA RUTA'!D:D)</f>
        <v>Cargar</v>
      </c>
    </row>
    <row r="3453" spans="1:19" x14ac:dyDescent="0.25">
      <c r="A3453">
        <v>1540036287</v>
      </c>
      <c r="B3453" t="s">
        <v>6816</v>
      </c>
      <c r="C3453" t="s">
        <v>19</v>
      </c>
      <c r="D3453" t="s">
        <v>32</v>
      </c>
      <c r="E3453" t="s">
        <v>21</v>
      </c>
      <c r="F3453" t="s">
        <v>22</v>
      </c>
      <c r="G3453" t="s">
        <v>33</v>
      </c>
      <c r="H3453" t="s">
        <v>76</v>
      </c>
      <c r="I3453" t="s">
        <v>6817</v>
      </c>
      <c r="J3453">
        <v>9.9587559999999993</v>
      </c>
      <c r="K3453">
        <v>-84.006628000000006</v>
      </c>
      <c r="L3453" t="s">
        <v>1225</v>
      </c>
      <c r="M3453" t="s">
        <v>36</v>
      </c>
      <c r="N3453" t="s">
        <v>37</v>
      </c>
      <c r="O3453" t="s">
        <v>38</v>
      </c>
      <c r="P3453">
        <v>20</v>
      </c>
      <c r="Q3453" t="s">
        <v>74</v>
      </c>
      <c r="S3453" t="str">
        <f>_xlfn.XLOOKUP(UNIVERSO[[#This Row],[Ruta]],'[1]CUOTA RUTA'!A:A,'[1]CUOTA RUTA'!D:D)</f>
        <v>Cargar</v>
      </c>
    </row>
    <row r="3454" spans="1:19" x14ac:dyDescent="0.25">
      <c r="A3454">
        <v>1540036319</v>
      </c>
      <c r="B3454" t="s">
        <v>6818</v>
      </c>
      <c r="C3454" t="s">
        <v>19</v>
      </c>
      <c r="D3454" t="s">
        <v>32</v>
      </c>
      <c r="E3454" t="s">
        <v>21</v>
      </c>
      <c r="F3454" t="s">
        <v>22</v>
      </c>
      <c r="G3454" t="s">
        <v>33</v>
      </c>
      <c r="H3454" t="s">
        <v>92</v>
      </c>
      <c r="I3454" t="s">
        <v>6819</v>
      </c>
      <c r="J3454">
        <v>9.9593349999999994</v>
      </c>
      <c r="K3454">
        <v>-84.011528999999996</v>
      </c>
      <c r="L3454" t="s">
        <v>1225</v>
      </c>
      <c r="M3454" t="s">
        <v>94</v>
      </c>
      <c r="N3454" t="s">
        <v>95</v>
      </c>
      <c r="O3454" t="s">
        <v>96</v>
      </c>
      <c r="P3454">
        <v>4</v>
      </c>
      <c r="Q3454" t="s">
        <v>120</v>
      </c>
      <c r="S3454" t="str">
        <f>_xlfn.XLOOKUP(UNIVERSO[[#This Row],[Ruta]],'[1]CUOTA RUTA'!A:A,'[1]CUOTA RUTA'!D:D)</f>
        <v>Cargar</v>
      </c>
    </row>
    <row r="3455" spans="1:19" x14ac:dyDescent="0.25">
      <c r="A3455">
        <v>1540036344</v>
      </c>
      <c r="B3455" t="s">
        <v>6820</v>
      </c>
      <c r="C3455" t="s">
        <v>19</v>
      </c>
      <c r="D3455" t="s">
        <v>201</v>
      </c>
      <c r="E3455" t="s">
        <v>21</v>
      </c>
      <c r="F3455" t="s">
        <v>22</v>
      </c>
      <c r="G3455" t="s">
        <v>33</v>
      </c>
      <c r="H3455" t="s">
        <v>593</v>
      </c>
      <c r="I3455" t="s">
        <v>6821</v>
      </c>
      <c r="J3455">
        <v>9.9841397000000001</v>
      </c>
      <c r="K3455">
        <v>-84.772445200000007</v>
      </c>
      <c r="L3455" t="s">
        <v>1225</v>
      </c>
      <c r="M3455" t="s">
        <v>204</v>
      </c>
      <c r="N3455" t="s">
        <v>205</v>
      </c>
      <c r="O3455" t="s">
        <v>206</v>
      </c>
      <c r="P3455">
        <v>10</v>
      </c>
      <c r="Q3455" t="s">
        <v>136</v>
      </c>
      <c r="S3455" t="str">
        <f>_xlfn.XLOOKUP(UNIVERSO[[#This Row],[Ruta]],'[1]CUOTA RUTA'!A:A,'[1]CUOTA RUTA'!D:D)</f>
        <v>Cargar</v>
      </c>
    </row>
    <row r="3456" spans="1:19" x14ac:dyDescent="0.25">
      <c r="A3456">
        <v>1540036372</v>
      </c>
      <c r="B3456" t="s">
        <v>6822</v>
      </c>
      <c r="C3456" t="s">
        <v>19</v>
      </c>
      <c r="D3456" t="s">
        <v>324</v>
      </c>
      <c r="E3456" t="s">
        <v>62</v>
      </c>
      <c r="F3456" t="s">
        <v>63</v>
      </c>
      <c r="G3456" t="s">
        <v>33</v>
      </c>
      <c r="H3456" t="s">
        <v>511</v>
      </c>
      <c r="I3456" t="s">
        <v>6823</v>
      </c>
      <c r="J3456">
        <v>10.406922</v>
      </c>
      <c r="K3456">
        <v>-84.599131</v>
      </c>
      <c r="L3456" t="s">
        <v>1225</v>
      </c>
      <c r="M3456" t="s">
        <v>327</v>
      </c>
      <c r="N3456" t="s">
        <v>328</v>
      </c>
      <c r="O3456" t="s">
        <v>329</v>
      </c>
      <c r="P3456">
        <v>12</v>
      </c>
      <c r="Q3456" t="s">
        <v>42</v>
      </c>
      <c r="S3456" t="str">
        <f>_xlfn.XLOOKUP(UNIVERSO[[#This Row],[Ruta]],'[1]CUOTA RUTA'!A:A,'[1]CUOTA RUTA'!D:D)</f>
        <v>Cargar</v>
      </c>
    </row>
    <row r="3457" spans="1:19" x14ac:dyDescent="0.25">
      <c r="A3457">
        <v>1540036430</v>
      </c>
      <c r="B3457" t="s">
        <v>6824</v>
      </c>
      <c r="C3457" t="s">
        <v>19</v>
      </c>
      <c r="D3457" t="s">
        <v>244</v>
      </c>
      <c r="E3457" t="s">
        <v>21</v>
      </c>
      <c r="F3457" t="s">
        <v>22</v>
      </c>
      <c r="G3457" t="s">
        <v>33</v>
      </c>
      <c r="H3457" t="s">
        <v>1294</v>
      </c>
      <c r="I3457" t="s">
        <v>6825</v>
      </c>
      <c r="J3457">
        <v>9.1705903000000006</v>
      </c>
      <c r="K3457">
        <v>-83.335414999999998</v>
      </c>
      <c r="L3457" t="s">
        <v>1225</v>
      </c>
      <c r="M3457" t="s">
        <v>46</v>
      </c>
      <c r="N3457" t="s">
        <v>247</v>
      </c>
      <c r="O3457" t="s">
        <v>248</v>
      </c>
      <c r="P3457">
        <v>12</v>
      </c>
      <c r="Q3457" t="s">
        <v>42</v>
      </c>
      <c r="S3457" t="str">
        <f>_xlfn.XLOOKUP(UNIVERSO[[#This Row],[Ruta]],'[1]CUOTA RUTA'!A:A,'[1]CUOTA RUTA'!D:D)</f>
        <v>Cargar</v>
      </c>
    </row>
    <row r="3458" spans="1:19" x14ac:dyDescent="0.25">
      <c r="A3458">
        <v>1540036489</v>
      </c>
      <c r="B3458" t="s">
        <v>6826</v>
      </c>
      <c r="C3458" t="s">
        <v>19</v>
      </c>
      <c r="D3458" t="s">
        <v>32</v>
      </c>
      <c r="E3458" t="s">
        <v>21</v>
      </c>
      <c r="F3458" t="s">
        <v>22</v>
      </c>
      <c r="G3458" t="s">
        <v>23</v>
      </c>
      <c r="H3458" t="s">
        <v>625</v>
      </c>
      <c r="I3458" t="s">
        <v>6827</v>
      </c>
      <c r="J3458">
        <v>10.016586666666999</v>
      </c>
      <c r="K3458">
        <v>-84.055289999999999</v>
      </c>
      <c r="L3458" t="s">
        <v>1225</v>
      </c>
      <c r="M3458" t="s">
        <v>94</v>
      </c>
      <c r="N3458" t="s">
        <v>95</v>
      </c>
      <c r="O3458" t="s">
        <v>96</v>
      </c>
      <c r="P3458">
        <v>5</v>
      </c>
      <c r="Q3458" t="s">
        <v>117</v>
      </c>
      <c r="S3458" t="str">
        <f>_xlfn.XLOOKUP(UNIVERSO[[#This Row],[Ruta]],'[1]CUOTA RUTA'!A:A,'[1]CUOTA RUTA'!D:D)</f>
        <v>Cargar</v>
      </c>
    </row>
    <row r="3459" spans="1:19" x14ac:dyDescent="0.25">
      <c r="A3459">
        <v>1540036558</v>
      </c>
      <c r="B3459" t="s">
        <v>6828</v>
      </c>
      <c r="C3459" t="s">
        <v>19</v>
      </c>
      <c r="D3459" t="s">
        <v>324</v>
      </c>
      <c r="E3459" t="s">
        <v>21</v>
      </c>
      <c r="F3459" t="s">
        <v>22</v>
      </c>
      <c r="G3459" t="s">
        <v>64</v>
      </c>
      <c r="H3459" t="s">
        <v>325</v>
      </c>
      <c r="I3459" t="s">
        <v>6829</v>
      </c>
      <c r="J3459">
        <v>10.367459999999999</v>
      </c>
      <c r="K3459">
        <v>-84.583995999999999</v>
      </c>
      <c r="L3459" t="s">
        <v>1225</v>
      </c>
      <c r="M3459" t="s">
        <v>327</v>
      </c>
      <c r="N3459" t="s">
        <v>328</v>
      </c>
      <c r="O3459" t="s">
        <v>329</v>
      </c>
      <c r="P3459">
        <v>13</v>
      </c>
      <c r="Q3459" t="s">
        <v>161</v>
      </c>
      <c r="S3459" t="str">
        <f>_xlfn.XLOOKUP(UNIVERSO[[#This Row],[Ruta]],'[1]CUOTA RUTA'!A:A,'[1]CUOTA RUTA'!D:D)</f>
        <v>Cargar</v>
      </c>
    </row>
    <row r="3460" spans="1:19" x14ac:dyDescent="0.25">
      <c r="A3460">
        <v>1540036589</v>
      </c>
      <c r="B3460" t="s">
        <v>6830</v>
      </c>
      <c r="C3460" t="s">
        <v>19</v>
      </c>
      <c r="D3460" t="s">
        <v>20</v>
      </c>
      <c r="E3460" t="s">
        <v>21</v>
      </c>
      <c r="F3460" t="s">
        <v>22</v>
      </c>
      <c r="G3460" t="s">
        <v>33</v>
      </c>
      <c r="H3460" t="s">
        <v>975</v>
      </c>
      <c r="I3460" t="s">
        <v>6831</v>
      </c>
      <c r="J3460">
        <v>10.01536671</v>
      </c>
      <c r="K3460">
        <v>-84.100031700000002</v>
      </c>
      <c r="L3460" t="s">
        <v>1225</v>
      </c>
      <c r="M3460" t="s">
        <v>27</v>
      </c>
      <c r="N3460" t="s">
        <v>28</v>
      </c>
      <c r="O3460" t="s">
        <v>29</v>
      </c>
      <c r="P3460">
        <v>17</v>
      </c>
      <c r="Q3460" t="s">
        <v>287</v>
      </c>
      <c r="S3460" t="str">
        <f>_xlfn.XLOOKUP(UNIVERSO[[#This Row],[Ruta]],'[1]CUOTA RUTA'!A:A,'[1]CUOTA RUTA'!D:D)</f>
        <v>Cargar</v>
      </c>
    </row>
    <row r="3461" spans="1:19" x14ac:dyDescent="0.25">
      <c r="A3461">
        <v>1540036592</v>
      </c>
      <c r="B3461" t="s">
        <v>6832</v>
      </c>
      <c r="C3461" t="s">
        <v>19</v>
      </c>
      <c r="D3461" t="s">
        <v>20</v>
      </c>
      <c r="E3461" t="s">
        <v>21</v>
      </c>
      <c r="F3461" t="s">
        <v>22</v>
      </c>
      <c r="G3461" t="s">
        <v>64</v>
      </c>
      <c r="H3461" t="s">
        <v>263</v>
      </c>
      <c r="I3461" t="s">
        <v>6833</v>
      </c>
      <c r="J3461">
        <v>10.11138</v>
      </c>
      <c r="K3461">
        <v>-84.304699999999997</v>
      </c>
      <c r="L3461" t="s">
        <v>1225</v>
      </c>
      <c r="M3461" t="s">
        <v>46</v>
      </c>
      <c r="N3461" t="s">
        <v>47</v>
      </c>
      <c r="O3461" t="s">
        <v>48</v>
      </c>
      <c r="P3461">
        <v>4</v>
      </c>
      <c r="Q3461" t="s">
        <v>120</v>
      </c>
      <c r="S3461" t="str">
        <f>_xlfn.XLOOKUP(UNIVERSO[[#This Row],[Ruta]],'[1]CUOTA RUTA'!A:A,'[1]CUOTA RUTA'!D:D)</f>
        <v>Cargar</v>
      </c>
    </row>
    <row r="3462" spans="1:19" x14ac:dyDescent="0.25">
      <c r="A3462">
        <v>1540036630</v>
      </c>
      <c r="B3462" t="s">
        <v>6834</v>
      </c>
      <c r="C3462" t="s">
        <v>19</v>
      </c>
      <c r="D3462" t="s">
        <v>244</v>
      </c>
      <c r="E3462" t="s">
        <v>21</v>
      </c>
      <c r="F3462" t="s">
        <v>22</v>
      </c>
      <c r="G3462" t="s">
        <v>33</v>
      </c>
      <c r="H3462" t="s">
        <v>857</v>
      </c>
      <c r="I3462" t="s">
        <v>6835</v>
      </c>
      <c r="J3462">
        <v>9.3164149999999992</v>
      </c>
      <c r="K3462">
        <v>-83.650233999999998</v>
      </c>
      <c r="L3462" t="s">
        <v>1225</v>
      </c>
      <c r="M3462" t="s">
        <v>46</v>
      </c>
      <c r="N3462" t="s">
        <v>247</v>
      </c>
      <c r="O3462" t="s">
        <v>248</v>
      </c>
      <c r="P3462">
        <v>13</v>
      </c>
      <c r="Q3462" t="s">
        <v>161</v>
      </c>
      <c r="S3462" t="str">
        <f>_xlfn.XLOOKUP(UNIVERSO[[#This Row],[Ruta]],'[1]CUOTA RUTA'!A:A,'[1]CUOTA RUTA'!D:D)</f>
        <v>Cargar</v>
      </c>
    </row>
    <row r="3463" spans="1:19" x14ac:dyDescent="0.25">
      <c r="A3463">
        <v>1540036634</v>
      </c>
      <c r="B3463" t="s">
        <v>6836</v>
      </c>
      <c r="C3463" t="s">
        <v>19</v>
      </c>
      <c r="D3463" t="s">
        <v>337</v>
      </c>
      <c r="E3463" t="s">
        <v>21</v>
      </c>
      <c r="F3463" t="s">
        <v>22</v>
      </c>
      <c r="G3463" t="s">
        <v>64</v>
      </c>
      <c r="H3463" t="s">
        <v>343</v>
      </c>
      <c r="I3463" t="s">
        <v>6837</v>
      </c>
      <c r="J3463">
        <v>10.386573</v>
      </c>
      <c r="K3463">
        <v>-85.675602999999995</v>
      </c>
      <c r="L3463" t="s">
        <v>1225</v>
      </c>
      <c r="M3463" t="s">
        <v>327</v>
      </c>
      <c r="N3463" t="s">
        <v>340</v>
      </c>
      <c r="O3463" t="s">
        <v>341</v>
      </c>
      <c r="P3463">
        <v>17</v>
      </c>
      <c r="Q3463" t="s">
        <v>287</v>
      </c>
      <c r="S3463" t="str">
        <f>_xlfn.XLOOKUP(UNIVERSO[[#This Row],[Ruta]],'[1]CUOTA RUTA'!A:A,'[1]CUOTA RUTA'!D:D)</f>
        <v>Cargar</v>
      </c>
    </row>
    <row r="3464" spans="1:19" x14ac:dyDescent="0.25">
      <c r="A3464">
        <v>1540036652</v>
      </c>
      <c r="B3464" t="s">
        <v>6838</v>
      </c>
      <c r="C3464" t="s">
        <v>19</v>
      </c>
      <c r="D3464" t="s">
        <v>349</v>
      </c>
      <c r="E3464" t="s">
        <v>21</v>
      </c>
      <c r="F3464" t="s">
        <v>22</v>
      </c>
      <c r="G3464" t="s">
        <v>33</v>
      </c>
      <c r="H3464" t="s">
        <v>496</v>
      </c>
      <c r="I3464" t="s">
        <v>6839</v>
      </c>
      <c r="J3464">
        <v>10.291700000000001</v>
      </c>
      <c r="K3464">
        <v>-85.587699999999998</v>
      </c>
      <c r="L3464" t="s">
        <v>1225</v>
      </c>
      <c r="M3464" t="s">
        <v>352</v>
      </c>
      <c r="N3464" t="s">
        <v>353</v>
      </c>
      <c r="O3464" t="s">
        <v>354</v>
      </c>
      <c r="P3464">
        <v>3</v>
      </c>
      <c r="Q3464" t="s">
        <v>101</v>
      </c>
      <c r="S3464" t="str">
        <f>_xlfn.XLOOKUP(UNIVERSO[[#This Row],[Ruta]],'[1]CUOTA RUTA'!A:A,'[1]CUOTA RUTA'!D:D)</f>
        <v>Cargar</v>
      </c>
    </row>
    <row r="3465" spans="1:19" x14ac:dyDescent="0.25">
      <c r="A3465">
        <v>1540036716</v>
      </c>
      <c r="B3465" t="s">
        <v>6840</v>
      </c>
      <c r="C3465" t="s">
        <v>19</v>
      </c>
      <c r="D3465" t="s">
        <v>20</v>
      </c>
      <c r="E3465" t="s">
        <v>21</v>
      </c>
      <c r="F3465" t="s">
        <v>22</v>
      </c>
      <c r="G3465" t="s">
        <v>23</v>
      </c>
      <c r="H3465" t="s">
        <v>193</v>
      </c>
      <c r="I3465" t="s">
        <v>6841</v>
      </c>
      <c r="J3465">
        <v>9.9614700000000003</v>
      </c>
      <c r="K3465">
        <v>-84.327145000000002</v>
      </c>
      <c r="L3465" t="s">
        <v>1225</v>
      </c>
      <c r="M3465" t="s">
        <v>54</v>
      </c>
      <c r="N3465" t="s">
        <v>55</v>
      </c>
      <c r="O3465" t="s">
        <v>56</v>
      </c>
      <c r="P3465">
        <v>20</v>
      </c>
      <c r="Q3465" t="s">
        <v>74</v>
      </c>
      <c r="S3465" t="str">
        <f>_xlfn.XLOOKUP(UNIVERSO[[#This Row],[Ruta]],'[1]CUOTA RUTA'!A:A,'[1]CUOTA RUTA'!D:D)</f>
        <v>Cargar</v>
      </c>
    </row>
    <row r="3466" spans="1:19" x14ac:dyDescent="0.25">
      <c r="A3466">
        <v>1540036750</v>
      </c>
      <c r="B3466" t="s">
        <v>6842</v>
      </c>
      <c r="C3466" t="s">
        <v>19</v>
      </c>
      <c r="D3466" t="s">
        <v>20</v>
      </c>
      <c r="E3466" t="s">
        <v>21</v>
      </c>
      <c r="F3466" t="s">
        <v>22</v>
      </c>
      <c r="G3466" t="s">
        <v>23</v>
      </c>
      <c r="H3466" t="s">
        <v>458</v>
      </c>
      <c r="I3466" t="s">
        <v>6843</v>
      </c>
      <c r="J3466">
        <v>9.9667662000000004</v>
      </c>
      <c r="K3466">
        <v>-84.298160100000004</v>
      </c>
      <c r="L3466" t="s">
        <v>1225</v>
      </c>
      <c r="M3466" t="s">
        <v>54</v>
      </c>
      <c r="N3466" t="s">
        <v>55</v>
      </c>
      <c r="O3466" t="s">
        <v>56</v>
      </c>
      <c r="P3466">
        <v>6</v>
      </c>
      <c r="Q3466" t="s">
        <v>49</v>
      </c>
      <c r="S3466" t="str">
        <f>_xlfn.XLOOKUP(UNIVERSO[[#This Row],[Ruta]],'[1]CUOTA RUTA'!A:A,'[1]CUOTA RUTA'!D:D)</f>
        <v>Cargar</v>
      </c>
    </row>
    <row r="3467" spans="1:19" x14ac:dyDescent="0.25">
      <c r="A3467">
        <v>1540036768</v>
      </c>
      <c r="B3467" t="s">
        <v>6844</v>
      </c>
      <c r="C3467" t="s">
        <v>19</v>
      </c>
      <c r="D3467" t="s">
        <v>324</v>
      </c>
      <c r="E3467" t="s">
        <v>21</v>
      </c>
      <c r="F3467" t="s">
        <v>22</v>
      </c>
      <c r="G3467" t="s">
        <v>64</v>
      </c>
      <c r="H3467" t="s">
        <v>557</v>
      </c>
      <c r="I3467" t="s">
        <v>6845</v>
      </c>
      <c r="J3467">
        <v>10.427107599999999</v>
      </c>
      <c r="K3467">
        <v>-84.748817799999998</v>
      </c>
      <c r="L3467" t="s">
        <v>1225</v>
      </c>
      <c r="M3467" t="s">
        <v>327</v>
      </c>
      <c r="N3467" t="s">
        <v>328</v>
      </c>
      <c r="O3467" t="s">
        <v>329</v>
      </c>
      <c r="P3467">
        <v>22</v>
      </c>
      <c r="Q3467" t="s">
        <v>30</v>
      </c>
      <c r="S3467" t="str">
        <f>_xlfn.XLOOKUP(UNIVERSO[[#This Row],[Ruta]],'[1]CUOTA RUTA'!A:A,'[1]CUOTA RUTA'!D:D)</f>
        <v>Cargar</v>
      </c>
    </row>
    <row r="3468" spans="1:19" x14ac:dyDescent="0.25">
      <c r="A3468">
        <v>1540036851</v>
      </c>
      <c r="B3468" t="s">
        <v>6846</v>
      </c>
      <c r="C3468" t="s">
        <v>19</v>
      </c>
      <c r="D3468" t="s">
        <v>32</v>
      </c>
      <c r="E3468" t="s">
        <v>21</v>
      </c>
      <c r="F3468" t="s">
        <v>22</v>
      </c>
      <c r="G3468" t="s">
        <v>64</v>
      </c>
      <c r="H3468" t="s">
        <v>112</v>
      </c>
      <c r="I3468" t="s">
        <v>6847</v>
      </c>
      <c r="J3468">
        <v>9.9704470000000001</v>
      </c>
      <c r="K3468">
        <v>-84.087701999999993</v>
      </c>
      <c r="L3468" t="s">
        <v>1225</v>
      </c>
      <c r="M3468" t="s">
        <v>94</v>
      </c>
      <c r="N3468" t="s">
        <v>95</v>
      </c>
      <c r="O3468" t="s">
        <v>96</v>
      </c>
      <c r="P3468">
        <v>11</v>
      </c>
      <c r="Q3468" t="s">
        <v>108</v>
      </c>
      <c r="S3468" t="str">
        <f>_xlfn.XLOOKUP(UNIVERSO[[#This Row],[Ruta]],'[1]CUOTA RUTA'!A:A,'[1]CUOTA RUTA'!D:D)</f>
        <v>Cargar</v>
      </c>
    </row>
    <row r="3469" spans="1:19" x14ac:dyDescent="0.25">
      <c r="A3469">
        <v>1540036859</v>
      </c>
      <c r="B3469" t="s">
        <v>6848</v>
      </c>
      <c r="C3469" t="s">
        <v>19</v>
      </c>
      <c r="D3469" t="s">
        <v>20</v>
      </c>
      <c r="E3469" t="s">
        <v>21</v>
      </c>
      <c r="F3469" t="s">
        <v>22</v>
      </c>
      <c r="G3469" t="s">
        <v>64</v>
      </c>
      <c r="H3469" t="s">
        <v>44</v>
      </c>
      <c r="I3469" t="s">
        <v>6849</v>
      </c>
      <c r="J3469">
        <v>10.070145999999999</v>
      </c>
      <c r="K3469">
        <v>-84.440714999999997</v>
      </c>
      <c r="L3469" t="s">
        <v>1225</v>
      </c>
      <c r="M3469" t="s">
        <v>46</v>
      </c>
      <c r="N3469" t="s">
        <v>47</v>
      </c>
      <c r="O3469" t="s">
        <v>48</v>
      </c>
      <c r="P3469">
        <v>8</v>
      </c>
      <c r="Q3469" t="s">
        <v>97</v>
      </c>
      <c r="S3469" t="str">
        <f>_xlfn.XLOOKUP(UNIVERSO[[#This Row],[Ruta]],'[1]CUOTA RUTA'!A:A,'[1]CUOTA RUTA'!D:D)</f>
        <v>Cargar</v>
      </c>
    </row>
    <row r="3470" spans="1:19" x14ac:dyDescent="0.25">
      <c r="A3470">
        <v>1540036903</v>
      </c>
      <c r="B3470" t="s">
        <v>6850</v>
      </c>
      <c r="C3470" t="s">
        <v>19</v>
      </c>
      <c r="D3470" t="s">
        <v>20</v>
      </c>
      <c r="E3470" t="s">
        <v>21</v>
      </c>
      <c r="F3470" t="s">
        <v>22</v>
      </c>
      <c r="G3470" t="s">
        <v>64</v>
      </c>
      <c r="H3470" t="s">
        <v>311</v>
      </c>
      <c r="I3470" t="s">
        <v>6851</v>
      </c>
      <c r="J3470">
        <v>9.9738489999999995</v>
      </c>
      <c r="K3470">
        <v>-84.210296999999997</v>
      </c>
      <c r="L3470" t="s">
        <v>1225</v>
      </c>
      <c r="M3470" t="s">
        <v>54</v>
      </c>
      <c r="N3470" t="s">
        <v>55</v>
      </c>
      <c r="O3470" t="s">
        <v>56</v>
      </c>
      <c r="P3470">
        <v>19</v>
      </c>
      <c r="Q3470" t="s">
        <v>67</v>
      </c>
      <c r="S3470" t="str">
        <f>_xlfn.XLOOKUP(UNIVERSO[[#This Row],[Ruta]],'[1]CUOTA RUTA'!A:A,'[1]CUOTA RUTA'!D:D)</f>
        <v>Cargar</v>
      </c>
    </row>
    <row r="3471" spans="1:19" x14ac:dyDescent="0.25">
      <c r="A3471">
        <v>1540036989</v>
      </c>
      <c r="B3471" t="s">
        <v>6852</v>
      </c>
      <c r="C3471" t="s">
        <v>19</v>
      </c>
      <c r="D3471" t="s">
        <v>324</v>
      </c>
      <c r="E3471" t="s">
        <v>21</v>
      </c>
      <c r="F3471" t="s">
        <v>51</v>
      </c>
      <c r="G3471" t="s">
        <v>23</v>
      </c>
      <c r="H3471" t="s">
        <v>396</v>
      </c>
      <c r="I3471" t="s">
        <v>6853</v>
      </c>
      <c r="J3471">
        <v>10.454696999999999</v>
      </c>
      <c r="K3471">
        <v>-84.559720400000003</v>
      </c>
      <c r="L3471" t="s">
        <v>1225</v>
      </c>
      <c r="M3471" t="s">
        <v>327</v>
      </c>
      <c r="N3471" t="s">
        <v>328</v>
      </c>
      <c r="O3471" t="s">
        <v>329</v>
      </c>
      <c r="P3471">
        <v>12</v>
      </c>
      <c r="Q3471" t="s">
        <v>42</v>
      </c>
      <c r="S3471" t="str">
        <f>_xlfn.XLOOKUP(UNIVERSO[[#This Row],[Ruta]],'[1]CUOTA RUTA'!A:A,'[1]CUOTA RUTA'!D:D)</f>
        <v>Cargar</v>
      </c>
    </row>
    <row r="3472" spans="1:19" x14ac:dyDescent="0.25">
      <c r="A3472">
        <v>1540036994</v>
      </c>
      <c r="B3472" t="s">
        <v>6854</v>
      </c>
      <c r="C3472" t="s">
        <v>19</v>
      </c>
      <c r="D3472" t="s">
        <v>208</v>
      </c>
      <c r="E3472" t="s">
        <v>21</v>
      </c>
      <c r="F3472" t="s">
        <v>22</v>
      </c>
      <c r="G3472" t="s">
        <v>64</v>
      </c>
      <c r="H3472" t="s">
        <v>631</v>
      </c>
      <c r="I3472" t="s">
        <v>6855</v>
      </c>
      <c r="J3472">
        <v>10.2561</v>
      </c>
      <c r="K3472">
        <v>-83.718000000000004</v>
      </c>
      <c r="L3472" t="s">
        <v>1225</v>
      </c>
      <c r="M3472" t="s">
        <v>189</v>
      </c>
      <c r="N3472" t="s">
        <v>211</v>
      </c>
      <c r="O3472" t="s">
        <v>212</v>
      </c>
      <c r="P3472">
        <v>7</v>
      </c>
      <c r="Q3472" t="s">
        <v>39</v>
      </c>
      <c r="S3472" t="str">
        <f>_xlfn.XLOOKUP(UNIVERSO[[#This Row],[Ruta]],'[1]CUOTA RUTA'!A:A,'[1]CUOTA RUTA'!D:D)</f>
        <v>Cargar</v>
      </c>
    </row>
    <row r="3473" spans="1:19" x14ac:dyDescent="0.25">
      <c r="A3473">
        <v>1540037037</v>
      </c>
      <c r="B3473" t="s">
        <v>6856</v>
      </c>
      <c r="C3473" t="s">
        <v>19</v>
      </c>
      <c r="D3473" t="s">
        <v>20</v>
      </c>
      <c r="E3473" t="s">
        <v>21</v>
      </c>
      <c r="F3473" t="s">
        <v>22</v>
      </c>
      <c r="G3473" t="s">
        <v>33</v>
      </c>
      <c r="H3473" t="s">
        <v>901</v>
      </c>
      <c r="I3473" t="s">
        <v>6857</v>
      </c>
      <c r="J3473">
        <v>10.035690089999999</v>
      </c>
      <c r="K3473">
        <v>-84.449383429999997</v>
      </c>
      <c r="L3473" t="s">
        <v>1225</v>
      </c>
      <c r="M3473" t="s">
        <v>46</v>
      </c>
      <c r="N3473" t="s">
        <v>47</v>
      </c>
      <c r="O3473" t="s">
        <v>48</v>
      </c>
      <c r="P3473">
        <v>7</v>
      </c>
      <c r="Q3473" t="s">
        <v>39</v>
      </c>
      <c r="S3473" t="str">
        <f>_xlfn.XLOOKUP(UNIVERSO[[#This Row],[Ruta]],'[1]CUOTA RUTA'!A:A,'[1]CUOTA RUTA'!D:D)</f>
        <v>Cargar</v>
      </c>
    </row>
    <row r="3474" spans="1:19" x14ac:dyDescent="0.25">
      <c r="A3474">
        <v>1540037064</v>
      </c>
      <c r="B3474" t="s">
        <v>6858</v>
      </c>
      <c r="C3474" t="s">
        <v>19</v>
      </c>
      <c r="D3474" t="s">
        <v>208</v>
      </c>
      <c r="E3474" t="s">
        <v>21</v>
      </c>
      <c r="F3474" t="s">
        <v>22</v>
      </c>
      <c r="G3474" t="s">
        <v>33</v>
      </c>
      <c r="H3474" t="s">
        <v>221</v>
      </c>
      <c r="I3474" t="s">
        <v>6859</v>
      </c>
      <c r="J3474">
        <v>10.093540000000001</v>
      </c>
      <c r="K3474">
        <v>-83.538399999999996</v>
      </c>
      <c r="L3474" t="s">
        <v>1225</v>
      </c>
      <c r="M3474" t="s">
        <v>189</v>
      </c>
      <c r="N3474" t="s">
        <v>211</v>
      </c>
      <c r="O3474" t="s">
        <v>212</v>
      </c>
      <c r="P3474">
        <v>9</v>
      </c>
      <c r="Q3474" t="s">
        <v>80</v>
      </c>
      <c r="S3474" t="str">
        <f>_xlfn.XLOOKUP(UNIVERSO[[#This Row],[Ruta]],'[1]CUOTA RUTA'!A:A,'[1]CUOTA RUTA'!D:D)</f>
        <v>Cargar</v>
      </c>
    </row>
    <row r="3475" spans="1:19" x14ac:dyDescent="0.25">
      <c r="A3475">
        <v>1540037070</v>
      </c>
      <c r="B3475" t="s">
        <v>6860</v>
      </c>
      <c r="C3475" t="s">
        <v>19</v>
      </c>
      <c r="D3475" t="s">
        <v>324</v>
      </c>
      <c r="E3475" t="s">
        <v>21</v>
      </c>
      <c r="F3475" t="s">
        <v>22</v>
      </c>
      <c r="G3475" t="s">
        <v>64</v>
      </c>
      <c r="H3475" t="s">
        <v>325</v>
      </c>
      <c r="I3475" t="s">
        <v>6861</v>
      </c>
      <c r="J3475">
        <v>10.36811</v>
      </c>
      <c r="K3475">
        <v>-84.582479000000006</v>
      </c>
      <c r="L3475" t="s">
        <v>1225</v>
      </c>
      <c r="M3475" t="s">
        <v>327</v>
      </c>
      <c r="N3475" t="s">
        <v>328</v>
      </c>
      <c r="O3475" t="s">
        <v>329</v>
      </c>
      <c r="P3475">
        <v>13</v>
      </c>
      <c r="Q3475" t="s">
        <v>161</v>
      </c>
      <c r="S3475" t="str">
        <f>_xlfn.XLOOKUP(UNIVERSO[[#This Row],[Ruta]],'[1]CUOTA RUTA'!A:A,'[1]CUOTA RUTA'!D:D)</f>
        <v>Cargar</v>
      </c>
    </row>
    <row r="3476" spans="1:19" x14ac:dyDescent="0.25">
      <c r="A3476">
        <v>1540037185</v>
      </c>
      <c r="B3476" t="s">
        <v>6862</v>
      </c>
      <c r="C3476" t="s">
        <v>19</v>
      </c>
      <c r="D3476" t="s">
        <v>201</v>
      </c>
      <c r="E3476" t="s">
        <v>21</v>
      </c>
      <c r="F3476" t="s">
        <v>22</v>
      </c>
      <c r="G3476" t="s">
        <v>64</v>
      </c>
      <c r="H3476" t="s">
        <v>334</v>
      </c>
      <c r="I3476" t="s">
        <v>6863</v>
      </c>
      <c r="J3476">
        <v>10.0237222</v>
      </c>
      <c r="K3476">
        <v>-84.583428100000006</v>
      </c>
      <c r="L3476" t="s">
        <v>1225</v>
      </c>
      <c r="M3476" t="s">
        <v>204</v>
      </c>
      <c r="N3476" t="s">
        <v>205</v>
      </c>
      <c r="O3476" t="s">
        <v>206</v>
      </c>
      <c r="P3476">
        <v>14</v>
      </c>
      <c r="Q3476" t="s">
        <v>181</v>
      </c>
      <c r="S3476" t="str">
        <f>_xlfn.XLOOKUP(UNIVERSO[[#This Row],[Ruta]],'[1]CUOTA RUTA'!A:A,'[1]CUOTA RUTA'!D:D)</f>
        <v>Cargar</v>
      </c>
    </row>
    <row r="3477" spans="1:19" x14ac:dyDescent="0.25">
      <c r="A3477">
        <v>1540037206</v>
      </c>
      <c r="B3477" t="s">
        <v>6864</v>
      </c>
      <c r="C3477" t="s">
        <v>19</v>
      </c>
      <c r="D3477" t="s">
        <v>208</v>
      </c>
      <c r="E3477" t="s">
        <v>21</v>
      </c>
      <c r="F3477" t="s">
        <v>22</v>
      </c>
      <c r="G3477" t="s">
        <v>64</v>
      </c>
      <c r="H3477" t="s">
        <v>502</v>
      </c>
      <c r="I3477" t="s">
        <v>6865</v>
      </c>
      <c r="J3477">
        <v>10.3094038</v>
      </c>
      <c r="K3477">
        <v>-83.809450400000003</v>
      </c>
      <c r="L3477" t="s">
        <v>1225</v>
      </c>
      <c r="M3477" t="s">
        <v>189</v>
      </c>
      <c r="N3477" t="s">
        <v>211</v>
      </c>
      <c r="O3477" t="s">
        <v>212</v>
      </c>
      <c r="P3477">
        <v>2</v>
      </c>
      <c r="Q3477" t="s">
        <v>150</v>
      </c>
      <c r="S3477" t="str">
        <f>_xlfn.XLOOKUP(UNIVERSO[[#This Row],[Ruta]],'[1]CUOTA RUTA'!A:A,'[1]CUOTA RUTA'!D:D)</f>
        <v>Cargar</v>
      </c>
    </row>
    <row r="3478" spans="1:19" x14ac:dyDescent="0.25">
      <c r="A3478">
        <v>1540037218</v>
      </c>
      <c r="B3478" t="s">
        <v>6866</v>
      </c>
      <c r="C3478" t="s">
        <v>19</v>
      </c>
      <c r="D3478" t="s">
        <v>32</v>
      </c>
      <c r="E3478" t="s">
        <v>21</v>
      </c>
      <c r="F3478" t="s">
        <v>51</v>
      </c>
      <c r="G3478" t="s">
        <v>23</v>
      </c>
      <c r="H3478" t="s">
        <v>86</v>
      </c>
      <c r="I3478" t="s">
        <v>6867</v>
      </c>
      <c r="J3478">
        <v>9.9217566666669992</v>
      </c>
      <c r="K3478">
        <v>-84.084598333330007</v>
      </c>
      <c r="L3478" t="s">
        <v>1225</v>
      </c>
      <c r="M3478" t="s">
        <v>71</v>
      </c>
      <c r="N3478" t="s">
        <v>72</v>
      </c>
      <c r="O3478" t="s">
        <v>73</v>
      </c>
      <c r="P3478">
        <v>4</v>
      </c>
      <c r="Q3478" t="s">
        <v>120</v>
      </c>
      <c r="S3478" t="str">
        <f>_xlfn.XLOOKUP(UNIVERSO[[#This Row],[Ruta]],'[1]CUOTA RUTA'!A:A,'[1]CUOTA RUTA'!D:D)</f>
        <v>Cargar</v>
      </c>
    </row>
    <row r="3479" spans="1:19" x14ac:dyDescent="0.25">
      <c r="A3479">
        <v>1540037224</v>
      </c>
      <c r="B3479" t="s">
        <v>6868</v>
      </c>
      <c r="C3479" t="s">
        <v>19</v>
      </c>
      <c r="D3479" t="s">
        <v>201</v>
      </c>
      <c r="E3479" t="s">
        <v>21</v>
      </c>
      <c r="F3479" t="s">
        <v>22</v>
      </c>
      <c r="G3479" t="s">
        <v>64</v>
      </c>
      <c r="H3479" t="s">
        <v>794</v>
      </c>
      <c r="I3479" t="s">
        <v>6869</v>
      </c>
      <c r="J3479">
        <v>9.6154714000000006</v>
      </c>
      <c r="K3479">
        <v>-84.629005500000005</v>
      </c>
      <c r="L3479" t="s">
        <v>1225</v>
      </c>
      <c r="M3479" t="s">
        <v>204</v>
      </c>
      <c r="N3479" t="s">
        <v>205</v>
      </c>
      <c r="O3479" t="s">
        <v>206</v>
      </c>
      <c r="P3479">
        <v>5</v>
      </c>
      <c r="Q3479" t="s">
        <v>117</v>
      </c>
      <c r="S3479" t="str">
        <f>_xlfn.XLOOKUP(UNIVERSO[[#This Row],[Ruta]],'[1]CUOTA RUTA'!A:A,'[1]CUOTA RUTA'!D:D)</f>
        <v>Cargar</v>
      </c>
    </row>
    <row r="3480" spans="1:19" x14ac:dyDescent="0.25">
      <c r="A3480">
        <v>1540037268</v>
      </c>
      <c r="B3480" t="s">
        <v>6870</v>
      </c>
      <c r="C3480" t="s">
        <v>19</v>
      </c>
      <c r="D3480" t="s">
        <v>20</v>
      </c>
      <c r="E3480" t="s">
        <v>21</v>
      </c>
      <c r="F3480" t="s">
        <v>22</v>
      </c>
      <c r="G3480" t="s">
        <v>33</v>
      </c>
      <c r="H3480" t="s">
        <v>52</v>
      </c>
      <c r="I3480" t="s">
        <v>6871</v>
      </c>
      <c r="J3480">
        <v>9.9299739000000002</v>
      </c>
      <c r="K3480">
        <v>-84.132875499999997</v>
      </c>
      <c r="L3480" t="s">
        <v>1225</v>
      </c>
      <c r="M3480" t="s">
        <v>54</v>
      </c>
      <c r="N3480" t="s">
        <v>55</v>
      </c>
      <c r="O3480" t="s">
        <v>56</v>
      </c>
      <c r="P3480">
        <v>13</v>
      </c>
      <c r="Q3480" t="s">
        <v>161</v>
      </c>
      <c r="S3480" t="str">
        <f>_xlfn.XLOOKUP(UNIVERSO[[#This Row],[Ruta]],'[1]CUOTA RUTA'!A:A,'[1]CUOTA RUTA'!D:D)</f>
        <v>Cargar</v>
      </c>
    </row>
    <row r="3481" spans="1:19" x14ac:dyDescent="0.25">
      <c r="A3481">
        <v>1540037272</v>
      </c>
      <c r="B3481" t="s">
        <v>6872</v>
      </c>
      <c r="C3481" t="s">
        <v>19</v>
      </c>
      <c r="D3481" t="s">
        <v>20</v>
      </c>
      <c r="E3481" t="s">
        <v>21</v>
      </c>
      <c r="F3481" t="s">
        <v>22</v>
      </c>
      <c r="G3481" t="s">
        <v>33</v>
      </c>
      <c r="H3481" t="s">
        <v>52</v>
      </c>
      <c r="I3481" t="s">
        <v>6873</v>
      </c>
      <c r="J3481">
        <v>9.9053448999999993</v>
      </c>
      <c r="K3481">
        <v>-84.127298100000004</v>
      </c>
      <c r="L3481" t="s">
        <v>1225</v>
      </c>
      <c r="M3481" t="s">
        <v>54</v>
      </c>
      <c r="N3481" t="s">
        <v>55</v>
      </c>
      <c r="O3481" t="s">
        <v>56</v>
      </c>
      <c r="P3481">
        <v>13</v>
      </c>
      <c r="Q3481" t="s">
        <v>161</v>
      </c>
      <c r="S3481" t="str">
        <f>_xlfn.XLOOKUP(UNIVERSO[[#This Row],[Ruta]],'[1]CUOTA RUTA'!A:A,'[1]CUOTA RUTA'!D:D)</f>
        <v>Cargar</v>
      </c>
    </row>
    <row r="3482" spans="1:19" x14ac:dyDescent="0.25">
      <c r="A3482">
        <v>1540037291</v>
      </c>
      <c r="B3482" t="s">
        <v>6874</v>
      </c>
      <c r="C3482" t="s">
        <v>19</v>
      </c>
      <c r="D3482" t="s">
        <v>208</v>
      </c>
      <c r="E3482" t="s">
        <v>21</v>
      </c>
      <c r="F3482" t="s">
        <v>22</v>
      </c>
      <c r="G3482" t="s">
        <v>23</v>
      </c>
      <c r="H3482" t="s">
        <v>719</v>
      </c>
      <c r="I3482" t="s">
        <v>6875</v>
      </c>
      <c r="J3482">
        <v>10.107063999999999</v>
      </c>
      <c r="K3482">
        <v>-83.501373999999998</v>
      </c>
      <c r="L3482" t="s">
        <v>1225</v>
      </c>
      <c r="M3482" t="s">
        <v>189</v>
      </c>
      <c r="N3482" t="s">
        <v>211</v>
      </c>
      <c r="O3482" t="s">
        <v>212</v>
      </c>
      <c r="P3482">
        <v>8</v>
      </c>
      <c r="Q3482" t="s">
        <v>97</v>
      </c>
      <c r="S3482" t="str">
        <f>_xlfn.XLOOKUP(UNIVERSO[[#This Row],[Ruta]],'[1]CUOTA RUTA'!A:A,'[1]CUOTA RUTA'!D:D)</f>
        <v>Cargar</v>
      </c>
    </row>
    <row r="3483" spans="1:19" x14ac:dyDescent="0.25">
      <c r="A3483">
        <v>1540037305</v>
      </c>
      <c r="B3483" t="s">
        <v>6876</v>
      </c>
      <c r="C3483" t="s">
        <v>19</v>
      </c>
      <c r="D3483" t="s">
        <v>244</v>
      </c>
      <c r="E3483" t="s">
        <v>21</v>
      </c>
      <c r="F3483" t="s">
        <v>22</v>
      </c>
      <c r="G3483" t="s">
        <v>64</v>
      </c>
      <c r="H3483" t="s">
        <v>436</v>
      </c>
      <c r="I3483" t="s">
        <v>6877</v>
      </c>
      <c r="J3483">
        <v>9.4735399999999998</v>
      </c>
      <c r="K3483">
        <v>-84.069019999999995</v>
      </c>
      <c r="L3483" t="s">
        <v>1225</v>
      </c>
      <c r="M3483" t="s">
        <v>46</v>
      </c>
      <c r="N3483" t="s">
        <v>247</v>
      </c>
      <c r="O3483" t="s">
        <v>248</v>
      </c>
      <c r="P3483">
        <v>20</v>
      </c>
      <c r="Q3483" t="s">
        <v>74</v>
      </c>
      <c r="S3483" t="str">
        <f>_xlfn.XLOOKUP(UNIVERSO[[#This Row],[Ruta]],'[1]CUOTA RUTA'!A:A,'[1]CUOTA RUTA'!D:D)</f>
        <v>Cargar</v>
      </c>
    </row>
    <row r="3484" spans="1:19" x14ac:dyDescent="0.25">
      <c r="A3484">
        <v>1540037335</v>
      </c>
      <c r="B3484" t="s">
        <v>6878</v>
      </c>
      <c r="C3484" t="s">
        <v>19</v>
      </c>
      <c r="D3484" t="s">
        <v>20</v>
      </c>
      <c r="E3484" t="s">
        <v>21</v>
      </c>
      <c r="F3484" t="s">
        <v>22</v>
      </c>
      <c r="G3484" t="s">
        <v>33</v>
      </c>
      <c r="H3484" t="s">
        <v>743</v>
      </c>
      <c r="I3484" t="s">
        <v>6879</v>
      </c>
      <c r="J3484">
        <v>10.005660000000001</v>
      </c>
      <c r="K3484">
        <v>-84.295850000000002</v>
      </c>
      <c r="L3484" t="s">
        <v>1225</v>
      </c>
      <c r="M3484" t="s">
        <v>46</v>
      </c>
      <c r="N3484" t="s">
        <v>47</v>
      </c>
      <c r="O3484" t="s">
        <v>48</v>
      </c>
      <c r="P3484">
        <v>11</v>
      </c>
      <c r="Q3484" t="s">
        <v>108</v>
      </c>
      <c r="S3484" t="str">
        <f>_xlfn.XLOOKUP(UNIVERSO[[#This Row],[Ruta]],'[1]CUOTA RUTA'!A:A,'[1]CUOTA RUTA'!D:D)</f>
        <v>Cargar</v>
      </c>
    </row>
    <row r="3485" spans="1:19" x14ac:dyDescent="0.25">
      <c r="A3485">
        <v>1540037362</v>
      </c>
      <c r="B3485" t="s">
        <v>6880</v>
      </c>
      <c r="C3485" t="s">
        <v>19</v>
      </c>
      <c r="D3485" t="s">
        <v>201</v>
      </c>
      <c r="E3485" t="s">
        <v>21</v>
      </c>
      <c r="F3485" t="s">
        <v>22</v>
      </c>
      <c r="G3485" t="s">
        <v>64</v>
      </c>
      <c r="H3485" t="s">
        <v>785</v>
      </c>
      <c r="I3485" t="s">
        <v>6881</v>
      </c>
      <c r="J3485">
        <v>10.110553899999999</v>
      </c>
      <c r="K3485">
        <v>-84.889498599999996</v>
      </c>
      <c r="L3485" t="s">
        <v>1225</v>
      </c>
      <c r="M3485" t="s">
        <v>204</v>
      </c>
      <c r="N3485" t="s">
        <v>205</v>
      </c>
      <c r="O3485" t="s">
        <v>206</v>
      </c>
      <c r="P3485">
        <v>12</v>
      </c>
      <c r="Q3485" t="s">
        <v>42</v>
      </c>
      <c r="S3485" t="str">
        <f>_xlfn.XLOOKUP(UNIVERSO[[#This Row],[Ruta]],'[1]CUOTA RUTA'!A:A,'[1]CUOTA RUTA'!D:D)</f>
        <v>Cargar</v>
      </c>
    </row>
    <row r="3486" spans="1:19" x14ac:dyDescent="0.25">
      <c r="A3486">
        <v>1540037392</v>
      </c>
      <c r="B3486" t="s">
        <v>6882</v>
      </c>
      <c r="C3486" t="s">
        <v>19</v>
      </c>
      <c r="D3486" t="s">
        <v>32</v>
      </c>
      <c r="E3486" t="s">
        <v>21</v>
      </c>
      <c r="F3486" t="s">
        <v>22</v>
      </c>
      <c r="G3486" t="s">
        <v>23</v>
      </c>
      <c r="H3486" t="s">
        <v>134</v>
      </c>
      <c r="I3486" t="s">
        <v>6883</v>
      </c>
      <c r="J3486">
        <v>9.9355516999999995</v>
      </c>
      <c r="K3486">
        <v>-84.086586699999998</v>
      </c>
      <c r="L3486" t="s">
        <v>1225</v>
      </c>
      <c r="M3486" t="s">
        <v>94</v>
      </c>
      <c r="N3486" t="s">
        <v>95</v>
      </c>
      <c r="O3486" t="s">
        <v>96</v>
      </c>
      <c r="P3486">
        <v>11</v>
      </c>
      <c r="Q3486" t="s">
        <v>108</v>
      </c>
      <c r="S3486" t="str">
        <f>_xlfn.XLOOKUP(UNIVERSO[[#This Row],[Ruta]],'[1]CUOTA RUTA'!A:A,'[1]CUOTA RUTA'!D:D)</f>
        <v>Cargar</v>
      </c>
    </row>
    <row r="3487" spans="1:19" x14ac:dyDescent="0.25">
      <c r="A3487">
        <v>1540037412</v>
      </c>
      <c r="B3487" t="s">
        <v>4562</v>
      </c>
      <c r="C3487" t="s">
        <v>19</v>
      </c>
      <c r="D3487" t="s">
        <v>20</v>
      </c>
      <c r="E3487" t="s">
        <v>21</v>
      </c>
      <c r="F3487" t="s">
        <v>22</v>
      </c>
      <c r="G3487" t="s">
        <v>64</v>
      </c>
      <c r="H3487" t="s">
        <v>44</v>
      </c>
      <c r="I3487" t="s">
        <v>6884</v>
      </c>
      <c r="J3487">
        <v>10.056296700000001</v>
      </c>
      <c r="K3487">
        <v>-84.463843299999994</v>
      </c>
      <c r="L3487" t="s">
        <v>1225</v>
      </c>
      <c r="M3487" t="s">
        <v>46</v>
      </c>
      <c r="N3487" t="s">
        <v>47</v>
      </c>
      <c r="O3487" t="s">
        <v>48</v>
      </c>
      <c r="P3487">
        <v>7</v>
      </c>
      <c r="Q3487" t="s">
        <v>39</v>
      </c>
      <c r="S3487" t="str">
        <f>_xlfn.XLOOKUP(UNIVERSO[[#This Row],[Ruta]],'[1]CUOTA RUTA'!A:A,'[1]CUOTA RUTA'!D:D)</f>
        <v>Cargar</v>
      </c>
    </row>
    <row r="3488" spans="1:19" x14ac:dyDescent="0.25">
      <c r="A3488">
        <v>1540037413</v>
      </c>
      <c r="B3488" t="s">
        <v>6885</v>
      </c>
      <c r="C3488" t="s">
        <v>19</v>
      </c>
      <c r="D3488" t="s">
        <v>20</v>
      </c>
      <c r="E3488" t="s">
        <v>21</v>
      </c>
      <c r="F3488" t="s">
        <v>22</v>
      </c>
      <c r="G3488" t="s">
        <v>64</v>
      </c>
      <c r="H3488" t="s">
        <v>901</v>
      </c>
      <c r="I3488" t="s">
        <v>6886</v>
      </c>
      <c r="J3488">
        <v>10.052348719999999</v>
      </c>
      <c r="K3488">
        <v>-84.432290570000006</v>
      </c>
      <c r="L3488" t="s">
        <v>1225</v>
      </c>
      <c r="M3488" t="s">
        <v>46</v>
      </c>
      <c r="N3488" t="s">
        <v>47</v>
      </c>
      <c r="O3488" t="s">
        <v>48</v>
      </c>
      <c r="P3488">
        <v>8</v>
      </c>
      <c r="Q3488" t="s">
        <v>97</v>
      </c>
      <c r="S3488" t="str">
        <f>_xlfn.XLOOKUP(UNIVERSO[[#This Row],[Ruta]],'[1]CUOTA RUTA'!A:A,'[1]CUOTA RUTA'!D:D)</f>
        <v>Cargar</v>
      </c>
    </row>
    <row r="3489" spans="1:19" x14ac:dyDescent="0.25">
      <c r="A3489">
        <v>1540037449</v>
      </c>
      <c r="B3489" t="s">
        <v>6887</v>
      </c>
      <c r="C3489" t="s">
        <v>19</v>
      </c>
      <c r="D3489" t="s">
        <v>32</v>
      </c>
      <c r="E3489" t="s">
        <v>21</v>
      </c>
      <c r="F3489" t="s">
        <v>22</v>
      </c>
      <c r="G3489" t="s">
        <v>23</v>
      </c>
      <c r="H3489" t="s">
        <v>183</v>
      </c>
      <c r="I3489" t="s">
        <v>6888</v>
      </c>
      <c r="J3489">
        <v>9.9517070000000007</v>
      </c>
      <c r="K3489">
        <v>-84.067719999999994</v>
      </c>
      <c r="L3489" t="s">
        <v>1225</v>
      </c>
      <c r="M3489" t="s">
        <v>36</v>
      </c>
      <c r="N3489" t="s">
        <v>37</v>
      </c>
      <c r="O3489" t="s">
        <v>38</v>
      </c>
      <c r="P3489">
        <v>4</v>
      </c>
      <c r="Q3489" t="s">
        <v>120</v>
      </c>
      <c r="S3489" t="str">
        <f>_xlfn.XLOOKUP(UNIVERSO[[#This Row],[Ruta]],'[1]CUOTA RUTA'!A:A,'[1]CUOTA RUTA'!D:D)</f>
        <v>Cargar</v>
      </c>
    </row>
    <row r="3490" spans="1:19" x14ac:dyDescent="0.25">
      <c r="A3490">
        <v>1540037492</v>
      </c>
      <c r="B3490" t="s">
        <v>6889</v>
      </c>
      <c r="C3490" t="s">
        <v>19</v>
      </c>
      <c r="D3490" t="s">
        <v>324</v>
      </c>
      <c r="E3490" t="s">
        <v>21</v>
      </c>
      <c r="F3490" t="s">
        <v>22</v>
      </c>
      <c r="G3490" t="s">
        <v>64</v>
      </c>
      <c r="H3490" t="s">
        <v>325</v>
      </c>
      <c r="I3490" t="s">
        <v>6890</v>
      </c>
      <c r="J3490">
        <v>10.3697</v>
      </c>
      <c r="K3490">
        <v>-84.471000000000004</v>
      </c>
      <c r="L3490" t="s">
        <v>1225</v>
      </c>
      <c r="M3490" t="s">
        <v>327</v>
      </c>
      <c r="N3490" t="s">
        <v>328</v>
      </c>
      <c r="O3490" t="s">
        <v>329</v>
      </c>
      <c r="P3490">
        <v>14</v>
      </c>
      <c r="Q3490" t="s">
        <v>181</v>
      </c>
      <c r="S3490" t="str">
        <f>_xlfn.XLOOKUP(UNIVERSO[[#This Row],[Ruta]],'[1]CUOTA RUTA'!A:A,'[1]CUOTA RUTA'!D:D)</f>
        <v>Cargar</v>
      </c>
    </row>
    <row r="3491" spans="1:19" x14ac:dyDescent="0.25">
      <c r="A3491">
        <v>1540037495</v>
      </c>
      <c r="B3491" t="s">
        <v>6891</v>
      </c>
      <c r="C3491" t="s">
        <v>19</v>
      </c>
      <c r="D3491" t="s">
        <v>201</v>
      </c>
      <c r="E3491" t="s">
        <v>21</v>
      </c>
      <c r="F3491" t="s">
        <v>22</v>
      </c>
      <c r="G3491" t="s">
        <v>33</v>
      </c>
      <c r="H3491" t="s">
        <v>533</v>
      </c>
      <c r="I3491" t="s">
        <v>6892</v>
      </c>
      <c r="J3491">
        <v>9.9367529999999995</v>
      </c>
      <c r="K3491">
        <v>-84.521786000000006</v>
      </c>
      <c r="L3491" t="s">
        <v>1225</v>
      </c>
      <c r="M3491" t="s">
        <v>204</v>
      </c>
      <c r="N3491" t="s">
        <v>205</v>
      </c>
      <c r="O3491" t="s">
        <v>206</v>
      </c>
      <c r="P3491">
        <v>1</v>
      </c>
      <c r="Q3491" t="s">
        <v>155</v>
      </c>
      <c r="S3491" t="str">
        <f>_xlfn.XLOOKUP(UNIVERSO[[#This Row],[Ruta]],'[1]CUOTA RUTA'!A:A,'[1]CUOTA RUTA'!D:D)</f>
        <v>Cargar</v>
      </c>
    </row>
    <row r="3492" spans="1:19" x14ac:dyDescent="0.25">
      <c r="A3492">
        <v>1540037531</v>
      </c>
      <c r="B3492" t="s">
        <v>6893</v>
      </c>
      <c r="C3492" t="s">
        <v>19</v>
      </c>
      <c r="D3492" t="s">
        <v>20</v>
      </c>
      <c r="E3492" t="s">
        <v>21</v>
      </c>
      <c r="F3492" t="s">
        <v>22</v>
      </c>
      <c r="G3492" t="s">
        <v>33</v>
      </c>
      <c r="H3492" t="s">
        <v>638</v>
      </c>
      <c r="I3492" t="s">
        <v>6894</v>
      </c>
      <c r="J3492">
        <v>10.003450000000001</v>
      </c>
      <c r="K3492">
        <v>-84.22063</v>
      </c>
      <c r="L3492" t="s">
        <v>1225</v>
      </c>
      <c r="M3492" t="s">
        <v>54</v>
      </c>
      <c r="N3492" t="s">
        <v>55</v>
      </c>
      <c r="O3492" t="s">
        <v>56</v>
      </c>
      <c r="P3492">
        <v>3</v>
      </c>
      <c r="Q3492" t="s">
        <v>101</v>
      </c>
      <c r="S3492" t="str">
        <f>_xlfn.XLOOKUP(UNIVERSO[[#This Row],[Ruta]],'[1]CUOTA RUTA'!A:A,'[1]CUOTA RUTA'!D:D)</f>
        <v>Cargar</v>
      </c>
    </row>
    <row r="3493" spans="1:19" x14ac:dyDescent="0.25">
      <c r="A3493">
        <v>1540037533</v>
      </c>
      <c r="B3493" t="s">
        <v>3518</v>
      </c>
      <c r="C3493" t="s">
        <v>19</v>
      </c>
      <c r="D3493" t="s">
        <v>20</v>
      </c>
      <c r="E3493" t="s">
        <v>21</v>
      </c>
      <c r="F3493" t="s">
        <v>22</v>
      </c>
      <c r="G3493" t="s">
        <v>33</v>
      </c>
      <c r="H3493" t="s">
        <v>638</v>
      </c>
      <c r="I3493" t="s">
        <v>6895</v>
      </c>
      <c r="J3493">
        <v>10.004189999999999</v>
      </c>
      <c r="K3493">
        <v>-84.213040000000007</v>
      </c>
      <c r="L3493" t="s">
        <v>1225</v>
      </c>
      <c r="M3493" t="s">
        <v>54</v>
      </c>
      <c r="N3493" t="s">
        <v>55</v>
      </c>
      <c r="O3493" t="s">
        <v>56</v>
      </c>
      <c r="P3493">
        <v>3</v>
      </c>
      <c r="Q3493" t="s">
        <v>101</v>
      </c>
      <c r="S3493" t="str">
        <f>_xlfn.XLOOKUP(UNIVERSO[[#This Row],[Ruta]],'[1]CUOTA RUTA'!A:A,'[1]CUOTA RUTA'!D:D)</f>
        <v>Cargar</v>
      </c>
    </row>
    <row r="3494" spans="1:19" x14ac:dyDescent="0.25">
      <c r="A3494">
        <v>1540037603</v>
      </c>
      <c r="B3494" t="s">
        <v>6896</v>
      </c>
      <c r="C3494" t="s">
        <v>19</v>
      </c>
      <c r="D3494" t="s">
        <v>20</v>
      </c>
      <c r="E3494" t="s">
        <v>21</v>
      </c>
      <c r="F3494" t="s">
        <v>22</v>
      </c>
      <c r="G3494" t="s">
        <v>64</v>
      </c>
      <c r="H3494" t="s">
        <v>1143</v>
      </c>
      <c r="I3494" t="s">
        <v>6897</v>
      </c>
      <c r="J3494">
        <v>10.034509999999999</v>
      </c>
      <c r="K3494">
        <v>-84.200720000000004</v>
      </c>
      <c r="L3494" t="s">
        <v>1225</v>
      </c>
      <c r="M3494" t="s">
        <v>54</v>
      </c>
      <c r="N3494" t="s">
        <v>55</v>
      </c>
      <c r="O3494" t="s">
        <v>56</v>
      </c>
      <c r="P3494">
        <v>16</v>
      </c>
      <c r="Q3494" t="s">
        <v>60</v>
      </c>
      <c r="S3494" t="str">
        <f>_xlfn.XLOOKUP(UNIVERSO[[#This Row],[Ruta]],'[1]CUOTA RUTA'!A:A,'[1]CUOTA RUTA'!D:D)</f>
        <v>Cargar</v>
      </c>
    </row>
    <row r="3495" spans="1:19" x14ac:dyDescent="0.25">
      <c r="A3495">
        <v>1540037610</v>
      </c>
      <c r="B3495" t="s">
        <v>5685</v>
      </c>
      <c r="C3495" t="s">
        <v>19</v>
      </c>
      <c r="D3495" t="s">
        <v>324</v>
      </c>
      <c r="E3495" t="s">
        <v>21</v>
      </c>
      <c r="F3495" t="s">
        <v>22</v>
      </c>
      <c r="G3495" t="s">
        <v>64</v>
      </c>
      <c r="H3495" t="s">
        <v>6220</v>
      </c>
      <c r="I3495" t="s">
        <v>6898</v>
      </c>
      <c r="J3495">
        <v>10.988162000000001</v>
      </c>
      <c r="K3495">
        <v>-84.543554</v>
      </c>
      <c r="L3495" t="s">
        <v>1225</v>
      </c>
      <c r="M3495" t="s">
        <v>327</v>
      </c>
      <c r="N3495" t="s">
        <v>328</v>
      </c>
      <c r="O3495" t="s">
        <v>329</v>
      </c>
      <c r="P3495">
        <v>23</v>
      </c>
      <c r="Q3495" t="s">
        <v>125</v>
      </c>
      <c r="S3495" t="str">
        <f>_xlfn.XLOOKUP(UNIVERSO[[#This Row],[Ruta]],'[1]CUOTA RUTA'!A:A,'[1]CUOTA RUTA'!D:D)</f>
        <v>Cargar</v>
      </c>
    </row>
    <row r="3496" spans="1:19" x14ac:dyDescent="0.25">
      <c r="A3496">
        <v>1540037649</v>
      </c>
      <c r="B3496" t="s">
        <v>6899</v>
      </c>
      <c r="C3496" t="s">
        <v>19</v>
      </c>
      <c r="D3496" t="s">
        <v>20</v>
      </c>
      <c r="E3496" t="s">
        <v>21</v>
      </c>
      <c r="F3496" t="s">
        <v>22</v>
      </c>
      <c r="G3496" t="s">
        <v>64</v>
      </c>
      <c r="H3496" t="s">
        <v>975</v>
      </c>
      <c r="I3496" t="s">
        <v>6900</v>
      </c>
      <c r="J3496">
        <v>10.003653</v>
      </c>
      <c r="K3496">
        <v>-84.116872999999998</v>
      </c>
      <c r="L3496" t="s">
        <v>1225</v>
      </c>
      <c r="M3496" t="s">
        <v>27</v>
      </c>
      <c r="N3496" t="s">
        <v>28</v>
      </c>
      <c r="O3496" t="s">
        <v>29</v>
      </c>
      <c r="P3496">
        <v>14</v>
      </c>
      <c r="Q3496" t="s">
        <v>181</v>
      </c>
      <c r="S3496" t="str">
        <f>_xlfn.XLOOKUP(UNIVERSO[[#This Row],[Ruta]],'[1]CUOTA RUTA'!A:A,'[1]CUOTA RUTA'!D:D)</f>
        <v>Cargar</v>
      </c>
    </row>
    <row r="3497" spans="1:19" x14ac:dyDescent="0.25">
      <c r="A3497">
        <v>1540037791</v>
      </c>
      <c r="B3497" t="s">
        <v>6901</v>
      </c>
      <c r="C3497" t="s">
        <v>19</v>
      </c>
      <c r="D3497" t="s">
        <v>20</v>
      </c>
      <c r="E3497" t="s">
        <v>21</v>
      </c>
      <c r="F3497" t="s">
        <v>22</v>
      </c>
      <c r="G3497" t="s">
        <v>33</v>
      </c>
      <c r="H3497" t="s">
        <v>1143</v>
      </c>
      <c r="I3497" t="s">
        <v>6902</v>
      </c>
      <c r="J3497">
        <v>10.019494</v>
      </c>
      <c r="K3497">
        <v>-84.185760999999999</v>
      </c>
      <c r="L3497" t="s">
        <v>1225</v>
      </c>
      <c r="M3497" t="s">
        <v>54</v>
      </c>
      <c r="N3497" t="s">
        <v>55</v>
      </c>
      <c r="O3497" t="s">
        <v>56</v>
      </c>
      <c r="P3497">
        <v>15</v>
      </c>
      <c r="Q3497" t="s">
        <v>231</v>
      </c>
      <c r="S3497" t="str">
        <f>_xlfn.XLOOKUP(UNIVERSO[[#This Row],[Ruta]],'[1]CUOTA RUTA'!A:A,'[1]CUOTA RUTA'!D:D)</f>
        <v>Cargar</v>
      </c>
    </row>
    <row r="3498" spans="1:19" x14ac:dyDescent="0.25">
      <c r="A3498">
        <v>1540037835</v>
      </c>
      <c r="B3498" t="s">
        <v>6903</v>
      </c>
      <c r="C3498" t="s">
        <v>19</v>
      </c>
      <c r="D3498" t="s">
        <v>20</v>
      </c>
      <c r="E3498" t="s">
        <v>21</v>
      </c>
      <c r="F3498" t="s">
        <v>22</v>
      </c>
      <c r="G3498" t="s">
        <v>33</v>
      </c>
      <c r="H3498" t="s">
        <v>263</v>
      </c>
      <c r="I3498" t="s">
        <v>6904</v>
      </c>
      <c r="J3498">
        <v>10.08464</v>
      </c>
      <c r="K3498">
        <v>-84.323700000000002</v>
      </c>
      <c r="L3498" t="s">
        <v>1225</v>
      </c>
      <c r="M3498" t="s">
        <v>46</v>
      </c>
      <c r="N3498" t="s">
        <v>47</v>
      </c>
      <c r="O3498" t="s">
        <v>48</v>
      </c>
      <c r="P3498">
        <v>4</v>
      </c>
      <c r="Q3498" t="s">
        <v>120</v>
      </c>
      <c r="S3498" t="str">
        <f>_xlfn.XLOOKUP(UNIVERSO[[#This Row],[Ruta]],'[1]CUOTA RUTA'!A:A,'[1]CUOTA RUTA'!D:D)</f>
        <v>Cargar</v>
      </c>
    </row>
    <row r="3499" spans="1:19" x14ac:dyDescent="0.25">
      <c r="A3499">
        <v>1540037936</v>
      </c>
      <c r="B3499" t="s">
        <v>6905</v>
      </c>
      <c r="C3499" t="s">
        <v>19</v>
      </c>
      <c r="D3499" t="s">
        <v>20</v>
      </c>
      <c r="E3499" t="s">
        <v>21</v>
      </c>
      <c r="F3499" t="s">
        <v>22</v>
      </c>
      <c r="G3499" t="s">
        <v>64</v>
      </c>
      <c r="H3499" t="s">
        <v>638</v>
      </c>
      <c r="I3499" t="s">
        <v>6906</v>
      </c>
      <c r="J3499">
        <v>10.015200200000001</v>
      </c>
      <c r="K3499">
        <v>-84.217563200000001</v>
      </c>
      <c r="L3499" t="s">
        <v>1225</v>
      </c>
      <c r="M3499" t="s">
        <v>54</v>
      </c>
      <c r="N3499" t="s">
        <v>55</v>
      </c>
      <c r="O3499" t="s">
        <v>56</v>
      </c>
      <c r="P3499">
        <v>1</v>
      </c>
      <c r="Q3499" t="s">
        <v>155</v>
      </c>
      <c r="S3499" t="str">
        <f>_xlfn.XLOOKUP(UNIVERSO[[#This Row],[Ruta]],'[1]CUOTA RUTA'!A:A,'[1]CUOTA RUTA'!D:D)</f>
        <v>Cargar</v>
      </c>
    </row>
    <row r="3500" spans="1:19" x14ac:dyDescent="0.25">
      <c r="A3500">
        <v>1540037962</v>
      </c>
      <c r="B3500" t="s">
        <v>6907</v>
      </c>
      <c r="C3500" t="s">
        <v>19</v>
      </c>
      <c r="D3500" t="s">
        <v>20</v>
      </c>
      <c r="E3500" t="s">
        <v>21</v>
      </c>
      <c r="F3500" t="s">
        <v>22</v>
      </c>
      <c r="G3500" t="s">
        <v>33</v>
      </c>
      <c r="H3500" t="s">
        <v>369</v>
      </c>
      <c r="I3500" t="s">
        <v>6908</v>
      </c>
      <c r="J3500">
        <v>10.02032365</v>
      </c>
      <c r="K3500">
        <v>-84.125122059999995</v>
      </c>
      <c r="L3500" t="s">
        <v>1225</v>
      </c>
      <c r="M3500" t="s">
        <v>27</v>
      </c>
      <c r="N3500" t="s">
        <v>28</v>
      </c>
      <c r="O3500" t="s">
        <v>29</v>
      </c>
      <c r="P3500">
        <v>15</v>
      </c>
      <c r="Q3500" t="s">
        <v>231</v>
      </c>
      <c r="S3500" t="str">
        <f>_xlfn.XLOOKUP(UNIVERSO[[#This Row],[Ruta]],'[1]CUOTA RUTA'!A:A,'[1]CUOTA RUTA'!D:D)</f>
        <v>Cargar</v>
      </c>
    </row>
    <row r="3501" spans="1:19" x14ac:dyDescent="0.25">
      <c r="A3501">
        <v>1540038136</v>
      </c>
      <c r="B3501" t="s">
        <v>3352</v>
      </c>
      <c r="C3501" t="s">
        <v>19</v>
      </c>
      <c r="D3501" t="s">
        <v>20</v>
      </c>
      <c r="E3501" t="s">
        <v>21</v>
      </c>
      <c r="F3501" t="s">
        <v>22</v>
      </c>
      <c r="G3501" t="s">
        <v>64</v>
      </c>
      <c r="H3501" t="s">
        <v>743</v>
      </c>
      <c r="I3501" t="s">
        <v>6909</v>
      </c>
      <c r="J3501">
        <v>9.9872800000000002</v>
      </c>
      <c r="K3501">
        <v>-84.399950000000004</v>
      </c>
      <c r="L3501" t="s">
        <v>1225</v>
      </c>
      <c r="M3501" t="s">
        <v>46</v>
      </c>
      <c r="N3501" t="s">
        <v>47</v>
      </c>
      <c r="O3501" t="s">
        <v>48</v>
      </c>
      <c r="P3501">
        <v>9</v>
      </c>
      <c r="Q3501" t="s">
        <v>80</v>
      </c>
      <c r="S3501" t="str">
        <f>_xlfn.XLOOKUP(UNIVERSO[[#This Row],[Ruta]],'[1]CUOTA RUTA'!A:A,'[1]CUOTA RUTA'!D:D)</f>
        <v>Cargar</v>
      </c>
    </row>
    <row r="3502" spans="1:19" x14ac:dyDescent="0.25">
      <c r="A3502">
        <v>1540038206</v>
      </c>
      <c r="B3502" t="s">
        <v>6910</v>
      </c>
      <c r="C3502" t="s">
        <v>19</v>
      </c>
      <c r="D3502" t="s">
        <v>349</v>
      </c>
      <c r="E3502" t="s">
        <v>21</v>
      </c>
      <c r="F3502" t="s">
        <v>22</v>
      </c>
      <c r="G3502" t="s">
        <v>64</v>
      </c>
      <c r="H3502" t="s">
        <v>356</v>
      </c>
      <c r="I3502" t="s">
        <v>4908</v>
      </c>
      <c r="J3502">
        <v>10.260300000000001</v>
      </c>
      <c r="K3502">
        <v>-85.587000000000003</v>
      </c>
      <c r="L3502" t="s">
        <v>1225</v>
      </c>
      <c r="M3502" t="s">
        <v>352</v>
      </c>
      <c r="N3502" t="s">
        <v>353</v>
      </c>
      <c r="O3502" t="s">
        <v>354</v>
      </c>
      <c r="P3502">
        <v>1</v>
      </c>
      <c r="Q3502" t="s">
        <v>155</v>
      </c>
      <c r="S3502" t="str">
        <f>_xlfn.XLOOKUP(UNIVERSO[[#This Row],[Ruta]],'[1]CUOTA RUTA'!A:A,'[1]CUOTA RUTA'!D:D)</f>
        <v>Cargar</v>
      </c>
    </row>
    <row r="3503" spans="1:19" x14ac:dyDescent="0.25">
      <c r="A3503">
        <v>1540038219</v>
      </c>
      <c r="B3503" t="s">
        <v>6911</v>
      </c>
      <c r="C3503" t="s">
        <v>19</v>
      </c>
      <c r="D3503" t="s">
        <v>266</v>
      </c>
      <c r="E3503" t="s">
        <v>21</v>
      </c>
      <c r="F3503" t="s">
        <v>22</v>
      </c>
      <c r="G3503" t="s">
        <v>33</v>
      </c>
      <c r="H3503" t="s">
        <v>267</v>
      </c>
      <c r="I3503" t="s">
        <v>6912</v>
      </c>
      <c r="J3503">
        <v>9.9033899999999999</v>
      </c>
      <c r="K3503">
        <v>-83.683199999999999</v>
      </c>
      <c r="L3503" t="s">
        <v>1225</v>
      </c>
      <c r="M3503" t="s">
        <v>189</v>
      </c>
      <c r="N3503" t="s">
        <v>269</v>
      </c>
      <c r="O3503" t="s">
        <v>270</v>
      </c>
      <c r="P3503">
        <v>21</v>
      </c>
      <c r="Q3503" t="s">
        <v>239</v>
      </c>
      <c r="S3503" t="str">
        <f>_xlfn.XLOOKUP(UNIVERSO[[#This Row],[Ruta]],'[1]CUOTA RUTA'!A:A,'[1]CUOTA RUTA'!D:D)</f>
        <v>Cargar</v>
      </c>
    </row>
    <row r="3504" spans="1:19" x14ac:dyDescent="0.25">
      <c r="A3504">
        <v>1540038223</v>
      </c>
      <c r="B3504" t="s">
        <v>6913</v>
      </c>
      <c r="C3504" t="s">
        <v>19</v>
      </c>
      <c r="D3504" t="s">
        <v>32</v>
      </c>
      <c r="E3504" t="s">
        <v>21</v>
      </c>
      <c r="F3504" t="s">
        <v>22</v>
      </c>
      <c r="G3504" t="s">
        <v>64</v>
      </c>
      <c r="H3504" t="s">
        <v>148</v>
      </c>
      <c r="I3504" t="s">
        <v>6914</v>
      </c>
      <c r="J3504">
        <v>9.9706100000000006</v>
      </c>
      <c r="K3504">
        <v>-84.030496999999997</v>
      </c>
      <c r="L3504" t="s">
        <v>1225</v>
      </c>
      <c r="M3504" t="s">
        <v>94</v>
      </c>
      <c r="N3504" t="s">
        <v>95</v>
      </c>
      <c r="O3504" t="s">
        <v>96</v>
      </c>
      <c r="P3504">
        <v>2</v>
      </c>
      <c r="Q3504" t="s">
        <v>150</v>
      </c>
      <c r="S3504" t="str">
        <f>_xlfn.XLOOKUP(UNIVERSO[[#This Row],[Ruta]],'[1]CUOTA RUTA'!A:A,'[1]CUOTA RUTA'!D:D)</f>
        <v>Cargar</v>
      </c>
    </row>
    <row r="3505" spans="1:19" x14ac:dyDescent="0.25">
      <c r="A3505">
        <v>1540038268</v>
      </c>
      <c r="B3505" t="s">
        <v>6915</v>
      </c>
      <c r="C3505" t="s">
        <v>19</v>
      </c>
      <c r="D3505" t="s">
        <v>20</v>
      </c>
      <c r="E3505" t="s">
        <v>62</v>
      </c>
      <c r="F3505" t="s">
        <v>63</v>
      </c>
      <c r="G3505" t="s">
        <v>64</v>
      </c>
      <c r="H3505" t="s">
        <v>722</v>
      </c>
      <c r="I3505" t="s">
        <v>6916</v>
      </c>
      <c r="J3505">
        <v>9.9325899999999994</v>
      </c>
      <c r="K3505">
        <v>-84.127139999999997</v>
      </c>
      <c r="L3505" t="s">
        <v>1225</v>
      </c>
      <c r="M3505" t="s">
        <v>27</v>
      </c>
      <c r="N3505" t="s">
        <v>28</v>
      </c>
      <c r="O3505" t="s">
        <v>29</v>
      </c>
      <c r="P3505">
        <v>22</v>
      </c>
      <c r="Q3505" t="s">
        <v>30</v>
      </c>
      <c r="S3505" t="str">
        <f>_xlfn.XLOOKUP(UNIVERSO[[#This Row],[Ruta]],'[1]CUOTA RUTA'!A:A,'[1]CUOTA RUTA'!D:D)</f>
        <v>Cargar</v>
      </c>
    </row>
    <row r="3506" spans="1:19" x14ac:dyDescent="0.25">
      <c r="A3506">
        <v>1540038544</v>
      </c>
      <c r="B3506" t="s">
        <v>6917</v>
      </c>
      <c r="C3506" t="s">
        <v>19</v>
      </c>
      <c r="D3506" t="s">
        <v>20</v>
      </c>
      <c r="E3506" t="s">
        <v>21</v>
      </c>
      <c r="F3506" t="s">
        <v>22</v>
      </c>
      <c r="G3506" t="s">
        <v>64</v>
      </c>
      <c r="H3506" t="s">
        <v>263</v>
      </c>
      <c r="I3506" t="s">
        <v>6918</v>
      </c>
      <c r="J3506">
        <v>10.1196</v>
      </c>
      <c r="K3506">
        <v>-84.3279</v>
      </c>
      <c r="L3506" t="s">
        <v>1225</v>
      </c>
      <c r="M3506" t="s">
        <v>46</v>
      </c>
      <c r="N3506" t="s">
        <v>47</v>
      </c>
      <c r="O3506" t="s">
        <v>48</v>
      </c>
      <c r="P3506">
        <v>4</v>
      </c>
      <c r="Q3506" t="s">
        <v>120</v>
      </c>
      <c r="S3506" t="str">
        <f>_xlfn.XLOOKUP(UNIVERSO[[#This Row],[Ruta]],'[1]CUOTA RUTA'!A:A,'[1]CUOTA RUTA'!D:D)</f>
        <v>Cargar</v>
      </c>
    </row>
    <row r="3507" spans="1:19" x14ac:dyDescent="0.25">
      <c r="A3507">
        <v>1540038581</v>
      </c>
      <c r="B3507" t="s">
        <v>6474</v>
      </c>
      <c r="C3507" t="s">
        <v>19</v>
      </c>
      <c r="D3507" t="s">
        <v>208</v>
      </c>
      <c r="E3507" t="s">
        <v>21</v>
      </c>
      <c r="F3507" t="s">
        <v>22</v>
      </c>
      <c r="G3507" t="s">
        <v>33</v>
      </c>
      <c r="H3507" t="s">
        <v>218</v>
      </c>
      <c r="I3507" t="s">
        <v>6919</v>
      </c>
      <c r="J3507">
        <v>10.245619</v>
      </c>
      <c r="K3507">
        <v>-83.788404</v>
      </c>
      <c r="L3507" t="s">
        <v>1225</v>
      </c>
      <c r="M3507" t="s">
        <v>189</v>
      </c>
      <c r="N3507" t="s">
        <v>211</v>
      </c>
      <c r="O3507" t="s">
        <v>212</v>
      </c>
      <c r="P3507">
        <v>5</v>
      </c>
      <c r="Q3507" t="s">
        <v>117</v>
      </c>
      <c r="S3507" t="str">
        <f>_xlfn.XLOOKUP(UNIVERSO[[#This Row],[Ruta]],'[1]CUOTA RUTA'!A:A,'[1]CUOTA RUTA'!D:D)</f>
        <v>Cargar</v>
      </c>
    </row>
    <row r="3508" spans="1:19" x14ac:dyDescent="0.25">
      <c r="A3508">
        <v>1540038603</v>
      </c>
      <c r="B3508" t="s">
        <v>6920</v>
      </c>
      <c r="C3508" t="s">
        <v>19</v>
      </c>
      <c r="D3508" t="s">
        <v>32</v>
      </c>
      <c r="E3508" t="s">
        <v>21</v>
      </c>
      <c r="F3508" t="s">
        <v>22</v>
      </c>
      <c r="G3508" t="s">
        <v>33</v>
      </c>
      <c r="H3508" t="s">
        <v>159</v>
      </c>
      <c r="I3508" t="s">
        <v>6921</v>
      </c>
      <c r="J3508">
        <v>9.9073139999999995</v>
      </c>
      <c r="K3508">
        <v>-84.106870000000001</v>
      </c>
      <c r="L3508" t="s">
        <v>1225</v>
      </c>
      <c r="M3508" t="s">
        <v>71</v>
      </c>
      <c r="N3508" t="s">
        <v>72</v>
      </c>
      <c r="O3508" t="s">
        <v>73</v>
      </c>
      <c r="P3508">
        <v>12</v>
      </c>
      <c r="Q3508" t="s">
        <v>42</v>
      </c>
      <c r="S3508" t="str">
        <f>_xlfn.XLOOKUP(UNIVERSO[[#This Row],[Ruta]],'[1]CUOTA RUTA'!A:A,'[1]CUOTA RUTA'!D:D)</f>
        <v>Cargar</v>
      </c>
    </row>
    <row r="3509" spans="1:19" x14ac:dyDescent="0.25">
      <c r="A3509">
        <v>1540038604</v>
      </c>
      <c r="B3509" t="s">
        <v>6922</v>
      </c>
      <c r="C3509" t="s">
        <v>19</v>
      </c>
      <c r="D3509" t="s">
        <v>32</v>
      </c>
      <c r="E3509" t="s">
        <v>21</v>
      </c>
      <c r="F3509" t="s">
        <v>22</v>
      </c>
      <c r="G3509" t="s">
        <v>33</v>
      </c>
      <c r="H3509" t="s">
        <v>89</v>
      </c>
      <c r="I3509" t="s">
        <v>6923</v>
      </c>
      <c r="J3509">
        <v>9.8834879999999998</v>
      </c>
      <c r="K3509">
        <v>-84.077093000000005</v>
      </c>
      <c r="L3509" t="s">
        <v>1225</v>
      </c>
      <c r="M3509" t="s">
        <v>71</v>
      </c>
      <c r="N3509" t="s">
        <v>72</v>
      </c>
      <c r="O3509" t="s">
        <v>73</v>
      </c>
      <c r="P3509">
        <v>16</v>
      </c>
      <c r="Q3509" t="s">
        <v>60</v>
      </c>
      <c r="S3509" t="str">
        <f>_xlfn.XLOOKUP(UNIVERSO[[#This Row],[Ruta]],'[1]CUOTA RUTA'!A:A,'[1]CUOTA RUTA'!D:D)</f>
        <v>Cargar</v>
      </c>
    </row>
    <row r="3510" spans="1:19" x14ac:dyDescent="0.25">
      <c r="A3510">
        <v>1540038614</v>
      </c>
      <c r="B3510" t="s">
        <v>6924</v>
      </c>
      <c r="C3510" t="s">
        <v>19</v>
      </c>
      <c r="D3510" t="s">
        <v>32</v>
      </c>
      <c r="E3510" t="s">
        <v>21</v>
      </c>
      <c r="F3510" t="s">
        <v>22</v>
      </c>
      <c r="G3510" t="s">
        <v>33</v>
      </c>
      <c r="H3510" t="s">
        <v>625</v>
      </c>
      <c r="I3510" t="s">
        <v>6925</v>
      </c>
      <c r="J3510">
        <v>9.9724020000000007</v>
      </c>
      <c r="K3510">
        <v>-84.043520000000001</v>
      </c>
      <c r="L3510" t="s">
        <v>1225</v>
      </c>
      <c r="M3510" t="s">
        <v>94</v>
      </c>
      <c r="N3510" t="s">
        <v>95</v>
      </c>
      <c r="O3510" t="s">
        <v>96</v>
      </c>
      <c r="P3510">
        <v>7</v>
      </c>
      <c r="Q3510" t="s">
        <v>39</v>
      </c>
      <c r="S3510" t="str">
        <f>_xlfn.XLOOKUP(UNIVERSO[[#This Row],[Ruta]],'[1]CUOTA RUTA'!A:A,'[1]CUOTA RUTA'!D:D)</f>
        <v>Cargar</v>
      </c>
    </row>
    <row r="3511" spans="1:19" x14ac:dyDescent="0.25">
      <c r="A3511">
        <v>1540038694</v>
      </c>
      <c r="B3511" t="s">
        <v>6926</v>
      </c>
      <c r="C3511" t="s">
        <v>19</v>
      </c>
      <c r="D3511" t="s">
        <v>32</v>
      </c>
      <c r="E3511" t="s">
        <v>21</v>
      </c>
      <c r="F3511" t="s">
        <v>22</v>
      </c>
      <c r="G3511" t="s">
        <v>33</v>
      </c>
      <c r="H3511" t="s">
        <v>716</v>
      </c>
      <c r="I3511" t="s">
        <v>6927</v>
      </c>
      <c r="J3511">
        <v>9.9260459999999995</v>
      </c>
      <c r="K3511">
        <v>-84.040790999999999</v>
      </c>
      <c r="L3511" t="s">
        <v>1225</v>
      </c>
      <c r="M3511" t="s">
        <v>36</v>
      </c>
      <c r="N3511" t="s">
        <v>37</v>
      </c>
      <c r="O3511" t="s">
        <v>38</v>
      </c>
      <c r="P3511">
        <v>9</v>
      </c>
      <c r="Q3511" t="s">
        <v>80</v>
      </c>
      <c r="S3511" t="str">
        <f>_xlfn.XLOOKUP(UNIVERSO[[#This Row],[Ruta]],'[1]CUOTA RUTA'!A:A,'[1]CUOTA RUTA'!D:D)</f>
        <v>Cargar</v>
      </c>
    </row>
    <row r="3512" spans="1:19" x14ac:dyDescent="0.25">
      <c r="A3512">
        <v>1540038739</v>
      </c>
      <c r="B3512" t="s">
        <v>4179</v>
      </c>
      <c r="C3512" t="s">
        <v>19</v>
      </c>
      <c r="D3512" t="s">
        <v>32</v>
      </c>
      <c r="E3512" t="s">
        <v>21</v>
      </c>
      <c r="F3512" t="s">
        <v>22</v>
      </c>
      <c r="G3512" t="s">
        <v>64</v>
      </c>
      <c r="H3512" t="s">
        <v>716</v>
      </c>
      <c r="I3512" t="s">
        <v>6928</v>
      </c>
      <c r="J3512">
        <v>9.9339317000000005</v>
      </c>
      <c r="K3512">
        <v>-84.088468300000002</v>
      </c>
      <c r="L3512" t="s">
        <v>1225</v>
      </c>
      <c r="M3512" t="s">
        <v>36</v>
      </c>
      <c r="N3512" t="s">
        <v>37</v>
      </c>
      <c r="O3512" t="s">
        <v>38</v>
      </c>
      <c r="P3512">
        <v>6</v>
      </c>
      <c r="Q3512" t="s">
        <v>49</v>
      </c>
      <c r="S3512" t="str">
        <f>_xlfn.XLOOKUP(UNIVERSO[[#This Row],[Ruta]],'[1]CUOTA RUTA'!A:A,'[1]CUOTA RUTA'!D:D)</f>
        <v>Cargar</v>
      </c>
    </row>
    <row r="3513" spans="1:19" x14ac:dyDescent="0.25">
      <c r="A3513">
        <v>1540038775</v>
      </c>
      <c r="B3513" t="s">
        <v>6929</v>
      </c>
      <c r="C3513" t="s">
        <v>19</v>
      </c>
      <c r="D3513" t="s">
        <v>20</v>
      </c>
      <c r="E3513" t="s">
        <v>21</v>
      </c>
      <c r="F3513" t="s">
        <v>22</v>
      </c>
      <c r="G3513" t="s">
        <v>64</v>
      </c>
      <c r="H3513" t="s">
        <v>260</v>
      </c>
      <c r="I3513" t="s">
        <v>6930</v>
      </c>
      <c r="J3513">
        <v>10.134129700000001</v>
      </c>
      <c r="K3513">
        <v>-84.491617140000002</v>
      </c>
      <c r="L3513" t="s">
        <v>1225</v>
      </c>
      <c r="M3513" t="s">
        <v>46</v>
      </c>
      <c r="N3513" t="s">
        <v>47</v>
      </c>
      <c r="O3513" t="s">
        <v>48</v>
      </c>
      <c r="P3513">
        <v>10</v>
      </c>
      <c r="Q3513" t="s">
        <v>136</v>
      </c>
      <c r="S3513" t="str">
        <f>_xlfn.XLOOKUP(UNIVERSO[[#This Row],[Ruta]],'[1]CUOTA RUTA'!A:A,'[1]CUOTA RUTA'!D:D)</f>
        <v>Cargar</v>
      </c>
    </row>
    <row r="3514" spans="1:19" x14ac:dyDescent="0.25">
      <c r="A3514">
        <v>1540038788</v>
      </c>
      <c r="B3514" t="s">
        <v>6931</v>
      </c>
      <c r="C3514" t="s">
        <v>19</v>
      </c>
      <c r="D3514" t="s">
        <v>266</v>
      </c>
      <c r="E3514" t="s">
        <v>21</v>
      </c>
      <c r="F3514" t="s">
        <v>22</v>
      </c>
      <c r="G3514" t="s">
        <v>64</v>
      </c>
      <c r="H3514" t="s">
        <v>321</v>
      </c>
      <c r="I3514" t="s">
        <v>6932</v>
      </c>
      <c r="J3514">
        <v>9.8995099</v>
      </c>
      <c r="K3514">
        <v>-83.742958299999998</v>
      </c>
      <c r="L3514" t="s">
        <v>1225</v>
      </c>
      <c r="M3514" t="s">
        <v>54</v>
      </c>
      <c r="N3514" t="s">
        <v>274</v>
      </c>
      <c r="O3514" t="s">
        <v>275</v>
      </c>
      <c r="P3514">
        <v>24</v>
      </c>
      <c r="Q3514" t="s">
        <v>947</v>
      </c>
      <c r="S3514" t="str">
        <f>_xlfn.XLOOKUP(UNIVERSO[[#This Row],[Ruta]],'[1]CUOTA RUTA'!A:A,'[1]CUOTA RUTA'!D:D)</f>
        <v>Cargar</v>
      </c>
    </row>
    <row r="3515" spans="1:19" x14ac:dyDescent="0.25">
      <c r="A3515">
        <v>1540038790</v>
      </c>
      <c r="B3515" t="s">
        <v>6933</v>
      </c>
      <c r="C3515" t="s">
        <v>19</v>
      </c>
      <c r="D3515" t="s">
        <v>208</v>
      </c>
      <c r="E3515" t="s">
        <v>21</v>
      </c>
      <c r="F3515" t="s">
        <v>22</v>
      </c>
      <c r="G3515" t="s">
        <v>64</v>
      </c>
      <c r="H3515" t="s">
        <v>221</v>
      </c>
      <c r="I3515" t="s">
        <v>6934</v>
      </c>
      <c r="J3515">
        <v>10.102399999999999</v>
      </c>
      <c r="K3515">
        <v>-83.512112000000002</v>
      </c>
      <c r="L3515" t="s">
        <v>1225</v>
      </c>
      <c r="M3515" t="s">
        <v>189</v>
      </c>
      <c r="N3515" t="s">
        <v>211</v>
      </c>
      <c r="O3515" t="s">
        <v>212</v>
      </c>
      <c r="P3515">
        <v>8</v>
      </c>
      <c r="Q3515" t="s">
        <v>97</v>
      </c>
      <c r="S3515" t="str">
        <f>_xlfn.XLOOKUP(UNIVERSO[[#This Row],[Ruta]],'[1]CUOTA RUTA'!A:A,'[1]CUOTA RUTA'!D:D)</f>
        <v>Cargar</v>
      </c>
    </row>
    <row r="3516" spans="1:19" x14ac:dyDescent="0.25">
      <c r="A3516">
        <v>1540038813</v>
      </c>
      <c r="B3516" t="s">
        <v>6935</v>
      </c>
      <c r="C3516" t="s">
        <v>19</v>
      </c>
      <c r="D3516" t="s">
        <v>32</v>
      </c>
      <c r="E3516" t="s">
        <v>21</v>
      </c>
      <c r="F3516" t="s">
        <v>22</v>
      </c>
      <c r="G3516" t="s">
        <v>64</v>
      </c>
      <c r="H3516" t="s">
        <v>1345</v>
      </c>
      <c r="I3516" t="s">
        <v>6936</v>
      </c>
      <c r="J3516">
        <v>9.9302767000000003</v>
      </c>
      <c r="K3516">
        <v>-84.069410000000005</v>
      </c>
      <c r="L3516" t="s">
        <v>1225</v>
      </c>
      <c r="M3516" t="s">
        <v>71</v>
      </c>
      <c r="N3516" t="s">
        <v>72</v>
      </c>
      <c r="O3516" t="s">
        <v>73</v>
      </c>
      <c r="P3516">
        <v>5</v>
      </c>
      <c r="Q3516" t="s">
        <v>117</v>
      </c>
      <c r="S3516" t="str">
        <f>_xlfn.XLOOKUP(UNIVERSO[[#This Row],[Ruta]],'[1]CUOTA RUTA'!A:A,'[1]CUOTA RUTA'!D:D)</f>
        <v>Cargar</v>
      </c>
    </row>
    <row r="3517" spans="1:19" x14ac:dyDescent="0.25">
      <c r="A3517">
        <v>1540038846</v>
      </c>
      <c r="B3517" t="s">
        <v>6937</v>
      </c>
      <c r="C3517" t="s">
        <v>19</v>
      </c>
      <c r="D3517" t="s">
        <v>266</v>
      </c>
      <c r="E3517" t="s">
        <v>21</v>
      </c>
      <c r="F3517" t="s">
        <v>51</v>
      </c>
      <c r="G3517" t="s">
        <v>23</v>
      </c>
      <c r="H3517" t="s">
        <v>703</v>
      </c>
      <c r="I3517" t="s">
        <v>6938</v>
      </c>
      <c r="J3517">
        <v>9.8436366666670008</v>
      </c>
      <c r="K3517">
        <v>-83.971583333330003</v>
      </c>
      <c r="L3517" t="s">
        <v>1225</v>
      </c>
      <c r="M3517" t="s">
        <v>36</v>
      </c>
      <c r="N3517" t="s">
        <v>316</v>
      </c>
      <c r="O3517" t="s">
        <v>317</v>
      </c>
      <c r="P3517">
        <v>20</v>
      </c>
      <c r="Q3517" t="s">
        <v>74</v>
      </c>
      <c r="S3517" t="str">
        <f>_xlfn.XLOOKUP(UNIVERSO[[#This Row],[Ruta]],'[1]CUOTA RUTA'!A:A,'[1]CUOTA RUTA'!D:D)</f>
        <v>Cargar</v>
      </c>
    </row>
    <row r="3518" spans="1:19" x14ac:dyDescent="0.25">
      <c r="A3518">
        <v>1540038852</v>
      </c>
      <c r="B3518" t="s">
        <v>6939</v>
      </c>
      <c r="C3518" t="s">
        <v>19</v>
      </c>
      <c r="D3518" t="s">
        <v>337</v>
      </c>
      <c r="E3518" t="s">
        <v>21</v>
      </c>
      <c r="F3518" t="s">
        <v>22</v>
      </c>
      <c r="G3518" t="s">
        <v>33</v>
      </c>
      <c r="H3518" t="s">
        <v>401</v>
      </c>
      <c r="I3518" t="s">
        <v>6940</v>
      </c>
      <c r="J3518">
        <v>10.633766290000001</v>
      </c>
      <c r="K3518">
        <v>-85.439462340000006</v>
      </c>
      <c r="L3518" t="s">
        <v>1225</v>
      </c>
      <c r="M3518" t="s">
        <v>327</v>
      </c>
      <c r="N3518" t="s">
        <v>340</v>
      </c>
      <c r="O3518" t="s">
        <v>341</v>
      </c>
      <c r="P3518">
        <v>12</v>
      </c>
      <c r="Q3518" t="s">
        <v>42</v>
      </c>
      <c r="S3518" t="str">
        <f>_xlfn.XLOOKUP(UNIVERSO[[#This Row],[Ruta]],'[1]CUOTA RUTA'!A:A,'[1]CUOTA RUTA'!D:D)</f>
        <v>Cargar</v>
      </c>
    </row>
    <row r="3519" spans="1:19" x14ac:dyDescent="0.25">
      <c r="A3519">
        <v>1540038875</v>
      </c>
      <c r="B3519" t="s">
        <v>6941</v>
      </c>
      <c r="C3519" t="s">
        <v>19</v>
      </c>
      <c r="D3519" t="s">
        <v>208</v>
      </c>
      <c r="E3519" t="s">
        <v>21</v>
      </c>
      <c r="F3519" t="s">
        <v>22</v>
      </c>
      <c r="G3519" t="s">
        <v>64</v>
      </c>
      <c r="H3519" t="s">
        <v>631</v>
      </c>
      <c r="I3519" t="s">
        <v>6942</v>
      </c>
      <c r="J3519">
        <v>10.18676769</v>
      </c>
      <c r="K3519">
        <v>-83.482359290000005</v>
      </c>
      <c r="L3519" t="s">
        <v>1225</v>
      </c>
      <c r="M3519" t="s">
        <v>189</v>
      </c>
      <c r="N3519" t="s">
        <v>211</v>
      </c>
      <c r="O3519" t="s">
        <v>212</v>
      </c>
      <c r="P3519">
        <v>9</v>
      </c>
      <c r="Q3519" t="s">
        <v>80</v>
      </c>
      <c r="S3519" t="str">
        <f>_xlfn.XLOOKUP(UNIVERSO[[#This Row],[Ruta]],'[1]CUOTA RUTA'!A:A,'[1]CUOTA RUTA'!D:D)</f>
        <v>Cargar</v>
      </c>
    </row>
    <row r="3520" spans="1:19" x14ac:dyDescent="0.25">
      <c r="A3520">
        <v>1540038909</v>
      </c>
      <c r="B3520" t="s">
        <v>6943</v>
      </c>
      <c r="C3520" t="s">
        <v>19</v>
      </c>
      <c r="D3520" t="s">
        <v>208</v>
      </c>
      <c r="E3520" t="s">
        <v>21</v>
      </c>
      <c r="F3520" t="s">
        <v>22</v>
      </c>
      <c r="G3520" t="s">
        <v>64</v>
      </c>
      <c r="H3520" t="s">
        <v>631</v>
      </c>
      <c r="I3520" t="s">
        <v>6944</v>
      </c>
      <c r="J3520">
        <v>10.105171</v>
      </c>
      <c r="K3520">
        <v>-83.472211000000001</v>
      </c>
      <c r="L3520" t="s">
        <v>1225</v>
      </c>
      <c r="M3520" t="s">
        <v>189</v>
      </c>
      <c r="N3520" t="s">
        <v>211</v>
      </c>
      <c r="O3520" t="s">
        <v>212</v>
      </c>
      <c r="P3520">
        <v>8</v>
      </c>
      <c r="Q3520" t="s">
        <v>97</v>
      </c>
      <c r="S3520" t="str">
        <f>_xlfn.XLOOKUP(UNIVERSO[[#This Row],[Ruta]],'[1]CUOTA RUTA'!A:A,'[1]CUOTA RUTA'!D:D)</f>
        <v>Cargar</v>
      </c>
    </row>
    <row r="3521" spans="1:19" x14ac:dyDescent="0.25">
      <c r="A3521">
        <v>1540038942</v>
      </c>
      <c r="B3521" t="s">
        <v>6945</v>
      </c>
      <c r="C3521" t="s">
        <v>19</v>
      </c>
      <c r="D3521" t="s">
        <v>20</v>
      </c>
      <c r="E3521" t="s">
        <v>21</v>
      </c>
      <c r="F3521" t="s">
        <v>22</v>
      </c>
      <c r="G3521" t="s">
        <v>33</v>
      </c>
      <c r="H3521" t="s">
        <v>263</v>
      </c>
      <c r="I3521" t="s">
        <v>6946</v>
      </c>
      <c r="J3521">
        <v>10.11697</v>
      </c>
      <c r="K3521">
        <v>-84.398619999999994</v>
      </c>
      <c r="L3521" t="s">
        <v>1225</v>
      </c>
      <c r="M3521" t="s">
        <v>46</v>
      </c>
      <c r="N3521" t="s">
        <v>47</v>
      </c>
      <c r="O3521" t="s">
        <v>48</v>
      </c>
      <c r="P3521">
        <v>1</v>
      </c>
      <c r="Q3521" t="s">
        <v>155</v>
      </c>
      <c r="S3521" t="str">
        <f>_xlfn.XLOOKUP(UNIVERSO[[#This Row],[Ruta]],'[1]CUOTA RUTA'!A:A,'[1]CUOTA RUTA'!D:D)</f>
        <v>Cargar</v>
      </c>
    </row>
    <row r="3522" spans="1:19" x14ac:dyDescent="0.25">
      <c r="A3522">
        <v>1540038975</v>
      </c>
      <c r="B3522" t="s">
        <v>6947</v>
      </c>
      <c r="C3522" t="s">
        <v>19</v>
      </c>
      <c r="D3522" t="s">
        <v>20</v>
      </c>
      <c r="E3522" t="s">
        <v>21</v>
      </c>
      <c r="F3522" t="s">
        <v>22</v>
      </c>
      <c r="G3522" t="s">
        <v>33</v>
      </c>
      <c r="H3522" t="s">
        <v>250</v>
      </c>
      <c r="I3522" t="s">
        <v>6948</v>
      </c>
      <c r="J3522">
        <v>10.014523000000001</v>
      </c>
      <c r="K3522">
        <v>-84.242818</v>
      </c>
      <c r="L3522" t="s">
        <v>1225</v>
      </c>
      <c r="M3522" t="s">
        <v>46</v>
      </c>
      <c r="N3522" t="s">
        <v>47</v>
      </c>
      <c r="O3522" t="s">
        <v>48</v>
      </c>
      <c r="P3522">
        <v>3</v>
      </c>
      <c r="Q3522" t="s">
        <v>101</v>
      </c>
      <c r="S3522" t="str">
        <f>_xlfn.XLOOKUP(UNIVERSO[[#This Row],[Ruta]],'[1]CUOTA RUTA'!A:A,'[1]CUOTA RUTA'!D:D)</f>
        <v>Cargar</v>
      </c>
    </row>
    <row r="3523" spans="1:19" x14ac:dyDescent="0.25">
      <c r="A3523">
        <v>1540039008</v>
      </c>
      <c r="B3523" t="s">
        <v>6949</v>
      </c>
      <c r="C3523" t="s">
        <v>19</v>
      </c>
      <c r="D3523" t="s">
        <v>324</v>
      </c>
      <c r="E3523" t="s">
        <v>21</v>
      </c>
      <c r="F3523" t="s">
        <v>51</v>
      </c>
      <c r="G3523" t="s">
        <v>23</v>
      </c>
      <c r="H3523" t="s">
        <v>390</v>
      </c>
      <c r="I3523" t="s">
        <v>6950</v>
      </c>
      <c r="J3523">
        <v>10.341844</v>
      </c>
      <c r="K3523">
        <v>-84.427716000000004</v>
      </c>
      <c r="L3523" t="s">
        <v>1225</v>
      </c>
      <c r="M3523" t="s">
        <v>327</v>
      </c>
      <c r="N3523" t="s">
        <v>328</v>
      </c>
      <c r="O3523" t="s">
        <v>329</v>
      </c>
      <c r="P3523">
        <v>15</v>
      </c>
      <c r="Q3523" t="s">
        <v>231</v>
      </c>
      <c r="S3523" t="str">
        <f>_xlfn.XLOOKUP(UNIVERSO[[#This Row],[Ruta]],'[1]CUOTA RUTA'!A:A,'[1]CUOTA RUTA'!D:D)</f>
        <v>Cargar</v>
      </c>
    </row>
    <row r="3524" spans="1:19" x14ac:dyDescent="0.25">
      <c r="A3524">
        <v>1540039022</v>
      </c>
      <c r="B3524" t="s">
        <v>6951</v>
      </c>
      <c r="C3524" t="s">
        <v>19</v>
      </c>
      <c r="D3524" t="s">
        <v>201</v>
      </c>
      <c r="E3524" t="s">
        <v>21</v>
      </c>
      <c r="F3524" t="s">
        <v>22</v>
      </c>
      <c r="G3524" t="s">
        <v>23</v>
      </c>
      <c r="H3524" t="s">
        <v>491</v>
      </c>
      <c r="I3524" t="s">
        <v>6952</v>
      </c>
      <c r="J3524">
        <v>9.7576900000000002</v>
      </c>
      <c r="K3524">
        <v>-84.6242223</v>
      </c>
      <c r="L3524" t="s">
        <v>1225</v>
      </c>
      <c r="M3524" t="s">
        <v>204</v>
      </c>
      <c r="N3524" t="s">
        <v>205</v>
      </c>
      <c r="O3524" t="s">
        <v>206</v>
      </c>
      <c r="P3524">
        <v>4</v>
      </c>
      <c r="Q3524" t="s">
        <v>120</v>
      </c>
      <c r="S3524" t="str">
        <f>_xlfn.XLOOKUP(UNIVERSO[[#This Row],[Ruta]],'[1]CUOTA RUTA'!A:A,'[1]CUOTA RUTA'!D:D)</f>
        <v>Cargar</v>
      </c>
    </row>
    <row r="3525" spans="1:19" x14ac:dyDescent="0.25">
      <c r="A3525">
        <v>1540039044</v>
      </c>
      <c r="B3525" t="s">
        <v>6953</v>
      </c>
      <c r="C3525" t="s">
        <v>19</v>
      </c>
      <c r="D3525" t="s">
        <v>208</v>
      </c>
      <c r="E3525" t="s">
        <v>21</v>
      </c>
      <c r="F3525" t="s">
        <v>22</v>
      </c>
      <c r="G3525" t="s">
        <v>64</v>
      </c>
      <c r="H3525" t="s">
        <v>221</v>
      </c>
      <c r="I3525" t="s">
        <v>6954</v>
      </c>
      <c r="J3525">
        <v>9.9589510000000008</v>
      </c>
      <c r="K3525">
        <v>-83.572738999999999</v>
      </c>
      <c r="L3525" t="s">
        <v>1225</v>
      </c>
      <c r="M3525" t="s">
        <v>189</v>
      </c>
      <c r="N3525" t="s">
        <v>211</v>
      </c>
      <c r="O3525" t="s">
        <v>212</v>
      </c>
      <c r="P3525">
        <v>9</v>
      </c>
      <c r="Q3525" t="s">
        <v>80</v>
      </c>
      <c r="S3525" t="str">
        <f>_xlfn.XLOOKUP(UNIVERSO[[#This Row],[Ruta]],'[1]CUOTA RUTA'!A:A,'[1]CUOTA RUTA'!D:D)</f>
        <v>Cargar</v>
      </c>
    </row>
    <row r="3526" spans="1:19" x14ac:dyDescent="0.25">
      <c r="A3526">
        <v>1540039045</v>
      </c>
      <c r="B3526" t="s">
        <v>6955</v>
      </c>
      <c r="C3526" t="s">
        <v>19</v>
      </c>
      <c r="D3526" t="s">
        <v>208</v>
      </c>
      <c r="E3526" t="s">
        <v>21</v>
      </c>
      <c r="F3526" t="s">
        <v>22</v>
      </c>
      <c r="G3526" t="s">
        <v>33</v>
      </c>
      <c r="H3526" t="s">
        <v>221</v>
      </c>
      <c r="I3526" t="s">
        <v>6956</v>
      </c>
      <c r="J3526">
        <v>9.9884459999999997</v>
      </c>
      <c r="K3526">
        <v>-83.571110000000004</v>
      </c>
      <c r="L3526" t="s">
        <v>1225</v>
      </c>
      <c r="M3526" t="s">
        <v>189</v>
      </c>
      <c r="N3526" t="s">
        <v>211</v>
      </c>
      <c r="O3526" t="s">
        <v>212</v>
      </c>
      <c r="P3526">
        <v>9</v>
      </c>
      <c r="Q3526" t="s">
        <v>80</v>
      </c>
      <c r="S3526" t="str">
        <f>_xlfn.XLOOKUP(UNIVERSO[[#This Row],[Ruta]],'[1]CUOTA RUTA'!A:A,'[1]CUOTA RUTA'!D:D)</f>
        <v>Cargar</v>
      </c>
    </row>
    <row r="3527" spans="1:19" x14ac:dyDescent="0.25">
      <c r="A3527">
        <v>1540039065</v>
      </c>
      <c r="B3527" t="s">
        <v>6957</v>
      </c>
      <c r="C3527" t="s">
        <v>19</v>
      </c>
      <c r="D3527" t="s">
        <v>208</v>
      </c>
      <c r="E3527" t="s">
        <v>21</v>
      </c>
      <c r="F3527" t="s">
        <v>22</v>
      </c>
      <c r="G3527" t="s">
        <v>64</v>
      </c>
      <c r="H3527" t="s">
        <v>1794</v>
      </c>
      <c r="I3527" t="s">
        <v>6958</v>
      </c>
      <c r="J3527">
        <v>10.207487</v>
      </c>
      <c r="K3527">
        <v>-83.781649000000002</v>
      </c>
      <c r="L3527" t="s">
        <v>1225</v>
      </c>
      <c r="M3527" t="s">
        <v>189</v>
      </c>
      <c r="N3527" t="s">
        <v>211</v>
      </c>
      <c r="O3527" t="s">
        <v>212</v>
      </c>
      <c r="P3527">
        <v>4</v>
      </c>
      <c r="Q3527" t="s">
        <v>120</v>
      </c>
      <c r="S3527" t="str">
        <f>_xlfn.XLOOKUP(UNIVERSO[[#This Row],[Ruta]],'[1]CUOTA RUTA'!A:A,'[1]CUOTA RUTA'!D:D)</f>
        <v>Cargar</v>
      </c>
    </row>
    <row r="3528" spans="1:19" x14ac:dyDescent="0.25">
      <c r="A3528">
        <v>1540039078</v>
      </c>
      <c r="B3528" t="s">
        <v>6959</v>
      </c>
      <c r="C3528" t="s">
        <v>19</v>
      </c>
      <c r="D3528" t="s">
        <v>244</v>
      </c>
      <c r="E3528" t="s">
        <v>21</v>
      </c>
      <c r="F3528" t="s">
        <v>22</v>
      </c>
      <c r="G3528" t="s">
        <v>64</v>
      </c>
      <c r="H3528" t="s">
        <v>819</v>
      </c>
      <c r="I3528" t="s">
        <v>6960</v>
      </c>
      <c r="J3528">
        <v>9.4976500000000001</v>
      </c>
      <c r="K3528">
        <v>-84.144154</v>
      </c>
      <c r="L3528" t="s">
        <v>1225</v>
      </c>
      <c r="M3528" t="s">
        <v>46</v>
      </c>
      <c r="N3528" t="s">
        <v>247</v>
      </c>
      <c r="O3528" t="s">
        <v>248</v>
      </c>
      <c r="P3528">
        <v>22</v>
      </c>
      <c r="Q3528" t="s">
        <v>30</v>
      </c>
      <c r="S3528" t="str">
        <f>_xlfn.XLOOKUP(UNIVERSO[[#This Row],[Ruta]],'[1]CUOTA RUTA'!A:A,'[1]CUOTA RUTA'!D:D)</f>
        <v>Cargar</v>
      </c>
    </row>
    <row r="3529" spans="1:19" x14ac:dyDescent="0.25">
      <c r="A3529">
        <v>1540039089</v>
      </c>
      <c r="B3529" t="s">
        <v>6961</v>
      </c>
      <c r="C3529" t="s">
        <v>19</v>
      </c>
      <c r="D3529" t="s">
        <v>349</v>
      </c>
      <c r="E3529" t="s">
        <v>62</v>
      </c>
      <c r="F3529" t="s">
        <v>63</v>
      </c>
      <c r="G3529" t="s">
        <v>64</v>
      </c>
      <c r="H3529" t="s">
        <v>350</v>
      </c>
      <c r="I3529" t="s">
        <v>6962</v>
      </c>
      <c r="J3529">
        <v>9.8651687900000002</v>
      </c>
      <c r="K3529">
        <v>-85.476868139999993</v>
      </c>
      <c r="L3529" t="s">
        <v>1225</v>
      </c>
      <c r="M3529" t="s">
        <v>352</v>
      </c>
      <c r="N3529" t="s">
        <v>353</v>
      </c>
      <c r="O3529" t="s">
        <v>354</v>
      </c>
      <c r="P3529">
        <v>9</v>
      </c>
      <c r="Q3529" t="s">
        <v>80</v>
      </c>
      <c r="S3529" t="str">
        <f>_xlfn.XLOOKUP(UNIVERSO[[#This Row],[Ruta]],'[1]CUOTA RUTA'!A:A,'[1]CUOTA RUTA'!D:D)</f>
        <v>Cargar</v>
      </c>
    </row>
    <row r="3530" spans="1:19" x14ac:dyDescent="0.25">
      <c r="A3530">
        <v>1540039113</v>
      </c>
      <c r="B3530" t="s">
        <v>6963</v>
      </c>
      <c r="C3530" t="s">
        <v>19</v>
      </c>
      <c r="D3530" t="s">
        <v>20</v>
      </c>
      <c r="E3530" t="s">
        <v>21</v>
      </c>
      <c r="F3530" t="s">
        <v>22</v>
      </c>
      <c r="G3530" t="s">
        <v>64</v>
      </c>
      <c r="H3530" t="s">
        <v>263</v>
      </c>
      <c r="I3530" t="s">
        <v>6964</v>
      </c>
      <c r="J3530">
        <v>10.08087181</v>
      </c>
      <c r="K3530">
        <v>-84.342890389999994</v>
      </c>
      <c r="L3530" t="s">
        <v>1225</v>
      </c>
      <c r="M3530" t="s">
        <v>46</v>
      </c>
      <c r="N3530" t="s">
        <v>47</v>
      </c>
      <c r="O3530" t="s">
        <v>48</v>
      </c>
      <c r="P3530">
        <v>5</v>
      </c>
      <c r="Q3530" t="s">
        <v>117</v>
      </c>
      <c r="S3530" t="str">
        <f>_xlfn.XLOOKUP(UNIVERSO[[#This Row],[Ruta]],'[1]CUOTA RUTA'!A:A,'[1]CUOTA RUTA'!D:D)</f>
        <v>Cargar</v>
      </c>
    </row>
    <row r="3531" spans="1:19" x14ac:dyDescent="0.25">
      <c r="A3531">
        <v>1540039119</v>
      </c>
      <c r="B3531" t="s">
        <v>6965</v>
      </c>
      <c r="C3531" t="s">
        <v>19</v>
      </c>
      <c r="D3531" t="s">
        <v>32</v>
      </c>
      <c r="E3531" t="s">
        <v>21</v>
      </c>
      <c r="F3531" t="s">
        <v>22</v>
      </c>
      <c r="G3531" t="s">
        <v>33</v>
      </c>
      <c r="H3531" t="s">
        <v>112</v>
      </c>
      <c r="I3531" t="s">
        <v>6966</v>
      </c>
      <c r="J3531">
        <v>9.9844580000000001</v>
      </c>
      <c r="K3531">
        <v>-84.082390000000004</v>
      </c>
      <c r="L3531" t="s">
        <v>1225</v>
      </c>
      <c r="M3531" t="s">
        <v>94</v>
      </c>
      <c r="N3531" t="s">
        <v>95</v>
      </c>
      <c r="O3531" t="s">
        <v>96</v>
      </c>
      <c r="P3531">
        <v>10</v>
      </c>
      <c r="Q3531" t="s">
        <v>136</v>
      </c>
      <c r="S3531" t="str">
        <f>_xlfn.XLOOKUP(UNIVERSO[[#This Row],[Ruta]],'[1]CUOTA RUTA'!A:A,'[1]CUOTA RUTA'!D:D)</f>
        <v>Cargar</v>
      </c>
    </row>
    <row r="3532" spans="1:19" x14ac:dyDescent="0.25">
      <c r="A3532">
        <v>1540039131</v>
      </c>
      <c r="B3532" t="s">
        <v>6967</v>
      </c>
      <c r="C3532" t="s">
        <v>19</v>
      </c>
      <c r="D3532" t="s">
        <v>569</v>
      </c>
      <c r="E3532" t="s">
        <v>21</v>
      </c>
      <c r="F3532" t="s">
        <v>22</v>
      </c>
      <c r="G3532" t="s">
        <v>33</v>
      </c>
      <c r="H3532" t="s">
        <v>570</v>
      </c>
      <c r="I3532" t="s">
        <v>6968</v>
      </c>
      <c r="J3532">
        <v>8.9345289999999995</v>
      </c>
      <c r="K3532">
        <v>-83.486759000000006</v>
      </c>
      <c r="L3532" t="s">
        <v>1225</v>
      </c>
      <c r="M3532" t="s">
        <v>572</v>
      </c>
      <c r="N3532" t="s">
        <v>573</v>
      </c>
      <c r="O3532" t="s">
        <v>574</v>
      </c>
      <c r="P3532">
        <v>21</v>
      </c>
      <c r="Q3532" t="s">
        <v>239</v>
      </c>
      <c r="S3532" t="str">
        <f>_xlfn.XLOOKUP(UNIVERSO[[#This Row],[Ruta]],'[1]CUOTA RUTA'!A:A,'[1]CUOTA RUTA'!D:D)</f>
        <v>Cargar</v>
      </c>
    </row>
    <row r="3533" spans="1:19" x14ac:dyDescent="0.25">
      <c r="A3533">
        <v>1540039147</v>
      </c>
      <c r="B3533" t="s">
        <v>6969</v>
      </c>
      <c r="C3533" t="s">
        <v>19</v>
      </c>
      <c r="D3533" t="s">
        <v>244</v>
      </c>
      <c r="E3533" t="s">
        <v>21</v>
      </c>
      <c r="F3533" t="s">
        <v>22</v>
      </c>
      <c r="G3533" t="s">
        <v>64</v>
      </c>
      <c r="H3533" t="s">
        <v>857</v>
      </c>
      <c r="I3533" t="s">
        <v>6970</v>
      </c>
      <c r="J3533">
        <v>9.3102370000000008</v>
      </c>
      <c r="K3533">
        <v>-83.675605000000004</v>
      </c>
      <c r="L3533" t="s">
        <v>1225</v>
      </c>
      <c r="M3533" t="s">
        <v>46</v>
      </c>
      <c r="N3533" t="s">
        <v>247</v>
      </c>
      <c r="O3533" t="s">
        <v>248</v>
      </c>
      <c r="P3533">
        <v>16</v>
      </c>
      <c r="Q3533" t="s">
        <v>60</v>
      </c>
      <c r="S3533" t="str">
        <f>_xlfn.XLOOKUP(UNIVERSO[[#This Row],[Ruta]],'[1]CUOTA RUTA'!A:A,'[1]CUOTA RUTA'!D:D)</f>
        <v>Cargar</v>
      </c>
    </row>
    <row r="3534" spans="1:19" x14ac:dyDescent="0.25">
      <c r="A3534">
        <v>1540039191</v>
      </c>
      <c r="B3534" t="s">
        <v>844</v>
      </c>
      <c r="C3534" t="s">
        <v>19</v>
      </c>
      <c r="D3534" t="s">
        <v>201</v>
      </c>
      <c r="E3534" t="s">
        <v>21</v>
      </c>
      <c r="F3534" t="s">
        <v>22</v>
      </c>
      <c r="G3534" t="s">
        <v>33</v>
      </c>
      <c r="H3534" t="s">
        <v>488</v>
      </c>
      <c r="I3534" t="s">
        <v>6971</v>
      </c>
      <c r="J3534">
        <v>10.090059800000001</v>
      </c>
      <c r="K3534">
        <v>-84.729644500000006</v>
      </c>
      <c r="L3534" t="s">
        <v>1225</v>
      </c>
      <c r="M3534" t="s">
        <v>204</v>
      </c>
      <c r="N3534" t="s">
        <v>205</v>
      </c>
      <c r="O3534" t="s">
        <v>206</v>
      </c>
      <c r="P3534">
        <v>13</v>
      </c>
      <c r="Q3534" t="s">
        <v>161</v>
      </c>
      <c r="S3534" t="str">
        <f>_xlfn.XLOOKUP(UNIVERSO[[#This Row],[Ruta]],'[1]CUOTA RUTA'!A:A,'[1]CUOTA RUTA'!D:D)</f>
        <v>Cargar</v>
      </c>
    </row>
    <row r="3535" spans="1:19" x14ac:dyDescent="0.25">
      <c r="A3535">
        <v>1540039196</v>
      </c>
      <c r="B3535" t="s">
        <v>6972</v>
      </c>
      <c r="C3535" t="s">
        <v>19</v>
      </c>
      <c r="D3535" t="s">
        <v>20</v>
      </c>
      <c r="E3535" t="s">
        <v>21</v>
      </c>
      <c r="F3535" t="s">
        <v>22</v>
      </c>
      <c r="G3535" t="s">
        <v>23</v>
      </c>
      <c r="H3535" t="s">
        <v>58</v>
      </c>
      <c r="I3535" t="s">
        <v>6973</v>
      </c>
      <c r="J3535">
        <v>10.0303133</v>
      </c>
      <c r="K3535">
        <v>-84.214856699999999</v>
      </c>
      <c r="L3535" t="s">
        <v>1225</v>
      </c>
      <c r="M3535" t="s">
        <v>54</v>
      </c>
      <c r="N3535" t="s">
        <v>55</v>
      </c>
      <c r="O3535" t="s">
        <v>56</v>
      </c>
      <c r="P3535">
        <v>17</v>
      </c>
      <c r="Q3535" t="s">
        <v>287</v>
      </c>
      <c r="S3535" t="str">
        <f>_xlfn.XLOOKUP(UNIVERSO[[#This Row],[Ruta]],'[1]CUOTA RUTA'!A:A,'[1]CUOTA RUTA'!D:D)</f>
        <v>Cargar</v>
      </c>
    </row>
    <row r="3536" spans="1:19" x14ac:dyDescent="0.25">
      <c r="A3536">
        <v>1540039259</v>
      </c>
      <c r="B3536" t="s">
        <v>6974</v>
      </c>
      <c r="C3536" t="s">
        <v>19</v>
      </c>
      <c r="D3536" t="s">
        <v>349</v>
      </c>
      <c r="E3536" t="s">
        <v>21</v>
      </c>
      <c r="F3536" t="s">
        <v>22</v>
      </c>
      <c r="G3536" t="s">
        <v>33</v>
      </c>
      <c r="H3536" t="s">
        <v>496</v>
      </c>
      <c r="I3536" t="s">
        <v>6975</v>
      </c>
      <c r="J3536">
        <v>10.144031999999999</v>
      </c>
      <c r="K3536">
        <v>-85.454109000000003</v>
      </c>
      <c r="L3536" t="s">
        <v>1225</v>
      </c>
      <c r="M3536" t="s">
        <v>352</v>
      </c>
      <c r="N3536" t="s">
        <v>353</v>
      </c>
      <c r="O3536" t="s">
        <v>354</v>
      </c>
      <c r="P3536">
        <v>12</v>
      </c>
      <c r="Q3536" t="s">
        <v>42</v>
      </c>
      <c r="S3536" t="str">
        <f>_xlfn.XLOOKUP(UNIVERSO[[#This Row],[Ruta]],'[1]CUOTA RUTA'!A:A,'[1]CUOTA RUTA'!D:D)</f>
        <v>Cargar</v>
      </c>
    </row>
    <row r="3537" spans="1:19" x14ac:dyDescent="0.25">
      <c r="A3537">
        <v>1540039272</v>
      </c>
      <c r="B3537" t="s">
        <v>6976</v>
      </c>
      <c r="C3537" t="s">
        <v>19</v>
      </c>
      <c r="D3537" t="s">
        <v>266</v>
      </c>
      <c r="E3537" t="s">
        <v>21</v>
      </c>
      <c r="F3537" t="s">
        <v>22</v>
      </c>
      <c r="G3537" t="s">
        <v>33</v>
      </c>
      <c r="H3537" t="s">
        <v>372</v>
      </c>
      <c r="I3537" t="s">
        <v>6977</v>
      </c>
      <c r="J3537">
        <v>9.9129337199999998</v>
      </c>
      <c r="K3537">
        <v>-83.701820069999997</v>
      </c>
      <c r="L3537" t="s">
        <v>1225</v>
      </c>
      <c r="M3537" t="s">
        <v>189</v>
      </c>
      <c r="N3537" t="s">
        <v>269</v>
      </c>
      <c r="O3537" t="s">
        <v>270</v>
      </c>
      <c r="P3537">
        <v>22</v>
      </c>
      <c r="Q3537" t="s">
        <v>30</v>
      </c>
      <c r="S3537" t="str">
        <f>_xlfn.XLOOKUP(UNIVERSO[[#This Row],[Ruta]],'[1]CUOTA RUTA'!A:A,'[1]CUOTA RUTA'!D:D)</f>
        <v>Cargar</v>
      </c>
    </row>
    <row r="3538" spans="1:19" x14ac:dyDescent="0.25">
      <c r="A3538">
        <v>1540039279</v>
      </c>
      <c r="B3538" t="s">
        <v>6978</v>
      </c>
      <c r="C3538" t="s">
        <v>19</v>
      </c>
      <c r="D3538" t="s">
        <v>208</v>
      </c>
      <c r="E3538" t="s">
        <v>21</v>
      </c>
      <c r="F3538" t="s">
        <v>22</v>
      </c>
      <c r="G3538" t="s">
        <v>33</v>
      </c>
      <c r="H3538" t="s">
        <v>417</v>
      </c>
      <c r="I3538" t="s">
        <v>6979</v>
      </c>
      <c r="J3538">
        <v>10.210113</v>
      </c>
      <c r="K3538">
        <v>-83.757724999999994</v>
      </c>
      <c r="L3538" t="s">
        <v>1225</v>
      </c>
      <c r="M3538" t="s">
        <v>189</v>
      </c>
      <c r="N3538" t="s">
        <v>211</v>
      </c>
      <c r="O3538" t="s">
        <v>212</v>
      </c>
      <c r="P3538">
        <v>5</v>
      </c>
      <c r="Q3538" t="s">
        <v>117</v>
      </c>
      <c r="S3538" t="str">
        <f>_xlfn.XLOOKUP(UNIVERSO[[#This Row],[Ruta]],'[1]CUOTA RUTA'!A:A,'[1]CUOTA RUTA'!D:D)</f>
        <v>Cargar</v>
      </c>
    </row>
    <row r="3539" spans="1:19" x14ac:dyDescent="0.25">
      <c r="A3539">
        <v>1540039293</v>
      </c>
      <c r="B3539" t="s">
        <v>6980</v>
      </c>
      <c r="C3539" t="s">
        <v>19</v>
      </c>
      <c r="D3539" t="s">
        <v>324</v>
      </c>
      <c r="E3539" t="s">
        <v>21</v>
      </c>
      <c r="F3539" t="s">
        <v>51</v>
      </c>
      <c r="G3539" t="s">
        <v>23</v>
      </c>
      <c r="H3539" t="s">
        <v>396</v>
      </c>
      <c r="I3539" t="s">
        <v>6981</v>
      </c>
      <c r="J3539">
        <v>10.350012</v>
      </c>
      <c r="K3539">
        <v>-84.264017999999993</v>
      </c>
      <c r="L3539" t="s">
        <v>1225</v>
      </c>
      <c r="M3539" t="s">
        <v>327</v>
      </c>
      <c r="N3539" t="s">
        <v>328</v>
      </c>
      <c r="O3539" t="s">
        <v>329</v>
      </c>
      <c r="P3539">
        <v>16</v>
      </c>
      <c r="Q3539" t="s">
        <v>60</v>
      </c>
      <c r="S3539" t="str">
        <f>_xlfn.XLOOKUP(UNIVERSO[[#This Row],[Ruta]],'[1]CUOTA RUTA'!A:A,'[1]CUOTA RUTA'!D:D)</f>
        <v>Cargar</v>
      </c>
    </row>
    <row r="3540" spans="1:19" x14ac:dyDescent="0.25">
      <c r="A3540">
        <v>1540039300</v>
      </c>
      <c r="B3540" t="s">
        <v>6982</v>
      </c>
      <c r="C3540" t="s">
        <v>19</v>
      </c>
      <c r="D3540" t="s">
        <v>20</v>
      </c>
      <c r="E3540" t="s">
        <v>21</v>
      </c>
      <c r="F3540" t="s">
        <v>22</v>
      </c>
      <c r="G3540" t="s">
        <v>23</v>
      </c>
      <c r="H3540" t="s">
        <v>24</v>
      </c>
      <c r="I3540" t="s">
        <v>6983</v>
      </c>
      <c r="J3540">
        <v>9.9954187599999997</v>
      </c>
      <c r="K3540">
        <v>-84.094090519999995</v>
      </c>
      <c r="L3540" t="s">
        <v>1225</v>
      </c>
      <c r="M3540" t="s">
        <v>27</v>
      </c>
      <c r="N3540" t="s">
        <v>28</v>
      </c>
      <c r="O3540" t="s">
        <v>29</v>
      </c>
      <c r="P3540">
        <v>22</v>
      </c>
      <c r="Q3540" t="s">
        <v>30</v>
      </c>
      <c r="S3540" t="str">
        <f>_xlfn.XLOOKUP(UNIVERSO[[#This Row],[Ruta]],'[1]CUOTA RUTA'!A:A,'[1]CUOTA RUTA'!D:D)</f>
        <v>Cargar</v>
      </c>
    </row>
    <row r="3541" spans="1:19" x14ac:dyDescent="0.25">
      <c r="A3541">
        <v>1540039324</v>
      </c>
      <c r="B3541" t="s">
        <v>6984</v>
      </c>
      <c r="C3541" t="s">
        <v>19</v>
      </c>
      <c r="D3541" t="s">
        <v>208</v>
      </c>
      <c r="E3541" t="s">
        <v>21</v>
      </c>
      <c r="F3541" t="s">
        <v>22</v>
      </c>
      <c r="G3541" t="s">
        <v>33</v>
      </c>
      <c r="H3541" t="s">
        <v>218</v>
      </c>
      <c r="I3541" t="s">
        <v>6985</v>
      </c>
      <c r="J3541">
        <v>10.274956299999999</v>
      </c>
      <c r="K3541">
        <v>-83.780738099999994</v>
      </c>
      <c r="L3541" t="s">
        <v>1225</v>
      </c>
      <c r="M3541" t="s">
        <v>189</v>
      </c>
      <c r="N3541" t="s">
        <v>211</v>
      </c>
      <c r="O3541" t="s">
        <v>212</v>
      </c>
      <c r="P3541">
        <v>2</v>
      </c>
      <c r="Q3541" t="s">
        <v>150</v>
      </c>
      <c r="S3541" t="str">
        <f>_xlfn.XLOOKUP(UNIVERSO[[#This Row],[Ruta]],'[1]CUOTA RUTA'!A:A,'[1]CUOTA RUTA'!D:D)</f>
        <v>Cargar</v>
      </c>
    </row>
    <row r="3542" spans="1:19" x14ac:dyDescent="0.25">
      <c r="A3542">
        <v>1540039342</v>
      </c>
      <c r="B3542" t="s">
        <v>6986</v>
      </c>
      <c r="C3542" t="s">
        <v>19</v>
      </c>
      <c r="D3542" t="s">
        <v>244</v>
      </c>
      <c r="E3542" t="s">
        <v>21</v>
      </c>
      <c r="F3542" t="s">
        <v>22</v>
      </c>
      <c r="G3542" t="s">
        <v>64</v>
      </c>
      <c r="H3542" t="s">
        <v>566</v>
      </c>
      <c r="I3542" t="s">
        <v>6987</v>
      </c>
      <c r="J3542">
        <v>9.3645016299999995</v>
      </c>
      <c r="K3542">
        <v>-83.692398710000006</v>
      </c>
      <c r="L3542" t="s">
        <v>1225</v>
      </c>
      <c r="M3542" t="s">
        <v>46</v>
      </c>
      <c r="N3542" t="s">
        <v>247</v>
      </c>
      <c r="O3542" t="s">
        <v>248</v>
      </c>
      <c r="P3542">
        <v>14</v>
      </c>
      <c r="Q3542" t="s">
        <v>181</v>
      </c>
      <c r="S3542" t="str">
        <f>_xlfn.XLOOKUP(UNIVERSO[[#This Row],[Ruta]],'[1]CUOTA RUTA'!A:A,'[1]CUOTA RUTA'!D:D)</f>
        <v>Cargar</v>
      </c>
    </row>
    <row r="3543" spans="1:19" x14ac:dyDescent="0.25">
      <c r="A3543">
        <v>1540039380</v>
      </c>
      <c r="B3543" t="s">
        <v>6988</v>
      </c>
      <c r="C3543" t="s">
        <v>19</v>
      </c>
      <c r="D3543" t="s">
        <v>337</v>
      </c>
      <c r="E3543" t="s">
        <v>21</v>
      </c>
      <c r="F3543" t="s">
        <v>22</v>
      </c>
      <c r="G3543" t="s">
        <v>23</v>
      </c>
      <c r="H3543" t="s">
        <v>346</v>
      </c>
      <c r="I3543" t="s">
        <v>6989</v>
      </c>
      <c r="J3543">
        <v>10.408764440000001</v>
      </c>
      <c r="K3543">
        <v>-85.79321788</v>
      </c>
      <c r="L3543" t="s">
        <v>1225</v>
      </c>
      <c r="M3543" t="s">
        <v>327</v>
      </c>
      <c r="N3543" t="s">
        <v>340</v>
      </c>
      <c r="O3543" t="s">
        <v>341</v>
      </c>
      <c r="P3543">
        <v>18</v>
      </c>
      <c r="Q3543" t="s">
        <v>84</v>
      </c>
      <c r="S3543" t="str">
        <f>_xlfn.XLOOKUP(UNIVERSO[[#This Row],[Ruta]],'[1]CUOTA RUTA'!A:A,'[1]CUOTA RUTA'!D:D)</f>
        <v>Cargar</v>
      </c>
    </row>
    <row r="3544" spans="1:19" x14ac:dyDescent="0.25">
      <c r="A3544">
        <v>1540039397</v>
      </c>
      <c r="B3544" t="s">
        <v>6990</v>
      </c>
      <c r="C3544" t="s">
        <v>19</v>
      </c>
      <c r="D3544" t="s">
        <v>186</v>
      </c>
      <c r="E3544" t="s">
        <v>21</v>
      </c>
      <c r="F3544" t="s">
        <v>22</v>
      </c>
      <c r="G3544" t="s">
        <v>33</v>
      </c>
      <c r="H3544" t="s">
        <v>868</v>
      </c>
      <c r="I3544" t="s">
        <v>6991</v>
      </c>
      <c r="J3544">
        <v>9.9925859999999993</v>
      </c>
      <c r="K3544">
        <v>-83.027756999999994</v>
      </c>
      <c r="L3544" t="s">
        <v>1225</v>
      </c>
      <c r="M3544" t="s">
        <v>189</v>
      </c>
      <c r="N3544" t="s">
        <v>190</v>
      </c>
      <c r="O3544" t="s">
        <v>191</v>
      </c>
      <c r="P3544">
        <v>12</v>
      </c>
      <c r="Q3544" t="s">
        <v>42</v>
      </c>
      <c r="S3544" t="str">
        <f>_xlfn.XLOOKUP(UNIVERSO[[#This Row],[Ruta]],'[1]CUOTA RUTA'!A:A,'[1]CUOTA RUTA'!D:D)</f>
        <v>Cargar</v>
      </c>
    </row>
    <row r="3545" spans="1:19" x14ac:dyDescent="0.25">
      <c r="A3545">
        <v>1540039410</v>
      </c>
      <c r="B3545" t="s">
        <v>6992</v>
      </c>
      <c r="C3545" t="s">
        <v>19</v>
      </c>
      <c r="D3545" t="s">
        <v>201</v>
      </c>
      <c r="E3545" t="s">
        <v>21</v>
      </c>
      <c r="F3545" t="s">
        <v>22</v>
      </c>
      <c r="G3545" t="s">
        <v>33</v>
      </c>
      <c r="H3545" t="s">
        <v>488</v>
      </c>
      <c r="I3545" t="s">
        <v>6993</v>
      </c>
      <c r="J3545">
        <v>10.343864</v>
      </c>
      <c r="K3545">
        <v>-84.877617999999998</v>
      </c>
      <c r="L3545" t="s">
        <v>1225</v>
      </c>
      <c r="M3545" t="s">
        <v>204</v>
      </c>
      <c r="N3545" t="s">
        <v>205</v>
      </c>
      <c r="O3545" t="s">
        <v>206</v>
      </c>
      <c r="P3545">
        <v>12</v>
      </c>
      <c r="Q3545" t="s">
        <v>42</v>
      </c>
      <c r="S3545" t="str">
        <f>_xlfn.XLOOKUP(UNIVERSO[[#This Row],[Ruta]],'[1]CUOTA RUTA'!A:A,'[1]CUOTA RUTA'!D:D)</f>
        <v>Cargar</v>
      </c>
    </row>
    <row r="3546" spans="1:19" x14ac:dyDescent="0.25">
      <c r="A3546">
        <v>1540039411</v>
      </c>
      <c r="B3546" t="s">
        <v>6994</v>
      </c>
      <c r="C3546" t="s">
        <v>19</v>
      </c>
      <c r="D3546" t="s">
        <v>201</v>
      </c>
      <c r="E3546" t="s">
        <v>21</v>
      </c>
      <c r="F3546" t="s">
        <v>22</v>
      </c>
      <c r="G3546" t="s">
        <v>33</v>
      </c>
      <c r="H3546" t="s">
        <v>533</v>
      </c>
      <c r="I3546" t="s">
        <v>6995</v>
      </c>
      <c r="J3546">
        <v>9.9183719999999997</v>
      </c>
      <c r="K3546">
        <v>-84.519186000000005</v>
      </c>
      <c r="L3546" t="s">
        <v>1225</v>
      </c>
      <c r="M3546" t="s">
        <v>204</v>
      </c>
      <c r="N3546" t="s">
        <v>205</v>
      </c>
      <c r="O3546" t="s">
        <v>206</v>
      </c>
      <c r="P3546">
        <v>1</v>
      </c>
      <c r="Q3546" t="s">
        <v>155</v>
      </c>
      <c r="S3546" t="str">
        <f>_xlfn.XLOOKUP(UNIVERSO[[#This Row],[Ruta]],'[1]CUOTA RUTA'!A:A,'[1]CUOTA RUTA'!D:D)</f>
        <v>Cargar</v>
      </c>
    </row>
    <row r="3547" spans="1:19" x14ac:dyDescent="0.25">
      <c r="A3547">
        <v>1540039420</v>
      </c>
      <c r="B3547" t="s">
        <v>6996</v>
      </c>
      <c r="C3547" t="s">
        <v>19</v>
      </c>
      <c r="D3547" t="s">
        <v>349</v>
      </c>
      <c r="E3547" t="s">
        <v>21</v>
      </c>
      <c r="F3547" t="s">
        <v>22</v>
      </c>
      <c r="G3547" t="s">
        <v>64</v>
      </c>
      <c r="H3547" t="s">
        <v>496</v>
      </c>
      <c r="I3547" t="s">
        <v>6997</v>
      </c>
      <c r="J3547">
        <v>9.9503690000000002</v>
      </c>
      <c r="K3547">
        <v>-85.031306999999998</v>
      </c>
      <c r="L3547" t="s">
        <v>1225</v>
      </c>
      <c r="M3547" t="s">
        <v>352</v>
      </c>
      <c r="N3547" t="s">
        <v>353</v>
      </c>
      <c r="O3547" t="s">
        <v>354</v>
      </c>
      <c r="P3547">
        <v>15</v>
      </c>
      <c r="Q3547" t="s">
        <v>231</v>
      </c>
      <c r="S3547" t="str">
        <f>_xlfn.XLOOKUP(UNIVERSO[[#This Row],[Ruta]],'[1]CUOTA RUTA'!A:A,'[1]CUOTA RUTA'!D:D)</f>
        <v>Cargar</v>
      </c>
    </row>
    <row r="3548" spans="1:19" x14ac:dyDescent="0.25">
      <c r="A3548">
        <v>1540039440</v>
      </c>
      <c r="B3548" t="s">
        <v>6998</v>
      </c>
      <c r="C3548" t="s">
        <v>19</v>
      </c>
      <c r="D3548" t="s">
        <v>208</v>
      </c>
      <c r="E3548" t="s">
        <v>21</v>
      </c>
      <c r="F3548" t="s">
        <v>22</v>
      </c>
      <c r="G3548" t="s">
        <v>23</v>
      </c>
      <c r="H3548" t="s">
        <v>502</v>
      </c>
      <c r="I3548" t="s">
        <v>6999</v>
      </c>
      <c r="J3548">
        <v>10.41314006</v>
      </c>
      <c r="K3548">
        <v>-83.894877030000004</v>
      </c>
      <c r="L3548" t="s">
        <v>1225</v>
      </c>
      <c r="M3548" t="s">
        <v>189</v>
      </c>
      <c r="N3548" t="s">
        <v>211</v>
      </c>
      <c r="O3548" t="s">
        <v>212</v>
      </c>
      <c r="P3548">
        <v>10</v>
      </c>
      <c r="Q3548" t="s">
        <v>136</v>
      </c>
      <c r="S3548" t="str">
        <f>_xlfn.XLOOKUP(UNIVERSO[[#This Row],[Ruta]],'[1]CUOTA RUTA'!A:A,'[1]CUOTA RUTA'!D:D)</f>
        <v>Cargar</v>
      </c>
    </row>
    <row r="3549" spans="1:19" x14ac:dyDescent="0.25">
      <c r="A3549">
        <v>1540039468</v>
      </c>
      <c r="B3549" t="s">
        <v>7000</v>
      </c>
      <c r="C3549" t="s">
        <v>19</v>
      </c>
      <c r="D3549" t="s">
        <v>349</v>
      </c>
      <c r="E3549" t="s">
        <v>21</v>
      </c>
      <c r="F3549" t="s">
        <v>22</v>
      </c>
      <c r="G3549" t="s">
        <v>23</v>
      </c>
      <c r="H3549" t="s">
        <v>908</v>
      </c>
      <c r="I3549" t="s">
        <v>7001</v>
      </c>
      <c r="J3549">
        <v>10.058266</v>
      </c>
      <c r="K3549">
        <v>-85.416345000000007</v>
      </c>
      <c r="L3549" t="s">
        <v>1225</v>
      </c>
      <c r="M3549" t="s">
        <v>352</v>
      </c>
      <c r="N3549" t="s">
        <v>353</v>
      </c>
      <c r="O3549" t="s">
        <v>354</v>
      </c>
      <c r="P3549">
        <v>16</v>
      </c>
      <c r="Q3549" t="s">
        <v>60</v>
      </c>
      <c r="S3549" t="str">
        <f>_xlfn.XLOOKUP(UNIVERSO[[#This Row],[Ruta]],'[1]CUOTA RUTA'!A:A,'[1]CUOTA RUTA'!D:D)</f>
        <v>Cargar</v>
      </c>
    </row>
    <row r="3550" spans="1:19" x14ac:dyDescent="0.25">
      <c r="A3550">
        <v>1540039493</v>
      </c>
      <c r="B3550" t="s">
        <v>7002</v>
      </c>
      <c r="C3550" t="s">
        <v>19</v>
      </c>
      <c r="D3550" t="s">
        <v>569</v>
      </c>
      <c r="E3550" t="s">
        <v>21</v>
      </c>
      <c r="F3550" t="s">
        <v>22</v>
      </c>
      <c r="G3550" t="s">
        <v>33</v>
      </c>
      <c r="H3550" t="s">
        <v>2023</v>
      </c>
      <c r="I3550" t="s">
        <v>7003</v>
      </c>
      <c r="J3550">
        <v>8.6341636000000008</v>
      </c>
      <c r="K3550">
        <v>-83.162567100000004</v>
      </c>
      <c r="L3550" t="s">
        <v>1225</v>
      </c>
      <c r="M3550" t="s">
        <v>572</v>
      </c>
      <c r="N3550" t="s">
        <v>573</v>
      </c>
      <c r="O3550" t="s">
        <v>574</v>
      </c>
      <c r="P3550">
        <v>22</v>
      </c>
      <c r="Q3550" t="s">
        <v>30</v>
      </c>
      <c r="S3550" t="str">
        <f>_xlfn.XLOOKUP(UNIVERSO[[#This Row],[Ruta]],'[1]CUOTA RUTA'!A:A,'[1]CUOTA RUTA'!D:D)</f>
        <v>Cargar</v>
      </c>
    </row>
    <row r="3551" spans="1:19" x14ac:dyDescent="0.25">
      <c r="A3551">
        <v>1540039537</v>
      </c>
      <c r="B3551" t="s">
        <v>1252</v>
      </c>
      <c r="C3551" t="s">
        <v>19</v>
      </c>
      <c r="D3551" t="s">
        <v>32</v>
      </c>
      <c r="E3551" t="s">
        <v>21</v>
      </c>
      <c r="F3551" t="s">
        <v>22</v>
      </c>
      <c r="G3551" t="s">
        <v>33</v>
      </c>
      <c r="H3551" t="s">
        <v>82</v>
      </c>
      <c r="I3551" t="s">
        <v>7004</v>
      </c>
      <c r="J3551">
        <v>9.8989809999999991</v>
      </c>
      <c r="K3551">
        <v>-84.056184000000002</v>
      </c>
      <c r="L3551" t="s">
        <v>1225</v>
      </c>
      <c r="M3551" t="s">
        <v>71</v>
      </c>
      <c r="N3551" t="s">
        <v>72</v>
      </c>
      <c r="O3551" t="s">
        <v>73</v>
      </c>
      <c r="P3551">
        <v>18</v>
      </c>
      <c r="Q3551" t="s">
        <v>84</v>
      </c>
      <c r="S3551" t="str">
        <f>_xlfn.XLOOKUP(UNIVERSO[[#This Row],[Ruta]],'[1]CUOTA RUTA'!A:A,'[1]CUOTA RUTA'!D:D)</f>
        <v>Cargar</v>
      </c>
    </row>
    <row r="3552" spans="1:19" x14ac:dyDescent="0.25">
      <c r="A3552">
        <v>1540039553</v>
      </c>
      <c r="B3552" t="s">
        <v>7005</v>
      </c>
      <c r="C3552" t="s">
        <v>19</v>
      </c>
      <c r="D3552" t="s">
        <v>208</v>
      </c>
      <c r="E3552" t="s">
        <v>21</v>
      </c>
      <c r="F3552" t="s">
        <v>22</v>
      </c>
      <c r="G3552" t="s">
        <v>64</v>
      </c>
      <c r="H3552" t="s">
        <v>221</v>
      </c>
      <c r="I3552" t="s">
        <v>7006</v>
      </c>
      <c r="J3552">
        <v>10.3063</v>
      </c>
      <c r="K3552">
        <v>-83.7607</v>
      </c>
      <c r="L3552" t="s">
        <v>1225</v>
      </c>
      <c r="M3552" t="s">
        <v>189</v>
      </c>
      <c r="N3552" t="s">
        <v>211</v>
      </c>
      <c r="O3552" t="s">
        <v>212</v>
      </c>
      <c r="P3552">
        <v>1</v>
      </c>
      <c r="Q3552" t="s">
        <v>155</v>
      </c>
      <c r="S3552" t="str">
        <f>_xlfn.XLOOKUP(UNIVERSO[[#This Row],[Ruta]],'[1]CUOTA RUTA'!A:A,'[1]CUOTA RUTA'!D:D)</f>
        <v>Cargar</v>
      </c>
    </row>
    <row r="3553" spans="1:19" x14ac:dyDescent="0.25">
      <c r="A3553">
        <v>1540039562</v>
      </c>
      <c r="B3553" t="s">
        <v>7007</v>
      </c>
      <c r="C3553" t="s">
        <v>19</v>
      </c>
      <c r="D3553" t="s">
        <v>20</v>
      </c>
      <c r="E3553" t="s">
        <v>21</v>
      </c>
      <c r="F3553" t="s">
        <v>22</v>
      </c>
      <c r="G3553" t="s">
        <v>23</v>
      </c>
      <c r="H3553" t="s">
        <v>24</v>
      </c>
      <c r="I3553" t="s">
        <v>7008</v>
      </c>
      <c r="J3553">
        <v>9.9690234800000006</v>
      </c>
      <c r="K3553">
        <v>-84.128584250000003</v>
      </c>
      <c r="L3553" t="s">
        <v>1225</v>
      </c>
      <c r="M3553" t="s">
        <v>27</v>
      </c>
      <c r="N3553" t="s">
        <v>28</v>
      </c>
      <c r="O3553" t="s">
        <v>29</v>
      </c>
      <c r="P3553">
        <v>11</v>
      </c>
      <c r="Q3553" t="s">
        <v>108</v>
      </c>
      <c r="S3553" t="str">
        <f>_xlfn.XLOOKUP(UNIVERSO[[#This Row],[Ruta]],'[1]CUOTA RUTA'!A:A,'[1]CUOTA RUTA'!D:D)</f>
        <v>Cargar</v>
      </c>
    </row>
    <row r="3554" spans="1:19" x14ac:dyDescent="0.25">
      <c r="A3554">
        <v>1540039564</v>
      </c>
      <c r="B3554" t="s">
        <v>7009</v>
      </c>
      <c r="C3554" t="s">
        <v>19</v>
      </c>
      <c r="D3554" t="s">
        <v>20</v>
      </c>
      <c r="E3554" t="s">
        <v>21</v>
      </c>
      <c r="F3554" t="s">
        <v>22</v>
      </c>
      <c r="G3554" t="s">
        <v>64</v>
      </c>
      <c r="H3554" t="s">
        <v>369</v>
      </c>
      <c r="I3554" t="s">
        <v>7010</v>
      </c>
      <c r="J3554">
        <v>10.0136643</v>
      </c>
      <c r="K3554">
        <v>-84.146916200000007</v>
      </c>
      <c r="L3554" t="s">
        <v>1225</v>
      </c>
      <c r="M3554" t="s">
        <v>27</v>
      </c>
      <c r="N3554" t="s">
        <v>28</v>
      </c>
      <c r="O3554" t="s">
        <v>29</v>
      </c>
      <c r="P3554">
        <v>20</v>
      </c>
      <c r="Q3554" t="s">
        <v>74</v>
      </c>
      <c r="S3554" t="str">
        <f>_xlfn.XLOOKUP(UNIVERSO[[#This Row],[Ruta]],'[1]CUOTA RUTA'!A:A,'[1]CUOTA RUTA'!D:D)</f>
        <v>Cargar</v>
      </c>
    </row>
    <row r="3555" spans="1:19" x14ac:dyDescent="0.25">
      <c r="A3555">
        <v>1540039566</v>
      </c>
      <c r="B3555" t="s">
        <v>7011</v>
      </c>
      <c r="C3555" t="s">
        <v>19</v>
      </c>
      <c r="D3555" t="s">
        <v>324</v>
      </c>
      <c r="E3555" t="s">
        <v>21</v>
      </c>
      <c r="F3555" t="s">
        <v>22</v>
      </c>
      <c r="G3555" t="s">
        <v>33</v>
      </c>
      <c r="H3555" t="s">
        <v>390</v>
      </c>
      <c r="I3555" t="s">
        <v>7012</v>
      </c>
      <c r="J3555">
        <v>10.292664</v>
      </c>
      <c r="K3555">
        <v>-84.428421</v>
      </c>
      <c r="L3555" t="s">
        <v>1225</v>
      </c>
      <c r="M3555" t="s">
        <v>327</v>
      </c>
      <c r="N3555" t="s">
        <v>328</v>
      </c>
      <c r="O3555" t="s">
        <v>329</v>
      </c>
      <c r="P3555">
        <v>23</v>
      </c>
      <c r="Q3555" t="s">
        <v>125</v>
      </c>
      <c r="S3555" t="str">
        <f>_xlfn.XLOOKUP(UNIVERSO[[#This Row],[Ruta]],'[1]CUOTA RUTA'!A:A,'[1]CUOTA RUTA'!D:D)</f>
        <v>Cargar</v>
      </c>
    </row>
    <row r="3556" spans="1:19" x14ac:dyDescent="0.25">
      <c r="A3556">
        <v>1540039600</v>
      </c>
      <c r="B3556" t="s">
        <v>7013</v>
      </c>
      <c r="C3556" t="s">
        <v>19</v>
      </c>
      <c r="D3556" t="s">
        <v>20</v>
      </c>
      <c r="E3556" t="s">
        <v>21</v>
      </c>
      <c r="F3556" t="s">
        <v>22</v>
      </c>
      <c r="G3556" t="s">
        <v>64</v>
      </c>
      <c r="H3556" t="s">
        <v>250</v>
      </c>
      <c r="I3556" t="s">
        <v>7014</v>
      </c>
      <c r="J3556">
        <v>10.047545</v>
      </c>
      <c r="K3556">
        <v>-84.3164783</v>
      </c>
      <c r="L3556" t="s">
        <v>1225</v>
      </c>
      <c r="M3556" t="s">
        <v>46</v>
      </c>
      <c r="N3556" t="s">
        <v>47</v>
      </c>
      <c r="O3556" t="s">
        <v>48</v>
      </c>
      <c r="P3556">
        <v>11</v>
      </c>
      <c r="Q3556" t="s">
        <v>108</v>
      </c>
      <c r="S3556" t="str">
        <f>_xlfn.XLOOKUP(UNIVERSO[[#This Row],[Ruta]],'[1]CUOTA RUTA'!A:A,'[1]CUOTA RUTA'!D:D)</f>
        <v>Cargar</v>
      </c>
    </row>
    <row r="3557" spans="1:19" x14ac:dyDescent="0.25">
      <c r="A3557">
        <v>1540039613</v>
      </c>
      <c r="B3557" t="s">
        <v>7015</v>
      </c>
      <c r="C3557" t="s">
        <v>19</v>
      </c>
      <c r="D3557" t="s">
        <v>349</v>
      </c>
      <c r="E3557" t="s">
        <v>21</v>
      </c>
      <c r="F3557" t="s">
        <v>22</v>
      </c>
      <c r="G3557" t="s">
        <v>33</v>
      </c>
      <c r="H3557" t="s">
        <v>448</v>
      </c>
      <c r="I3557" t="s">
        <v>7016</v>
      </c>
      <c r="J3557">
        <v>10.199756000000001</v>
      </c>
      <c r="K3557">
        <v>-85.487442000000001</v>
      </c>
      <c r="L3557" t="s">
        <v>1225</v>
      </c>
      <c r="M3557" t="s">
        <v>352</v>
      </c>
      <c r="N3557" t="s">
        <v>353</v>
      </c>
      <c r="O3557" t="s">
        <v>354</v>
      </c>
      <c r="P3557">
        <v>3</v>
      </c>
      <c r="Q3557" t="s">
        <v>101</v>
      </c>
      <c r="S3557" t="str">
        <f>_xlfn.XLOOKUP(UNIVERSO[[#This Row],[Ruta]],'[1]CUOTA RUTA'!A:A,'[1]CUOTA RUTA'!D:D)</f>
        <v>Cargar</v>
      </c>
    </row>
    <row r="3558" spans="1:19" x14ac:dyDescent="0.25">
      <c r="A3558">
        <v>1540039619</v>
      </c>
      <c r="B3558" t="s">
        <v>844</v>
      </c>
      <c r="C3558" t="s">
        <v>19</v>
      </c>
      <c r="D3558" t="s">
        <v>244</v>
      </c>
      <c r="E3558" t="s">
        <v>21</v>
      </c>
      <c r="F3558" t="s">
        <v>22</v>
      </c>
      <c r="G3558" t="s">
        <v>23</v>
      </c>
      <c r="H3558" t="s">
        <v>819</v>
      </c>
      <c r="I3558" t="s">
        <v>7017</v>
      </c>
      <c r="J3558">
        <v>9.5447860000000002</v>
      </c>
      <c r="K3558">
        <v>-84.342955000000003</v>
      </c>
      <c r="L3558" t="s">
        <v>1225</v>
      </c>
      <c r="M3558" t="s">
        <v>46</v>
      </c>
      <c r="N3558" t="s">
        <v>247</v>
      </c>
      <c r="O3558" t="s">
        <v>248</v>
      </c>
      <c r="P3558">
        <v>22</v>
      </c>
      <c r="Q3558" t="s">
        <v>30</v>
      </c>
      <c r="S3558" t="str">
        <f>_xlfn.XLOOKUP(UNIVERSO[[#This Row],[Ruta]],'[1]CUOTA RUTA'!A:A,'[1]CUOTA RUTA'!D:D)</f>
        <v>Cargar</v>
      </c>
    </row>
    <row r="3559" spans="1:19" x14ac:dyDescent="0.25">
      <c r="A3559">
        <v>1540039701</v>
      </c>
      <c r="B3559" t="s">
        <v>7018</v>
      </c>
      <c r="C3559" t="s">
        <v>19</v>
      </c>
      <c r="D3559" t="s">
        <v>244</v>
      </c>
      <c r="E3559" t="s">
        <v>21</v>
      </c>
      <c r="F3559" t="s">
        <v>22</v>
      </c>
      <c r="G3559" t="s">
        <v>64</v>
      </c>
      <c r="H3559" t="s">
        <v>767</v>
      </c>
      <c r="I3559" t="s">
        <v>7019</v>
      </c>
      <c r="J3559">
        <v>9.3938673900000005</v>
      </c>
      <c r="K3559">
        <v>-83.758542700000007</v>
      </c>
      <c r="L3559" t="s">
        <v>1225</v>
      </c>
      <c r="M3559" t="s">
        <v>46</v>
      </c>
      <c r="N3559" t="s">
        <v>247</v>
      </c>
      <c r="O3559" t="s">
        <v>248</v>
      </c>
      <c r="P3559">
        <v>17</v>
      </c>
      <c r="Q3559" t="s">
        <v>287</v>
      </c>
      <c r="S3559" t="str">
        <f>_xlfn.XLOOKUP(UNIVERSO[[#This Row],[Ruta]],'[1]CUOTA RUTA'!A:A,'[1]CUOTA RUTA'!D:D)</f>
        <v>Cargar</v>
      </c>
    </row>
    <row r="3560" spans="1:19" x14ac:dyDescent="0.25">
      <c r="A3560">
        <v>1540039738</v>
      </c>
      <c r="B3560" t="s">
        <v>7020</v>
      </c>
      <c r="C3560" t="s">
        <v>19</v>
      </c>
      <c r="D3560" t="s">
        <v>208</v>
      </c>
      <c r="E3560" t="s">
        <v>21</v>
      </c>
      <c r="F3560" t="s">
        <v>22</v>
      </c>
      <c r="G3560" t="s">
        <v>64</v>
      </c>
      <c r="H3560" t="s">
        <v>1794</v>
      </c>
      <c r="I3560" t="s">
        <v>7021</v>
      </c>
      <c r="J3560">
        <v>10.202918</v>
      </c>
      <c r="K3560">
        <v>-83.788056999999995</v>
      </c>
      <c r="L3560" t="s">
        <v>1225</v>
      </c>
      <c r="M3560" t="s">
        <v>189</v>
      </c>
      <c r="N3560" t="s">
        <v>211</v>
      </c>
      <c r="O3560" t="s">
        <v>212</v>
      </c>
      <c r="P3560">
        <v>4</v>
      </c>
      <c r="Q3560" t="s">
        <v>120</v>
      </c>
      <c r="S3560" t="str">
        <f>_xlfn.XLOOKUP(UNIVERSO[[#This Row],[Ruta]],'[1]CUOTA RUTA'!A:A,'[1]CUOTA RUTA'!D:D)</f>
        <v>Cargar</v>
      </c>
    </row>
    <row r="3561" spans="1:19" x14ac:dyDescent="0.25">
      <c r="A3561">
        <v>1540039753</v>
      </c>
      <c r="B3561" t="s">
        <v>7022</v>
      </c>
      <c r="C3561" t="s">
        <v>19</v>
      </c>
      <c r="D3561" t="s">
        <v>32</v>
      </c>
      <c r="E3561" t="s">
        <v>21</v>
      </c>
      <c r="F3561" t="s">
        <v>22</v>
      </c>
      <c r="G3561" t="s">
        <v>64</v>
      </c>
      <c r="H3561" t="s">
        <v>716</v>
      </c>
      <c r="I3561" t="s">
        <v>7023</v>
      </c>
      <c r="J3561">
        <v>9.9229299999999991</v>
      </c>
      <c r="K3561">
        <v>-84.051185000000004</v>
      </c>
      <c r="L3561" t="s">
        <v>1225</v>
      </c>
      <c r="M3561" t="s">
        <v>36</v>
      </c>
      <c r="N3561" t="s">
        <v>37</v>
      </c>
      <c r="O3561" t="s">
        <v>38</v>
      </c>
      <c r="P3561">
        <v>7</v>
      </c>
      <c r="Q3561" t="s">
        <v>39</v>
      </c>
      <c r="S3561" t="str">
        <f>_xlfn.XLOOKUP(UNIVERSO[[#This Row],[Ruta]],'[1]CUOTA RUTA'!A:A,'[1]CUOTA RUTA'!D:D)</f>
        <v>Cargar</v>
      </c>
    </row>
    <row r="3562" spans="1:19" x14ac:dyDescent="0.25">
      <c r="A3562">
        <v>1540039769</v>
      </c>
      <c r="B3562" t="s">
        <v>7024</v>
      </c>
      <c r="C3562" t="s">
        <v>19</v>
      </c>
      <c r="D3562" t="s">
        <v>324</v>
      </c>
      <c r="E3562" t="s">
        <v>21</v>
      </c>
      <c r="F3562" t="s">
        <v>22</v>
      </c>
      <c r="G3562" t="s">
        <v>64</v>
      </c>
      <c r="H3562" t="s">
        <v>393</v>
      </c>
      <c r="I3562" t="s">
        <v>7025</v>
      </c>
      <c r="J3562">
        <v>10.316637999999999</v>
      </c>
      <c r="K3562">
        <v>-84.423360000000002</v>
      </c>
      <c r="L3562" t="s">
        <v>1225</v>
      </c>
      <c r="M3562" t="s">
        <v>327</v>
      </c>
      <c r="N3562" t="s">
        <v>328</v>
      </c>
      <c r="O3562" t="s">
        <v>329</v>
      </c>
      <c r="P3562">
        <v>22</v>
      </c>
      <c r="Q3562" t="s">
        <v>30</v>
      </c>
      <c r="S3562" t="str">
        <f>_xlfn.XLOOKUP(UNIVERSO[[#This Row],[Ruta]],'[1]CUOTA RUTA'!A:A,'[1]CUOTA RUTA'!D:D)</f>
        <v>Cargar</v>
      </c>
    </row>
    <row r="3563" spans="1:19" x14ac:dyDescent="0.25">
      <c r="A3563">
        <v>1540039789</v>
      </c>
      <c r="B3563" t="s">
        <v>7026</v>
      </c>
      <c r="C3563" t="s">
        <v>19</v>
      </c>
      <c r="D3563" t="s">
        <v>201</v>
      </c>
      <c r="E3563" t="s">
        <v>21</v>
      </c>
      <c r="F3563" t="s">
        <v>22</v>
      </c>
      <c r="G3563" t="s">
        <v>33</v>
      </c>
      <c r="H3563" t="s">
        <v>202</v>
      </c>
      <c r="I3563" t="s">
        <v>7027</v>
      </c>
      <c r="J3563">
        <v>9.9787079999999992</v>
      </c>
      <c r="K3563">
        <v>-84.725112999999993</v>
      </c>
      <c r="L3563" t="s">
        <v>1225</v>
      </c>
      <c r="M3563" t="s">
        <v>204</v>
      </c>
      <c r="N3563" t="s">
        <v>205</v>
      </c>
      <c r="O3563" t="s">
        <v>206</v>
      </c>
      <c r="P3563">
        <v>7</v>
      </c>
      <c r="Q3563" t="s">
        <v>39</v>
      </c>
      <c r="S3563" t="str">
        <f>_xlfn.XLOOKUP(UNIVERSO[[#This Row],[Ruta]],'[1]CUOTA RUTA'!A:A,'[1]CUOTA RUTA'!D:D)</f>
        <v>Cargar</v>
      </c>
    </row>
    <row r="3564" spans="1:19" x14ac:dyDescent="0.25">
      <c r="A3564">
        <v>1540039813</v>
      </c>
      <c r="B3564" t="s">
        <v>7028</v>
      </c>
      <c r="C3564" t="s">
        <v>19</v>
      </c>
      <c r="D3564" t="s">
        <v>208</v>
      </c>
      <c r="E3564" t="s">
        <v>62</v>
      </c>
      <c r="F3564" t="s">
        <v>63</v>
      </c>
      <c r="G3564" t="s">
        <v>64</v>
      </c>
      <c r="H3564" t="s">
        <v>502</v>
      </c>
      <c r="I3564" t="s">
        <v>7029</v>
      </c>
      <c r="J3564">
        <v>10.3093</v>
      </c>
      <c r="K3564">
        <v>-83.503200000000007</v>
      </c>
      <c r="L3564" t="s">
        <v>1225</v>
      </c>
      <c r="M3564" t="s">
        <v>189</v>
      </c>
      <c r="N3564" t="s">
        <v>211</v>
      </c>
      <c r="O3564" t="s">
        <v>212</v>
      </c>
      <c r="P3564">
        <v>9</v>
      </c>
      <c r="Q3564" t="s">
        <v>80</v>
      </c>
      <c r="S3564" t="str">
        <f>_xlfn.XLOOKUP(UNIVERSO[[#This Row],[Ruta]],'[1]CUOTA RUTA'!A:A,'[1]CUOTA RUTA'!D:D)</f>
        <v>Cargar</v>
      </c>
    </row>
    <row r="3565" spans="1:19" x14ac:dyDescent="0.25">
      <c r="A3565">
        <v>1540039826</v>
      </c>
      <c r="B3565" t="s">
        <v>7030</v>
      </c>
      <c r="C3565" t="s">
        <v>19</v>
      </c>
      <c r="D3565" t="s">
        <v>32</v>
      </c>
      <c r="E3565" t="s">
        <v>21</v>
      </c>
      <c r="F3565" t="s">
        <v>51</v>
      </c>
      <c r="G3565" t="s">
        <v>23</v>
      </c>
      <c r="H3565" t="s">
        <v>134</v>
      </c>
      <c r="I3565" t="s">
        <v>7031</v>
      </c>
      <c r="J3565">
        <v>9.8966716666670003</v>
      </c>
      <c r="K3565">
        <v>-84.060244999999995</v>
      </c>
      <c r="L3565" t="s">
        <v>1225</v>
      </c>
      <c r="M3565" t="s">
        <v>94</v>
      </c>
      <c r="N3565" t="s">
        <v>95</v>
      </c>
      <c r="O3565" t="s">
        <v>96</v>
      </c>
      <c r="P3565">
        <v>12</v>
      </c>
      <c r="Q3565" t="s">
        <v>42</v>
      </c>
      <c r="S3565" t="str">
        <f>_xlfn.XLOOKUP(UNIVERSO[[#This Row],[Ruta]],'[1]CUOTA RUTA'!A:A,'[1]CUOTA RUTA'!D:D)</f>
        <v>Cargar</v>
      </c>
    </row>
    <row r="3566" spans="1:19" x14ac:dyDescent="0.25">
      <c r="A3566">
        <v>1540039937</v>
      </c>
      <c r="B3566" t="s">
        <v>7032</v>
      </c>
      <c r="C3566" t="s">
        <v>19</v>
      </c>
      <c r="D3566" t="s">
        <v>201</v>
      </c>
      <c r="E3566" t="s">
        <v>21</v>
      </c>
      <c r="F3566" t="s">
        <v>22</v>
      </c>
      <c r="G3566" t="s">
        <v>64</v>
      </c>
      <c r="H3566" t="s">
        <v>785</v>
      </c>
      <c r="I3566" t="s">
        <v>7033</v>
      </c>
      <c r="J3566">
        <v>10.020855299999999</v>
      </c>
      <c r="K3566">
        <v>-84.809124499999996</v>
      </c>
      <c r="L3566" t="s">
        <v>1225</v>
      </c>
      <c r="M3566" t="s">
        <v>204</v>
      </c>
      <c r="N3566" t="s">
        <v>205</v>
      </c>
      <c r="O3566" t="s">
        <v>206</v>
      </c>
      <c r="P3566">
        <v>11</v>
      </c>
      <c r="Q3566" t="s">
        <v>108</v>
      </c>
      <c r="S3566" t="str">
        <f>_xlfn.XLOOKUP(UNIVERSO[[#This Row],[Ruta]],'[1]CUOTA RUTA'!A:A,'[1]CUOTA RUTA'!D:D)</f>
        <v>Cargar</v>
      </c>
    </row>
    <row r="3567" spans="1:19" x14ac:dyDescent="0.25">
      <c r="A3567">
        <v>1540039946</v>
      </c>
      <c r="B3567" t="s">
        <v>7034</v>
      </c>
      <c r="C3567" t="s">
        <v>19</v>
      </c>
      <c r="D3567" t="s">
        <v>201</v>
      </c>
      <c r="E3567" t="s">
        <v>21</v>
      </c>
      <c r="F3567" t="s">
        <v>22</v>
      </c>
      <c r="G3567" t="s">
        <v>64</v>
      </c>
      <c r="H3567" t="s">
        <v>528</v>
      </c>
      <c r="I3567" t="s">
        <v>7035</v>
      </c>
      <c r="J3567">
        <v>10.185924</v>
      </c>
      <c r="K3567">
        <v>-85.109341000000001</v>
      </c>
      <c r="L3567" t="s">
        <v>1225</v>
      </c>
      <c r="M3567" t="s">
        <v>327</v>
      </c>
      <c r="N3567" t="s">
        <v>530</v>
      </c>
      <c r="O3567" t="s">
        <v>531</v>
      </c>
      <c r="P3567">
        <v>2</v>
      </c>
      <c r="Q3567" t="s">
        <v>150</v>
      </c>
      <c r="S3567" t="str">
        <f>_xlfn.XLOOKUP(UNIVERSO[[#This Row],[Ruta]],'[1]CUOTA RUTA'!A:A,'[1]CUOTA RUTA'!D:D)</f>
        <v>Cargar</v>
      </c>
    </row>
    <row r="3568" spans="1:19" x14ac:dyDescent="0.25">
      <c r="A3568">
        <v>1540039982</v>
      </c>
      <c r="B3568" t="s">
        <v>7036</v>
      </c>
      <c r="C3568" t="s">
        <v>19</v>
      </c>
      <c r="D3568" t="s">
        <v>20</v>
      </c>
      <c r="E3568" t="s">
        <v>21</v>
      </c>
      <c r="F3568" t="s">
        <v>22</v>
      </c>
      <c r="G3568" t="s">
        <v>64</v>
      </c>
      <c r="H3568" t="s">
        <v>458</v>
      </c>
      <c r="I3568" t="s">
        <v>7037</v>
      </c>
      <c r="J3568">
        <v>9.9640199999999997</v>
      </c>
      <c r="K3568">
        <v>-84.313730000000007</v>
      </c>
      <c r="L3568" t="s">
        <v>1225</v>
      </c>
      <c r="M3568" t="s">
        <v>54</v>
      </c>
      <c r="N3568" t="s">
        <v>55</v>
      </c>
      <c r="O3568" t="s">
        <v>56</v>
      </c>
      <c r="P3568">
        <v>20</v>
      </c>
      <c r="Q3568" t="s">
        <v>74</v>
      </c>
      <c r="S3568" t="str">
        <f>_xlfn.XLOOKUP(UNIVERSO[[#This Row],[Ruta]],'[1]CUOTA RUTA'!A:A,'[1]CUOTA RUTA'!D:D)</f>
        <v>Cargar</v>
      </c>
    </row>
    <row r="3569" spans="1:19" x14ac:dyDescent="0.25">
      <c r="A3569">
        <v>1540039997</v>
      </c>
      <c r="B3569" t="s">
        <v>7038</v>
      </c>
      <c r="C3569" t="s">
        <v>19</v>
      </c>
      <c r="D3569" t="s">
        <v>244</v>
      </c>
      <c r="E3569" t="s">
        <v>21</v>
      </c>
      <c r="F3569" t="s">
        <v>22</v>
      </c>
      <c r="G3569" t="s">
        <v>33</v>
      </c>
      <c r="H3569" t="s">
        <v>1294</v>
      </c>
      <c r="I3569" t="s">
        <v>7039</v>
      </c>
      <c r="J3569">
        <v>9.3664919999999992</v>
      </c>
      <c r="K3569">
        <v>-83.704102000000006</v>
      </c>
      <c r="L3569" t="s">
        <v>1225</v>
      </c>
      <c r="M3569" t="s">
        <v>46</v>
      </c>
      <c r="N3569" t="s">
        <v>247</v>
      </c>
      <c r="O3569" t="s">
        <v>248</v>
      </c>
      <c r="P3569">
        <v>14</v>
      </c>
      <c r="Q3569" t="s">
        <v>181</v>
      </c>
      <c r="S3569" t="str">
        <f>_xlfn.XLOOKUP(UNIVERSO[[#This Row],[Ruta]],'[1]CUOTA RUTA'!A:A,'[1]CUOTA RUTA'!D:D)</f>
        <v>Cargar</v>
      </c>
    </row>
    <row r="3570" spans="1:19" x14ac:dyDescent="0.25">
      <c r="A3570">
        <v>1540040004</v>
      </c>
      <c r="B3570" t="s">
        <v>7040</v>
      </c>
      <c r="C3570" t="s">
        <v>19</v>
      </c>
      <c r="D3570" t="s">
        <v>266</v>
      </c>
      <c r="E3570" t="s">
        <v>21</v>
      </c>
      <c r="F3570" t="s">
        <v>22</v>
      </c>
      <c r="G3570" t="s">
        <v>64</v>
      </c>
      <c r="H3570" t="s">
        <v>272</v>
      </c>
      <c r="I3570" t="s">
        <v>7041</v>
      </c>
      <c r="J3570">
        <v>9.8477589999999999</v>
      </c>
      <c r="K3570">
        <v>-83.845024499999994</v>
      </c>
      <c r="L3570" t="s">
        <v>1225</v>
      </c>
      <c r="M3570" t="s">
        <v>54</v>
      </c>
      <c r="N3570" t="s">
        <v>274</v>
      </c>
      <c r="O3570" t="s">
        <v>275</v>
      </c>
      <c r="P3570">
        <v>21</v>
      </c>
      <c r="Q3570" t="s">
        <v>239</v>
      </c>
      <c r="S3570" t="str">
        <f>_xlfn.XLOOKUP(UNIVERSO[[#This Row],[Ruta]],'[1]CUOTA RUTA'!A:A,'[1]CUOTA RUTA'!D:D)</f>
        <v>Cargar</v>
      </c>
    </row>
    <row r="3571" spans="1:19" x14ac:dyDescent="0.25">
      <c r="A3571">
        <v>1540040008</v>
      </c>
      <c r="B3571" t="s">
        <v>7042</v>
      </c>
      <c r="C3571" t="s">
        <v>19</v>
      </c>
      <c r="D3571" t="s">
        <v>266</v>
      </c>
      <c r="E3571" t="s">
        <v>21</v>
      </c>
      <c r="F3571" t="s">
        <v>22</v>
      </c>
      <c r="G3571" t="s">
        <v>64</v>
      </c>
      <c r="H3571" t="s">
        <v>404</v>
      </c>
      <c r="I3571" t="s">
        <v>7043</v>
      </c>
      <c r="J3571">
        <v>9.8680640000000004</v>
      </c>
      <c r="K3571">
        <v>-83.901484999999994</v>
      </c>
      <c r="L3571" t="s">
        <v>1225</v>
      </c>
      <c r="M3571" t="s">
        <v>36</v>
      </c>
      <c r="N3571" t="s">
        <v>316</v>
      </c>
      <c r="O3571" t="s">
        <v>317</v>
      </c>
      <c r="P3571">
        <v>16</v>
      </c>
      <c r="Q3571" t="s">
        <v>60</v>
      </c>
      <c r="S3571" t="str">
        <f>_xlfn.XLOOKUP(UNIVERSO[[#This Row],[Ruta]],'[1]CUOTA RUTA'!A:A,'[1]CUOTA RUTA'!D:D)</f>
        <v>Cargar</v>
      </c>
    </row>
    <row r="3572" spans="1:19" x14ac:dyDescent="0.25">
      <c r="A3572">
        <v>1540040018</v>
      </c>
      <c r="B3572" t="s">
        <v>7044</v>
      </c>
      <c r="C3572" t="s">
        <v>19</v>
      </c>
      <c r="D3572" t="s">
        <v>32</v>
      </c>
      <c r="E3572" t="s">
        <v>21</v>
      </c>
      <c r="F3572" t="s">
        <v>22</v>
      </c>
      <c r="G3572" t="s">
        <v>64</v>
      </c>
      <c r="H3572" t="s">
        <v>89</v>
      </c>
      <c r="I3572" t="s">
        <v>7045</v>
      </c>
      <c r="J3572">
        <v>9.8844650000000005</v>
      </c>
      <c r="K3572">
        <v>-84.080669</v>
      </c>
      <c r="L3572" t="s">
        <v>1225</v>
      </c>
      <c r="M3572" t="s">
        <v>71</v>
      </c>
      <c r="N3572" t="s">
        <v>72</v>
      </c>
      <c r="O3572" t="s">
        <v>73</v>
      </c>
      <c r="P3572">
        <v>16</v>
      </c>
      <c r="Q3572" t="s">
        <v>60</v>
      </c>
      <c r="S3572" t="str">
        <f>_xlfn.XLOOKUP(UNIVERSO[[#This Row],[Ruta]],'[1]CUOTA RUTA'!A:A,'[1]CUOTA RUTA'!D:D)</f>
        <v>Cargar</v>
      </c>
    </row>
    <row r="3573" spans="1:19" x14ac:dyDescent="0.25">
      <c r="A3573">
        <v>1540040037</v>
      </c>
      <c r="B3573" t="s">
        <v>7046</v>
      </c>
      <c r="C3573" t="s">
        <v>19</v>
      </c>
      <c r="D3573" t="s">
        <v>20</v>
      </c>
      <c r="E3573" t="s">
        <v>21</v>
      </c>
      <c r="F3573" t="s">
        <v>22</v>
      </c>
      <c r="G3573" t="s">
        <v>23</v>
      </c>
      <c r="H3573" t="s">
        <v>874</v>
      </c>
      <c r="I3573" t="s">
        <v>7047</v>
      </c>
      <c r="J3573">
        <v>9.9947999999999997</v>
      </c>
      <c r="K3573">
        <v>-84.118520000000004</v>
      </c>
      <c r="L3573" t="s">
        <v>1225</v>
      </c>
      <c r="M3573" t="s">
        <v>27</v>
      </c>
      <c r="N3573" t="s">
        <v>28</v>
      </c>
      <c r="O3573" t="s">
        <v>29</v>
      </c>
      <c r="P3573">
        <v>13</v>
      </c>
      <c r="Q3573" t="s">
        <v>161</v>
      </c>
      <c r="S3573" t="str">
        <f>_xlfn.XLOOKUP(UNIVERSO[[#This Row],[Ruta]],'[1]CUOTA RUTA'!A:A,'[1]CUOTA RUTA'!D:D)</f>
        <v>Cargar</v>
      </c>
    </row>
    <row r="3574" spans="1:19" x14ac:dyDescent="0.25">
      <c r="A3574">
        <v>1540040084</v>
      </c>
      <c r="B3574" t="s">
        <v>7048</v>
      </c>
      <c r="C3574" t="s">
        <v>19</v>
      </c>
      <c r="D3574" t="s">
        <v>244</v>
      </c>
      <c r="E3574" t="s">
        <v>21</v>
      </c>
      <c r="F3574" t="s">
        <v>22</v>
      </c>
      <c r="G3574" t="s">
        <v>33</v>
      </c>
      <c r="H3574" t="s">
        <v>1294</v>
      </c>
      <c r="I3574" t="s">
        <v>7049</v>
      </c>
      <c r="J3574">
        <v>9.3657009999999996</v>
      </c>
      <c r="K3574">
        <v>-83.706614999999999</v>
      </c>
      <c r="L3574" t="s">
        <v>1225</v>
      </c>
      <c r="M3574" t="s">
        <v>46</v>
      </c>
      <c r="N3574" t="s">
        <v>247</v>
      </c>
      <c r="O3574" t="s">
        <v>248</v>
      </c>
      <c r="P3574">
        <v>14</v>
      </c>
      <c r="Q3574" t="s">
        <v>181</v>
      </c>
      <c r="S3574" t="str">
        <f>_xlfn.XLOOKUP(UNIVERSO[[#This Row],[Ruta]],'[1]CUOTA RUTA'!A:A,'[1]CUOTA RUTA'!D:D)</f>
        <v>Cargar</v>
      </c>
    </row>
    <row r="3575" spans="1:19" x14ac:dyDescent="0.25">
      <c r="A3575">
        <v>1540040086</v>
      </c>
      <c r="B3575" t="s">
        <v>7050</v>
      </c>
      <c r="C3575" t="s">
        <v>19</v>
      </c>
      <c r="D3575" t="s">
        <v>32</v>
      </c>
      <c r="E3575" t="s">
        <v>21</v>
      </c>
      <c r="F3575" t="s">
        <v>22</v>
      </c>
      <c r="G3575" t="s">
        <v>23</v>
      </c>
      <c r="H3575" t="s">
        <v>34</v>
      </c>
      <c r="I3575" t="s">
        <v>7051</v>
      </c>
      <c r="J3575">
        <v>9.9191310000000001</v>
      </c>
      <c r="K3575">
        <v>-84.027046999999996</v>
      </c>
      <c r="L3575" t="s">
        <v>1225</v>
      </c>
      <c r="M3575" t="s">
        <v>36</v>
      </c>
      <c r="N3575" t="s">
        <v>37</v>
      </c>
      <c r="O3575" t="s">
        <v>38</v>
      </c>
      <c r="P3575">
        <v>14</v>
      </c>
      <c r="Q3575" t="s">
        <v>181</v>
      </c>
      <c r="S3575" t="str">
        <f>_xlfn.XLOOKUP(UNIVERSO[[#This Row],[Ruta]],'[1]CUOTA RUTA'!A:A,'[1]CUOTA RUTA'!D:D)</f>
        <v>Cargar</v>
      </c>
    </row>
    <row r="3576" spans="1:19" x14ac:dyDescent="0.25">
      <c r="A3576">
        <v>1540040122</v>
      </c>
      <c r="B3576" t="s">
        <v>7052</v>
      </c>
      <c r="C3576" t="s">
        <v>19</v>
      </c>
      <c r="D3576" t="s">
        <v>266</v>
      </c>
      <c r="E3576" t="s">
        <v>21</v>
      </c>
      <c r="F3576" t="s">
        <v>22</v>
      </c>
      <c r="G3576" t="s">
        <v>64</v>
      </c>
      <c r="H3576" t="s">
        <v>267</v>
      </c>
      <c r="I3576" t="s">
        <v>7053</v>
      </c>
      <c r="J3576">
        <v>9.9847013499999999</v>
      </c>
      <c r="K3576">
        <v>-83.642572560000005</v>
      </c>
      <c r="L3576" t="s">
        <v>1225</v>
      </c>
      <c r="M3576" t="s">
        <v>189</v>
      </c>
      <c r="N3576" t="s">
        <v>269</v>
      </c>
      <c r="O3576" t="s">
        <v>270</v>
      </c>
      <c r="P3576">
        <v>23</v>
      </c>
      <c r="Q3576" t="s">
        <v>125</v>
      </c>
      <c r="S3576" t="str">
        <f>_xlfn.XLOOKUP(UNIVERSO[[#This Row],[Ruta]],'[1]CUOTA RUTA'!A:A,'[1]CUOTA RUTA'!D:D)</f>
        <v>Cargar</v>
      </c>
    </row>
    <row r="3577" spans="1:19" x14ac:dyDescent="0.25">
      <c r="A3577">
        <v>1540040156</v>
      </c>
      <c r="B3577" t="s">
        <v>7054</v>
      </c>
      <c r="C3577" t="s">
        <v>19</v>
      </c>
      <c r="D3577" t="s">
        <v>208</v>
      </c>
      <c r="E3577" t="s">
        <v>62</v>
      </c>
      <c r="F3577" t="s">
        <v>63</v>
      </c>
      <c r="G3577" t="s">
        <v>33</v>
      </c>
      <c r="H3577" t="s">
        <v>631</v>
      </c>
      <c r="I3577" t="s">
        <v>7055</v>
      </c>
      <c r="J3577">
        <v>10.494839000000001</v>
      </c>
      <c r="K3577">
        <v>-84.009782000000001</v>
      </c>
      <c r="L3577" t="s">
        <v>1225</v>
      </c>
      <c r="M3577" t="s">
        <v>189</v>
      </c>
      <c r="N3577" t="s">
        <v>211</v>
      </c>
      <c r="O3577" t="s">
        <v>212</v>
      </c>
      <c r="P3577">
        <v>10</v>
      </c>
      <c r="Q3577" t="s">
        <v>136</v>
      </c>
      <c r="S3577" t="str">
        <f>_xlfn.XLOOKUP(UNIVERSO[[#This Row],[Ruta]],'[1]CUOTA RUTA'!A:A,'[1]CUOTA RUTA'!D:D)</f>
        <v>Cargar</v>
      </c>
    </row>
    <row r="3578" spans="1:19" x14ac:dyDescent="0.25">
      <c r="A3578">
        <v>1540040188</v>
      </c>
      <c r="B3578" t="s">
        <v>7056</v>
      </c>
      <c r="C3578" t="s">
        <v>19</v>
      </c>
      <c r="D3578" t="s">
        <v>244</v>
      </c>
      <c r="E3578" t="s">
        <v>21</v>
      </c>
      <c r="F3578" t="s">
        <v>22</v>
      </c>
      <c r="G3578" t="s">
        <v>33</v>
      </c>
      <c r="H3578" t="s">
        <v>857</v>
      </c>
      <c r="I3578" t="s">
        <v>7057</v>
      </c>
      <c r="J3578">
        <v>9.3041990000000006</v>
      </c>
      <c r="K3578">
        <v>-83.654308</v>
      </c>
      <c r="L3578" t="s">
        <v>1225</v>
      </c>
      <c r="M3578" t="s">
        <v>46</v>
      </c>
      <c r="N3578" t="s">
        <v>247</v>
      </c>
      <c r="O3578" t="s">
        <v>248</v>
      </c>
      <c r="P3578">
        <v>13</v>
      </c>
      <c r="Q3578" t="s">
        <v>161</v>
      </c>
      <c r="S3578" t="str">
        <f>_xlfn.XLOOKUP(UNIVERSO[[#This Row],[Ruta]],'[1]CUOTA RUTA'!A:A,'[1]CUOTA RUTA'!D:D)</f>
        <v>Cargar</v>
      </c>
    </row>
    <row r="3579" spans="1:19" x14ac:dyDescent="0.25">
      <c r="A3579">
        <v>1540040192</v>
      </c>
      <c r="B3579" t="s">
        <v>6525</v>
      </c>
      <c r="C3579" t="s">
        <v>19</v>
      </c>
      <c r="D3579" t="s">
        <v>324</v>
      </c>
      <c r="E3579" t="s">
        <v>21</v>
      </c>
      <c r="F3579" t="s">
        <v>51</v>
      </c>
      <c r="G3579" t="s">
        <v>23</v>
      </c>
      <c r="H3579" t="s">
        <v>390</v>
      </c>
      <c r="I3579" t="s">
        <v>7058</v>
      </c>
      <c r="J3579">
        <v>10.3385</v>
      </c>
      <c r="K3579">
        <v>-84.431899999999999</v>
      </c>
      <c r="L3579" t="s">
        <v>1225</v>
      </c>
      <c r="M3579" t="s">
        <v>327</v>
      </c>
      <c r="N3579" t="s">
        <v>328</v>
      </c>
      <c r="O3579" t="s">
        <v>329</v>
      </c>
      <c r="P3579">
        <v>15</v>
      </c>
      <c r="Q3579" t="s">
        <v>231</v>
      </c>
      <c r="S3579" t="str">
        <f>_xlfn.XLOOKUP(UNIVERSO[[#This Row],[Ruta]],'[1]CUOTA RUTA'!A:A,'[1]CUOTA RUTA'!D:D)</f>
        <v>Cargar</v>
      </c>
    </row>
    <row r="3580" spans="1:19" x14ac:dyDescent="0.25">
      <c r="A3580">
        <v>1540040237</v>
      </c>
      <c r="B3580" t="s">
        <v>7059</v>
      </c>
      <c r="C3580" t="s">
        <v>19</v>
      </c>
      <c r="D3580" t="s">
        <v>208</v>
      </c>
      <c r="E3580" t="s">
        <v>21</v>
      </c>
      <c r="F3580" t="s">
        <v>22</v>
      </c>
      <c r="G3580" t="s">
        <v>33</v>
      </c>
      <c r="H3580" t="s">
        <v>417</v>
      </c>
      <c r="I3580" t="s">
        <v>7060</v>
      </c>
      <c r="J3580">
        <v>10.18671945</v>
      </c>
      <c r="K3580">
        <v>-83.755811469999998</v>
      </c>
      <c r="L3580" t="s">
        <v>1225</v>
      </c>
      <c r="M3580" t="s">
        <v>189</v>
      </c>
      <c r="N3580" t="s">
        <v>211</v>
      </c>
      <c r="O3580" t="s">
        <v>212</v>
      </c>
      <c r="P3580">
        <v>6</v>
      </c>
      <c r="Q3580" t="s">
        <v>49</v>
      </c>
      <c r="S3580" t="str">
        <f>_xlfn.XLOOKUP(UNIVERSO[[#This Row],[Ruta]],'[1]CUOTA RUTA'!A:A,'[1]CUOTA RUTA'!D:D)</f>
        <v>Cargar</v>
      </c>
    </row>
    <row r="3581" spans="1:19" x14ac:dyDescent="0.25">
      <c r="A3581">
        <v>1540040287</v>
      </c>
      <c r="B3581" t="s">
        <v>7061</v>
      </c>
      <c r="C3581" t="s">
        <v>19</v>
      </c>
      <c r="D3581" t="s">
        <v>208</v>
      </c>
      <c r="E3581" t="s">
        <v>21</v>
      </c>
      <c r="F3581" t="s">
        <v>22</v>
      </c>
      <c r="G3581" t="s">
        <v>33</v>
      </c>
      <c r="H3581" t="s">
        <v>209</v>
      </c>
      <c r="I3581" t="s">
        <v>7062</v>
      </c>
      <c r="J3581">
        <v>10.185731000000001</v>
      </c>
      <c r="K3581">
        <v>-83.67868</v>
      </c>
      <c r="L3581" t="s">
        <v>1225</v>
      </c>
      <c r="M3581" t="s">
        <v>189</v>
      </c>
      <c r="N3581" t="s">
        <v>211</v>
      </c>
      <c r="O3581" t="s">
        <v>212</v>
      </c>
      <c r="P3581">
        <v>7</v>
      </c>
      <c r="Q3581" t="s">
        <v>39</v>
      </c>
      <c r="S3581" t="str">
        <f>_xlfn.XLOOKUP(UNIVERSO[[#This Row],[Ruta]],'[1]CUOTA RUTA'!A:A,'[1]CUOTA RUTA'!D:D)</f>
        <v>Cargar</v>
      </c>
    </row>
    <row r="3582" spans="1:19" x14ac:dyDescent="0.25">
      <c r="A3582">
        <v>1540040350</v>
      </c>
      <c r="B3582" t="s">
        <v>7063</v>
      </c>
      <c r="C3582" t="s">
        <v>19</v>
      </c>
      <c r="D3582" t="s">
        <v>324</v>
      </c>
      <c r="E3582" t="s">
        <v>21</v>
      </c>
      <c r="F3582" t="s">
        <v>22</v>
      </c>
      <c r="G3582" t="s">
        <v>33</v>
      </c>
      <c r="H3582" t="s">
        <v>511</v>
      </c>
      <c r="I3582" t="s">
        <v>7064</v>
      </c>
      <c r="J3582">
        <v>10.464499999999999</v>
      </c>
      <c r="K3582">
        <v>-84.522599999999997</v>
      </c>
      <c r="L3582" t="s">
        <v>1225</v>
      </c>
      <c r="M3582" t="s">
        <v>327</v>
      </c>
      <c r="N3582" t="s">
        <v>328</v>
      </c>
      <c r="O3582" t="s">
        <v>329</v>
      </c>
      <c r="P3582">
        <v>12</v>
      </c>
      <c r="Q3582" t="s">
        <v>42</v>
      </c>
      <c r="S3582" t="str">
        <f>_xlfn.XLOOKUP(UNIVERSO[[#This Row],[Ruta]],'[1]CUOTA RUTA'!A:A,'[1]CUOTA RUTA'!D:D)</f>
        <v>Cargar</v>
      </c>
    </row>
    <row r="3583" spans="1:19" x14ac:dyDescent="0.25">
      <c r="A3583">
        <v>1540040391</v>
      </c>
      <c r="B3583" t="s">
        <v>7065</v>
      </c>
      <c r="C3583" t="s">
        <v>19</v>
      </c>
      <c r="D3583" t="s">
        <v>20</v>
      </c>
      <c r="E3583" t="s">
        <v>21</v>
      </c>
      <c r="F3583" t="s">
        <v>22</v>
      </c>
      <c r="G3583" t="s">
        <v>33</v>
      </c>
      <c r="H3583" t="s">
        <v>975</v>
      </c>
      <c r="I3583" t="s">
        <v>7066</v>
      </c>
      <c r="J3583">
        <v>10.0053617</v>
      </c>
      <c r="K3583">
        <v>-84.108493300000006</v>
      </c>
      <c r="L3583" t="s">
        <v>1225</v>
      </c>
      <c r="M3583" t="s">
        <v>27</v>
      </c>
      <c r="N3583" t="s">
        <v>28</v>
      </c>
      <c r="O3583" t="s">
        <v>29</v>
      </c>
      <c r="P3583">
        <v>18</v>
      </c>
      <c r="Q3583" t="s">
        <v>84</v>
      </c>
      <c r="S3583" t="str">
        <f>_xlfn.XLOOKUP(UNIVERSO[[#This Row],[Ruta]],'[1]CUOTA RUTA'!A:A,'[1]CUOTA RUTA'!D:D)</f>
        <v>Cargar</v>
      </c>
    </row>
    <row r="3584" spans="1:19" x14ac:dyDescent="0.25">
      <c r="A3584">
        <v>1540040427</v>
      </c>
      <c r="B3584" t="s">
        <v>7067</v>
      </c>
      <c r="C3584" t="s">
        <v>19</v>
      </c>
      <c r="D3584" t="s">
        <v>186</v>
      </c>
      <c r="E3584" t="s">
        <v>21</v>
      </c>
      <c r="F3584" t="s">
        <v>22</v>
      </c>
      <c r="G3584" t="s">
        <v>64</v>
      </c>
      <c r="H3584" t="s">
        <v>420</v>
      </c>
      <c r="I3584" t="s">
        <v>7068</v>
      </c>
      <c r="J3584">
        <v>9.7442840000000004</v>
      </c>
      <c r="K3584">
        <v>-82.964431000000005</v>
      </c>
      <c r="L3584" t="s">
        <v>1225</v>
      </c>
      <c r="M3584" t="s">
        <v>189</v>
      </c>
      <c r="N3584" t="s">
        <v>190</v>
      </c>
      <c r="O3584" t="s">
        <v>191</v>
      </c>
      <c r="P3584">
        <v>17</v>
      </c>
      <c r="Q3584" t="s">
        <v>287</v>
      </c>
      <c r="S3584" t="str">
        <f>_xlfn.XLOOKUP(UNIVERSO[[#This Row],[Ruta]],'[1]CUOTA RUTA'!A:A,'[1]CUOTA RUTA'!D:D)</f>
        <v>Cargar</v>
      </c>
    </row>
    <row r="3585" spans="1:19" x14ac:dyDescent="0.25">
      <c r="A3585">
        <v>1540040430</v>
      </c>
      <c r="B3585" t="s">
        <v>7069</v>
      </c>
      <c r="C3585" t="s">
        <v>19</v>
      </c>
      <c r="D3585" t="s">
        <v>186</v>
      </c>
      <c r="E3585" t="s">
        <v>62</v>
      </c>
      <c r="F3585" t="s">
        <v>63</v>
      </c>
      <c r="G3585" t="s">
        <v>64</v>
      </c>
      <c r="H3585" t="s">
        <v>868</v>
      </c>
      <c r="I3585" t="s">
        <v>7070</v>
      </c>
      <c r="J3585">
        <v>9.9919670000000007</v>
      </c>
      <c r="K3585">
        <v>-83.02861</v>
      </c>
      <c r="L3585" t="s">
        <v>1225</v>
      </c>
      <c r="M3585" t="s">
        <v>189</v>
      </c>
      <c r="N3585" t="s">
        <v>190</v>
      </c>
      <c r="O3585" t="s">
        <v>191</v>
      </c>
      <c r="P3585">
        <v>12</v>
      </c>
      <c r="Q3585" t="s">
        <v>42</v>
      </c>
      <c r="S3585" t="str">
        <f>_xlfn.XLOOKUP(UNIVERSO[[#This Row],[Ruta]],'[1]CUOTA RUTA'!A:A,'[1]CUOTA RUTA'!D:D)</f>
        <v>Cargar</v>
      </c>
    </row>
    <row r="3586" spans="1:19" x14ac:dyDescent="0.25">
      <c r="A3586">
        <v>1540040431</v>
      </c>
      <c r="B3586" t="s">
        <v>7071</v>
      </c>
      <c r="C3586" t="s">
        <v>19</v>
      </c>
      <c r="D3586" t="s">
        <v>244</v>
      </c>
      <c r="E3586" t="s">
        <v>21</v>
      </c>
      <c r="F3586" t="s">
        <v>22</v>
      </c>
      <c r="G3586" t="s">
        <v>33</v>
      </c>
      <c r="H3586" t="s">
        <v>767</v>
      </c>
      <c r="I3586" t="s">
        <v>7072</v>
      </c>
      <c r="J3586">
        <v>9.3774695000000001</v>
      </c>
      <c r="K3586">
        <v>-83.7067373</v>
      </c>
      <c r="L3586" t="s">
        <v>1225</v>
      </c>
      <c r="M3586" t="s">
        <v>46</v>
      </c>
      <c r="N3586" t="s">
        <v>247</v>
      </c>
      <c r="O3586" t="s">
        <v>248</v>
      </c>
      <c r="P3586">
        <v>15</v>
      </c>
      <c r="Q3586" t="s">
        <v>231</v>
      </c>
      <c r="S3586" t="str">
        <f>_xlfn.XLOOKUP(UNIVERSO[[#This Row],[Ruta]],'[1]CUOTA RUTA'!A:A,'[1]CUOTA RUTA'!D:D)</f>
        <v>Cargar</v>
      </c>
    </row>
    <row r="3587" spans="1:19" x14ac:dyDescent="0.25">
      <c r="A3587">
        <v>1540040560</v>
      </c>
      <c r="B3587" t="s">
        <v>7073</v>
      </c>
      <c r="C3587" t="s">
        <v>19</v>
      </c>
      <c r="D3587" t="s">
        <v>32</v>
      </c>
      <c r="E3587" t="s">
        <v>21</v>
      </c>
      <c r="F3587" t="s">
        <v>22</v>
      </c>
      <c r="G3587" t="s">
        <v>33</v>
      </c>
      <c r="H3587" t="s">
        <v>65</v>
      </c>
      <c r="I3587" t="s">
        <v>7074</v>
      </c>
      <c r="J3587">
        <v>9.9273480000000003</v>
      </c>
      <c r="K3587">
        <v>-83.988765000000001</v>
      </c>
      <c r="L3587" t="s">
        <v>1225</v>
      </c>
      <c r="M3587" t="s">
        <v>36</v>
      </c>
      <c r="N3587" t="s">
        <v>37</v>
      </c>
      <c r="O3587" t="s">
        <v>38</v>
      </c>
      <c r="P3587">
        <v>19</v>
      </c>
      <c r="Q3587" t="s">
        <v>67</v>
      </c>
      <c r="S3587" t="str">
        <f>_xlfn.XLOOKUP(UNIVERSO[[#This Row],[Ruta]],'[1]CUOTA RUTA'!A:A,'[1]CUOTA RUTA'!D:D)</f>
        <v>Cargar</v>
      </c>
    </row>
    <row r="3588" spans="1:19" x14ac:dyDescent="0.25">
      <c r="A3588">
        <v>1540040640</v>
      </c>
      <c r="B3588" t="s">
        <v>7075</v>
      </c>
      <c r="C3588" t="s">
        <v>19</v>
      </c>
      <c r="D3588" t="s">
        <v>201</v>
      </c>
      <c r="E3588" t="s">
        <v>21</v>
      </c>
      <c r="F3588" t="s">
        <v>22</v>
      </c>
      <c r="G3588" t="s">
        <v>64</v>
      </c>
      <c r="H3588" t="s">
        <v>533</v>
      </c>
      <c r="I3588" t="s">
        <v>7076</v>
      </c>
      <c r="J3588">
        <v>9.9102310496080008</v>
      </c>
      <c r="K3588">
        <v>-84.524220550470005</v>
      </c>
      <c r="L3588" t="s">
        <v>1225</v>
      </c>
      <c r="M3588" t="s">
        <v>204</v>
      </c>
      <c r="N3588" t="s">
        <v>205</v>
      </c>
      <c r="O3588" t="s">
        <v>206</v>
      </c>
      <c r="P3588">
        <v>2</v>
      </c>
      <c r="Q3588" t="s">
        <v>150</v>
      </c>
      <c r="S3588" t="str">
        <f>_xlfn.XLOOKUP(UNIVERSO[[#This Row],[Ruta]],'[1]CUOTA RUTA'!A:A,'[1]CUOTA RUTA'!D:D)</f>
        <v>Cargar</v>
      </c>
    </row>
    <row r="3589" spans="1:19" x14ac:dyDescent="0.25">
      <c r="A3589">
        <v>1540040766</v>
      </c>
      <c r="B3589" t="s">
        <v>2931</v>
      </c>
      <c r="C3589" t="s">
        <v>19</v>
      </c>
      <c r="D3589" t="s">
        <v>186</v>
      </c>
      <c r="E3589" t="s">
        <v>21</v>
      </c>
      <c r="F3589" t="s">
        <v>22</v>
      </c>
      <c r="G3589" t="s">
        <v>33</v>
      </c>
      <c r="H3589" t="s">
        <v>187</v>
      </c>
      <c r="I3589" t="s">
        <v>7077</v>
      </c>
      <c r="J3589">
        <v>9.9988930000000007</v>
      </c>
      <c r="K3589">
        <v>-83.043786999999995</v>
      </c>
      <c r="L3589" t="s">
        <v>1225</v>
      </c>
      <c r="M3589" t="s">
        <v>189</v>
      </c>
      <c r="N3589" t="s">
        <v>190</v>
      </c>
      <c r="O3589" t="s">
        <v>191</v>
      </c>
      <c r="P3589">
        <v>13</v>
      </c>
      <c r="Q3589" t="s">
        <v>161</v>
      </c>
      <c r="S3589" t="str">
        <f>_xlfn.XLOOKUP(UNIVERSO[[#This Row],[Ruta]],'[1]CUOTA RUTA'!A:A,'[1]CUOTA RUTA'!D:D)</f>
        <v>Cargar</v>
      </c>
    </row>
    <row r="3590" spans="1:19" x14ac:dyDescent="0.25">
      <c r="A3590">
        <v>1540041035</v>
      </c>
      <c r="B3590" t="s">
        <v>7078</v>
      </c>
      <c r="C3590" t="s">
        <v>19</v>
      </c>
      <c r="D3590" t="s">
        <v>201</v>
      </c>
      <c r="E3590" t="s">
        <v>21</v>
      </c>
      <c r="F3590" t="s">
        <v>22</v>
      </c>
      <c r="G3590" t="s">
        <v>33</v>
      </c>
      <c r="H3590" t="s">
        <v>593</v>
      </c>
      <c r="I3590" t="s">
        <v>7079</v>
      </c>
      <c r="J3590">
        <v>9.9784857999999996</v>
      </c>
      <c r="K3590">
        <v>-84.747049899999993</v>
      </c>
      <c r="L3590" t="s">
        <v>1225</v>
      </c>
      <c r="M3590" t="s">
        <v>204</v>
      </c>
      <c r="N3590" t="s">
        <v>205</v>
      </c>
      <c r="O3590" t="s">
        <v>206</v>
      </c>
      <c r="P3590">
        <v>9</v>
      </c>
      <c r="Q3590" t="s">
        <v>80</v>
      </c>
      <c r="S3590" t="str">
        <f>_xlfn.XLOOKUP(UNIVERSO[[#This Row],[Ruta]],'[1]CUOTA RUTA'!A:A,'[1]CUOTA RUTA'!D:D)</f>
        <v>Cargar</v>
      </c>
    </row>
    <row r="3591" spans="1:19" x14ac:dyDescent="0.25">
      <c r="A3591">
        <v>1540041110</v>
      </c>
      <c r="B3591" t="s">
        <v>7080</v>
      </c>
      <c r="C3591" t="s">
        <v>19</v>
      </c>
      <c r="D3591" t="s">
        <v>32</v>
      </c>
      <c r="E3591" t="s">
        <v>21</v>
      </c>
      <c r="F3591" t="s">
        <v>22</v>
      </c>
      <c r="G3591" t="s">
        <v>64</v>
      </c>
      <c r="H3591" t="s">
        <v>106</v>
      </c>
      <c r="I3591" t="s">
        <v>7081</v>
      </c>
      <c r="J3591">
        <v>9.9173930000000006</v>
      </c>
      <c r="K3591">
        <v>-84.096307999999993</v>
      </c>
      <c r="L3591" t="s">
        <v>1225</v>
      </c>
      <c r="M3591" t="s">
        <v>71</v>
      </c>
      <c r="N3591" t="s">
        <v>72</v>
      </c>
      <c r="O3591" t="s">
        <v>73</v>
      </c>
      <c r="P3591">
        <v>3</v>
      </c>
      <c r="Q3591" t="s">
        <v>101</v>
      </c>
      <c r="S3591" t="str">
        <f>_xlfn.XLOOKUP(UNIVERSO[[#This Row],[Ruta]],'[1]CUOTA RUTA'!A:A,'[1]CUOTA RUTA'!D:D)</f>
        <v>Cargar</v>
      </c>
    </row>
    <row r="3592" spans="1:19" x14ac:dyDescent="0.25">
      <c r="A3592">
        <v>1540041114</v>
      </c>
      <c r="B3592" t="s">
        <v>7082</v>
      </c>
      <c r="C3592" t="s">
        <v>19</v>
      </c>
      <c r="D3592" t="s">
        <v>324</v>
      </c>
      <c r="E3592" t="s">
        <v>21</v>
      </c>
      <c r="F3592" t="s">
        <v>22</v>
      </c>
      <c r="G3592" t="s">
        <v>33</v>
      </c>
      <c r="H3592" t="s">
        <v>331</v>
      </c>
      <c r="I3592" t="s">
        <v>7083</v>
      </c>
      <c r="J3592">
        <v>10.4477537</v>
      </c>
      <c r="K3592">
        <v>-84.402682400000003</v>
      </c>
      <c r="L3592" t="s">
        <v>1225</v>
      </c>
      <c r="M3592" t="s">
        <v>327</v>
      </c>
      <c r="N3592" t="s">
        <v>328</v>
      </c>
      <c r="O3592" t="s">
        <v>329</v>
      </c>
      <c r="P3592">
        <v>19</v>
      </c>
      <c r="Q3592" t="s">
        <v>67</v>
      </c>
      <c r="S3592" t="str">
        <f>_xlfn.XLOOKUP(UNIVERSO[[#This Row],[Ruta]],'[1]CUOTA RUTA'!A:A,'[1]CUOTA RUTA'!D:D)</f>
        <v>Cargar</v>
      </c>
    </row>
    <row r="3593" spans="1:19" x14ac:dyDescent="0.25">
      <c r="A3593">
        <v>1540041168</v>
      </c>
      <c r="B3593" t="s">
        <v>7084</v>
      </c>
      <c r="C3593" t="s">
        <v>19</v>
      </c>
      <c r="D3593" t="s">
        <v>244</v>
      </c>
      <c r="E3593" t="s">
        <v>21</v>
      </c>
      <c r="F3593" t="s">
        <v>22</v>
      </c>
      <c r="G3593" t="s">
        <v>23</v>
      </c>
      <c r="H3593" t="s">
        <v>1233</v>
      </c>
      <c r="I3593" t="s">
        <v>7085</v>
      </c>
      <c r="J3593">
        <v>9.3639449999999993</v>
      </c>
      <c r="K3593">
        <v>-83.675038000000001</v>
      </c>
      <c r="L3593" t="s">
        <v>1225</v>
      </c>
      <c r="M3593" t="s">
        <v>46</v>
      </c>
      <c r="N3593" t="s">
        <v>247</v>
      </c>
      <c r="O3593" t="s">
        <v>248</v>
      </c>
      <c r="P3593">
        <v>15</v>
      </c>
      <c r="Q3593" t="s">
        <v>231</v>
      </c>
      <c r="S3593" t="str">
        <f>_xlfn.XLOOKUP(UNIVERSO[[#This Row],[Ruta]],'[1]CUOTA RUTA'!A:A,'[1]CUOTA RUTA'!D:D)</f>
        <v>Cargar</v>
      </c>
    </row>
    <row r="3594" spans="1:19" x14ac:dyDescent="0.25">
      <c r="A3594">
        <v>1540041241</v>
      </c>
      <c r="B3594" t="s">
        <v>7086</v>
      </c>
      <c r="C3594" t="s">
        <v>19</v>
      </c>
      <c r="D3594" t="s">
        <v>208</v>
      </c>
      <c r="E3594" t="s">
        <v>21</v>
      </c>
      <c r="F3594" t="s">
        <v>22</v>
      </c>
      <c r="G3594" t="s">
        <v>23</v>
      </c>
      <c r="H3594" t="s">
        <v>631</v>
      </c>
      <c r="I3594" t="s">
        <v>7087</v>
      </c>
      <c r="J3594">
        <v>10.325322999999999</v>
      </c>
      <c r="K3594">
        <v>-83.652991</v>
      </c>
      <c r="L3594" t="s">
        <v>1225</v>
      </c>
      <c r="M3594" t="s">
        <v>189</v>
      </c>
      <c r="N3594" t="s">
        <v>211</v>
      </c>
      <c r="O3594" t="s">
        <v>212</v>
      </c>
      <c r="P3594">
        <v>6</v>
      </c>
      <c r="Q3594" t="s">
        <v>49</v>
      </c>
      <c r="S3594" t="str">
        <f>_xlfn.XLOOKUP(UNIVERSO[[#This Row],[Ruta]],'[1]CUOTA RUTA'!A:A,'[1]CUOTA RUTA'!D:D)</f>
        <v>Cargar</v>
      </c>
    </row>
    <row r="3595" spans="1:19" x14ac:dyDescent="0.25">
      <c r="A3595">
        <v>1540041264</v>
      </c>
      <c r="B3595" t="s">
        <v>7088</v>
      </c>
      <c r="C3595" t="s">
        <v>19</v>
      </c>
      <c r="D3595" t="s">
        <v>32</v>
      </c>
      <c r="E3595" t="s">
        <v>21</v>
      </c>
      <c r="F3595" t="s">
        <v>22</v>
      </c>
      <c r="G3595" t="s">
        <v>64</v>
      </c>
      <c r="H3595" t="s">
        <v>425</v>
      </c>
      <c r="I3595" t="s">
        <v>7089</v>
      </c>
      <c r="J3595">
        <v>9.8594270000000002</v>
      </c>
      <c r="K3595">
        <v>-84.092051999999995</v>
      </c>
      <c r="L3595" t="s">
        <v>1225</v>
      </c>
      <c r="M3595" t="s">
        <v>71</v>
      </c>
      <c r="N3595" t="s">
        <v>72</v>
      </c>
      <c r="O3595" t="s">
        <v>73</v>
      </c>
      <c r="P3595">
        <v>15</v>
      </c>
      <c r="Q3595" t="s">
        <v>231</v>
      </c>
      <c r="S3595" t="str">
        <f>_xlfn.XLOOKUP(UNIVERSO[[#This Row],[Ruta]],'[1]CUOTA RUTA'!A:A,'[1]CUOTA RUTA'!D:D)</f>
        <v>Cargar</v>
      </c>
    </row>
    <row r="3596" spans="1:19" x14ac:dyDescent="0.25">
      <c r="A3596">
        <v>1540041294</v>
      </c>
      <c r="B3596" t="s">
        <v>7090</v>
      </c>
      <c r="C3596" t="s">
        <v>19</v>
      </c>
      <c r="D3596" t="s">
        <v>20</v>
      </c>
      <c r="E3596" t="s">
        <v>21</v>
      </c>
      <c r="F3596" t="s">
        <v>22</v>
      </c>
      <c r="G3596" t="s">
        <v>33</v>
      </c>
      <c r="H3596" t="s">
        <v>311</v>
      </c>
      <c r="I3596" t="s">
        <v>7091</v>
      </c>
      <c r="J3596">
        <v>9.9653433000000007</v>
      </c>
      <c r="K3596">
        <v>-84.224506399999996</v>
      </c>
      <c r="L3596" t="s">
        <v>1225</v>
      </c>
      <c r="M3596" t="s">
        <v>54</v>
      </c>
      <c r="N3596" t="s">
        <v>55</v>
      </c>
      <c r="O3596" t="s">
        <v>56</v>
      </c>
      <c r="P3596">
        <v>9</v>
      </c>
      <c r="Q3596" t="s">
        <v>80</v>
      </c>
      <c r="S3596" t="str">
        <f>_xlfn.XLOOKUP(UNIVERSO[[#This Row],[Ruta]],'[1]CUOTA RUTA'!A:A,'[1]CUOTA RUTA'!D:D)</f>
        <v>Cargar</v>
      </c>
    </row>
    <row r="3597" spans="1:19" x14ac:dyDescent="0.25">
      <c r="A3597">
        <v>1540041342</v>
      </c>
      <c r="B3597" t="s">
        <v>730</v>
      </c>
      <c r="C3597" t="s">
        <v>19</v>
      </c>
      <c r="D3597" t="s">
        <v>20</v>
      </c>
      <c r="E3597" t="s">
        <v>21</v>
      </c>
      <c r="F3597" t="s">
        <v>22</v>
      </c>
      <c r="G3597" t="s">
        <v>23</v>
      </c>
      <c r="H3597" t="s">
        <v>260</v>
      </c>
      <c r="I3597" t="s">
        <v>7092</v>
      </c>
      <c r="J3597">
        <v>10.094561730160001</v>
      </c>
      <c r="K3597">
        <v>-84.476742124270004</v>
      </c>
      <c r="L3597" t="s">
        <v>1225</v>
      </c>
      <c r="M3597" t="s">
        <v>46</v>
      </c>
      <c r="N3597" t="s">
        <v>47</v>
      </c>
      <c r="O3597" t="s">
        <v>48</v>
      </c>
      <c r="P3597">
        <v>6</v>
      </c>
      <c r="Q3597" t="s">
        <v>49</v>
      </c>
      <c r="S3597" t="str">
        <f>_xlfn.XLOOKUP(UNIVERSO[[#This Row],[Ruta]],'[1]CUOTA RUTA'!A:A,'[1]CUOTA RUTA'!D:D)</f>
        <v>Cargar</v>
      </c>
    </row>
    <row r="3598" spans="1:19" x14ac:dyDescent="0.25">
      <c r="A3598">
        <v>1540041463</v>
      </c>
      <c r="B3598" t="s">
        <v>7093</v>
      </c>
      <c r="C3598" t="s">
        <v>19</v>
      </c>
      <c r="D3598" t="s">
        <v>20</v>
      </c>
      <c r="E3598" t="s">
        <v>21</v>
      </c>
      <c r="F3598" t="s">
        <v>22</v>
      </c>
      <c r="G3598" t="s">
        <v>33</v>
      </c>
      <c r="H3598" t="s">
        <v>250</v>
      </c>
      <c r="I3598" t="s">
        <v>7094</v>
      </c>
      <c r="J3598">
        <v>10.028038499999999</v>
      </c>
      <c r="K3598">
        <v>-84.247471000000004</v>
      </c>
      <c r="L3598" t="s">
        <v>1225</v>
      </c>
      <c r="M3598" t="s">
        <v>46</v>
      </c>
      <c r="N3598" t="s">
        <v>47</v>
      </c>
      <c r="O3598" t="s">
        <v>48</v>
      </c>
      <c r="P3598">
        <v>3</v>
      </c>
      <c r="Q3598" t="s">
        <v>101</v>
      </c>
      <c r="S3598" t="str">
        <f>_xlfn.XLOOKUP(UNIVERSO[[#This Row],[Ruta]],'[1]CUOTA RUTA'!A:A,'[1]CUOTA RUTA'!D:D)</f>
        <v>Cargar</v>
      </c>
    </row>
    <row r="3599" spans="1:19" x14ac:dyDescent="0.25">
      <c r="A3599">
        <v>1540041713</v>
      </c>
      <c r="B3599" t="s">
        <v>7095</v>
      </c>
      <c r="C3599" t="s">
        <v>19</v>
      </c>
      <c r="D3599" t="s">
        <v>266</v>
      </c>
      <c r="E3599" t="s">
        <v>21</v>
      </c>
      <c r="F3599" t="s">
        <v>22</v>
      </c>
      <c r="G3599" t="s">
        <v>64</v>
      </c>
      <c r="H3599" t="s">
        <v>272</v>
      </c>
      <c r="I3599" t="s">
        <v>7096</v>
      </c>
      <c r="J3599">
        <v>9.8606940000000005</v>
      </c>
      <c r="K3599">
        <v>-83.809652799999995</v>
      </c>
      <c r="L3599" t="s">
        <v>1225</v>
      </c>
      <c r="M3599" t="s">
        <v>54</v>
      </c>
      <c r="N3599" t="s">
        <v>274</v>
      </c>
      <c r="O3599" t="s">
        <v>275</v>
      </c>
      <c r="P3599">
        <v>21</v>
      </c>
      <c r="Q3599" t="s">
        <v>239</v>
      </c>
      <c r="S3599" t="str">
        <f>_xlfn.XLOOKUP(UNIVERSO[[#This Row],[Ruta]],'[1]CUOTA RUTA'!A:A,'[1]CUOTA RUTA'!D:D)</f>
        <v>Cargar</v>
      </c>
    </row>
    <row r="3600" spans="1:19" x14ac:dyDescent="0.25">
      <c r="A3600">
        <v>1540041714</v>
      </c>
      <c r="B3600" t="s">
        <v>7097</v>
      </c>
      <c r="C3600" t="s">
        <v>19</v>
      </c>
      <c r="D3600" t="s">
        <v>324</v>
      </c>
      <c r="E3600" t="s">
        <v>21</v>
      </c>
      <c r="F3600" t="s">
        <v>51</v>
      </c>
      <c r="G3600" t="s">
        <v>23</v>
      </c>
      <c r="H3600" t="s">
        <v>396</v>
      </c>
      <c r="I3600" t="s">
        <v>7098</v>
      </c>
      <c r="J3600">
        <v>10.4040646</v>
      </c>
      <c r="K3600">
        <v>-84.384793000000002</v>
      </c>
      <c r="L3600" t="s">
        <v>1225</v>
      </c>
      <c r="M3600" t="s">
        <v>327</v>
      </c>
      <c r="N3600" t="s">
        <v>328</v>
      </c>
      <c r="O3600" t="s">
        <v>329</v>
      </c>
      <c r="P3600">
        <v>19</v>
      </c>
      <c r="Q3600" t="s">
        <v>67</v>
      </c>
      <c r="S3600" t="str">
        <f>_xlfn.XLOOKUP(UNIVERSO[[#This Row],[Ruta]],'[1]CUOTA RUTA'!A:A,'[1]CUOTA RUTA'!D:D)</f>
        <v>Cargar</v>
      </c>
    </row>
    <row r="3601" spans="1:19" x14ac:dyDescent="0.25">
      <c r="A3601">
        <v>1540041771</v>
      </c>
      <c r="B3601" t="s">
        <v>7099</v>
      </c>
      <c r="C3601" t="s">
        <v>19</v>
      </c>
      <c r="D3601" t="s">
        <v>186</v>
      </c>
      <c r="E3601" t="s">
        <v>21</v>
      </c>
      <c r="F3601" t="s">
        <v>22</v>
      </c>
      <c r="G3601" t="s">
        <v>64</v>
      </c>
      <c r="H3601" t="s">
        <v>187</v>
      </c>
      <c r="I3601" t="s">
        <v>7100</v>
      </c>
      <c r="J3601">
        <v>9.9883279999999992</v>
      </c>
      <c r="K3601">
        <v>-83.058066999999994</v>
      </c>
      <c r="L3601" t="s">
        <v>1225</v>
      </c>
      <c r="M3601" t="s">
        <v>189</v>
      </c>
      <c r="N3601" t="s">
        <v>190</v>
      </c>
      <c r="O3601" t="s">
        <v>191</v>
      </c>
      <c r="P3601">
        <v>14</v>
      </c>
      <c r="Q3601" t="s">
        <v>181</v>
      </c>
      <c r="S3601" t="str">
        <f>_xlfn.XLOOKUP(UNIVERSO[[#This Row],[Ruta]],'[1]CUOTA RUTA'!A:A,'[1]CUOTA RUTA'!D:D)</f>
        <v>Cargar</v>
      </c>
    </row>
    <row r="3602" spans="1:19" x14ac:dyDescent="0.25">
      <c r="A3602">
        <v>1540041805</v>
      </c>
      <c r="B3602" t="s">
        <v>7101</v>
      </c>
      <c r="C3602" t="s">
        <v>19</v>
      </c>
      <c r="D3602" t="s">
        <v>244</v>
      </c>
      <c r="E3602" t="s">
        <v>21</v>
      </c>
      <c r="F3602" t="s">
        <v>22</v>
      </c>
      <c r="G3602" t="s">
        <v>64</v>
      </c>
      <c r="H3602" t="s">
        <v>525</v>
      </c>
      <c r="I3602" t="s">
        <v>7102</v>
      </c>
      <c r="J3602">
        <v>9.6239509999999999</v>
      </c>
      <c r="K3602">
        <v>-84.511989</v>
      </c>
      <c r="L3602" t="s">
        <v>1225</v>
      </c>
      <c r="M3602" t="s">
        <v>46</v>
      </c>
      <c r="N3602" t="s">
        <v>247</v>
      </c>
      <c r="O3602" t="s">
        <v>248</v>
      </c>
      <c r="P3602">
        <v>23</v>
      </c>
      <c r="Q3602" t="s">
        <v>125</v>
      </c>
      <c r="S3602" t="str">
        <f>_xlfn.XLOOKUP(UNIVERSO[[#This Row],[Ruta]],'[1]CUOTA RUTA'!A:A,'[1]CUOTA RUTA'!D:D)</f>
        <v>Cargar</v>
      </c>
    </row>
    <row r="3603" spans="1:19" x14ac:dyDescent="0.25">
      <c r="A3603">
        <v>1540041830</v>
      </c>
      <c r="B3603" t="s">
        <v>7103</v>
      </c>
      <c r="C3603" t="s">
        <v>19</v>
      </c>
      <c r="D3603" t="s">
        <v>20</v>
      </c>
      <c r="E3603" t="s">
        <v>21</v>
      </c>
      <c r="F3603" t="s">
        <v>22</v>
      </c>
      <c r="G3603" t="s">
        <v>33</v>
      </c>
      <c r="H3603" t="s">
        <v>1143</v>
      </c>
      <c r="I3603" t="s">
        <v>7104</v>
      </c>
      <c r="J3603">
        <v>10.037585999999999</v>
      </c>
      <c r="K3603">
        <v>-84.174678</v>
      </c>
      <c r="L3603" t="s">
        <v>1225</v>
      </c>
      <c r="M3603" t="s">
        <v>54</v>
      </c>
      <c r="N3603" t="s">
        <v>55</v>
      </c>
      <c r="O3603" t="s">
        <v>56</v>
      </c>
      <c r="P3603">
        <v>16</v>
      </c>
      <c r="Q3603" t="s">
        <v>60</v>
      </c>
      <c r="S3603" t="str">
        <f>_xlfn.XLOOKUP(UNIVERSO[[#This Row],[Ruta]],'[1]CUOTA RUTA'!A:A,'[1]CUOTA RUTA'!D:D)</f>
        <v>Cargar</v>
      </c>
    </row>
    <row r="3604" spans="1:19" x14ac:dyDescent="0.25">
      <c r="A3604">
        <v>1540041846</v>
      </c>
      <c r="B3604" t="s">
        <v>7105</v>
      </c>
      <c r="C3604" t="s">
        <v>19</v>
      </c>
      <c r="D3604" t="s">
        <v>208</v>
      </c>
      <c r="E3604" t="s">
        <v>21</v>
      </c>
      <c r="F3604" t="s">
        <v>22</v>
      </c>
      <c r="G3604" t="s">
        <v>64</v>
      </c>
      <c r="H3604" t="s">
        <v>221</v>
      </c>
      <c r="I3604" t="s">
        <v>7106</v>
      </c>
      <c r="J3604">
        <v>10.141730000000001</v>
      </c>
      <c r="K3604">
        <v>-83.523049999999998</v>
      </c>
      <c r="L3604" t="s">
        <v>1225</v>
      </c>
      <c r="M3604" t="s">
        <v>189</v>
      </c>
      <c r="N3604" t="s">
        <v>211</v>
      </c>
      <c r="O3604" t="s">
        <v>212</v>
      </c>
      <c r="P3604">
        <v>9</v>
      </c>
      <c r="Q3604" t="s">
        <v>80</v>
      </c>
      <c r="S3604" t="str">
        <f>_xlfn.XLOOKUP(UNIVERSO[[#This Row],[Ruta]],'[1]CUOTA RUTA'!A:A,'[1]CUOTA RUTA'!D:D)</f>
        <v>Cargar</v>
      </c>
    </row>
    <row r="3605" spans="1:19" x14ac:dyDescent="0.25">
      <c r="A3605">
        <v>1540041865</v>
      </c>
      <c r="B3605" t="s">
        <v>7107</v>
      </c>
      <c r="C3605" t="s">
        <v>19</v>
      </c>
      <c r="D3605" t="s">
        <v>20</v>
      </c>
      <c r="E3605" t="s">
        <v>21</v>
      </c>
      <c r="F3605" t="s">
        <v>22</v>
      </c>
      <c r="G3605" t="s">
        <v>33</v>
      </c>
      <c r="H3605" t="s">
        <v>1506</v>
      </c>
      <c r="I3605" t="s">
        <v>7108</v>
      </c>
      <c r="J3605">
        <v>9.9815660000000008</v>
      </c>
      <c r="K3605">
        <v>-84.159186000000005</v>
      </c>
      <c r="L3605" t="s">
        <v>1225</v>
      </c>
      <c r="M3605" t="s">
        <v>27</v>
      </c>
      <c r="N3605" t="s">
        <v>28</v>
      </c>
      <c r="O3605" t="s">
        <v>29</v>
      </c>
      <c r="P3605">
        <v>3</v>
      </c>
      <c r="Q3605" t="s">
        <v>101</v>
      </c>
      <c r="S3605" t="str">
        <f>_xlfn.XLOOKUP(UNIVERSO[[#This Row],[Ruta]],'[1]CUOTA RUTA'!A:A,'[1]CUOTA RUTA'!D:D)</f>
        <v>Cargar</v>
      </c>
    </row>
    <row r="3606" spans="1:19" x14ac:dyDescent="0.25">
      <c r="A3606">
        <v>1540041876</v>
      </c>
      <c r="B3606" t="s">
        <v>7109</v>
      </c>
      <c r="C3606" t="s">
        <v>19</v>
      </c>
      <c r="D3606" t="s">
        <v>349</v>
      </c>
      <c r="E3606" t="s">
        <v>21</v>
      </c>
      <c r="F3606" t="s">
        <v>22</v>
      </c>
      <c r="G3606" t="s">
        <v>23</v>
      </c>
      <c r="H3606" t="s">
        <v>908</v>
      </c>
      <c r="I3606" t="s">
        <v>7110</v>
      </c>
      <c r="J3606">
        <v>10.297890000000001</v>
      </c>
      <c r="K3606">
        <v>-85.842438999999999</v>
      </c>
      <c r="L3606" t="s">
        <v>1225</v>
      </c>
      <c r="M3606" t="s">
        <v>352</v>
      </c>
      <c r="N3606" t="s">
        <v>353</v>
      </c>
      <c r="O3606" t="s">
        <v>354</v>
      </c>
      <c r="P3606">
        <v>5</v>
      </c>
      <c r="Q3606" t="s">
        <v>117</v>
      </c>
      <c r="S3606" t="str">
        <f>_xlfn.XLOOKUP(UNIVERSO[[#This Row],[Ruta]],'[1]CUOTA RUTA'!A:A,'[1]CUOTA RUTA'!D:D)</f>
        <v>Cargar</v>
      </c>
    </row>
    <row r="3607" spans="1:19" x14ac:dyDescent="0.25">
      <c r="A3607">
        <v>1540041889</v>
      </c>
      <c r="B3607" t="s">
        <v>7111</v>
      </c>
      <c r="C3607" t="s">
        <v>19</v>
      </c>
      <c r="D3607" t="s">
        <v>32</v>
      </c>
      <c r="E3607" t="s">
        <v>21</v>
      </c>
      <c r="F3607" t="s">
        <v>22</v>
      </c>
      <c r="G3607" t="s">
        <v>64</v>
      </c>
      <c r="H3607" t="s">
        <v>174</v>
      </c>
      <c r="I3607" t="s">
        <v>7112</v>
      </c>
      <c r="J3607">
        <v>9.9366699999999994</v>
      </c>
      <c r="K3607">
        <v>-84.083609999999993</v>
      </c>
      <c r="L3607" t="s">
        <v>1225</v>
      </c>
      <c r="M3607" t="s">
        <v>71</v>
      </c>
      <c r="N3607" t="s">
        <v>72</v>
      </c>
      <c r="O3607" t="s">
        <v>73</v>
      </c>
      <c r="P3607">
        <v>1</v>
      </c>
      <c r="Q3607" t="s">
        <v>155</v>
      </c>
      <c r="S3607" t="str">
        <f>_xlfn.XLOOKUP(UNIVERSO[[#This Row],[Ruta]],'[1]CUOTA RUTA'!A:A,'[1]CUOTA RUTA'!D:D)</f>
        <v>Cargar</v>
      </c>
    </row>
    <row r="3608" spans="1:19" x14ac:dyDescent="0.25">
      <c r="A3608">
        <v>1540041916</v>
      </c>
      <c r="B3608" t="s">
        <v>7113</v>
      </c>
      <c r="C3608" t="s">
        <v>19</v>
      </c>
      <c r="D3608" t="s">
        <v>20</v>
      </c>
      <c r="E3608" t="s">
        <v>21</v>
      </c>
      <c r="F3608" t="s">
        <v>22</v>
      </c>
      <c r="G3608" t="s">
        <v>64</v>
      </c>
      <c r="H3608" t="s">
        <v>888</v>
      </c>
      <c r="I3608" t="s">
        <v>7114</v>
      </c>
      <c r="J3608">
        <v>10.001714359999999</v>
      </c>
      <c r="K3608">
        <v>-84.123364350000003</v>
      </c>
      <c r="L3608" t="s">
        <v>1225</v>
      </c>
      <c r="M3608" t="s">
        <v>27</v>
      </c>
      <c r="N3608" t="s">
        <v>28</v>
      </c>
      <c r="O3608" t="s">
        <v>29</v>
      </c>
      <c r="P3608">
        <v>12</v>
      </c>
      <c r="Q3608" t="s">
        <v>42</v>
      </c>
      <c r="S3608" t="str">
        <f>_xlfn.XLOOKUP(UNIVERSO[[#This Row],[Ruta]],'[1]CUOTA RUTA'!A:A,'[1]CUOTA RUTA'!D:D)</f>
        <v>Cargar</v>
      </c>
    </row>
    <row r="3609" spans="1:19" x14ac:dyDescent="0.25">
      <c r="A3609">
        <v>1540041956</v>
      </c>
      <c r="B3609" t="s">
        <v>7115</v>
      </c>
      <c r="C3609" t="s">
        <v>19</v>
      </c>
      <c r="D3609" t="s">
        <v>20</v>
      </c>
      <c r="E3609" t="s">
        <v>62</v>
      </c>
      <c r="F3609" t="s">
        <v>63</v>
      </c>
      <c r="G3609" t="s">
        <v>64</v>
      </c>
      <c r="H3609" t="s">
        <v>518</v>
      </c>
      <c r="I3609" t="s">
        <v>7116</v>
      </c>
      <c r="J3609">
        <v>9.9919083000000004</v>
      </c>
      <c r="K3609">
        <v>-84.151896699999995</v>
      </c>
      <c r="L3609" t="s">
        <v>1225</v>
      </c>
      <c r="M3609" t="s">
        <v>27</v>
      </c>
      <c r="N3609" t="s">
        <v>28</v>
      </c>
      <c r="O3609" t="s">
        <v>29</v>
      </c>
      <c r="P3609">
        <v>3</v>
      </c>
      <c r="Q3609" t="s">
        <v>101</v>
      </c>
      <c r="S3609" t="str">
        <f>_xlfn.XLOOKUP(UNIVERSO[[#This Row],[Ruta]],'[1]CUOTA RUTA'!A:A,'[1]CUOTA RUTA'!D:D)</f>
        <v>Cargar</v>
      </c>
    </row>
    <row r="3610" spans="1:19" x14ac:dyDescent="0.25">
      <c r="A3610">
        <v>1540042008</v>
      </c>
      <c r="B3610" t="s">
        <v>7117</v>
      </c>
      <c r="C3610" t="s">
        <v>19</v>
      </c>
      <c r="D3610" t="s">
        <v>208</v>
      </c>
      <c r="E3610" t="s">
        <v>21</v>
      </c>
      <c r="F3610" t="s">
        <v>22</v>
      </c>
      <c r="G3610" t="s">
        <v>64</v>
      </c>
      <c r="H3610" t="s">
        <v>221</v>
      </c>
      <c r="I3610" t="s">
        <v>7118</v>
      </c>
      <c r="J3610">
        <v>10.328484</v>
      </c>
      <c r="K3610">
        <v>-83.756855000000002</v>
      </c>
      <c r="L3610" t="s">
        <v>1225</v>
      </c>
      <c r="M3610" t="s">
        <v>189</v>
      </c>
      <c r="N3610" t="s">
        <v>211</v>
      </c>
      <c r="O3610" t="s">
        <v>212</v>
      </c>
      <c r="P3610">
        <v>1</v>
      </c>
      <c r="Q3610" t="s">
        <v>155</v>
      </c>
      <c r="S3610" t="str">
        <f>_xlfn.XLOOKUP(UNIVERSO[[#This Row],[Ruta]],'[1]CUOTA RUTA'!A:A,'[1]CUOTA RUTA'!D:D)</f>
        <v>Cargar</v>
      </c>
    </row>
    <row r="3611" spans="1:19" x14ac:dyDescent="0.25">
      <c r="A3611">
        <v>1540042035</v>
      </c>
      <c r="B3611" t="s">
        <v>7119</v>
      </c>
      <c r="C3611" t="s">
        <v>19</v>
      </c>
      <c r="D3611" t="s">
        <v>186</v>
      </c>
      <c r="E3611" t="s">
        <v>21</v>
      </c>
      <c r="F3611" t="s">
        <v>22</v>
      </c>
      <c r="G3611" t="s">
        <v>64</v>
      </c>
      <c r="H3611" t="s">
        <v>241</v>
      </c>
      <c r="I3611" t="s">
        <v>7120</v>
      </c>
      <c r="J3611">
        <v>9.9587869999999992</v>
      </c>
      <c r="K3611">
        <v>-83.165999999999997</v>
      </c>
      <c r="L3611" t="s">
        <v>1225</v>
      </c>
      <c r="M3611" t="s">
        <v>189</v>
      </c>
      <c r="N3611" t="s">
        <v>190</v>
      </c>
      <c r="O3611" t="s">
        <v>191</v>
      </c>
      <c r="P3611">
        <v>18</v>
      </c>
      <c r="Q3611" t="s">
        <v>84</v>
      </c>
      <c r="S3611" t="str">
        <f>_xlfn.XLOOKUP(UNIVERSO[[#This Row],[Ruta]],'[1]CUOTA RUTA'!A:A,'[1]CUOTA RUTA'!D:D)</f>
        <v>Cargar</v>
      </c>
    </row>
    <row r="3612" spans="1:19" x14ac:dyDescent="0.25">
      <c r="A3612">
        <v>1540042052</v>
      </c>
      <c r="B3612" t="s">
        <v>7121</v>
      </c>
      <c r="C3612" t="s">
        <v>19</v>
      </c>
      <c r="D3612" t="s">
        <v>337</v>
      </c>
      <c r="E3612" t="s">
        <v>21</v>
      </c>
      <c r="F3612" t="s">
        <v>22</v>
      </c>
      <c r="G3612" t="s">
        <v>64</v>
      </c>
      <c r="H3612" t="s">
        <v>451</v>
      </c>
      <c r="I3612" t="s">
        <v>7122</v>
      </c>
      <c r="J3612">
        <v>10.647188999999999</v>
      </c>
      <c r="K3612">
        <v>-85.441300999999996</v>
      </c>
      <c r="L3612" t="s">
        <v>1225</v>
      </c>
      <c r="M3612" t="s">
        <v>327</v>
      </c>
      <c r="N3612" t="s">
        <v>340</v>
      </c>
      <c r="O3612" t="s">
        <v>341</v>
      </c>
      <c r="P3612">
        <v>12</v>
      </c>
      <c r="Q3612" t="s">
        <v>42</v>
      </c>
      <c r="S3612" t="str">
        <f>_xlfn.XLOOKUP(UNIVERSO[[#This Row],[Ruta]],'[1]CUOTA RUTA'!A:A,'[1]CUOTA RUTA'!D:D)</f>
        <v>Cargar</v>
      </c>
    </row>
    <row r="3613" spans="1:19" x14ac:dyDescent="0.25">
      <c r="A3613">
        <v>1540042055</v>
      </c>
      <c r="B3613" t="s">
        <v>7123</v>
      </c>
      <c r="C3613" t="s">
        <v>19</v>
      </c>
      <c r="D3613" t="s">
        <v>349</v>
      </c>
      <c r="E3613" t="s">
        <v>21</v>
      </c>
      <c r="F3613" t="s">
        <v>22</v>
      </c>
      <c r="G3613" t="s">
        <v>33</v>
      </c>
      <c r="H3613" t="s">
        <v>359</v>
      </c>
      <c r="I3613" t="s">
        <v>7124</v>
      </c>
      <c r="J3613">
        <v>9.9646559999999997</v>
      </c>
      <c r="K3613">
        <v>-85.123814999999993</v>
      </c>
      <c r="L3613" t="s">
        <v>1225</v>
      </c>
      <c r="M3613" t="s">
        <v>352</v>
      </c>
      <c r="N3613" t="s">
        <v>353</v>
      </c>
      <c r="O3613" t="s">
        <v>354</v>
      </c>
      <c r="P3613">
        <v>10</v>
      </c>
      <c r="Q3613" t="s">
        <v>136</v>
      </c>
      <c r="S3613" t="str">
        <f>_xlfn.XLOOKUP(UNIVERSO[[#This Row],[Ruta]],'[1]CUOTA RUTA'!A:A,'[1]CUOTA RUTA'!D:D)</f>
        <v>Cargar</v>
      </c>
    </row>
    <row r="3614" spans="1:19" x14ac:dyDescent="0.25">
      <c r="A3614">
        <v>1540042106</v>
      </c>
      <c r="B3614" t="s">
        <v>7125</v>
      </c>
      <c r="C3614" t="s">
        <v>19</v>
      </c>
      <c r="D3614" t="s">
        <v>32</v>
      </c>
      <c r="E3614" t="s">
        <v>21</v>
      </c>
      <c r="F3614" t="s">
        <v>22</v>
      </c>
      <c r="G3614" t="s">
        <v>33</v>
      </c>
      <c r="H3614" t="s">
        <v>1383</v>
      </c>
      <c r="I3614" t="s">
        <v>7126</v>
      </c>
      <c r="J3614">
        <v>9.9187340000000006</v>
      </c>
      <c r="K3614">
        <v>-84.080921000000004</v>
      </c>
      <c r="L3614" t="s">
        <v>1225</v>
      </c>
      <c r="M3614" t="s">
        <v>71</v>
      </c>
      <c r="N3614" t="s">
        <v>72</v>
      </c>
      <c r="O3614" t="s">
        <v>73</v>
      </c>
      <c r="P3614">
        <v>2</v>
      </c>
      <c r="Q3614" t="s">
        <v>150</v>
      </c>
      <c r="S3614" t="str">
        <f>_xlfn.XLOOKUP(UNIVERSO[[#This Row],[Ruta]],'[1]CUOTA RUTA'!A:A,'[1]CUOTA RUTA'!D:D)</f>
        <v>Cargar</v>
      </c>
    </row>
    <row r="3615" spans="1:19" x14ac:dyDescent="0.25">
      <c r="A3615">
        <v>1540042114</v>
      </c>
      <c r="B3615" t="s">
        <v>7127</v>
      </c>
      <c r="C3615" t="s">
        <v>19</v>
      </c>
      <c r="D3615" t="s">
        <v>20</v>
      </c>
      <c r="E3615" t="s">
        <v>62</v>
      </c>
      <c r="F3615" t="s">
        <v>63</v>
      </c>
      <c r="G3615" t="s">
        <v>64</v>
      </c>
      <c r="H3615" t="s">
        <v>518</v>
      </c>
      <c r="I3615" t="s">
        <v>7128</v>
      </c>
      <c r="J3615">
        <v>10.0048964</v>
      </c>
      <c r="K3615">
        <v>-84.142951100000005</v>
      </c>
      <c r="L3615" t="s">
        <v>1225</v>
      </c>
      <c r="M3615" t="s">
        <v>27</v>
      </c>
      <c r="N3615" t="s">
        <v>28</v>
      </c>
      <c r="O3615" t="s">
        <v>29</v>
      </c>
      <c r="P3615">
        <v>20</v>
      </c>
      <c r="Q3615" t="s">
        <v>74</v>
      </c>
      <c r="S3615" t="str">
        <f>_xlfn.XLOOKUP(UNIVERSO[[#This Row],[Ruta]],'[1]CUOTA RUTA'!A:A,'[1]CUOTA RUTA'!D:D)</f>
        <v>Cargar</v>
      </c>
    </row>
    <row r="3616" spans="1:19" x14ac:dyDescent="0.25">
      <c r="A3616">
        <v>1540042125</v>
      </c>
      <c r="B3616" t="s">
        <v>7129</v>
      </c>
      <c r="C3616" t="s">
        <v>19</v>
      </c>
      <c r="D3616" t="s">
        <v>349</v>
      </c>
      <c r="E3616" t="s">
        <v>21</v>
      </c>
      <c r="F3616" t="s">
        <v>22</v>
      </c>
      <c r="G3616" t="s">
        <v>23</v>
      </c>
      <c r="H3616" t="s">
        <v>908</v>
      </c>
      <c r="I3616" t="s">
        <v>4908</v>
      </c>
      <c r="J3616">
        <v>10.261471</v>
      </c>
      <c r="K3616">
        <v>-85.583208999999997</v>
      </c>
      <c r="L3616" t="s">
        <v>1225</v>
      </c>
      <c r="M3616" t="s">
        <v>352</v>
      </c>
      <c r="N3616" t="s">
        <v>353</v>
      </c>
      <c r="O3616" t="s">
        <v>354</v>
      </c>
      <c r="P3616">
        <v>1</v>
      </c>
      <c r="Q3616" t="s">
        <v>155</v>
      </c>
      <c r="S3616" t="str">
        <f>_xlfn.XLOOKUP(UNIVERSO[[#This Row],[Ruta]],'[1]CUOTA RUTA'!A:A,'[1]CUOTA RUTA'!D:D)</f>
        <v>Cargar</v>
      </c>
    </row>
    <row r="3617" spans="1:19" x14ac:dyDescent="0.25">
      <c r="A3617">
        <v>1540042192</v>
      </c>
      <c r="B3617" t="s">
        <v>6741</v>
      </c>
      <c r="C3617" t="s">
        <v>19</v>
      </c>
      <c r="D3617" t="s">
        <v>337</v>
      </c>
      <c r="E3617" t="s">
        <v>21</v>
      </c>
      <c r="F3617" t="s">
        <v>22</v>
      </c>
      <c r="G3617" t="s">
        <v>64</v>
      </c>
      <c r="H3617" t="s">
        <v>824</v>
      </c>
      <c r="I3617" t="s">
        <v>7130</v>
      </c>
      <c r="J3617">
        <v>11.072565730000001</v>
      </c>
      <c r="K3617">
        <v>-85.635022070000005</v>
      </c>
      <c r="L3617" t="s">
        <v>1225</v>
      </c>
      <c r="M3617" t="s">
        <v>327</v>
      </c>
      <c r="N3617" t="s">
        <v>340</v>
      </c>
      <c r="O3617" t="s">
        <v>341</v>
      </c>
      <c r="P3617">
        <v>15</v>
      </c>
      <c r="Q3617" t="s">
        <v>231</v>
      </c>
      <c r="S3617" t="str">
        <f>_xlfn.XLOOKUP(UNIVERSO[[#This Row],[Ruta]],'[1]CUOTA RUTA'!A:A,'[1]CUOTA RUTA'!D:D)</f>
        <v>Cargar</v>
      </c>
    </row>
    <row r="3618" spans="1:19" x14ac:dyDescent="0.25">
      <c r="A3618">
        <v>1540042196</v>
      </c>
      <c r="B3618" t="s">
        <v>7131</v>
      </c>
      <c r="C3618" t="s">
        <v>19</v>
      </c>
      <c r="D3618" t="s">
        <v>244</v>
      </c>
      <c r="E3618" t="s">
        <v>21</v>
      </c>
      <c r="F3618" t="s">
        <v>22</v>
      </c>
      <c r="G3618" t="s">
        <v>64</v>
      </c>
      <c r="H3618" t="s">
        <v>436</v>
      </c>
      <c r="I3618" t="s">
        <v>7132</v>
      </c>
      <c r="J3618">
        <v>9.4358889999999995</v>
      </c>
      <c r="K3618">
        <v>-84.168943999999996</v>
      </c>
      <c r="L3618" t="s">
        <v>1225</v>
      </c>
      <c r="M3618" t="s">
        <v>46</v>
      </c>
      <c r="N3618" t="s">
        <v>247</v>
      </c>
      <c r="O3618" t="s">
        <v>248</v>
      </c>
      <c r="P3618">
        <v>21</v>
      </c>
      <c r="Q3618" t="s">
        <v>239</v>
      </c>
      <c r="S3618" t="str">
        <f>_xlfn.XLOOKUP(UNIVERSO[[#This Row],[Ruta]],'[1]CUOTA RUTA'!A:A,'[1]CUOTA RUTA'!D:D)</f>
        <v>Cargar</v>
      </c>
    </row>
    <row r="3619" spans="1:19" x14ac:dyDescent="0.25">
      <c r="A3619">
        <v>1540042233</v>
      </c>
      <c r="B3619" t="s">
        <v>7133</v>
      </c>
      <c r="C3619" t="s">
        <v>19</v>
      </c>
      <c r="D3619" t="s">
        <v>20</v>
      </c>
      <c r="E3619" t="s">
        <v>21</v>
      </c>
      <c r="F3619" t="s">
        <v>22</v>
      </c>
      <c r="G3619" t="s">
        <v>23</v>
      </c>
      <c r="H3619" t="s">
        <v>58</v>
      </c>
      <c r="I3619" t="s">
        <v>7134</v>
      </c>
      <c r="J3619">
        <v>10.02107</v>
      </c>
      <c r="K3619">
        <v>-84.209609999999998</v>
      </c>
      <c r="L3619" t="s">
        <v>1225</v>
      </c>
      <c r="M3619" t="s">
        <v>54</v>
      </c>
      <c r="N3619" t="s">
        <v>55</v>
      </c>
      <c r="O3619" t="s">
        <v>56</v>
      </c>
      <c r="P3619">
        <v>2</v>
      </c>
      <c r="Q3619" t="s">
        <v>150</v>
      </c>
      <c r="S3619" t="str">
        <f>_xlfn.XLOOKUP(UNIVERSO[[#This Row],[Ruta]],'[1]CUOTA RUTA'!A:A,'[1]CUOTA RUTA'!D:D)</f>
        <v>Cargar</v>
      </c>
    </row>
    <row r="3620" spans="1:19" x14ac:dyDescent="0.25">
      <c r="A3620">
        <v>1540042285</v>
      </c>
      <c r="B3620" t="s">
        <v>7135</v>
      </c>
      <c r="C3620" t="s">
        <v>19</v>
      </c>
      <c r="D3620" t="s">
        <v>208</v>
      </c>
      <c r="E3620" t="s">
        <v>21</v>
      </c>
      <c r="F3620" t="s">
        <v>22</v>
      </c>
      <c r="G3620" t="s">
        <v>33</v>
      </c>
      <c r="H3620" t="s">
        <v>631</v>
      </c>
      <c r="I3620" t="s">
        <v>7136</v>
      </c>
      <c r="J3620">
        <v>10.102936</v>
      </c>
      <c r="K3620">
        <v>-83.438132999999993</v>
      </c>
      <c r="L3620" t="s">
        <v>1225</v>
      </c>
      <c r="M3620" t="s">
        <v>189</v>
      </c>
      <c r="N3620" t="s">
        <v>211</v>
      </c>
      <c r="O3620" t="s">
        <v>212</v>
      </c>
      <c r="P3620">
        <v>8</v>
      </c>
      <c r="Q3620" t="s">
        <v>97</v>
      </c>
      <c r="S3620" t="str">
        <f>_xlfn.XLOOKUP(UNIVERSO[[#This Row],[Ruta]],'[1]CUOTA RUTA'!A:A,'[1]CUOTA RUTA'!D:D)</f>
        <v>Cargar</v>
      </c>
    </row>
    <row r="3621" spans="1:19" x14ac:dyDescent="0.25">
      <c r="A3621">
        <v>1540042335</v>
      </c>
      <c r="B3621" t="s">
        <v>7137</v>
      </c>
      <c r="C3621" t="s">
        <v>19</v>
      </c>
      <c r="D3621" t="s">
        <v>20</v>
      </c>
      <c r="E3621" t="s">
        <v>21</v>
      </c>
      <c r="F3621" t="s">
        <v>22</v>
      </c>
      <c r="G3621" t="s">
        <v>33</v>
      </c>
      <c r="H3621" t="s">
        <v>263</v>
      </c>
      <c r="I3621" t="s">
        <v>7138</v>
      </c>
      <c r="J3621">
        <v>10.086431899999999</v>
      </c>
      <c r="K3621">
        <v>-84.371055200000001</v>
      </c>
      <c r="L3621" t="s">
        <v>1225</v>
      </c>
      <c r="M3621" t="s">
        <v>46</v>
      </c>
      <c r="N3621" t="s">
        <v>47</v>
      </c>
      <c r="O3621" t="s">
        <v>48</v>
      </c>
      <c r="P3621">
        <v>5</v>
      </c>
      <c r="Q3621" t="s">
        <v>117</v>
      </c>
      <c r="S3621" t="str">
        <f>_xlfn.XLOOKUP(UNIVERSO[[#This Row],[Ruta]],'[1]CUOTA RUTA'!A:A,'[1]CUOTA RUTA'!D:D)</f>
        <v>Cargar</v>
      </c>
    </row>
    <row r="3622" spans="1:19" x14ac:dyDescent="0.25">
      <c r="A3622">
        <v>1540042363</v>
      </c>
      <c r="B3622" t="s">
        <v>7139</v>
      </c>
      <c r="C3622" t="s">
        <v>19</v>
      </c>
      <c r="D3622" t="s">
        <v>32</v>
      </c>
      <c r="E3622" t="s">
        <v>21</v>
      </c>
      <c r="F3622" t="s">
        <v>22</v>
      </c>
      <c r="G3622" t="s">
        <v>33</v>
      </c>
      <c r="H3622" t="s">
        <v>179</v>
      </c>
      <c r="I3622" t="s">
        <v>7140</v>
      </c>
      <c r="J3622">
        <v>9.9544867000000004</v>
      </c>
      <c r="K3622">
        <v>-84.043520000000001</v>
      </c>
      <c r="L3622" t="s">
        <v>1225</v>
      </c>
      <c r="M3622" t="s">
        <v>36</v>
      </c>
      <c r="N3622" t="s">
        <v>37</v>
      </c>
      <c r="O3622" t="s">
        <v>38</v>
      </c>
      <c r="P3622">
        <v>22</v>
      </c>
      <c r="Q3622" t="s">
        <v>30</v>
      </c>
      <c r="S3622" t="str">
        <f>_xlfn.XLOOKUP(UNIVERSO[[#This Row],[Ruta]],'[1]CUOTA RUTA'!A:A,'[1]CUOTA RUTA'!D:D)</f>
        <v>Cargar</v>
      </c>
    </row>
    <row r="3623" spans="1:19" x14ac:dyDescent="0.25">
      <c r="A3623">
        <v>1540042371</v>
      </c>
      <c r="B3623" t="s">
        <v>7141</v>
      </c>
      <c r="C3623" t="s">
        <v>19</v>
      </c>
      <c r="D3623" t="s">
        <v>20</v>
      </c>
      <c r="E3623" t="s">
        <v>21</v>
      </c>
      <c r="F3623" t="s">
        <v>22</v>
      </c>
      <c r="G3623" t="s">
        <v>23</v>
      </c>
      <c r="H3623" t="s">
        <v>255</v>
      </c>
      <c r="I3623" t="s">
        <v>7142</v>
      </c>
      <c r="J3623">
        <v>10.071027000000001</v>
      </c>
      <c r="K3623">
        <v>-84.314577</v>
      </c>
      <c r="L3623" t="s">
        <v>1225</v>
      </c>
      <c r="M3623" t="s">
        <v>46</v>
      </c>
      <c r="N3623" t="s">
        <v>47</v>
      </c>
      <c r="O3623" t="s">
        <v>48</v>
      </c>
      <c r="P3623">
        <v>4</v>
      </c>
      <c r="Q3623" t="s">
        <v>120</v>
      </c>
      <c r="S3623" t="str">
        <f>_xlfn.XLOOKUP(UNIVERSO[[#This Row],[Ruta]],'[1]CUOTA RUTA'!A:A,'[1]CUOTA RUTA'!D:D)</f>
        <v>Cargar</v>
      </c>
    </row>
    <row r="3624" spans="1:19" x14ac:dyDescent="0.25">
      <c r="A3624">
        <v>1540042377</v>
      </c>
      <c r="B3624" t="s">
        <v>7143</v>
      </c>
      <c r="C3624" t="s">
        <v>19</v>
      </c>
      <c r="D3624" t="s">
        <v>349</v>
      </c>
      <c r="E3624" t="s">
        <v>21</v>
      </c>
      <c r="F3624" t="s">
        <v>22</v>
      </c>
      <c r="G3624" t="s">
        <v>64</v>
      </c>
      <c r="H3624" t="s">
        <v>356</v>
      </c>
      <c r="I3624" t="s">
        <v>7144</v>
      </c>
      <c r="J3624">
        <v>10.185249000000001</v>
      </c>
      <c r="K3624">
        <v>-85.297871000000001</v>
      </c>
      <c r="L3624" t="s">
        <v>1225</v>
      </c>
      <c r="M3624" t="s">
        <v>352</v>
      </c>
      <c r="N3624" t="s">
        <v>353</v>
      </c>
      <c r="O3624" t="s">
        <v>354</v>
      </c>
      <c r="P3624">
        <v>16</v>
      </c>
      <c r="Q3624" t="s">
        <v>60</v>
      </c>
      <c r="S3624" t="str">
        <f>_xlfn.XLOOKUP(UNIVERSO[[#This Row],[Ruta]],'[1]CUOTA RUTA'!A:A,'[1]CUOTA RUTA'!D:D)</f>
        <v>Cargar</v>
      </c>
    </row>
    <row r="3625" spans="1:19" x14ac:dyDescent="0.25">
      <c r="A3625">
        <v>1540042506</v>
      </c>
      <c r="B3625" t="s">
        <v>7145</v>
      </c>
      <c r="C3625" t="s">
        <v>19</v>
      </c>
      <c r="D3625" t="s">
        <v>20</v>
      </c>
      <c r="E3625" t="s">
        <v>21</v>
      </c>
      <c r="F3625" t="s">
        <v>22</v>
      </c>
      <c r="G3625" t="s">
        <v>33</v>
      </c>
      <c r="H3625" t="s">
        <v>774</v>
      </c>
      <c r="I3625" t="s">
        <v>7146</v>
      </c>
      <c r="J3625">
        <v>9.9439516999999995</v>
      </c>
      <c r="K3625">
        <v>-84.225166700000003</v>
      </c>
      <c r="L3625" t="s">
        <v>1225</v>
      </c>
      <c r="M3625" t="s">
        <v>54</v>
      </c>
      <c r="N3625" t="s">
        <v>55</v>
      </c>
      <c r="O3625" t="s">
        <v>56</v>
      </c>
      <c r="P3625">
        <v>9</v>
      </c>
      <c r="Q3625" t="s">
        <v>80</v>
      </c>
      <c r="S3625" t="str">
        <f>_xlfn.XLOOKUP(UNIVERSO[[#This Row],[Ruta]],'[1]CUOTA RUTA'!A:A,'[1]CUOTA RUTA'!D:D)</f>
        <v>Cargar</v>
      </c>
    </row>
    <row r="3626" spans="1:19" x14ac:dyDescent="0.25">
      <c r="A3626">
        <v>1540042556</v>
      </c>
      <c r="B3626" t="s">
        <v>7147</v>
      </c>
      <c r="C3626" t="s">
        <v>19</v>
      </c>
      <c r="D3626" t="s">
        <v>337</v>
      </c>
      <c r="E3626" t="s">
        <v>21</v>
      </c>
      <c r="F3626" t="s">
        <v>22</v>
      </c>
      <c r="G3626" t="s">
        <v>64</v>
      </c>
      <c r="H3626" t="s">
        <v>1732</v>
      </c>
      <c r="I3626" t="s">
        <v>7148</v>
      </c>
      <c r="J3626">
        <v>10.4483003</v>
      </c>
      <c r="K3626">
        <v>-85.760483800000003</v>
      </c>
      <c r="L3626" t="s">
        <v>1225</v>
      </c>
      <c r="M3626" t="s">
        <v>327</v>
      </c>
      <c r="N3626" t="s">
        <v>340</v>
      </c>
      <c r="O3626" t="s">
        <v>341</v>
      </c>
      <c r="P3626">
        <v>18</v>
      </c>
      <c r="Q3626" t="s">
        <v>84</v>
      </c>
      <c r="S3626" t="str">
        <f>_xlfn.XLOOKUP(UNIVERSO[[#This Row],[Ruta]],'[1]CUOTA RUTA'!A:A,'[1]CUOTA RUTA'!D:D)</f>
        <v>Cargar</v>
      </c>
    </row>
    <row r="3627" spans="1:19" x14ac:dyDescent="0.25">
      <c r="A3627">
        <v>1540042607</v>
      </c>
      <c r="B3627" t="s">
        <v>7149</v>
      </c>
      <c r="C3627" t="s">
        <v>19</v>
      </c>
      <c r="D3627" t="s">
        <v>20</v>
      </c>
      <c r="E3627" t="s">
        <v>21</v>
      </c>
      <c r="F3627" t="s">
        <v>22</v>
      </c>
      <c r="G3627" t="s">
        <v>23</v>
      </c>
      <c r="H3627" t="s">
        <v>24</v>
      </c>
      <c r="I3627" t="s">
        <v>7150</v>
      </c>
      <c r="J3627">
        <v>9.9942724500000004</v>
      </c>
      <c r="K3627">
        <v>-84.108599249999997</v>
      </c>
      <c r="L3627" t="s">
        <v>1225</v>
      </c>
      <c r="M3627" t="s">
        <v>27</v>
      </c>
      <c r="N3627" t="s">
        <v>28</v>
      </c>
      <c r="O3627" t="s">
        <v>29</v>
      </c>
      <c r="P3627">
        <v>19</v>
      </c>
      <c r="Q3627" t="s">
        <v>67</v>
      </c>
      <c r="S3627" t="str">
        <f>_xlfn.XLOOKUP(UNIVERSO[[#This Row],[Ruta]],'[1]CUOTA RUTA'!A:A,'[1]CUOTA RUTA'!D:D)</f>
        <v>Cargar</v>
      </c>
    </row>
    <row r="3628" spans="1:19" x14ac:dyDescent="0.25">
      <c r="A3628">
        <v>1540042634</v>
      </c>
      <c r="B3628" t="s">
        <v>7151</v>
      </c>
      <c r="C3628" t="s">
        <v>19</v>
      </c>
      <c r="D3628" t="s">
        <v>244</v>
      </c>
      <c r="E3628" t="s">
        <v>21</v>
      </c>
      <c r="F3628" t="s">
        <v>22</v>
      </c>
      <c r="G3628" t="s">
        <v>64</v>
      </c>
      <c r="H3628" t="s">
        <v>1233</v>
      </c>
      <c r="I3628" t="s">
        <v>7152</v>
      </c>
      <c r="J3628">
        <v>9.3408949999999997</v>
      </c>
      <c r="K3628">
        <v>-83.686100999999994</v>
      </c>
      <c r="L3628" t="s">
        <v>1225</v>
      </c>
      <c r="M3628" t="s">
        <v>46</v>
      </c>
      <c r="N3628" t="s">
        <v>247</v>
      </c>
      <c r="O3628" t="s">
        <v>248</v>
      </c>
      <c r="P3628">
        <v>13</v>
      </c>
      <c r="Q3628" t="s">
        <v>161</v>
      </c>
      <c r="S3628" t="str">
        <f>_xlfn.XLOOKUP(UNIVERSO[[#This Row],[Ruta]],'[1]CUOTA RUTA'!A:A,'[1]CUOTA RUTA'!D:D)</f>
        <v>Cargar</v>
      </c>
    </row>
    <row r="3629" spans="1:19" x14ac:dyDescent="0.25">
      <c r="A3629">
        <v>1540042660</v>
      </c>
      <c r="B3629" t="s">
        <v>7153</v>
      </c>
      <c r="C3629" t="s">
        <v>19</v>
      </c>
      <c r="D3629" t="s">
        <v>266</v>
      </c>
      <c r="E3629" t="s">
        <v>21</v>
      </c>
      <c r="F3629" t="s">
        <v>22</v>
      </c>
      <c r="G3629" t="s">
        <v>33</v>
      </c>
      <c r="H3629" t="s">
        <v>404</v>
      </c>
      <c r="I3629" t="s">
        <v>7154</v>
      </c>
      <c r="J3629">
        <v>9.8362280000000002</v>
      </c>
      <c r="K3629">
        <v>-83.871403999999998</v>
      </c>
      <c r="L3629" t="s">
        <v>1225</v>
      </c>
      <c r="M3629" t="s">
        <v>36</v>
      </c>
      <c r="N3629" t="s">
        <v>316</v>
      </c>
      <c r="O3629" t="s">
        <v>317</v>
      </c>
      <c r="P3629">
        <v>23</v>
      </c>
      <c r="Q3629" t="s">
        <v>125</v>
      </c>
      <c r="S3629" t="str">
        <f>_xlfn.XLOOKUP(UNIVERSO[[#This Row],[Ruta]],'[1]CUOTA RUTA'!A:A,'[1]CUOTA RUTA'!D:D)</f>
        <v>Cargar</v>
      </c>
    </row>
    <row r="3630" spans="1:19" x14ac:dyDescent="0.25">
      <c r="A3630">
        <v>1540042687</v>
      </c>
      <c r="B3630" t="s">
        <v>7155</v>
      </c>
      <c r="C3630" t="s">
        <v>19</v>
      </c>
      <c r="D3630" t="s">
        <v>32</v>
      </c>
      <c r="E3630" t="s">
        <v>21</v>
      </c>
      <c r="F3630" t="s">
        <v>22</v>
      </c>
      <c r="G3630" t="s">
        <v>64</v>
      </c>
      <c r="H3630" t="s">
        <v>69</v>
      </c>
      <c r="I3630" t="s">
        <v>7156</v>
      </c>
      <c r="J3630">
        <v>9.8749116666669998</v>
      </c>
      <c r="K3630">
        <v>-84.069266666659999</v>
      </c>
      <c r="L3630" t="s">
        <v>1225</v>
      </c>
      <c r="M3630" t="s">
        <v>71</v>
      </c>
      <c r="N3630" t="s">
        <v>72</v>
      </c>
      <c r="O3630" t="s">
        <v>73</v>
      </c>
      <c r="P3630">
        <v>19</v>
      </c>
      <c r="Q3630" t="s">
        <v>67</v>
      </c>
      <c r="S3630" t="str">
        <f>_xlfn.XLOOKUP(UNIVERSO[[#This Row],[Ruta]],'[1]CUOTA RUTA'!A:A,'[1]CUOTA RUTA'!D:D)</f>
        <v>Cargar</v>
      </c>
    </row>
    <row r="3631" spans="1:19" x14ac:dyDescent="0.25">
      <c r="A3631">
        <v>1540042729</v>
      </c>
      <c r="B3631" t="s">
        <v>7157</v>
      </c>
      <c r="C3631" t="s">
        <v>19</v>
      </c>
      <c r="D3631" t="s">
        <v>20</v>
      </c>
      <c r="E3631" t="s">
        <v>21</v>
      </c>
      <c r="F3631" t="s">
        <v>22</v>
      </c>
      <c r="G3631" t="s">
        <v>33</v>
      </c>
      <c r="H3631" t="s">
        <v>901</v>
      </c>
      <c r="I3631" t="s">
        <v>7158</v>
      </c>
      <c r="J3631">
        <v>10.02627</v>
      </c>
      <c r="K3631">
        <v>-84.330581699999996</v>
      </c>
      <c r="L3631" t="s">
        <v>1225</v>
      </c>
      <c r="M3631" t="s">
        <v>46</v>
      </c>
      <c r="N3631" t="s">
        <v>47</v>
      </c>
      <c r="O3631" t="s">
        <v>48</v>
      </c>
      <c r="P3631">
        <v>5</v>
      </c>
      <c r="Q3631" t="s">
        <v>117</v>
      </c>
      <c r="S3631" t="str">
        <f>_xlfn.XLOOKUP(UNIVERSO[[#This Row],[Ruta]],'[1]CUOTA RUTA'!A:A,'[1]CUOTA RUTA'!D:D)</f>
        <v>Cargar</v>
      </c>
    </row>
    <row r="3632" spans="1:19" x14ac:dyDescent="0.25">
      <c r="A3632">
        <v>1540042798</v>
      </c>
      <c r="B3632" t="s">
        <v>7159</v>
      </c>
      <c r="C3632" t="s">
        <v>19</v>
      </c>
      <c r="D3632" t="s">
        <v>201</v>
      </c>
      <c r="E3632" t="s">
        <v>21</v>
      </c>
      <c r="F3632" t="s">
        <v>22</v>
      </c>
      <c r="G3632" t="s">
        <v>64</v>
      </c>
      <c r="H3632" t="s">
        <v>528</v>
      </c>
      <c r="I3632" t="s">
        <v>7160</v>
      </c>
      <c r="J3632">
        <v>10.282748</v>
      </c>
      <c r="K3632">
        <v>-84.957607999999993</v>
      </c>
      <c r="L3632" t="s">
        <v>1225</v>
      </c>
      <c r="M3632" t="s">
        <v>327</v>
      </c>
      <c r="N3632" t="s">
        <v>530</v>
      </c>
      <c r="O3632" t="s">
        <v>531</v>
      </c>
      <c r="P3632">
        <v>1</v>
      </c>
      <c r="Q3632" t="s">
        <v>155</v>
      </c>
      <c r="S3632" t="str">
        <f>_xlfn.XLOOKUP(UNIVERSO[[#This Row],[Ruta]],'[1]CUOTA RUTA'!A:A,'[1]CUOTA RUTA'!D:D)</f>
        <v>Cargar</v>
      </c>
    </row>
    <row r="3633" spans="1:19" x14ac:dyDescent="0.25">
      <c r="A3633">
        <v>1540042811</v>
      </c>
      <c r="B3633" t="s">
        <v>798</v>
      </c>
      <c r="C3633" t="s">
        <v>19</v>
      </c>
      <c r="D3633" t="s">
        <v>244</v>
      </c>
      <c r="E3633" t="s">
        <v>21</v>
      </c>
      <c r="F3633" t="s">
        <v>22</v>
      </c>
      <c r="G3633" t="s">
        <v>64</v>
      </c>
      <c r="H3633" t="s">
        <v>1233</v>
      </c>
      <c r="I3633" t="s">
        <v>7161</v>
      </c>
      <c r="J3633">
        <v>9.2031162000000002</v>
      </c>
      <c r="K3633">
        <v>-83.399120499999995</v>
      </c>
      <c r="L3633" t="s">
        <v>1225</v>
      </c>
      <c r="M3633" t="s">
        <v>46</v>
      </c>
      <c r="N3633" t="s">
        <v>247</v>
      </c>
      <c r="O3633" t="s">
        <v>248</v>
      </c>
      <c r="P3633">
        <v>12</v>
      </c>
      <c r="Q3633" t="s">
        <v>42</v>
      </c>
      <c r="S3633" t="str">
        <f>_xlfn.XLOOKUP(UNIVERSO[[#This Row],[Ruta]],'[1]CUOTA RUTA'!A:A,'[1]CUOTA RUTA'!D:D)</f>
        <v>Cargar</v>
      </c>
    </row>
    <row r="3634" spans="1:19" x14ac:dyDescent="0.25">
      <c r="A3634">
        <v>1540042813</v>
      </c>
      <c r="B3634" t="s">
        <v>4464</v>
      </c>
      <c r="C3634" t="s">
        <v>19</v>
      </c>
      <c r="D3634" t="s">
        <v>208</v>
      </c>
      <c r="E3634" t="s">
        <v>21</v>
      </c>
      <c r="F3634" t="s">
        <v>22</v>
      </c>
      <c r="G3634" t="s">
        <v>33</v>
      </c>
      <c r="H3634" t="s">
        <v>218</v>
      </c>
      <c r="I3634" t="s">
        <v>7162</v>
      </c>
      <c r="J3634">
        <v>10.199</v>
      </c>
      <c r="K3634">
        <v>-83.796099999999996</v>
      </c>
      <c r="L3634" t="s">
        <v>1225</v>
      </c>
      <c r="M3634" t="s">
        <v>189</v>
      </c>
      <c r="N3634" t="s">
        <v>211</v>
      </c>
      <c r="O3634" t="s">
        <v>212</v>
      </c>
      <c r="P3634">
        <v>5</v>
      </c>
      <c r="Q3634" t="s">
        <v>117</v>
      </c>
      <c r="S3634" t="str">
        <f>_xlfn.XLOOKUP(UNIVERSO[[#This Row],[Ruta]],'[1]CUOTA RUTA'!A:A,'[1]CUOTA RUTA'!D:D)</f>
        <v>Cargar</v>
      </c>
    </row>
    <row r="3635" spans="1:19" x14ac:dyDescent="0.25">
      <c r="A3635">
        <v>1540042825</v>
      </c>
      <c r="B3635" t="s">
        <v>7163</v>
      </c>
      <c r="C3635" t="s">
        <v>19</v>
      </c>
      <c r="D3635" t="s">
        <v>20</v>
      </c>
      <c r="E3635" t="s">
        <v>21</v>
      </c>
      <c r="F3635" t="s">
        <v>22</v>
      </c>
      <c r="G3635" t="s">
        <v>23</v>
      </c>
      <c r="H3635" t="s">
        <v>901</v>
      </c>
      <c r="I3635" t="s">
        <v>7164</v>
      </c>
      <c r="J3635">
        <v>10.056279999999999</v>
      </c>
      <c r="K3635">
        <v>-84.442279999999997</v>
      </c>
      <c r="L3635" t="s">
        <v>1225</v>
      </c>
      <c r="M3635" t="s">
        <v>46</v>
      </c>
      <c r="N3635" t="s">
        <v>47</v>
      </c>
      <c r="O3635" t="s">
        <v>48</v>
      </c>
      <c r="P3635">
        <v>8</v>
      </c>
      <c r="Q3635" t="s">
        <v>97</v>
      </c>
      <c r="S3635" t="str">
        <f>_xlfn.XLOOKUP(UNIVERSO[[#This Row],[Ruta]],'[1]CUOTA RUTA'!A:A,'[1]CUOTA RUTA'!D:D)</f>
        <v>Cargar</v>
      </c>
    </row>
    <row r="3636" spans="1:19" x14ac:dyDescent="0.25">
      <c r="A3636">
        <v>1540042896</v>
      </c>
      <c r="B3636" t="s">
        <v>7165</v>
      </c>
      <c r="C3636" t="s">
        <v>19</v>
      </c>
      <c r="D3636" t="s">
        <v>266</v>
      </c>
      <c r="E3636" t="s">
        <v>21</v>
      </c>
      <c r="F3636" t="s">
        <v>22</v>
      </c>
      <c r="G3636" t="s">
        <v>64</v>
      </c>
      <c r="H3636" t="s">
        <v>321</v>
      </c>
      <c r="I3636" t="s">
        <v>7166</v>
      </c>
      <c r="J3636">
        <v>9.8782373000000003</v>
      </c>
      <c r="K3636">
        <v>-83.695921600000005</v>
      </c>
      <c r="L3636" t="s">
        <v>1225</v>
      </c>
      <c r="M3636" t="s">
        <v>54</v>
      </c>
      <c r="N3636" t="s">
        <v>274</v>
      </c>
      <c r="O3636" t="s">
        <v>275</v>
      </c>
      <c r="P3636">
        <v>24</v>
      </c>
      <c r="Q3636" t="s">
        <v>947</v>
      </c>
      <c r="S3636" t="str">
        <f>_xlfn.XLOOKUP(UNIVERSO[[#This Row],[Ruta]],'[1]CUOTA RUTA'!A:A,'[1]CUOTA RUTA'!D:D)</f>
        <v>Cargar</v>
      </c>
    </row>
    <row r="3637" spans="1:19" x14ac:dyDescent="0.25">
      <c r="A3637">
        <v>1540042913</v>
      </c>
      <c r="B3637" t="s">
        <v>7167</v>
      </c>
      <c r="C3637" t="s">
        <v>19</v>
      </c>
      <c r="D3637" t="s">
        <v>337</v>
      </c>
      <c r="E3637" t="s">
        <v>21</v>
      </c>
      <c r="F3637" t="s">
        <v>22</v>
      </c>
      <c r="G3637" t="s">
        <v>64</v>
      </c>
      <c r="H3637" t="s">
        <v>1732</v>
      </c>
      <c r="I3637" t="s">
        <v>7168</v>
      </c>
      <c r="J3637">
        <v>10.44481792</v>
      </c>
      <c r="K3637">
        <v>-85.549781350000003</v>
      </c>
      <c r="L3637" t="s">
        <v>1225</v>
      </c>
      <c r="M3637" t="s">
        <v>327</v>
      </c>
      <c r="N3637" t="s">
        <v>340</v>
      </c>
      <c r="O3637" t="s">
        <v>341</v>
      </c>
      <c r="P3637">
        <v>16</v>
      </c>
      <c r="Q3637" t="s">
        <v>60</v>
      </c>
      <c r="S3637" t="str">
        <f>_xlfn.XLOOKUP(UNIVERSO[[#This Row],[Ruta]],'[1]CUOTA RUTA'!A:A,'[1]CUOTA RUTA'!D:D)</f>
        <v>Cargar</v>
      </c>
    </row>
    <row r="3638" spans="1:19" x14ac:dyDescent="0.25">
      <c r="A3638">
        <v>1540042949</v>
      </c>
      <c r="B3638" t="s">
        <v>7169</v>
      </c>
      <c r="C3638" t="s">
        <v>19</v>
      </c>
      <c r="D3638" t="s">
        <v>20</v>
      </c>
      <c r="E3638" t="s">
        <v>21</v>
      </c>
      <c r="F3638" t="s">
        <v>22</v>
      </c>
      <c r="G3638" t="s">
        <v>33</v>
      </c>
      <c r="H3638" t="s">
        <v>862</v>
      </c>
      <c r="I3638" t="s">
        <v>7170</v>
      </c>
      <c r="J3638">
        <v>9.9552999999999994</v>
      </c>
      <c r="K3638">
        <v>-84.194000000000003</v>
      </c>
      <c r="L3638" t="s">
        <v>1225</v>
      </c>
      <c r="M3638" t="s">
        <v>27</v>
      </c>
      <c r="N3638" t="s">
        <v>28</v>
      </c>
      <c r="O3638" t="s">
        <v>29</v>
      </c>
      <c r="P3638">
        <v>23</v>
      </c>
      <c r="Q3638" t="s">
        <v>125</v>
      </c>
      <c r="S3638" t="str">
        <f>_xlfn.XLOOKUP(UNIVERSO[[#This Row],[Ruta]],'[1]CUOTA RUTA'!A:A,'[1]CUOTA RUTA'!D:D)</f>
        <v>Cargar</v>
      </c>
    </row>
    <row r="3639" spans="1:19" x14ac:dyDescent="0.25">
      <c r="A3639">
        <v>1540042964</v>
      </c>
      <c r="B3639" t="s">
        <v>7171</v>
      </c>
      <c r="C3639" t="s">
        <v>19</v>
      </c>
      <c r="D3639" t="s">
        <v>569</v>
      </c>
      <c r="E3639" t="s">
        <v>21</v>
      </c>
      <c r="F3639" t="s">
        <v>22</v>
      </c>
      <c r="G3639" t="s">
        <v>33</v>
      </c>
      <c r="H3639" t="s">
        <v>570</v>
      </c>
      <c r="I3639" t="s">
        <v>7172</v>
      </c>
      <c r="J3639">
        <v>8.5588200000000008</v>
      </c>
      <c r="K3639">
        <v>-82.855323999999996</v>
      </c>
      <c r="L3639" t="s">
        <v>1225</v>
      </c>
      <c r="M3639" t="s">
        <v>572</v>
      </c>
      <c r="N3639" t="s">
        <v>573</v>
      </c>
      <c r="O3639" t="s">
        <v>574</v>
      </c>
      <c r="P3639">
        <v>23</v>
      </c>
      <c r="Q3639" t="s">
        <v>125</v>
      </c>
      <c r="S3639" t="str">
        <f>_xlfn.XLOOKUP(UNIVERSO[[#This Row],[Ruta]],'[1]CUOTA RUTA'!A:A,'[1]CUOTA RUTA'!D:D)</f>
        <v>Cargar</v>
      </c>
    </row>
    <row r="3640" spans="1:19" x14ac:dyDescent="0.25">
      <c r="A3640">
        <v>1540042966</v>
      </c>
      <c r="B3640" t="s">
        <v>7173</v>
      </c>
      <c r="C3640" t="s">
        <v>19</v>
      </c>
      <c r="D3640" t="s">
        <v>32</v>
      </c>
      <c r="E3640" t="s">
        <v>21</v>
      </c>
      <c r="F3640" t="s">
        <v>22</v>
      </c>
      <c r="G3640" t="s">
        <v>33</v>
      </c>
      <c r="H3640" t="s">
        <v>425</v>
      </c>
      <c r="I3640" t="s">
        <v>7174</v>
      </c>
      <c r="J3640">
        <v>9.8573699999999995</v>
      </c>
      <c r="K3640">
        <v>-84.094138000000001</v>
      </c>
      <c r="L3640" t="s">
        <v>1225</v>
      </c>
      <c r="M3640" t="s">
        <v>71</v>
      </c>
      <c r="N3640" t="s">
        <v>72</v>
      </c>
      <c r="O3640" t="s">
        <v>73</v>
      </c>
      <c r="P3640">
        <v>15</v>
      </c>
      <c r="Q3640" t="s">
        <v>231</v>
      </c>
      <c r="S3640" t="str">
        <f>_xlfn.XLOOKUP(UNIVERSO[[#This Row],[Ruta]],'[1]CUOTA RUTA'!A:A,'[1]CUOTA RUTA'!D:D)</f>
        <v>Cargar</v>
      </c>
    </row>
    <row r="3641" spans="1:19" x14ac:dyDescent="0.25">
      <c r="A3641">
        <v>1540042984</v>
      </c>
      <c r="B3641" t="s">
        <v>5382</v>
      </c>
      <c r="C3641" t="s">
        <v>19</v>
      </c>
      <c r="D3641" t="s">
        <v>349</v>
      </c>
      <c r="E3641" t="s">
        <v>21</v>
      </c>
      <c r="F3641" t="s">
        <v>22</v>
      </c>
      <c r="G3641" t="s">
        <v>23</v>
      </c>
      <c r="H3641" t="s">
        <v>711</v>
      </c>
      <c r="I3641" t="s">
        <v>7175</v>
      </c>
      <c r="J3641">
        <v>10.198969999999999</v>
      </c>
      <c r="K3641">
        <v>-85.430448999999996</v>
      </c>
      <c r="L3641" t="s">
        <v>1225</v>
      </c>
      <c r="M3641" t="s">
        <v>352</v>
      </c>
      <c r="N3641" t="s">
        <v>353</v>
      </c>
      <c r="O3641" t="s">
        <v>354</v>
      </c>
      <c r="P3641">
        <v>16</v>
      </c>
      <c r="Q3641" t="s">
        <v>60</v>
      </c>
      <c r="S3641" t="str">
        <f>_xlfn.XLOOKUP(UNIVERSO[[#This Row],[Ruta]],'[1]CUOTA RUTA'!A:A,'[1]CUOTA RUTA'!D:D)</f>
        <v>Cargar</v>
      </c>
    </row>
    <row r="3642" spans="1:19" x14ac:dyDescent="0.25">
      <c r="A3642">
        <v>1540043105</v>
      </c>
      <c r="B3642" t="s">
        <v>7176</v>
      </c>
      <c r="C3642" t="s">
        <v>19</v>
      </c>
      <c r="D3642" t="s">
        <v>20</v>
      </c>
      <c r="E3642" t="s">
        <v>21</v>
      </c>
      <c r="F3642" t="s">
        <v>22</v>
      </c>
      <c r="G3642" t="s">
        <v>64</v>
      </c>
      <c r="H3642" t="s">
        <v>743</v>
      </c>
      <c r="I3642" t="s">
        <v>7177</v>
      </c>
      <c r="J3642">
        <v>9.9781999999999993</v>
      </c>
      <c r="K3642">
        <v>-84.381429999999995</v>
      </c>
      <c r="L3642" t="s">
        <v>1225</v>
      </c>
      <c r="M3642" t="s">
        <v>46</v>
      </c>
      <c r="N3642" t="s">
        <v>47</v>
      </c>
      <c r="O3642" t="s">
        <v>48</v>
      </c>
      <c r="P3642">
        <v>10</v>
      </c>
      <c r="Q3642" t="s">
        <v>136</v>
      </c>
      <c r="S3642" t="str">
        <f>_xlfn.XLOOKUP(UNIVERSO[[#This Row],[Ruta]],'[1]CUOTA RUTA'!A:A,'[1]CUOTA RUTA'!D:D)</f>
        <v>Cargar</v>
      </c>
    </row>
    <row r="3643" spans="1:19" x14ac:dyDescent="0.25">
      <c r="A3643">
        <v>1540043138</v>
      </c>
      <c r="B3643" t="s">
        <v>7178</v>
      </c>
      <c r="C3643" t="s">
        <v>19</v>
      </c>
      <c r="D3643" t="s">
        <v>208</v>
      </c>
      <c r="E3643" t="s">
        <v>21</v>
      </c>
      <c r="F3643" t="s">
        <v>22</v>
      </c>
      <c r="G3643" t="s">
        <v>64</v>
      </c>
      <c r="H3643" t="s">
        <v>209</v>
      </c>
      <c r="I3643" t="s">
        <v>7179</v>
      </c>
      <c r="J3643">
        <v>10.16351</v>
      </c>
      <c r="K3643">
        <v>-83.604510000000005</v>
      </c>
      <c r="L3643" t="s">
        <v>1225</v>
      </c>
      <c r="M3643" t="s">
        <v>189</v>
      </c>
      <c r="N3643" t="s">
        <v>211</v>
      </c>
      <c r="O3643" t="s">
        <v>212</v>
      </c>
      <c r="P3643">
        <v>7</v>
      </c>
      <c r="Q3643" t="s">
        <v>39</v>
      </c>
      <c r="S3643" t="str">
        <f>_xlfn.XLOOKUP(UNIVERSO[[#This Row],[Ruta]],'[1]CUOTA RUTA'!A:A,'[1]CUOTA RUTA'!D:D)</f>
        <v>Cargar</v>
      </c>
    </row>
    <row r="3644" spans="1:19" x14ac:dyDescent="0.25">
      <c r="A3644">
        <v>1540043146</v>
      </c>
      <c r="B3644" t="s">
        <v>7180</v>
      </c>
      <c r="C3644" t="s">
        <v>19</v>
      </c>
      <c r="D3644" t="s">
        <v>20</v>
      </c>
      <c r="E3644" t="s">
        <v>21</v>
      </c>
      <c r="F3644" t="s">
        <v>22</v>
      </c>
      <c r="G3644" t="s">
        <v>33</v>
      </c>
      <c r="H3644" t="s">
        <v>1021</v>
      </c>
      <c r="I3644" t="s">
        <v>7181</v>
      </c>
      <c r="J3644">
        <v>10.03721</v>
      </c>
      <c r="K3644">
        <v>-84.268829999999994</v>
      </c>
      <c r="L3644" t="s">
        <v>1225</v>
      </c>
      <c r="M3644" t="s">
        <v>46</v>
      </c>
      <c r="N3644" t="s">
        <v>47</v>
      </c>
      <c r="O3644" t="s">
        <v>48</v>
      </c>
      <c r="P3644">
        <v>4</v>
      </c>
      <c r="Q3644" t="s">
        <v>120</v>
      </c>
      <c r="S3644" t="str">
        <f>_xlfn.XLOOKUP(UNIVERSO[[#This Row],[Ruta]],'[1]CUOTA RUTA'!A:A,'[1]CUOTA RUTA'!D:D)</f>
        <v>Cargar</v>
      </c>
    </row>
    <row r="3645" spans="1:19" x14ac:dyDescent="0.25">
      <c r="A3645">
        <v>1540043159</v>
      </c>
      <c r="B3645" t="s">
        <v>7182</v>
      </c>
      <c r="C3645" t="s">
        <v>19</v>
      </c>
      <c r="D3645" t="s">
        <v>32</v>
      </c>
      <c r="E3645" t="s">
        <v>21</v>
      </c>
      <c r="F3645" t="s">
        <v>22</v>
      </c>
      <c r="G3645" t="s">
        <v>23</v>
      </c>
      <c r="H3645" t="s">
        <v>134</v>
      </c>
      <c r="I3645" t="s">
        <v>7183</v>
      </c>
      <c r="J3645">
        <v>9.9571109999999994</v>
      </c>
      <c r="K3645">
        <v>-84.075255999999996</v>
      </c>
      <c r="L3645" t="s">
        <v>1225</v>
      </c>
      <c r="M3645" t="s">
        <v>94</v>
      </c>
      <c r="N3645" t="s">
        <v>95</v>
      </c>
      <c r="O3645" t="s">
        <v>96</v>
      </c>
      <c r="P3645">
        <v>9</v>
      </c>
      <c r="Q3645" t="s">
        <v>80</v>
      </c>
      <c r="S3645" t="str">
        <f>_xlfn.XLOOKUP(UNIVERSO[[#This Row],[Ruta]],'[1]CUOTA RUTA'!A:A,'[1]CUOTA RUTA'!D:D)</f>
        <v>Cargar</v>
      </c>
    </row>
    <row r="3646" spans="1:19" x14ac:dyDescent="0.25">
      <c r="A3646">
        <v>1540043166</v>
      </c>
      <c r="B3646" t="s">
        <v>2444</v>
      </c>
      <c r="C3646" t="s">
        <v>19</v>
      </c>
      <c r="D3646" t="s">
        <v>324</v>
      </c>
      <c r="E3646" t="s">
        <v>21</v>
      </c>
      <c r="F3646" t="s">
        <v>22</v>
      </c>
      <c r="G3646" t="s">
        <v>33</v>
      </c>
      <c r="H3646" t="s">
        <v>325</v>
      </c>
      <c r="I3646" t="s">
        <v>7184</v>
      </c>
      <c r="J3646">
        <v>10.3269</v>
      </c>
      <c r="K3646">
        <v>-84.545342000000005</v>
      </c>
      <c r="L3646" t="s">
        <v>1225</v>
      </c>
      <c r="M3646" t="s">
        <v>327</v>
      </c>
      <c r="N3646" t="s">
        <v>328</v>
      </c>
      <c r="O3646" t="s">
        <v>329</v>
      </c>
      <c r="P3646">
        <v>14</v>
      </c>
      <c r="Q3646" t="s">
        <v>181</v>
      </c>
      <c r="S3646" t="str">
        <f>_xlfn.XLOOKUP(UNIVERSO[[#This Row],[Ruta]],'[1]CUOTA RUTA'!A:A,'[1]CUOTA RUTA'!D:D)</f>
        <v>Cargar</v>
      </c>
    </row>
    <row r="3647" spans="1:19" x14ac:dyDescent="0.25">
      <c r="A3647">
        <v>1540043229</v>
      </c>
      <c r="B3647" t="s">
        <v>7185</v>
      </c>
      <c r="C3647" t="s">
        <v>19</v>
      </c>
      <c r="D3647" t="s">
        <v>208</v>
      </c>
      <c r="E3647" t="s">
        <v>21</v>
      </c>
      <c r="F3647" t="s">
        <v>22</v>
      </c>
      <c r="G3647" t="s">
        <v>64</v>
      </c>
      <c r="H3647" t="s">
        <v>218</v>
      </c>
      <c r="I3647" t="s">
        <v>7186</v>
      </c>
      <c r="J3647">
        <v>10.22150697</v>
      </c>
      <c r="K3647">
        <v>-83.698291280000007</v>
      </c>
      <c r="L3647" t="s">
        <v>1225</v>
      </c>
      <c r="M3647" t="s">
        <v>189</v>
      </c>
      <c r="N3647" t="s">
        <v>211</v>
      </c>
      <c r="O3647" t="s">
        <v>212</v>
      </c>
      <c r="P3647">
        <v>7</v>
      </c>
      <c r="Q3647" t="s">
        <v>39</v>
      </c>
      <c r="S3647" t="str">
        <f>_xlfn.XLOOKUP(UNIVERSO[[#This Row],[Ruta]],'[1]CUOTA RUTA'!A:A,'[1]CUOTA RUTA'!D:D)</f>
        <v>Cargar</v>
      </c>
    </row>
    <row r="3648" spans="1:19" x14ac:dyDescent="0.25">
      <c r="A3648">
        <v>1540043258</v>
      </c>
      <c r="B3648" t="s">
        <v>2463</v>
      </c>
      <c r="C3648" t="s">
        <v>19</v>
      </c>
      <c r="D3648" t="s">
        <v>208</v>
      </c>
      <c r="E3648" t="s">
        <v>21</v>
      </c>
      <c r="F3648" t="s">
        <v>22</v>
      </c>
      <c r="G3648" t="s">
        <v>33</v>
      </c>
      <c r="H3648" t="s">
        <v>502</v>
      </c>
      <c r="I3648" t="s">
        <v>7187</v>
      </c>
      <c r="J3648">
        <v>10.30893257</v>
      </c>
      <c r="K3648">
        <v>-83.809308450000003</v>
      </c>
      <c r="L3648" t="s">
        <v>1225</v>
      </c>
      <c r="M3648" t="s">
        <v>189</v>
      </c>
      <c r="N3648" t="s">
        <v>211</v>
      </c>
      <c r="O3648" t="s">
        <v>212</v>
      </c>
      <c r="P3648">
        <v>2</v>
      </c>
      <c r="Q3648" t="s">
        <v>150</v>
      </c>
      <c r="S3648" t="str">
        <f>_xlfn.XLOOKUP(UNIVERSO[[#This Row],[Ruta]],'[1]CUOTA RUTA'!A:A,'[1]CUOTA RUTA'!D:D)</f>
        <v>Cargar</v>
      </c>
    </row>
    <row r="3649" spans="1:19" x14ac:dyDescent="0.25">
      <c r="A3649">
        <v>1540043261</v>
      </c>
      <c r="B3649" t="s">
        <v>7188</v>
      </c>
      <c r="C3649" t="s">
        <v>19</v>
      </c>
      <c r="D3649" t="s">
        <v>201</v>
      </c>
      <c r="E3649" t="s">
        <v>21</v>
      </c>
      <c r="F3649" t="s">
        <v>22</v>
      </c>
      <c r="G3649" t="s">
        <v>33</v>
      </c>
      <c r="H3649" t="s">
        <v>491</v>
      </c>
      <c r="I3649" t="s">
        <v>7189</v>
      </c>
      <c r="J3649">
        <v>9.6597907999999997</v>
      </c>
      <c r="K3649">
        <v>-84.635582999999997</v>
      </c>
      <c r="L3649" t="s">
        <v>1225</v>
      </c>
      <c r="M3649" t="s">
        <v>204</v>
      </c>
      <c r="N3649" t="s">
        <v>205</v>
      </c>
      <c r="O3649" t="s">
        <v>206</v>
      </c>
      <c r="P3649">
        <v>5</v>
      </c>
      <c r="Q3649" t="s">
        <v>117</v>
      </c>
      <c r="S3649" t="str">
        <f>_xlfn.XLOOKUP(UNIVERSO[[#This Row],[Ruta]],'[1]CUOTA RUTA'!A:A,'[1]CUOTA RUTA'!D:D)</f>
        <v>Cargar</v>
      </c>
    </row>
    <row r="3650" spans="1:19" x14ac:dyDescent="0.25">
      <c r="A3650">
        <v>1540043278</v>
      </c>
      <c r="B3650" t="s">
        <v>7190</v>
      </c>
      <c r="C3650" t="s">
        <v>19</v>
      </c>
      <c r="D3650" t="s">
        <v>208</v>
      </c>
      <c r="E3650" t="s">
        <v>21</v>
      </c>
      <c r="F3650" t="s">
        <v>22</v>
      </c>
      <c r="G3650" t="s">
        <v>64</v>
      </c>
      <c r="H3650" t="s">
        <v>616</v>
      </c>
      <c r="I3650" t="s">
        <v>7191</v>
      </c>
      <c r="J3650">
        <v>10.357317</v>
      </c>
      <c r="K3650">
        <v>-83.735786000000004</v>
      </c>
      <c r="L3650" t="s">
        <v>1225</v>
      </c>
      <c r="M3650" t="s">
        <v>189</v>
      </c>
      <c r="N3650" t="s">
        <v>211</v>
      </c>
      <c r="O3650" t="s">
        <v>212</v>
      </c>
      <c r="P3650">
        <v>1</v>
      </c>
      <c r="Q3650" t="s">
        <v>155</v>
      </c>
      <c r="S3650" t="str">
        <f>_xlfn.XLOOKUP(UNIVERSO[[#This Row],[Ruta]],'[1]CUOTA RUTA'!A:A,'[1]CUOTA RUTA'!D:D)</f>
        <v>Cargar</v>
      </c>
    </row>
    <row r="3651" spans="1:19" x14ac:dyDescent="0.25">
      <c r="A3651">
        <v>1540043279</v>
      </c>
      <c r="B3651" t="s">
        <v>7192</v>
      </c>
      <c r="C3651" t="s">
        <v>19</v>
      </c>
      <c r="D3651" t="s">
        <v>208</v>
      </c>
      <c r="E3651" t="s">
        <v>21</v>
      </c>
      <c r="F3651" t="s">
        <v>22</v>
      </c>
      <c r="G3651" t="s">
        <v>64</v>
      </c>
      <c r="H3651" t="s">
        <v>1794</v>
      </c>
      <c r="I3651" t="s">
        <v>7193</v>
      </c>
      <c r="J3651">
        <v>10.206828</v>
      </c>
      <c r="K3651">
        <v>-83.788179</v>
      </c>
      <c r="L3651" t="s">
        <v>1225</v>
      </c>
      <c r="M3651" t="s">
        <v>189</v>
      </c>
      <c r="N3651" t="s">
        <v>211</v>
      </c>
      <c r="O3651" t="s">
        <v>212</v>
      </c>
      <c r="P3651">
        <v>4</v>
      </c>
      <c r="Q3651" t="s">
        <v>120</v>
      </c>
      <c r="S3651" t="str">
        <f>_xlfn.XLOOKUP(UNIVERSO[[#This Row],[Ruta]],'[1]CUOTA RUTA'!A:A,'[1]CUOTA RUTA'!D:D)</f>
        <v>Cargar</v>
      </c>
    </row>
    <row r="3652" spans="1:19" x14ac:dyDescent="0.25">
      <c r="A3652">
        <v>1540043300</v>
      </c>
      <c r="B3652" t="s">
        <v>4470</v>
      </c>
      <c r="C3652" t="s">
        <v>19</v>
      </c>
      <c r="D3652" t="s">
        <v>324</v>
      </c>
      <c r="E3652" t="s">
        <v>21</v>
      </c>
      <c r="F3652" t="s">
        <v>22</v>
      </c>
      <c r="G3652" t="s">
        <v>64</v>
      </c>
      <c r="H3652" t="s">
        <v>331</v>
      </c>
      <c r="I3652" t="s">
        <v>7194</v>
      </c>
      <c r="J3652">
        <v>10.4557</v>
      </c>
      <c r="K3652">
        <v>-84.2761</v>
      </c>
      <c r="L3652" t="s">
        <v>1225</v>
      </c>
      <c r="M3652" t="s">
        <v>327</v>
      </c>
      <c r="N3652" t="s">
        <v>328</v>
      </c>
      <c r="O3652" t="s">
        <v>329</v>
      </c>
      <c r="P3652">
        <v>17</v>
      </c>
      <c r="Q3652" t="s">
        <v>287</v>
      </c>
      <c r="S3652" t="str">
        <f>_xlfn.XLOOKUP(UNIVERSO[[#This Row],[Ruta]],'[1]CUOTA RUTA'!A:A,'[1]CUOTA RUTA'!D:D)</f>
        <v>Cargar</v>
      </c>
    </row>
    <row r="3653" spans="1:19" x14ac:dyDescent="0.25">
      <c r="A3653">
        <v>1540043417</v>
      </c>
      <c r="B3653" t="s">
        <v>7195</v>
      </c>
      <c r="C3653" t="s">
        <v>19</v>
      </c>
      <c r="D3653" t="s">
        <v>20</v>
      </c>
      <c r="E3653" t="s">
        <v>21</v>
      </c>
      <c r="F3653" t="s">
        <v>22</v>
      </c>
      <c r="G3653" t="s">
        <v>33</v>
      </c>
      <c r="H3653" t="s">
        <v>910</v>
      </c>
      <c r="I3653" t="s">
        <v>7196</v>
      </c>
      <c r="J3653">
        <v>10.002038300000001</v>
      </c>
      <c r="K3653">
        <v>-84.139011699999998</v>
      </c>
      <c r="L3653" t="s">
        <v>1225</v>
      </c>
      <c r="M3653" t="s">
        <v>27</v>
      </c>
      <c r="N3653" t="s">
        <v>28</v>
      </c>
      <c r="O3653" t="s">
        <v>29</v>
      </c>
      <c r="P3653">
        <v>11</v>
      </c>
      <c r="Q3653" t="s">
        <v>108</v>
      </c>
      <c r="S3653" t="str">
        <f>_xlfn.XLOOKUP(UNIVERSO[[#This Row],[Ruta]],'[1]CUOTA RUTA'!A:A,'[1]CUOTA RUTA'!D:D)</f>
        <v>Cargar</v>
      </c>
    </row>
    <row r="3654" spans="1:19" x14ac:dyDescent="0.25">
      <c r="A3654">
        <v>1540043443</v>
      </c>
      <c r="B3654" t="s">
        <v>7197</v>
      </c>
      <c r="C3654" t="s">
        <v>19</v>
      </c>
      <c r="D3654" t="s">
        <v>337</v>
      </c>
      <c r="E3654" t="s">
        <v>21</v>
      </c>
      <c r="F3654" t="s">
        <v>22</v>
      </c>
      <c r="G3654" t="s">
        <v>64</v>
      </c>
      <c r="H3654" t="s">
        <v>824</v>
      </c>
      <c r="I3654" t="s">
        <v>7198</v>
      </c>
      <c r="J3654">
        <v>10.428101249999999</v>
      </c>
      <c r="K3654">
        <v>-85.092901060000003</v>
      </c>
      <c r="L3654" t="s">
        <v>1225</v>
      </c>
      <c r="M3654" t="s">
        <v>327</v>
      </c>
      <c r="N3654" t="s">
        <v>340</v>
      </c>
      <c r="O3654" t="s">
        <v>341</v>
      </c>
      <c r="P3654">
        <v>21</v>
      </c>
      <c r="Q3654" t="s">
        <v>239</v>
      </c>
      <c r="S3654" t="str">
        <f>_xlfn.XLOOKUP(UNIVERSO[[#This Row],[Ruta]],'[1]CUOTA RUTA'!A:A,'[1]CUOTA RUTA'!D:D)</f>
        <v>Cargar</v>
      </c>
    </row>
    <row r="3655" spans="1:19" x14ac:dyDescent="0.25">
      <c r="A3655">
        <v>1540043472</v>
      </c>
      <c r="B3655" t="s">
        <v>7199</v>
      </c>
      <c r="C3655" t="s">
        <v>19</v>
      </c>
      <c r="D3655" t="s">
        <v>266</v>
      </c>
      <c r="E3655" t="s">
        <v>21</v>
      </c>
      <c r="F3655" t="s">
        <v>22</v>
      </c>
      <c r="G3655" t="s">
        <v>33</v>
      </c>
      <c r="H3655" t="s">
        <v>267</v>
      </c>
      <c r="I3655" t="s">
        <v>7200</v>
      </c>
      <c r="J3655">
        <v>9.9050100000000008</v>
      </c>
      <c r="K3655">
        <v>-83.683099999999996</v>
      </c>
      <c r="L3655" t="s">
        <v>1225</v>
      </c>
      <c r="M3655" t="s">
        <v>189</v>
      </c>
      <c r="N3655" t="s">
        <v>269</v>
      </c>
      <c r="O3655" t="s">
        <v>270</v>
      </c>
      <c r="P3655">
        <v>20</v>
      </c>
      <c r="Q3655" t="s">
        <v>74</v>
      </c>
      <c r="S3655" t="str">
        <f>_xlfn.XLOOKUP(UNIVERSO[[#This Row],[Ruta]],'[1]CUOTA RUTA'!A:A,'[1]CUOTA RUTA'!D:D)</f>
        <v>Cargar</v>
      </c>
    </row>
    <row r="3656" spans="1:19" x14ac:dyDescent="0.25">
      <c r="A3656">
        <v>1540043547</v>
      </c>
      <c r="B3656" t="s">
        <v>7201</v>
      </c>
      <c r="C3656" t="s">
        <v>19</v>
      </c>
      <c r="D3656" t="s">
        <v>20</v>
      </c>
      <c r="E3656" t="s">
        <v>21</v>
      </c>
      <c r="F3656" t="s">
        <v>22</v>
      </c>
      <c r="G3656" t="s">
        <v>64</v>
      </c>
      <c r="H3656" t="s">
        <v>260</v>
      </c>
      <c r="I3656" t="s">
        <v>7202</v>
      </c>
      <c r="J3656">
        <v>10.088109139541</v>
      </c>
      <c r="K3656">
        <v>-84.465805293800003</v>
      </c>
      <c r="L3656" t="s">
        <v>1225</v>
      </c>
      <c r="M3656" t="s">
        <v>46</v>
      </c>
      <c r="N3656" t="s">
        <v>47</v>
      </c>
      <c r="O3656" t="s">
        <v>48</v>
      </c>
      <c r="P3656">
        <v>6</v>
      </c>
      <c r="Q3656" t="s">
        <v>49</v>
      </c>
      <c r="S3656" t="str">
        <f>_xlfn.XLOOKUP(UNIVERSO[[#This Row],[Ruta]],'[1]CUOTA RUTA'!A:A,'[1]CUOTA RUTA'!D:D)</f>
        <v>Cargar</v>
      </c>
    </row>
    <row r="3657" spans="1:19" x14ac:dyDescent="0.25">
      <c r="A3657">
        <v>1540043577</v>
      </c>
      <c r="B3657" t="s">
        <v>7203</v>
      </c>
      <c r="C3657" t="s">
        <v>19</v>
      </c>
      <c r="D3657" t="s">
        <v>20</v>
      </c>
      <c r="E3657" t="s">
        <v>21</v>
      </c>
      <c r="F3657" t="s">
        <v>22</v>
      </c>
      <c r="G3657" t="s">
        <v>23</v>
      </c>
      <c r="H3657" t="s">
        <v>722</v>
      </c>
      <c r="I3657" t="s">
        <v>7204</v>
      </c>
      <c r="J3657">
        <v>9.9333899999999993</v>
      </c>
      <c r="K3657">
        <v>-84.117500000000007</v>
      </c>
      <c r="L3657" t="s">
        <v>1225</v>
      </c>
      <c r="M3657" t="s">
        <v>27</v>
      </c>
      <c r="N3657" t="s">
        <v>28</v>
      </c>
      <c r="O3657" t="s">
        <v>29</v>
      </c>
      <c r="P3657">
        <v>9</v>
      </c>
      <c r="Q3657" t="s">
        <v>80</v>
      </c>
      <c r="S3657" t="str">
        <f>_xlfn.XLOOKUP(UNIVERSO[[#This Row],[Ruta]],'[1]CUOTA RUTA'!A:A,'[1]CUOTA RUTA'!D:D)</f>
        <v>Cargar</v>
      </c>
    </row>
    <row r="3658" spans="1:19" x14ac:dyDescent="0.25">
      <c r="A3658">
        <v>1540043640</v>
      </c>
      <c r="B3658" t="s">
        <v>7205</v>
      </c>
      <c r="C3658" t="s">
        <v>19</v>
      </c>
      <c r="D3658" t="s">
        <v>208</v>
      </c>
      <c r="E3658" t="s">
        <v>21</v>
      </c>
      <c r="F3658" t="s">
        <v>22</v>
      </c>
      <c r="G3658" t="s">
        <v>64</v>
      </c>
      <c r="H3658" t="s">
        <v>218</v>
      </c>
      <c r="I3658" t="s">
        <v>7206</v>
      </c>
      <c r="J3658">
        <v>10.277108589999999</v>
      </c>
      <c r="K3658">
        <v>-83.79334403</v>
      </c>
      <c r="L3658" t="s">
        <v>1225</v>
      </c>
      <c r="M3658" t="s">
        <v>189</v>
      </c>
      <c r="N3658" t="s">
        <v>211</v>
      </c>
      <c r="O3658" t="s">
        <v>212</v>
      </c>
      <c r="P3658">
        <v>2</v>
      </c>
      <c r="Q3658" t="s">
        <v>150</v>
      </c>
      <c r="S3658" t="str">
        <f>_xlfn.XLOOKUP(UNIVERSO[[#This Row],[Ruta]],'[1]CUOTA RUTA'!A:A,'[1]CUOTA RUTA'!D:D)</f>
        <v>Cargar</v>
      </c>
    </row>
    <row r="3659" spans="1:19" x14ac:dyDescent="0.25">
      <c r="A3659">
        <v>1540043695</v>
      </c>
      <c r="B3659" t="s">
        <v>7207</v>
      </c>
      <c r="C3659" t="s">
        <v>19</v>
      </c>
      <c r="D3659" t="s">
        <v>349</v>
      </c>
      <c r="E3659" t="s">
        <v>21</v>
      </c>
      <c r="F3659" t="s">
        <v>22</v>
      </c>
      <c r="G3659" t="s">
        <v>33</v>
      </c>
      <c r="H3659" t="s">
        <v>359</v>
      </c>
      <c r="I3659" t="s">
        <v>3581</v>
      </c>
      <c r="J3659">
        <v>9.9683832700000004</v>
      </c>
      <c r="K3659">
        <v>-85.513241960000002</v>
      </c>
      <c r="L3659" t="s">
        <v>1225</v>
      </c>
      <c r="M3659" t="s">
        <v>352</v>
      </c>
      <c r="N3659" t="s">
        <v>353</v>
      </c>
      <c r="O3659" t="s">
        <v>354</v>
      </c>
      <c r="P3659">
        <v>14</v>
      </c>
      <c r="Q3659" t="s">
        <v>181</v>
      </c>
      <c r="S3659" t="str">
        <f>_xlfn.XLOOKUP(UNIVERSO[[#This Row],[Ruta]],'[1]CUOTA RUTA'!A:A,'[1]CUOTA RUTA'!D:D)</f>
        <v>Cargar</v>
      </c>
    </row>
    <row r="3660" spans="1:19" x14ac:dyDescent="0.25">
      <c r="A3660">
        <v>1540043790</v>
      </c>
      <c r="B3660" t="s">
        <v>4100</v>
      </c>
      <c r="C3660" t="s">
        <v>19</v>
      </c>
      <c r="D3660" t="s">
        <v>349</v>
      </c>
      <c r="E3660" t="s">
        <v>21</v>
      </c>
      <c r="F3660" t="s">
        <v>51</v>
      </c>
      <c r="G3660" t="s">
        <v>23</v>
      </c>
      <c r="H3660" t="s">
        <v>908</v>
      </c>
      <c r="I3660" t="s">
        <v>7208</v>
      </c>
      <c r="J3660">
        <v>10.307294000000001</v>
      </c>
      <c r="K3660">
        <v>-85.806179</v>
      </c>
      <c r="L3660" t="s">
        <v>1225</v>
      </c>
      <c r="M3660" t="s">
        <v>352</v>
      </c>
      <c r="N3660" t="s">
        <v>353</v>
      </c>
      <c r="O3660" t="s">
        <v>354</v>
      </c>
      <c r="P3660">
        <v>5</v>
      </c>
      <c r="Q3660" t="s">
        <v>117</v>
      </c>
      <c r="S3660" t="str">
        <f>_xlfn.XLOOKUP(UNIVERSO[[#This Row],[Ruta]],'[1]CUOTA RUTA'!A:A,'[1]CUOTA RUTA'!D:D)</f>
        <v>Cargar</v>
      </c>
    </row>
    <row r="3661" spans="1:19" x14ac:dyDescent="0.25">
      <c r="A3661">
        <v>1540043813</v>
      </c>
      <c r="B3661" t="s">
        <v>7209</v>
      </c>
      <c r="C3661" t="s">
        <v>19</v>
      </c>
      <c r="D3661" t="s">
        <v>244</v>
      </c>
      <c r="E3661" t="s">
        <v>21</v>
      </c>
      <c r="F3661" t="s">
        <v>22</v>
      </c>
      <c r="G3661" t="s">
        <v>33</v>
      </c>
      <c r="H3661" t="s">
        <v>566</v>
      </c>
      <c r="I3661" t="s">
        <v>7210</v>
      </c>
      <c r="J3661">
        <v>9.1710153000000005</v>
      </c>
      <c r="K3661">
        <v>-83.322759700000006</v>
      </c>
      <c r="L3661" t="s">
        <v>1225</v>
      </c>
      <c r="M3661" t="s">
        <v>46</v>
      </c>
      <c r="N3661" t="s">
        <v>247</v>
      </c>
      <c r="O3661" t="s">
        <v>248</v>
      </c>
      <c r="P3661">
        <v>12</v>
      </c>
      <c r="Q3661" t="s">
        <v>42</v>
      </c>
      <c r="S3661" t="str">
        <f>_xlfn.XLOOKUP(UNIVERSO[[#This Row],[Ruta]],'[1]CUOTA RUTA'!A:A,'[1]CUOTA RUTA'!D:D)</f>
        <v>Cargar</v>
      </c>
    </row>
    <row r="3662" spans="1:19" x14ac:dyDescent="0.25">
      <c r="A3662">
        <v>1540043816</v>
      </c>
      <c r="B3662" t="s">
        <v>7211</v>
      </c>
      <c r="C3662" t="s">
        <v>19</v>
      </c>
      <c r="D3662" t="s">
        <v>266</v>
      </c>
      <c r="E3662" t="s">
        <v>21</v>
      </c>
      <c r="F3662" t="s">
        <v>22</v>
      </c>
      <c r="G3662" t="s">
        <v>64</v>
      </c>
      <c r="H3662" t="s">
        <v>407</v>
      </c>
      <c r="I3662" t="s">
        <v>7212</v>
      </c>
      <c r="J3662">
        <v>9.7511220000000005</v>
      </c>
      <c r="K3662">
        <v>-84.053908000000007</v>
      </c>
      <c r="L3662" t="s">
        <v>1225</v>
      </c>
      <c r="M3662" t="s">
        <v>409</v>
      </c>
      <c r="N3662" t="s">
        <v>410</v>
      </c>
      <c r="O3662" t="s">
        <v>411</v>
      </c>
      <c r="P3662">
        <v>23</v>
      </c>
      <c r="Q3662" t="s">
        <v>125</v>
      </c>
      <c r="S3662" t="str">
        <f>_xlfn.XLOOKUP(UNIVERSO[[#This Row],[Ruta]],'[1]CUOTA RUTA'!A:A,'[1]CUOTA RUTA'!D:D)</f>
        <v>Cargar</v>
      </c>
    </row>
    <row r="3663" spans="1:19" x14ac:dyDescent="0.25">
      <c r="A3663">
        <v>1540043868</v>
      </c>
      <c r="B3663" t="s">
        <v>7213</v>
      </c>
      <c r="C3663" t="s">
        <v>19</v>
      </c>
      <c r="D3663" t="s">
        <v>208</v>
      </c>
      <c r="E3663" t="s">
        <v>21</v>
      </c>
      <c r="F3663" t="s">
        <v>22</v>
      </c>
      <c r="G3663" t="s">
        <v>33</v>
      </c>
      <c r="H3663" t="s">
        <v>221</v>
      </c>
      <c r="I3663" t="s">
        <v>7214</v>
      </c>
      <c r="J3663">
        <v>10.292260000000001</v>
      </c>
      <c r="K3663">
        <v>-83.743409999999997</v>
      </c>
      <c r="L3663" t="s">
        <v>1225</v>
      </c>
      <c r="M3663" t="s">
        <v>189</v>
      </c>
      <c r="N3663" t="s">
        <v>211</v>
      </c>
      <c r="O3663" t="s">
        <v>212</v>
      </c>
      <c r="P3663">
        <v>1</v>
      </c>
      <c r="Q3663" t="s">
        <v>155</v>
      </c>
      <c r="S3663" t="str">
        <f>_xlfn.XLOOKUP(UNIVERSO[[#This Row],[Ruta]],'[1]CUOTA RUTA'!A:A,'[1]CUOTA RUTA'!D:D)</f>
        <v>Cargar</v>
      </c>
    </row>
    <row r="3664" spans="1:19" x14ac:dyDescent="0.25">
      <c r="A3664">
        <v>1540043903</v>
      </c>
      <c r="B3664" t="s">
        <v>7215</v>
      </c>
      <c r="C3664" t="s">
        <v>19</v>
      </c>
      <c r="D3664" t="s">
        <v>208</v>
      </c>
      <c r="E3664" t="s">
        <v>21</v>
      </c>
      <c r="F3664" t="s">
        <v>22</v>
      </c>
      <c r="G3664" t="s">
        <v>64</v>
      </c>
      <c r="H3664" t="s">
        <v>221</v>
      </c>
      <c r="I3664" t="s">
        <v>7216</v>
      </c>
      <c r="J3664">
        <v>10.109045999999999</v>
      </c>
      <c r="K3664">
        <v>-83.506254999999996</v>
      </c>
      <c r="L3664" t="s">
        <v>1225</v>
      </c>
      <c r="M3664" t="s">
        <v>189</v>
      </c>
      <c r="N3664" t="s">
        <v>211</v>
      </c>
      <c r="O3664" t="s">
        <v>212</v>
      </c>
      <c r="P3664">
        <v>8</v>
      </c>
      <c r="Q3664" t="s">
        <v>97</v>
      </c>
      <c r="S3664" t="str">
        <f>_xlfn.XLOOKUP(UNIVERSO[[#This Row],[Ruta]],'[1]CUOTA RUTA'!A:A,'[1]CUOTA RUTA'!D:D)</f>
        <v>Cargar</v>
      </c>
    </row>
    <row r="3665" spans="1:19" x14ac:dyDescent="0.25">
      <c r="A3665">
        <v>1540043966</v>
      </c>
      <c r="B3665" t="s">
        <v>7217</v>
      </c>
      <c r="C3665" t="s">
        <v>19</v>
      </c>
      <c r="D3665" t="s">
        <v>201</v>
      </c>
      <c r="E3665" t="s">
        <v>21</v>
      </c>
      <c r="F3665" t="s">
        <v>22</v>
      </c>
      <c r="G3665" t="s">
        <v>64</v>
      </c>
      <c r="H3665" t="s">
        <v>794</v>
      </c>
      <c r="I3665" t="s">
        <v>7218</v>
      </c>
      <c r="J3665">
        <v>9.6171839000000006</v>
      </c>
      <c r="K3665">
        <v>-84.6311575</v>
      </c>
      <c r="L3665" t="s">
        <v>1225</v>
      </c>
      <c r="M3665" t="s">
        <v>204</v>
      </c>
      <c r="N3665" t="s">
        <v>205</v>
      </c>
      <c r="O3665" t="s">
        <v>206</v>
      </c>
      <c r="P3665">
        <v>5</v>
      </c>
      <c r="Q3665" t="s">
        <v>117</v>
      </c>
      <c r="S3665" t="str">
        <f>_xlfn.XLOOKUP(UNIVERSO[[#This Row],[Ruta]],'[1]CUOTA RUTA'!A:A,'[1]CUOTA RUTA'!D:D)</f>
        <v>Cargar</v>
      </c>
    </row>
    <row r="3666" spans="1:19" x14ac:dyDescent="0.25">
      <c r="A3666">
        <v>1540043998</v>
      </c>
      <c r="B3666" t="s">
        <v>7219</v>
      </c>
      <c r="C3666" t="s">
        <v>19</v>
      </c>
      <c r="D3666" t="s">
        <v>20</v>
      </c>
      <c r="E3666" t="s">
        <v>21</v>
      </c>
      <c r="F3666" t="s">
        <v>22</v>
      </c>
      <c r="G3666" t="s">
        <v>33</v>
      </c>
      <c r="H3666" t="s">
        <v>260</v>
      </c>
      <c r="I3666" t="s">
        <v>7220</v>
      </c>
      <c r="J3666">
        <v>10.093135</v>
      </c>
      <c r="K3666">
        <v>-84.472148300000001</v>
      </c>
      <c r="L3666" t="s">
        <v>1225</v>
      </c>
      <c r="M3666" t="s">
        <v>46</v>
      </c>
      <c r="N3666" t="s">
        <v>47</v>
      </c>
      <c r="O3666" t="s">
        <v>48</v>
      </c>
      <c r="P3666">
        <v>6</v>
      </c>
      <c r="Q3666" t="s">
        <v>49</v>
      </c>
      <c r="S3666" t="str">
        <f>_xlfn.XLOOKUP(UNIVERSO[[#This Row],[Ruta]],'[1]CUOTA RUTA'!A:A,'[1]CUOTA RUTA'!D:D)</f>
        <v>Cargar</v>
      </c>
    </row>
    <row r="3667" spans="1:19" x14ac:dyDescent="0.25">
      <c r="A3667">
        <v>1540044024</v>
      </c>
      <c r="B3667" t="s">
        <v>7221</v>
      </c>
      <c r="C3667" t="s">
        <v>19</v>
      </c>
      <c r="D3667" t="s">
        <v>20</v>
      </c>
      <c r="E3667" t="s">
        <v>62</v>
      </c>
      <c r="F3667" t="s">
        <v>63</v>
      </c>
      <c r="G3667" t="s">
        <v>33</v>
      </c>
      <c r="H3667" t="s">
        <v>722</v>
      </c>
      <c r="I3667" t="s">
        <v>7222</v>
      </c>
      <c r="J3667">
        <v>9.9278399999999998</v>
      </c>
      <c r="K3667">
        <v>-84.16028</v>
      </c>
      <c r="L3667" t="s">
        <v>1225</v>
      </c>
      <c r="M3667" t="s">
        <v>27</v>
      </c>
      <c r="N3667" t="s">
        <v>28</v>
      </c>
      <c r="O3667" t="s">
        <v>29</v>
      </c>
      <c r="P3667">
        <v>23</v>
      </c>
      <c r="Q3667" t="s">
        <v>125</v>
      </c>
      <c r="S3667" t="str">
        <f>_xlfn.XLOOKUP(UNIVERSO[[#This Row],[Ruta]],'[1]CUOTA RUTA'!A:A,'[1]CUOTA RUTA'!D:D)</f>
        <v>Cargar</v>
      </c>
    </row>
    <row r="3668" spans="1:19" x14ac:dyDescent="0.25">
      <c r="A3668">
        <v>1540044040</v>
      </c>
      <c r="B3668" t="s">
        <v>7223</v>
      </c>
      <c r="C3668" t="s">
        <v>19</v>
      </c>
      <c r="D3668" t="s">
        <v>324</v>
      </c>
      <c r="E3668" t="s">
        <v>21</v>
      </c>
      <c r="F3668" t="s">
        <v>22</v>
      </c>
      <c r="G3668" t="s">
        <v>33</v>
      </c>
      <c r="H3668" t="s">
        <v>557</v>
      </c>
      <c r="I3668" t="s">
        <v>7224</v>
      </c>
      <c r="J3668">
        <v>10.470691</v>
      </c>
      <c r="K3668">
        <v>-84.642118999999994</v>
      </c>
      <c r="L3668" t="s">
        <v>1225</v>
      </c>
      <c r="M3668" t="s">
        <v>327</v>
      </c>
      <c r="N3668" t="s">
        <v>328</v>
      </c>
      <c r="O3668" t="s">
        <v>329</v>
      </c>
      <c r="P3668">
        <v>21</v>
      </c>
      <c r="Q3668" t="s">
        <v>239</v>
      </c>
      <c r="S3668" t="str">
        <f>_xlfn.XLOOKUP(UNIVERSO[[#This Row],[Ruta]],'[1]CUOTA RUTA'!A:A,'[1]CUOTA RUTA'!D:D)</f>
        <v>Cargar</v>
      </c>
    </row>
    <row r="3669" spans="1:19" x14ac:dyDescent="0.25">
      <c r="A3669">
        <v>1540044068</v>
      </c>
      <c r="B3669" t="s">
        <v>7225</v>
      </c>
      <c r="C3669" t="s">
        <v>19</v>
      </c>
      <c r="D3669" t="s">
        <v>244</v>
      </c>
      <c r="E3669" t="s">
        <v>21</v>
      </c>
      <c r="F3669" t="s">
        <v>22</v>
      </c>
      <c r="G3669" t="s">
        <v>64</v>
      </c>
      <c r="H3669" t="s">
        <v>767</v>
      </c>
      <c r="I3669" t="s">
        <v>7226</v>
      </c>
      <c r="J3669">
        <v>9.4046529999999997</v>
      </c>
      <c r="K3669">
        <v>-83.658518000000001</v>
      </c>
      <c r="L3669" t="s">
        <v>1225</v>
      </c>
      <c r="M3669" t="s">
        <v>46</v>
      </c>
      <c r="N3669" t="s">
        <v>247</v>
      </c>
      <c r="O3669" t="s">
        <v>248</v>
      </c>
      <c r="P3669">
        <v>18</v>
      </c>
      <c r="Q3669" t="s">
        <v>84</v>
      </c>
      <c r="S3669" t="str">
        <f>_xlfn.XLOOKUP(UNIVERSO[[#This Row],[Ruta]],'[1]CUOTA RUTA'!A:A,'[1]CUOTA RUTA'!D:D)</f>
        <v>Cargar</v>
      </c>
    </row>
    <row r="3670" spans="1:19" x14ac:dyDescent="0.25">
      <c r="A3670">
        <v>1540044069</v>
      </c>
      <c r="B3670" t="s">
        <v>7227</v>
      </c>
      <c r="C3670" t="s">
        <v>19</v>
      </c>
      <c r="D3670" t="s">
        <v>186</v>
      </c>
      <c r="E3670" t="s">
        <v>21</v>
      </c>
      <c r="F3670" t="s">
        <v>22</v>
      </c>
      <c r="G3670" t="s">
        <v>33</v>
      </c>
      <c r="H3670" t="s">
        <v>241</v>
      </c>
      <c r="I3670" t="s">
        <v>7228</v>
      </c>
      <c r="J3670">
        <v>9.9976050000000001</v>
      </c>
      <c r="K3670">
        <v>-83.16583833</v>
      </c>
      <c r="L3670" t="s">
        <v>1225</v>
      </c>
      <c r="M3670" t="s">
        <v>189</v>
      </c>
      <c r="N3670" t="s">
        <v>190</v>
      </c>
      <c r="O3670" t="s">
        <v>191</v>
      </c>
      <c r="P3670">
        <v>19</v>
      </c>
      <c r="Q3670" t="s">
        <v>67</v>
      </c>
      <c r="S3670" t="str">
        <f>_xlfn.XLOOKUP(UNIVERSO[[#This Row],[Ruta]],'[1]CUOTA RUTA'!A:A,'[1]CUOTA RUTA'!D:D)</f>
        <v>Cargar</v>
      </c>
    </row>
    <row r="3671" spans="1:19" x14ac:dyDescent="0.25">
      <c r="A3671">
        <v>1540044141</v>
      </c>
      <c r="B3671" t="s">
        <v>7229</v>
      </c>
      <c r="C3671" t="s">
        <v>19</v>
      </c>
      <c r="D3671" t="s">
        <v>208</v>
      </c>
      <c r="E3671" t="s">
        <v>21</v>
      </c>
      <c r="F3671" t="s">
        <v>51</v>
      </c>
      <c r="G3671" t="s">
        <v>23</v>
      </c>
      <c r="H3671" t="s">
        <v>224</v>
      </c>
      <c r="I3671" t="s">
        <v>7230</v>
      </c>
      <c r="J3671">
        <v>10.21317</v>
      </c>
      <c r="K3671">
        <v>-83.784861000000006</v>
      </c>
      <c r="L3671" t="s">
        <v>1225</v>
      </c>
      <c r="M3671" t="s">
        <v>189</v>
      </c>
      <c r="N3671" t="s">
        <v>211</v>
      </c>
      <c r="O3671" t="s">
        <v>212</v>
      </c>
      <c r="P3671">
        <v>5</v>
      </c>
      <c r="Q3671" t="s">
        <v>117</v>
      </c>
      <c r="S3671" t="str">
        <f>_xlfn.XLOOKUP(UNIVERSO[[#This Row],[Ruta]],'[1]CUOTA RUTA'!A:A,'[1]CUOTA RUTA'!D:D)</f>
        <v>Cargar</v>
      </c>
    </row>
    <row r="3672" spans="1:19" x14ac:dyDescent="0.25">
      <c r="A3672">
        <v>1540044152</v>
      </c>
      <c r="B3672" t="s">
        <v>7231</v>
      </c>
      <c r="C3672" t="s">
        <v>19</v>
      </c>
      <c r="D3672" t="s">
        <v>20</v>
      </c>
      <c r="E3672" t="s">
        <v>21</v>
      </c>
      <c r="F3672" t="s">
        <v>22</v>
      </c>
      <c r="G3672" t="s">
        <v>64</v>
      </c>
      <c r="H3672" t="s">
        <v>1021</v>
      </c>
      <c r="I3672" t="s">
        <v>7232</v>
      </c>
      <c r="J3672">
        <v>10.07029</v>
      </c>
      <c r="K3672">
        <v>-84.217110000000005</v>
      </c>
      <c r="L3672" t="s">
        <v>1225</v>
      </c>
      <c r="M3672" t="s">
        <v>46</v>
      </c>
      <c r="N3672" t="s">
        <v>47</v>
      </c>
      <c r="O3672" t="s">
        <v>48</v>
      </c>
      <c r="P3672">
        <v>12</v>
      </c>
      <c r="Q3672" t="s">
        <v>42</v>
      </c>
      <c r="S3672" t="str">
        <f>_xlfn.XLOOKUP(UNIVERSO[[#This Row],[Ruta]],'[1]CUOTA RUTA'!A:A,'[1]CUOTA RUTA'!D:D)</f>
        <v>Cargar</v>
      </c>
    </row>
    <row r="3673" spans="1:19" x14ac:dyDescent="0.25">
      <c r="A3673">
        <v>1540044165</v>
      </c>
      <c r="B3673" t="s">
        <v>7233</v>
      </c>
      <c r="C3673" t="s">
        <v>19</v>
      </c>
      <c r="D3673" t="s">
        <v>208</v>
      </c>
      <c r="E3673" t="s">
        <v>21</v>
      </c>
      <c r="F3673" t="s">
        <v>22</v>
      </c>
      <c r="G3673" t="s">
        <v>64</v>
      </c>
      <c r="H3673" t="s">
        <v>221</v>
      </c>
      <c r="I3673" t="s">
        <v>7234</v>
      </c>
      <c r="J3673">
        <v>10.11481</v>
      </c>
      <c r="K3673">
        <v>-83.508309999999994</v>
      </c>
      <c r="L3673" t="s">
        <v>1225</v>
      </c>
      <c r="M3673" t="s">
        <v>189</v>
      </c>
      <c r="N3673" t="s">
        <v>211</v>
      </c>
      <c r="O3673" t="s">
        <v>212</v>
      </c>
      <c r="P3673">
        <v>8</v>
      </c>
      <c r="Q3673" t="s">
        <v>97</v>
      </c>
      <c r="S3673" t="str">
        <f>_xlfn.XLOOKUP(UNIVERSO[[#This Row],[Ruta]],'[1]CUOTA RUTA'!A:A,'[1]CUOTA RUTA'!D:D)</f>
        <v>Cargar</v>
      </c>
    </row>
    <row r="3674" spans="1:19" x14ac:dyDescent="0.25">
      <c r="A3674">
        <v>1540044167</v>
      </c>
      <c r="B3674" t="s">
        <v>7235</v>
      </c>
      <c r="C3674" t="s">
        <v>19</v>
      </c>
      <c r="D3674" t="s">
        <v>32</v>
      </c>
      <c r="E3674" t="s">
        <v>21</v>
      </c>
      <c r="F3674" t="s">
        <v>22</v>
      </c>
      <c r="G3674" t="s">
        <v>23</v>
      </c>
      <c r="H3674" t="s">
        <v>103</v>
      </c>
      <c r="I3674" t="s">
        <v>7236</v>
      </c>
      <c r="J3674">
        <v>9.9205690000000004</v>
      </c>
      <c r="K3674">
        <v>-84.098271999999994</v>
      </c>
      <c r="L3674" t="s">
        <v>1225</v>
      </c>
      <c r="M3674" t="s">
        <v>71</v>
      </c>
      <c r="N3674" t="s">
        <v>72</v>
      </c>
      <c r="O3674" t="s">
        <v>73</v>
      </c>
      <c r="P3674">
        <v>3</v>
      </c>
      <c r="Q3674" t="s">
        <v>101</v>
      </c>
      <c r="S3674" t="str">
        <f>_xlfn.XLOOKUP(UNIVERSO[[#This Row],[Ruta]],'[1]CUOTA RUTA'!A:A,'[1]CUOTA RUTA'!D:D)</f>
        <v>Cargar</v>
      </c>
    </row>
    <row r="3675" spans="1:19" x14ac:dyDescent="0.25">
      <c r="A3675">
        <v>1540044182</v>
      </c>
      <c r="B3675" t="s">
        <v>7237</v>
      </c>
      <c r="C3675" t="s">
        <v>19</v>
      </c>
      <c r="D3675" t="s">
        <v>32</v>
      </c>
      <c r="E3675" t="s">
        <v>21</v>
      </c>
      <c r="F3675" t="s">
        <v>22</v>
      </c>
      <c r="G3675" t="s">
        <v>64</v>
      </c>
      <c r="H3675" t="s">
        <v>425</v>
      </c>
      <c r="I3675" t="s">
        <v>7238</v>
      </c>
      <c r="J3675">
        <v>9.8692299999999999</v>
      </c>
      <c r="K3675">
        <v>-84.086010000000002</v>
      </c>
      <c r="L3675" t="s">
        <v>1225</v>
      </c>
      <c r="M3675" t="s">
        <v>71</v>
      </c>
      <c r="N3675" t="s">
        <v>72</v>
      </c>
      <c r="O3675" t="s">
        <v>73</v>
      </c>
      <c r="P3675">
        <v>15</v>
      </c>
      <c r="Q3675" t="s">
        <v>231</v>
      </c>
      <c r="S3675" t="str">
        <f>_xlfn.XLOOKUP(UNIVERSO[[#This Row],[Ruta]],'[1]CUOTA RUTA'!A:A,'[1]CUOTA RUTA'!D:D)</f>
        <v>Cargar</v>
      </c>
    </row>
    <row r="3676" spans="1:19" x14ac:dyDescent="0.25">
      <c r="A3676">
        <v>1540044205</v>
      </c>
      <c r="B3676" t="s">
        <v>7239</v>
      </c>
      <c r="C3676" t="s">
        <v>19</v>
      </c>
      <c r="D3676" t="s">
        <v>349</v>
      </c>
      <c r="E3676" t="s">
        <v>21</v>
      </c>
      <c r="F3676" t="s">
        <v>22</v>
      </c>
      <c r="G3676" t="s">
        <v>33</v>
      </c>
      <c r="H3676" t="s">
        <v>711</v>
      </c>
      <c r="I3676" t="s">
        <v>7240</v>
      </c>
      <c r="J3676">
        <v>10.231954999999999</v>
      </c>
      <c r="K3676">
        <v>-85.460823000000005</v>
      </c>
      <c r="L3676" t="s">
        <v>1225</v>
      </c>
      <c r="M3676" t="s">
        <v>352</v>
      </c>
      <c r="N3676" t="s">
        <v>353</v>
      </c>
      <c r="O3676" t="s">
        <v>354</v>
      </c>
      <c r="P3676">
        <v>3</v>
      </c>
      <c r="Q3676" t="s">
        <v>101</v>
      </c>
      <c r="S3676" t="str">
        <f>_xlfn.XLOOKUP(UNIVERSO[[#This Row],[Ruta]],'[1]CUOTA RUTA'!A:A,'[1]CUOTA RUTA'!D:D)</f>
        <v>Cargar</v>
      </c>
    </row>
    <row r="3677" spans="1:19" x14ac:dyDescent="0.25">
      <c r="A3677">
        <v>1540044229</v>
      </c>
      <c r="B3677" t="s">
        <v>7241</v>
      </c>
      <c r="C3677" t="s">
        <v>19</v>
      </c>
      <c r="D3677" t="s">
        <v>32</v>
      </c>
      <c r="E3677" t="s">
        <v>21</v>
      </c>
      <c r="F3677" t="s">
        <v>22</v>
      </c>
      <c r="G3677" t="s">
        <v>33</v>
      </c>
      <c r="H3677" t="s">
        <v>1113</v>
      </c>
      <c r="I3677" t="s">
        <v>7242</v>
      </c>
      <c r="J3677">
        <v>9.93614</v>
      </c>
      <c r="K3677">
        <v>-84.040899999999993</v>
      </c>
      <c r="L3677" t="s">
        <v>1225</v>
      </c>
      <c r="M3677" t="s">
        <v>36</v>
      </c>
      <c r="N3677" t="s">
        <v>37</v>
      </c>
      <c r="O3677" t="s">
        <v>38</v>
      </c>
      <c r="P3677">
        <v>8</v>
      </c>
      <c r="Q3677" t="s">
        <v>97</v>
      </c>
      <c r="S3677" t="str">
        <f>_xlfn.XLOOKUP(UNIVERSO[[#This Row],[Ruta]],'[1]CUOTA RUTA'!A:A,'[1]CUOTA RUTA'!D:D)</f>
        <v>Cargar</v>
      </c>
    </row>
    <row r="3678" spans="1:19" x14ac:dyDescent="0.25">
      <c r="A3678">
        <v>1540044236</v>
      </c>
      <c r="B3678" t="s">
        <v>7243</v>
      </c>
      <c r="C3678" t="s">
        <v>19</v>
      </c>
      <c r="D3678" t="s">
        <v>32</v>
      </c>
      <c r="E3678" t="s">
        <v>21</v>
      </c>
      <c r="F3678" t="s">
        <v>22</v>
      </c>
      <c r="G3678" t="s">
        <v>23</v>
      </c>
      <c r="H3678" t="s">
        <v>89</v>
      </c>
      <c r="I3678" t="s">
        <v>7244</v>
      </c>
      <c r="J3678">
        <v>9.9090570000000007</v>
      </c>
      <c r="K3678">
        <v>-84.078784999999996</v>
      </c>
      <c r="L3678" t="s">
        <v>1225</v>
      </c>
      <c r="M3678" t="s">
        <v>71</v>
      </c>
      <c r="N3678" t="s">
        <v>72</v>
      </c>
      <c r="O3678" t="s">
        <v>73</v>
      </c>
      <c r="P3678">
        <v>6</v>
      </c>
      <c r="Q3678" t="s">
        <v>49</v>
      </c>
      <c r="S3678" t="str">
        <f>_xlfn.XLOOKUP(UNIVERSO[[#This Row],[Ruta]],'[1]CUOTA RUTA'!A:A,'[1]CUOTA RUTA'!D:D)</f>
        <v>Cargar</v>
      </c>
    </row>
    <row r="3679" spans="1:19" x14ac:dyDescent="0.25">
      <c r="A3679">
        <v>1540044251</v>
      </c>
      <c r="B3679" t="s">
        <v>7245</v>
      </c>
      <c r="C3679" t="s">
        <v>19</v>
      </c>
      <c r="D3679" t="s">
        <v>244</v>
      </c>
      <c r="E3679" t="s">
        <v>21</v>
      </c>
      <c r="F3679" t="s">
        <v>22</v>
      </c>
      <c r="G3679" t="s">
        <v>64</v>
      </c>
      <c r="H3679" t="s">
        <v>819</v>
      </c>
      <c r="I3679" t="s">
        <v>7246</v>
      </c>
      <c r="J3679">
        <v>9.4969859999999997</v>
      </c>
      <c r="K3679">
        <v>-84.145803999999998</v>
      </c>
      <c r="L3679" t="s">
        <v>1225</v>
      </c>
      <c r="M3679" t="s">
        <v>46</v>
      </c>
      <c r="N3679" t="s">
        <v>247</v>
      </c>
      <c r="O3679" t="s">
        <v>248</v>
      </c>
      <c r="P3679">
        <v>21</v>
      </c>
      <c r="Q3679" t="s">
        <v>239</v>
      </c>
      <c r="S3679" t="str">
        <f>_xlfn.XLOOKUP(UNIVERSO[[#This Row],[Ruta]],'[1]CUOTA RUTA'!A:A,'[1]CUOTA RUTA'!D:D)</f>
        <v>Cargar</v>
      </c>
    </row>
    <row r="3680" spans="1:19" x14ac:dyDescent="0.25">
      <c r="A3680">
        <v>1540044262</v>
      </c>
      <c r="B3680" t="s">
        <v>7247</v>
      </c>
      <c r="C3680" t="s">
        <v>19</v>
      </c>
      <c r="D3680" t="s">
        <v>244</v>
      </c>
      <c r="E3680" t="s">
        <v>21</v>
      </c>
      <c r="F3680" t="s">
        <v>22</v>
      </c>
      <c r="G3680" t="s">
        <v>64</v>
      </c>
      <c r="H3680" t="s">
        <v>525</v>
      </c>
      <c r="I3680" t="s">
        <v>7248</v>
      </c>
      <c r="J3680">
        <v>9.554214</v>
      </c>
      <c r="K3680">
        <v>-84.339687999999995</v>
      </c>
      <c r="L3680" t="s">
        <v>1225</v>
      </c>
      <c r="M3680" t="s">
        <v>46</v>
      </c>
      <c r="N3680" t="s">
        <v>247</v>
      </c>
      <c r="O3680" t="s">
        <v>248</v>
      </c>
      <c r="P3680">
        <v>22</v>
      </c>
      <c r="Q3680" t="s">
        <v>30</v>
      </c>
      <c r="S3680" t="str">
        <f>_xlfn.XLOOKUP(UNIVERSO[[#This Row],[Ruta]],'[1]CUOTA RUTA'!A:A,'[1]CUOTA RUTA'!D:D)</f>
        <v>Cargar</v>
      </c>
    </row>
    <row r="3681" spans="1:19" x14ac:dyDescent="0.25">
      <c r="A3681">
        <v>1540044280</v>
      </c>
      <c r="B3681" t="s">
        <v>7249</v>
      </c>
      <c r="C3681" t="s">
        <v>19</v>
      </c>
      <c r="D3681" t="s">
        <v>32</v>
      </c>
      <c r="E3681" t="s">
        <v>21</v>
      </c>
      <c r="F3681" t="s">
        <v>22</v>
      </c>
      <c r="G3681" t="s">
        <v>33</v>
      </c>
      <c r="H3681" t="s">
        <v>1383</v>
      </c>
      <c r="I3681" t="s">
        <v>7250</v>
      </c>
      <c r="J3681">
        <v>9.907546</v>
      </c>
      <c r="K3681">
        <v>-84.087787000000006</v>
      </c>
      <c r="L3681" t="s">
        <v>1225</v>
      </c>
      <c r="M3681" t="s">
        <v>71</v>
      </c>
      <c r="N3681" t="s">
        <v>72</v>
      </c>
      <c r="O3681" t="s">
        <v>73</v>
      </c>
      <c r="P3681">
        <v>6</v>
      </c>
      <c r="Q3681" t="s">
        <v>49</v>
      </c>
      <c r="S3681" t="str">
        <f>_xlfn.XLOOKUP(UNIVERSO[[#This Row],[Ruta]],'[1]CUOTA RUTA'!A:A,'[1]CUOTA RUTA'!D:D)</f>
        <v>Cargar</v>
      </c>
    </row>
    <row r="3682" spans="1:19" x14ac:dyDescent="0.25">
      <c r="A3682">
        <v>1540044330</v>
      </c>
      <c r="B3682" t="s">
        <v>7251</v>
      </c>
      <c r="C3682" t="s">
        <v>19</v>
      </c>
      <c r="D3682" t="s">
        <v>32</v>
      </c>
      <c r="E3682" t="s">
        <v>21</v>
      </c>
      <c r="F3682" t="s">
        <v>22</v>
      </c>
      <c r="G3682" t="s">
        <v>64</v>
      </c>
      <c r="H3682" t="s">
        <v>425</v>
      </c>
      <c r="I3682" t="s">
        <v>7252</v>
      </c>
      <c r="J3682">
        <v>9.8589260000000003</v>
      </c>
      <c r="K3682">
        <v>-84.099332000000004</v>
      </c>
      <c r="L3682" t="s">
        <v>1225</v>
      </c>
      <c r="M3682" t="s">
        <v>71</v>
      </c>
      <c r="N3682" t="s">
        <v>72</v>
      </c>
      <c r="O3682" t="s">
        <v>73</v>
      </c>
      <c r="P3682">
        <v>14</v>
      </c>
      <c r="Q3682" t="s">
        <v>181</v>
      </c>
      <c r="S3682" t="str">
        <f>_xlfn.XLOOKUP(UNIVERSO[[#This Row],[Ruta]],'[1]CUOTA RUTA'!A:A,'[1]CUOTA RUTA'!D:D)</f>
        <v>Cargar</v>
      </c>
    </row>
    <row r="3683" spans="1:19" x14ac:dyDescent="0.25">
      <c r="A3683">
        <v>1540044338</v>
      </c>
      <c r="B3683" t="s">
        <v>7253</v>
      </c>
      <c r="C3683" t="s">
        <v>19</v>
      </c>
      <c r="D3683" t="s">
        <v>337</v>
      </c>
      <c r="E3683" t="s">
        <v>21</v>
      </c>
      <c r="F3683" t="s">
        <v>22</v>
      </c>
      <c r="G3683" t="s">
        <v>23</v>
      </c>
      <c r="H3683" t="s">
        <v>1732</v>
      </c>
      <c r="I3683" t="s">
        <v>7254</v>
      </c>
      <c r="J3683">
        <v>10.38824747</v>
      </c>
      <c r="K3683">
        <v>-85.496442630000004</v>
      </c>
      <c r="L3683" t="s">
        <v>1225</v>
      </c>
      <c r="M3683" t="s">
        <v>327</v>
      </c>
      <c r="N3683" t="s">
        <v>340</v>
      </c>
      <c r="O3683" t="s">
        <v>341</v>
      </c>
      <c r="P3683">
        <v>16</v>
      </c>
      <c r="Q3683" t="s">
        <v>60</v>
      </c>
      <c r="S3683" t="str">
        <f>_xlfn.XLOOKUP(UNIVERSO[[#This Row],[Ruta]],'[1]CUOTA RUTA'!A:A,'[1]CUOTA RUTA'!D:D)</f>
        <v>Cargar</v>
      </c>
    </row>
    <row r="3684" spans="1:19" x14ac:dyDescent="0.25">
      <c r="A3684">
        <v>1540044339</v>
      </c>
      <c r="B3684" t="s">
        <v>7255</v>
      </c>
      <c r="C3684" t="s">
        <v>19</v>
      </c>
      <c r="D3684" t="s">
        <v>20</v>
      </c>
      <c r="E3684" t="s">
        <v>21</v>
      </c>
      <c r="F3684" t="s">
        <v>22</v>
      </c>
      <c r="G3684" t="s">
        <v>33</v>
      </c>
      <c r="H3684" t="s">
        <v>250</v>
      </c>
      <c r="I3684" t="s">
        <v>7256</v>
      </c>
      <c r="J3684">
        <v>10.058106434335</v>
      </c>
      <c r="K3684">
        <v>-84.312394291510003</v>
      </c>
      <c r="L3684" t="s">
        <v>1225</v>
      </c>
      <c r="M3684" t="s">
        <v>46</v>
      </c>
      <c r="N3684" t="s">
        <v>47</v>
      </c>
      <c r="O3684" t="s">
        <v>48</v>
      </c>
      <c r="P3684">
        <v>11</v>
      </c>
      <c r="Q3684" t="s">
        <v>108</v>
      </c>
      <c r="S3684" t="str">
        <f>_xlfn.XLOOKUP(UNIVERSO[[#This Row],[Ruta]],'[1]CUOTA RUTA'!A:A,'[1]CUOTA RUTA'!D:D)</f>
        <v>Cargar</v>
      </c>
    </row>
    <row r="3685" spans="1:19" x14ac:dyDescent="0.25">
      <c r="A3685">
        <v>1540044372</v>
      </c>
      <c r="B3685" t="s">
        <v>7257</v>
      </c>
      <c r="C3685" t="s">
        <v>19</v>
      </c>
      <c r="D3685" t="s">
        <v>20</v>
      </c>
      <c r="E3685" t="s">
        <v>21</v>
      </c>
      <c r="F3685" t="s">
        <v>22</v>
      </c>
      <c r="G3685" t="s">
        <v>33</v>
      </c>
      <c r="H3685" t="s">
        <v>44</v>
      </c>
      <c r="I3685" t="s">
        <v>7258</v>
      </c>
      <c r="J3685">
        <v>10.10131589</v>
      </c>
      <c r="K3685">
        <v>-84.369647709999995</v>
      </c>
      <c r="L3685" t="s">
        <v>1225</v>
      </c>
      <c r="M3685" t="s">
        <v>46</v>
      </c>
      <c r="N3685" t="s">
        <v>47</v>
      </c>
      <c r="O3685" t="s">
        <v>48</v>
      </c>
      <c r="P3685">
        <v>2</v>
      </c>
      <c r="Q3685" t="s">
        <v>150</v>
      </c>
      <c r="S3685" t="str">
        <f>_xlfn.XLOOKUP(UNIVERSO[[#This Row],[Ruta]],'[1]CUOTA RUTA'!A:A,'[1]CUOTA RUTA'!D:D)</f>
        <v>Cargar</v>
      </c>
    </row>
    <row r="3686" spans="1:19" x14ac:dyDescent="0.25">
      <c r="A3686">
        <v>1540044393</v>
      </c>
      <c r="B3686" t="s">
        <v>7259</v>
      </c>
      <c r="C3686" t="s">
        <v>19</v>
      </c>
      <c r="D3686" t="s">
        <v>349</v>
      </c>
      <c r="E3686" t="s">
        <v>21</v>
      </c>
      <c r="F3686" t="s">
        <v>22</v>
      </c>
      <c r="G3686" t="s">
        <v>64</v>
      </c>
      <c r="H3686" t="s">
        <v>496</v>
      </c>
      <c r="I3686" t="s">
        <v>7260</v>
      </c>
      <c r="J3686">
        <v>9.9559329999999999</v>
      </c>
      <c r="K3686">
        <v>-85.123045000000005</v>
      </c>
      <c r="L3686" t="s">
        <v>1225</v>
      </c>
      <c r="M3686" t="s">
        <v>352</v>
      </c>
      <c r="N3686" t="s">
        <v>353</v>
      </c>
      <c r="O3686" t="s">
        <v>354</v>
      </c>
      <c r="P3686">
        <v>10</v>
      </c>
      <c r="Q3686" t="s">
        <v>136</v>
      </c>
      <c r="S3686" t="str">
        <f>_xlfn.XLOOKUP(UNIVERSO[[#This Row],[Ruta]],'[1]CUOTA RUTA'!A:A,'[1]CUOTA RUTA'!D:D)</f>
        <v>Cargar</v>
      </c>
    </row>
    <row r="3687" spans="1:19" x14ac:dyDescent="0.25">
      <c r="A3687">
        <v>1540044460</v>
      </c>
      <c r="B3687" t="s">
        <v>7261</v>
      </c>
      <c r="C3687" t="s">
        <v>19</v>
      </c>
      <c r="D3687" t="s">
        <v>20</v>
      </c>
      <c r="E3687" t="s">
        <v>21</v>
      </c>
      <c r="F3687" t="s">
        <v>22</v>
      </c>
      <c r="G3687" t="s">
        <v>64</v>
      </c>
      <c r="H3687" t="s">
        <v>674</v>
      </c>
      <c r="I3687" t="s">
        <v>7262</v>
      </c>
      <c r="J3687">
        <v>10.126152255542999</v>
      </c>
      <c r="K3687">
        <v>-84.456214068959994</v>
      </c>
      <c r="L3687" t="s">
        <v>1225</v>
      </c>
      <c r="M3687" t="s">
        <v>46</v>
      </c>
      <c r="N3687" t="s">
        <v>47</v>
      </c>
      <c r="O3687" t="s">
        <v>48</v>
      </c>
      <c r="P3687">
        <v>6</v>
      </c>
      <c r="Q3687" t="s">
        <v>49</v>
      </c>
      <c r="S3687" t="str">
        <f>_xlfn.XLOOKUP(UNIVERSO[[#This Row],[Ruta]],'[1]CUOTA RUTA'!A:A,'[1]CUOTA RUTA'!D:D)</f>
        <v>Cargar</v>
      </c>
    </row>
    <row r="3688" spans="1:19" x14ac:dyDescent="0.25">
      <c r="A3688">
        <v>1540044477</v>
      </c>
      <c r="B3688" t="s">
        <v>7263</v>
      </c>
      <c r="C3688" t="s">
        <v>19</v>
      </c>
      <c r="D3688" t="s">
        <v>32</v>
      </c>
      <c r="E3688" t="s">
        <v>21</v>
      </c>
      <c r="F3688" t="s">
        <v>22</v>
      </c>
      <c r="G3688" t="s">
        <v>64</v>
      </c>
      <c r="H3688" t="s">
        <v>1191</v>
      </c>
      <c r="I3688" t="s">
        <v>7264</v>
      </c>
      <c r="J3688">
        <v>9.8997159999999997</v>
      </c>
      <c r="K3688">
        <v>-84.007529000000005</v>
      </c>
      <c r="L3688" t="s">
        <v>1225</v>
      </c>
      <c r="M3688" t="s">
        <v>36</v>
      </c>
      <c r="N3688" t="s">
        <v>37</v>
      </c>
      <c r="O3688" t="s">
        <v>38</v>
      </c>
      <c r="P3688">
        <v>17</v>
      </c>
      <c r="Q3688" t="s">
        <v>287</v>
      </c>
      <c r="S3688" t="str">
        <f>_xlfn.XLOOKUP(UNIVERSO[[#This Row],[Ruta]],'[1]CUOTA RUTA'!A:A,'[1]CUOTA RUTA'!D:D)</f>
        <v>Cargar</v>
      </c>
    </row>
    <row r="3689" spans="1:19" x14ac:dyDescent="0.25">
      <c r="A3689">
        <v>1540044487</v>
      </c>
      <c r="B3689" t="s">
        <v>7265</v>
      </c>
      <c r="C3689" t="s">
        <v>19</v>
      </c>
      <c r="D3689" t="s">
        <v>186</v>
      </c>
      <c r="E3689" t="s">
        <v>21</v>
      </c>
      <c r="F3689" t="s">
        <v>22</v>
      </c>
      <c r="G3689" t="s">
        <v>64</v>
      </c>
      <c r="H3689" t="s">
        <v>187</v>
      </c>
      <c r="I3689" t="s">
        <v>7266</v>
      </c>
      <c r="J3689">
        <v>9.9935100000000006</v>
      </c>
      <c r="K3689">
        <v>-83.070400000000006</v>
      </c>
      <c r="L3689" t="s">
        <v>1225</v>
      </c>
      <c r="M3689" t="s">
        <v>189</v>
      </c>
      <c r="N3689" t="s">
        <v>190</v>
      </c>
      <c r="O3689" t="s">
        <v>191</v>
      </c>
      <c r="P3689">
        <v>23</v>
      </c>
      <c r="Q3689" t="s">
        <v>125</v>
      </c>
      <c r="S3689" t="str">
        <f>_xlfn.XLOOKUP(UNIVERSO[[#This Row],[Ruta]],'[1]CUOTA RUTA'!A:A,'[1]CUOTA RUTA'!D:D)</f>
        <v>Cargar</v>
      </c>
    </row>
    <row r="3690" spans="1:19" x14ac:dyDescent="0.25">
      <c r="A3690">
        <v>1540044517</v>
      </c>
      <c r="B3690" t="s">
        <v>7267</v>
      </c>
      <c r="C3690" t="s">
        <v>19</v>
      </c>
      <c r="D3690" t="s">
        <v>201</v>
      </c>
      <c r="E3690" t="s">
        <v>21</v>
      </c>
      <c r="F3690" t="s">
        <v>22</v>
      </c>
      <c r="G3690" t="s">
        <v>33</v>
      </c>
      <c r="H3690" t="s">
        <v>528</v>
      </c>
      <c r="I3690" t="s">
        <v>7268</v>
      </c>
      <c r="J3690">
        <v>10.178851999999999</v>
      </c>
      <c r="K3690">
        <v>-84.932908999999995</v>
      </c>
      <c r="L3690" t="s">
        <v>1225</v>
      </c>
      <c r="M3690" t="s">
        <v>327</v>
      </c>
      <c r="N3690" t="s">
        <v>530</v>
      </c>
      <c r="O3690" t="s">
        <v>531</v>
      </c>
      <c r="P3690">
        <v>2</v>
      </c>
      <c r="Q3690" t="s">
        <v>150</v>
      </c>
      <c r="S3690" t="str">
        <f>_xlfn.XLOOKUP(UNIVERSO[[#This Row],[Ruta]],'[1]CUOTA RUTA'!A:A,'[1]CUOTA RUTA'!D:D)</f>
        <v>Cargar</v>
      </c>
    </row>
    <row r="3691" spans="1:19" x14ac:dyDescent="0.25">
      <c r="A3691">
        <v>1540044575</v>
      </c>
      <c r="B3691" t="s">
        <v>7269</v>
      </c>
      <c r="C3691" t="s">
        <v>19</v>
      </c>
      <c r="D3691" t="s">
        <v>201</v>
      </c>
      <c r="E3691" t="s">
        <v>21</v>
      </c>
      <c r="F3691" t="s">
        <v>22</v>
      </c>
      <c r="G3691" t="s">
        <v>33</v>
      </c>
      <c r="H3691" t="s">
        <v>334</v>
      </c>
      <c r="I3691" t="s">
        <v>7270</v>
      </c>
      <c r="J3691">
        <v>9.9751902000000001</v>
      </c>
      <c r="K3691">
        <v>-84.650329099999993</v>
      </c>
      <c r="L3691" t="s">
        <v>1225</v>
      </c>
      <c r="M3691" t="s">
        <v>204</v>
      </c>
      <c r="N3691" t="s">
        <v>205</v>
      </c>
      <c r="O3691" t="s">
        <v>206</v>
      </c>
      <c r="P3691">
        <v>14</v>
      </c>
      <c r="Q3691" t="s">
        <v>181</v>
      </c>
      <c r="S3691" t="str">
        <f>_xlfn.XLOOKUP(UNIVERSO[[#This Row],[Ruta]],'[1]CUOTA RUTA'!A:A,'[1]CUOTA RUTA'!D:D)</f>
        <v>Cargar</v>
      </c>
    </row>
    <row r="3692" spans="1:19" x14ac:dyDescent="0.25">
      <c r="A3692">
        <v>1540044648</v>
      </c>
      <c r="B3692" t="s">
        <v>7271</v>
      </c>
      <c r="C3692" t="s">
        <v>19</v>
      </c>
      <c r="D3692" t="s">
        <v>208</v>
      </c>
      <c r="E3692" t="s">
        <v>21</v>
      </c>
      <c r="F3692" t="s">
        <v>22</v>
      </c>
      <c r="G3692" t="s">
        <v>64</v>
      </c>
      <c r="H3692" t="s">
        <v>221</v>
      </c>
      <c r="I3692" t="s">
        <v>7272</v>
      </c>
      <c r="J3692">
        <v>10.338692999999999</v>
      </c>
      <c r="K3692">
        <v>-83.760240999999994</v>
      </c>
      <c r="L3692" t="s">
        <v>1225</v>
      </c>
      <c r="M3692" t="s">
        <v>189</v>
      </c>
      <c r="N3692" t="s">
        <v>211</v>
      </c>
      <c r="O3692" t="s">
        <v>212</v>
      </c>
      <c r="P3692">
        <v>2</v>
      </c>
      <c r="Q3692" t="s">
        <v>150</v>
      </c>
      <c r="S3692" t="str">
        <f>_xlfn.XLOOKUP(UNIVERSO[[#This Row],[Ruta]],'[1]CUOTA RUTA'!A:A,'[1]CUOTA RUTA'!D:D)</f>
        <v>Cargar</v>
      </c>
    </row>
    <row r="3693" spans="1:19" x14ac:dyDescent="0.25">
      <c r="A3693">
        <v>1540044701</v>
      </c>
      <c r="B3693" t="s">
        <v>7273</v>
      </c>
      <c r="C3693" t="s">
        <v>19</v>
      </c>
      <c r="D3693" t="s">
        <v>244</v>
      </c>
      <c r="E3693" t="s">
        <v>21</v>
      </c>
      <c r="F3693" t="s">
        <v>22</v>
      </c>
      <c r="G3693" t="s">
        <v>33</v>
      </c>
      <c r="H3693" t="s">
        <v>857</v>
      </c>
      <c r="I3693" t="s">
        <v>7274</v>
      </c>
      <c r="J3693">
        <v>9.2697336000000004</v>
      </c>
      <c r="K3693">
        <v>-83.635942099999994</v>
      </c>
      <c r="L3693" t="s">
        <v>1225</v>
      </c>
      <c r="M3693" t="s">
        <v>46</v>
      </c>
      <c r="N3693" t="s">
        <v>247</v>
      </c>
      <c r="O3693" t="s">
        <v>248</v>
      </c>
      <c r="P3693">
        <v>18</v>
      </c>
      <c r="Q3693" t="s">
        <v>84</v>
      </c>
      <c r="S3693" t="str">
        <f>_xlfn.XLOOKUP(UNIVERSO[[#This Row],[Ruta]],'[1]CUOTA RUTA'!A:A,'[1]CUOTA RUTA'!D:D)</f>
        <v>Cargar</v>
      </c>
    </row>
    <row r="3694" spans="1:19" x14ac:dyDescent="0.25">
      <c r="A3694">
        <v>1540044709</v>
      </c>
      <c r="B3694" t="s">
        <v>7275</v>
      </c>
      <c r="C3694" t="s">
        <v>19</v>
      </c>
      <c r="D3694" t="s">
        <v>32</v>
      </c>
      <c r="E3694" t="s">
        <v>21</v>
      </c>
      <c r="F3694" t="s">
        <v>22</v>
      </c>
      <c r="G3694" t="s">
        <v>33</v>
      </c>
      <c r="H3694" t="s">
        <v>716</v>
      </c>
      <c r="I3694" t="s">
        <v>7276</v>
      </c>
      <c r="J3694">
        <v>9.952</v>
      </c>
      <c r="K3694">
        <v>-84.103746700000002</v>
      </c>
      <c r="L3694" t="s">
        <v>1225</v>
      </c>
      <c r="M3694" t="s">
        <v>36</v>
      </c>
      <c r="N3694" t="s">
        <v>37</v>
      </c>
      <c r="O3694" t="s">
        <v>38</v>
      </c>
      <c r="P3694">
        <v>6</v>
      </c>
      <c r="Q3694" t="s">
        <v>49</v>
      </c>
      <c r="S3694" t="str">
        <f>_xlfn.XLOOKUP(UNIVERSO[[#This Row],[Ruta]],'[1]CUOTA RUTA'!A:A,'[1]CUOTA RUTA'!D:D)</f>
        <v>Cargar</v>
      </c>
    </row>
    <row r="3695" spans="1:19" x14ac:dyDescent="0.25">
      <c r="A3695">
        <v>1540044722</v>
      </c>
      <c r="B3695" t="s">
        <v>7277</v>
      </c>
      <c r="C3695" t="s">
        <v>19</v>
      </c>
      <c r="D3695" t="s">
        <v>32</v>
      </c>
      <c r="E3695" t="s">
        <v>21</v>
      </c>
      <c r="F3695" t="s">
        <v>22</v>
      </c>
      <c r="G3695" t="s">
        <v>64</v>
      </c>
      <c r="H3695" t="s">
        <v>879</v>
      </c>
      <c r="I3695" t="s">
        <v>7278</v>
      </c>
      <c r="J3695">
        <v>9.9283400000000004</v>
      </c>
      <c r="K3695">
        <v>-84.074100000000001</v>
      </c>
      <c r="L3695" t="s">
        <v>1225</v>
      </c>
      <c r="M3695" t="s">
        <v>71</v>
      </c>
      <c r="N3695" t="s">
        <v>72</v>
      </c>
      <c r="O3695" t="s">
        <v>73</v>
      </c>
      <c r="P3695">
        <v>5</v>
      </c>
      <c r="Q3695" t="s">
        <v>117</v>
      </c>
      <c r="S3695" t="str">
        <f>_xlfn.XLOOKUP(UNIVERSO[[#This Row],[Ruta]],'[1]CUOTA RUTA'!A:A,'[1]CUOTA RUTA'!D:D)</f>
        <v>Cargar</v>
      </c>
    </row>
    <row r="3696" spans="1:19" x14ac:dyDescent="0.25">
      <c r="A3696">
        <v>1540044753</v>
      </c>
      <c r="B3696" t="s">
        <v>3362</v>
      </c>
      <c r="C3696" t="s">
        <v>19</v>
      </c>
      <c r="D3696" t="s">
        <v>20</v>
      </c>
      <c r="E3696" t="s">
        <v>21</v>
      </c>
      <c r="F3696" t="s">
        <v>22</v>
      </c>
      <c r="G3696" t="s">
        <v>23</v>
      </c>
      <c r="H3696" t="s">
        <v>303</v>
      </c>
      <c r="I3696" t="s">
        <v>7279</v>
      </c>
      <c r="J3696">
        <v>10.005599999999999</v>
      </c>
      <c r="K3696">
        <v>-84.248400000000004</v>
      </c>
      <c r="L3696" t="s">
        <v>1225</v>
      </c>
      <c r="M3696" t="s">
        <v>54</v>
      </c>
      <c r="N3696" t="s">
        <v>55</v>
      </c>
      <c r="O3696" t="s">
        <v>56</v>
      </c>
      <c r="P3696">
        <v>7</v>
      </c>
      <c r="Q3696" t="s">
        <v>39</v>
      </c>
      <c r="S3696" t="str">
        <f>_xlfn.XLOOKUP(UNIVERSO[[#This Row],[Ruta]],'[1]CUOTA RUTA'!A:A,'[1]CUOTA RUTA'!D:D)</f>
        <v>Cargar</v>
      </c>
    </row>
    <row r="3697" spans="1:19" x14ac:dyDescent="0.25">
      <c r="A3697">
        <v>1540044795</v>
      </c>
      <c r="B3697" t="s">
        <v>7280</v>
      </c>
      <c r="C3697" t="s">
        <v>19</v>
      </c>
      <c r="D3697" t="s">
        <v>201</v>
      </c>
      <c r="E3697" t="s">
        <v>21</v>
      </c>
      <c r="F3697" t="s">
        <v>51</v>
      </c>
      <c r="G3697" t="s">
        <v>23</v>
      </c>
      <c r="H3697" t="s">
        <v>383</v>
      </c>
      <c r="I3697" t="s">
        <v>7281</v>
      </c>
      <c r="J3697">
        <v>9.9813609999999997</v>
      </c>
      <c r="K3697">
        <v>-84.751142000000002</v>
      </c>
      <c r="L3697" t="s">
        <v>1225</v>
      </c>
      <c r="M3697" t="s">
        <v>204</v>
      </c>
      <c r="N3697" t="s">
        <v>205</v>
      </c>
      <c r="O3697" t="s">
        <v>206</v>
      </c>
      <c r="P3697">
        <v>9</v>
      </c>
      <c r="Q3697" t="s">
        <v>80</v>
      </c>
      <c r="S3697" t="str">
        <f>_xlfn.XLOOKUP(UNIVERSO[[#This Row],[Ruta]],'[1]CUOTA RUTA'!A:A,'[1]CUOTA RUTA'!D:D)</f>
        <v>Cargar</v>
      </c>
    </row>
    <row r="3698" spans="1:19" x14ac:dyDescent="0.25">
      <c r="A3698">
        <v>1540044796</v>
      </c>
      <c r="B3698" t="s">
        <v>7282</v>
      </c>
      <c r="C3698" t="s">
        <v>19</v>
      </c>
      <c r="D3698" t="s">
        <v>186</v>
      </c>
      <c r="E3698" t="s">
        <v>21</v>
      </c>
      <c r="F3698" t="s">
        <v>22</v>
      </c>
      <c r="G3698" t="s">
        <v>64</v>
      </c>
      <c r="H3698" t="s">
        <v>187</v>
      </c>
      <c r="I3698" t="s">
        <v>7283</v>
      </c>
      <c r="J3698">
        <v>9.9907950000000003</v>
      </c>
      <c r="K3698">
        <v>-83.077382999999998</v>
      </c>
      <c r="L3698" t="s">
        <v>1225</v>
      </c>
      <c r="M3698" t="s">
        <v>189</v>
      </c>
      <c r="N3698" t="s">
        <v>190</v>
      </c>
      <c r="O3698" t="s">
        <v>191</v>
      </c>
      <c r="P3698">
        <v>23</v>
      </c>
      <c r="Q3698" t="s">
        <v>125</v>
      </c>
      <c r="S3698" t="str">
        <f>_xlfn.XLOOKUP(UNIVERSO[[#This Row],[Ruta]],'[1]CUOTA RUTA'!A:A,'[1]CUOTA RUTA'!D:D)</f>
        <v>Cargar</v>
      </c>
    </row>
    <row r="3699" spans="1:19" x14ac:dyDescent="0.25">
      <c r="A3699">
        <v>1540044839</v>
      </c>
      <c r="B3699" t="s">
        <v>7284</v>
      </c>
      <c r="C3699" t="s">
        <v>19</v>
      </c>
      <c r="D3699" t="s">
        <v>349</v>
      </c>
      <c r="E3699" t="s">
        <v>21</v>
      </c>
      <c r="F3699" t="s">
        <v>22</v>
      </c>
      <c r="G3699" t="s">
        <v>64</v>
      </c>
      <c r="H3699" t="s">
        <v>448</v>
      </c>
      <c r="I3699" t="s">
        <v>7285</v>
      </c>
      <c r="J3699">
        <v>10.282389999999999</v>
      </c>
      <c r="K3699">
        <v>-85.524440999999996</v>
      </c>
      <c r="L3699" t="s">
        <v>1225</v>
      </c>
      <c r="M3699" t="s">
        <v>352</v>
      </c>
      <c r="N3699" t="s">
        <v>353</v>
      </c>
      <c r="O3699" t="s">
        <v>354</v>
      </c>
      <c r="P3699">
        <v>3</v>
      </c>
      <c r="Q3699" t="s">
        <v>101</v>
      </c>
      <c r="S3699" t="str">
        <f>_xlfn.XLOOKUP(UNIVERSO[[#This Row],[Ruta]],'[1]CUOTA RUTA'!A:A,'[1]CUOTA RUTA'!D:D)</f>
        <v>Cargar</v>
      </c>
    </row>
    <row r="3700" spans="1:19" x14ac:dyDescent="0.25">
      <c r="A3700">
        <v>1540044844</v>
      </c>
      <c r="B3700" t="s">
        <v>7286</v>
      </c>
      <c r="C3700" t="s">
        <v>19</v>
      </c>
      <c r="D3700" t="s">
        <v>20</v>
      </c>
      <c r="E3700" t="s">
        <v>21</v>
      </c>
      <c r="F3700" t="s">
        <v>22</v>
      </c>
      <c r="G3700" t="s">
        <v>33</v>
      </c>
      <c r="H3700" t="s">
        <v>285</v>
      </c>
      <c r="I3700" t="s">
        <v>7287</v>
      </c>
      <c r="J3700">
        <v>10.015922</v>
      </c>
      <c r="K3700">
        <v>-84.214208999999997</v>
      </c>
      <c r="L3700" t="s">
        <v>1225</v>
      </c>
      <c r="M3700" t="s">
        <v>54</v>
      </c>
      <c r="N3700" t="s">
        <v>55</v>
      </c>
      <c r="O3700" t="s">
        <v>56</v>
      </c>
      <c r="P3700">
        <v>1</v>
      </c>
      <c r="Q3700" t="s">
        <v>155</v>
      </c>
      <c r="S3700" t="str">
        <f>_xlfn.XLOOKUP(UNIVERSO[[#This Row],[Ruta]],'[1]CUOTA RUTA'!A:A,'[1]CUOTA RUTA'!D:D)</f>
        <v>Cargar</v>
      </c>
    </row>
    <row r="3701" spans="1:19" x14ac:dyDescent="0.25">
      <c r="A3701">
        <v>1540044875</v>
      </c>
      <c r="B3701" t="s">
        <v>7288</v>
      </c>
      <c r="C3701" t="s">
        <v>19</v>
      </c>
      <c r="D3701" t="s">
        <v>20</v>
      </c>
      <c r="E3701" t="s">
        <v>21</v>
      </c>
      <c r="F3701" t="s">
        <v>22</v>
      </c>
      <c r="G3701" t="s">
        <v>23</v>
      </c>
      <c r="H3701" t="s">
        <v>24</v>
      </c>
      <c r="I3701" t="s">
        <v>7289</v>
      </c>
      <c r="J3701">
        <v>9.983473</v>
      </c>
      <c r="K3701">
        <v>-84.101093000000006</v>
      </c>
      <c r="L3701" t="s">
        <v>1225</v>
      </c>
      <c r="M3701" t="s">
        <v>27</v>
      </c>
      <c r="N3701" t="s">
        <v>28</v>
      </c>
      <c r="O3701" t="s">
        <v>29</v>
      </c>
      <c r="P3701">
        <v>19</v>
      </c>
      <c r="Q3701" t="s">
        <v>67</v>
      </c>
      <c r="S3701" t="str">
        <f>_xlfn.XLOOKUP(UNIVERSO[[#This Row],[Ruta]],'[1]CUOTA RUTA'!A:A,'[1]CUOTA RUTA'!D:D)</f>
        <v>Cargar</v>
      </c>
    </row>
    <row r="3702" spans="1:19" x14ac:dyDescent="0.25">
      <c r="A3702">
        <v>1540044883</v>
      </c>
      <c r="B3702" t="s">
        <v>7290</v>
      </c>
      <c r="C3702" t="s">
        <v>19</v>
      </c>
      <c r="D3702" t="s">
        <v>349</v>
      </c>
      <c r="E3702" t="s">
        <v>21</v>
      </c>
      <c r="F3702" t="s">
        <v>22</v>
      </c>
      <c r="G3702" t="s">
        <v>64</v>
      </c>
      <c r="H3702" t="s">
        <v>711</v>
      </c>
      <c r="I3702" t="s">
        <v>7291</v>
      </c>
      <c r="J3702">
        <v>9.9098249999999997</v>
      </c>
      <c r="K3702">
        <v>-85.381090999999998</v>
      </c>
      <c r="L3702" t="s">
        <v>1225</v>
      </c>
      <c r="M3702" t="s">
        <v>352</v>
      </c>
      <c r="N3702" t="s">
        <v>353</v>
      </c>
      <c r="O3702" t="s">
        <v>354</v>
      </c>
      <c r="P3702">
        <v>9</v>
      </c>
      <c r="Q3702" t="s">
        <v>80</v>
      </c>
      <c r="S3702" t="str">
        <f>_xlfn.XLOOKUP(UNIVERSO[[#This Row],[Ruta]],'[1]CUOTA RUTA'!A:A,'[1]CUOTA RUTA'!D:D)</f>
        <v>Cargar</v>
      </c>
    </row>
    <row r="3703" spans="1:19" x14ac:dyDescent="0.25">
      <c r="A3703">
        <v>1540044961</v>
      </c>
      <c r="B3703" t="s">
        <v>7292</v>
      </c>
      <c r="C3703" t="s">
        <v>19</v>
      </c>
      <c r="D3703" t="s">
        <v>244</v>
      </c>
      <c r="E3703" t="s">
        <v>21</v>
      </c>
      <c r="F3703" t="s">
        <v>22</v>
      </c>
      <c r="G3703" t="s">
        <v>23</v>
      </c>
      <c r="H3703" t="s">
        <v>767</v>
      </c>
      <c r="I3703" t="s">
        <v>7293</v>
      </c>
      <c r="J3703">
        <v>9.3748828999999994</v>
      </c>
      <c r="K3703">
        <v>-83.720725999999999</v>
      </c>
      <c r="L3703" t="s">
        <v>1225</v>
      </c>
      <c r="M3703" t="s">
        <v>46</v>
      </c>
      <c r="N3703" t="s">
        <v>247</v>
      </c>
      <c r="O3703" t="s">
        <v>248</v>
      </c>
      <c r="P3703">
        <v>15</v>
      </c>
      <c r="Q3703" t="s">
        <v>231</v>
      </c>
      <c r="S3703" t="str">
        <f>_xlfn.XLOOKUP(UNIVERSO[[#This Row],[Ruta]],'[1]CUOTA RUTA'!A:A,'[1]CUOTA RUTA'!D:D)</f>
        <v>Cargar</v>
      </c>
    </row>
    <row r="3704" spans="1:19" x14ac:dyDescent="0.25">
      <c r="A3704">
        <v>1540045026</v>
      </c>
      <c r="B3704" t="s">
        <v>854</v>
      </c>
      <c r="C3704" t="s">
        <v>19</v>
      </c>
      <c r="D3704" t="s">
        <v>266</v>
      </c>
      <c r="E3704" t="s">
        <v>21</v>
      </c>
      <c r="F3704" t="s">
        <v>22</v>
      </c>
      <c r="G3704" t="s">
        <v>33</v>
      </c>
      <c r="H3704" t="s">
        <v>267</v>
      </c>
      <c r="I3704" t="s">
        <v>7294</v>
      </c>
      <c r="J3704">
        <v>9.8176240000000004</v>
      </c>
      <c r="K3704">
        <v>-83.456213000000005</v>
      </c>
      <c r="L3704" t="s">
        <v>1225</v>
      </c>
      <c r="M3704" t="s">
        <v>189</v>
      </c>
      <c r="N3704" t="s">
        <v>269</v>
      </c>
      <c r="O3704" t="s">
        <v>270</v>
      </c>
      <c r="P3704">
        <v>23</v>
      </c>
      <c r="Q3704" t="s">
        <v>125</v>
      </c>
      <c r="S3704" t="str">
        <f>_xlfn.XLOOKUP(UNIVERSO[[#This Row],[Ruta]],'[1]CUOTA RUTA'!A:A,'[1]CUOTA RUTA'!D:D)</f>
        <v>Cargar</v>
      </c>
    </row>
    <row r="3705" spans="1:19" x14ac:dyDescent="0.25">
      <c r="A3705">
        <v>1540045066</v>
      </c>
      <c r="B3705" t="s">
        <v>7295</v>
      </c>
      <c r="C3705" t="s">
        <v>19</v>
      </c>
      <c r="D3705" t="s">
        <v>32</v>
      </c>
      <c r="E3705" t="s">
        <v>21</v>
      </c>
      <c r="F3705" t="s">
        <v>22</v>
      </c>
      <c r="G3705" t="s">
        <v>23</v>
      </c>
      <c r="H3705" t="s">
        <v>99</v>
      </c>
      <c r="I3705" t="s">
        <v>7296</v>
      </c>
      <c r="J3705">
        <v>9.9296199999999999</v>
      </c>
      <c r="K3705">
        <v>-84.083459000000005</v>
      </c>
      <c r="L3705" t="s">
        <v>1225</v>
      </c>
      <c r="M3705" t="s">
        <v>71</v>
      </c>
      <c r="N3705" t="s">
        <v>72</v>
      </c>
      <c r="O3705" t="s">
        <v>73</v>
      </c>
      <c r="P3705">
        <v>5</v>
      </c>
      <c r="Q3705" t="s">
        <v>117</v>
      </c>
      <c r="S3705" t="str">
        <f>_xlfn.XLOOKUP(UNIVERSO[[#This Row],[Ruta]],'[1]CUOTA RUTA'!A:A,'[1]CUOTA RUTA'!D:D)</f>
        <v>Cargar</v>
      </c>
    </row>
    <row r="3706" spans="1:19" x14ac:dyDescent="0.25">
      <c r="A3706">
        <v>1540045107</v>
      </c>
      <c r="B3706" t="s">
        <v>7297</v>
      </c>
      <c r="C3706" t="s">
        <v>19</v>
      </c>
      <c r="D3706" t="s">
        <v>20</v>
      </c>
      <c r="E3706" t="s">
        <v>21</v>
      </c>
      <c r="F3706" t="s">
        <v>22</v>
      </c>
      <c r="G3706" t="s">
        <v>33</v>
      </c>
      <c r="H3706" t="s">
        <v>44</v>
      </c>
      <c r="I3706" t="s">
        <v>4332</v>
      </c>
      <c r="J3706">
        <v>10.085311900000001</v>
      </c>
      <c r="K3706">
        <v>-84.375784100000004</v>
      </c>
      <c r="L3706" t="s">
        <v>1225</v>
      </c>
      <c r="M3706" t="s">
        <v>46</v>
      </c>
      <c r="N3706" t="s">
        <v>47</v>
      </c>
      <c r="O3706" t="s">
        <v>48</v>
      </c>
      <c r="P3706">
        <v>5</v>
      </c>
      <c r="Q3706" t="s">
        <v>117</v>
      </c>
      <c r="S3706" t="str">
        <f>_xlfn.XLOOKUP(UNIVERSO[[#This Row],[Ruta]],'[1]CUOTA RUTA'!A:A,'[1]CUOTA RUTA'!D:D)</f>
        <v>Cargar</v>
      </c>
    </row>
    <row r="3707" spans="1:19" x14ac:dyDescent="0.25">
      <c r="A3707">
        <v>1540045124</v>
      </c>
      <c r="B3707" t="s">
        <v>7298</v>
      </c>
      <c r="C3707" t="s">
        <v>19</v>
      </c>
      <c r="D3707" t="s">
        <v>208</v>
      </c>
      <c r="E3707" t="s">
        <v>21</v>
      </c>
      <c r="F3707" t="s">
        <v>22</v>
      </c>
      <c r="G3707" t="s">
        <v>64</v>
      </c>
      <c r="H3707" t="s">
        <v>221</v>
      </c>
      <c r="I3707" t="s">
        <v>7299</v>
      </c>
      <c r="J3707">
        <v>10.452915000000001</v>
      </c>
      <c r="K3707">
        <v>-84.022232000000002</v>
      </c>
      <c r="L3707" t="s">
        <v>1225</v>
      </c>
      <c r="M3707" t="s">
        <v>189</v>
      </c>
      <c r="N3707" t="s">
        <v>211</v>
      </c>
      <c r="O3707" t="s">
        <v>212</v>
      </c>
      <c r="P3707">
        <v>10</v>
      </c>
      <c r="Q3707" t="s">
        <v>136</v>
      </c>
      <c r="S3707" t="str">
        <f>_xlfn.XLOOKUP(UNIVERSO[[#This Row],[Ruta]],'[1]CUOTA RUTA'!A:A,'[1]CUOTA RUTA'!D:D)</f>
        <v>Cargar</v>
      </c>
    </row>
    <row r="3708" spans="1:19" x14ac:dyDescent="0.25">
      <c r="A3708">
        <v>1540045193</v>
      </c>
      <c r="B3708" t="s">
        <v>7300</v>
      </c>
      <c r="C3708" t="s">
        <v>19</v>
      </c>
      <c r="D3708" t="s">
        <v>324</v>
      </c>
      <c r="E3708" t="s">
        <v>21</v>
      </c>
      <c r="F3708" t="s">
        <v>22</v>
      </c>
      <c r="G3708" t="s">
        <v>64</v>
      </c>
      <c r="H3708" t="s">
        <v>331</v>
      </c>
      <c r="I3708" t="s">
        <v>7301</v>
      </c>
      <c r="J3708">
        <v>10.415237530467</v>
      </c>
      <c r="K3708">
        <v>-84.3423064057</v>
      </c>
      <c r="L3708" t="s">
        <v>1225</v>
      </c>
      <c r="M3708" t="s">
        <v>327</v>
      </c>
      <c r="N3708" t="s">
        <v>328</v>
      </c>
      <c r="O3708" t="s">
        <v>329</v>
      </c>
      <c r="P3708">
        <v>18</v>
      </c>
      <c r="Q3708" t="s">
        <v>84</v>
      </c>
      <c r="S3708" t="str">
        <f>_xlfn.XLOOKUP(UNIVERSO[[#This Row],[Ruta]],'[1]CUOTA RUTA'!A:A,'[1]CUOTA RUTA'!D:D)</f>
        <v>Cargar</v>
      </c>
    </row>
    <row r="3709" spans="1:19" x14ac:dyDescent="0.25">
      <c r="A3709">
        <v>1540045296</v>
      </c>
      <c r="B3709" t="s">
        <v>7302</v>
      </c>
      <c r="C3709" t="s">
        <v>19</v>
      </c>
      <c r="D3709" t="s">
        <v>201</v>
      </c>
      <c r="E3709" t="s">
        <v>21</v>
      </c>
      <c r="F3709" t="s">
        <v>22</v>
      </c>
      <c r="G3709" t="s">
        <v>33</v>
      </c>
      <c r="H3709" t="s">
        <v>491</v>
      </c>
      <c r="I3709" t="s">
        <v>7303</v>
      </c>
      <c r="J3709">
        <v>9.6604387000000003</v>
      </c>
      <c r="K3709">
        <v>-84.636105499999999</v>
      </c>
      <c r="L3709" t="s">
        <v>1225</v>
      </c>
      <c r="M3709" t="s">
        <v>204</v>
      </c>
      <c r="N3709" t="s">
        <v>205</v>
      </c>
      <c r="O3709" t="s">
        <v>206</v>
      </c>
      <c r="P3709">
        <v>5</v>
      </c>
      <c r="Q3709" t="s">
        <v>117</v>
      </c>
      <c r="S3709" t="str">
        <f>_xlfn.XLOOKUP(UNIVERSO[[#This Row],[Ruta]],'[1]CUOTA RUTA'!A:A,'[1]CUOTA RUTA'!D:D)</f>
        <v>Cargar</v>
      </c>
    </row>
    <row r="3710" spans="1:19" x14ac:dyDescent="0.25">
      <c r="A3710">
        <v>1540045310</v>
      </c>
      <c r="B3710" t="s">
        <v>7304</v>
      </c>
      <c r="C3710" t="s">
        <v>19</v>
      </c>
      <c r="D3710" t="s">
        <v>32</v>
      </c>
      <c r="E3710" t="s">
        <v>21</v>
      </c>
      <c r="F3710" t="s">
        <v>22</v>
      </c>
      <c r="G3710" t="s">
        <v>64</v>
      </c>
      <c r="H3710" t="s">
        <v>127</v>
      </c>
      <c r="I3710" t="s">
        <v>7305</v>
      </c>
      <c r="J3710">
        <v>9.789695</v>
      </c>
      <c r="K3710">
        <v>-84.096779999999995</v>
      </c>
      <c r="L3710" t="s">
        <v>1225</v>
      </c>
      <c r="M3710" t="s">
        <v>54</v>
      </c>
      <c r="N3710" t="s">
        <v>129</v>
      </c>
      <c r="O3710" t="s">
        <v>130</v>
      </c>
      <c r="P3710">
        <v>22</v>
      </c>
      <c r="Q3710" t="s">
        <v>30</v>
      </c>
      <c r="S3710" t="str">
        <f>_xlfn.XLOOKUP(UNIVERSO[[#This Row],[Ruta]],'[1]CUOTA RUTA'!A:A,'[1]CUOTA RUTA'!D:D)</f>
        <v>Cargar</v>
      </c>
    </row>
    <row r="3711" spans="1:19" x14ac:dyDescent="0.25">
      <c r="A3711">
        <v>1540045311</v>
      </c>
      <c r="B3711" t="s">
        <v>1906</v>
      </c>
      <c r="C3711" t="s">
        <v>19</v>
      </c>
      <c r="D3711" t="s">
        <v>32</v>
      </c>
      <c r="E3711" t="s">
        <v>21</v>
      </c>
      <c r="F3711" t="s">
        <v>22</v>
      </c>
      <c r="G3711" t="s">
        <v>64</v>
      </c>
      <c r="H3711" t="s">
        <v>82</v>
      </c>
      <c r="I3711" t="s">
        <v>7306</v>
      </c>
      <c r="J3711">
        <v>9.8974700000000002</v>
      </c>
      <c r="K3711">
        <v>-84.077183000000005</v>
      </c>
      <c r="L3711" t="s">
        <v>1225</v>
      </c>
      <c r="M3711" t="s">
        <v>71</v>
      </c>
      <c r="N3711" t="s">
        <v>72</v>
      </c>
      <c r="O3711" t="s">
        <v>73</v>
      </c>
      <c r="P3711">
        <v>6</v>
      </c>
      <c r="Q3711" t="s">
        <v>49</v>
      </c>
      <c r="S3711" t="str">
        <f>_xlfn.XLOOKUP(UNIVERSO[[#This Row],[Ruta]],'[1]CUOTA RUTA'!A:A,'[1]CUOTA RUTA'!D:D)</f>
        <v>Cargar</v>
      </c>
    </row>
    <row r="3712" spans="1:19" x14ac:dyDescent="0.25">
      <c r="A3712">
        <v>1540045400</v>
      </c>
      <c r="B3712" t="s">
        <v>7307</v>
      </c>
      <c r="C3712" t="s">
        <v>19</v>
      </c>
      <c r="D3712" t="s">
        <v>569</v>
      </c>
      <c r="E3712" t="s">
        <v>21</v>
      </c>
      <c r="F3712" t="s">
        <v>22</v>
      </c>
      <c r="G3712" t="s">
        <v>33</v>
      </c>
      <c r="H3712" t="s">
        <v>570</v>
      </c>
      <c r="I3712" t="s">
        <v>7308</v>
      </c>
      <c r="J3712">
        <v>8.6208089999999995</v>
      </c>
      <c r="K3712">
        <v>-83.149297000000004</v>
      </c>
      <c r="L3712" t="s">
        <v>1225</v>
      </c>
      <c r="M3712" t="s">
        <v>572</v>
      </c>
      <c r="N3712" t="s">
        <v>573</v>
      </c>
      <c r="O3712" t="s">
        <v>574</v>
      </c>
      <c r="P3712">
        <v>23</v>
      </c>
      <c r="Q3712" t="s">
        <v>125</v>
      </c>
      <c r="S3712" t="str">
        <f>_xlfn.XLOOKUP(UNIVERSO[[#This Row],[Ruta]],'[1]CUOTA RUTA'!A:A,'[1]CUOTA RUTA'!D:D)</f>
        <v>Cargar</v>
      </c>
    </row>
    <row r="3713" spans="1:19" x14ac:dyDescent="0.25">
      <c r="A3713">
        <v>1540045435</v>
      </c>
      <c r="B3713" t="s">
        <v>7309</v>
      </c>
      <c r="C3713" t="s">
        <v>19</v>
      </c>
      <c r="D3713" t="s">
        <v>20</v>
      </c>
      <c r="E3713" t="s">
        <v>21</v>
      </c>
      <c r="F3713" t="s">
        <v>22</v>
      </c>
      <c r="G3713" t="s">
        <v>64</v>
      </c>
      <c r="H3713" t="s">
        <v>901</v>
      </c>
      <c r="I3713" t="s">
        <v>7310</v>
      </c>
      <c r="J3713">
        <v>10.051152</v>
      </c>
      <c r="K3713">
        <v>-84.447573199999994</v>
      </c>
      <c r="L3713" t="s">
        <v>1225</v>
      </c>
      <c r="M3713" t="s">
        <v>46</v>
      </c>
      <c r="N3713" t="s">
        <v>47</v>
      </c>
      <c r="O3713" t="s">
        <v>48</v>
      </c>
      <c r="P3713">
        <v>8</v>
      </c>
      <c r="Q3713" t="s">
        <v>97</v>
      </c>
      <c r="S3713" t="str">
        <f>_xlfn.XLOOKUP(UNIVERSO[[#This Row],[Ruta]],'[1]CUOTA RUTA'!A:A,'[1]CUOTA RUTA'!D:D)</f>
        <v>Cargar</v>
      </c>
    </row>
    <row r="3714" spans="1:19" x14ac:dyDescent="0.25">
      <c r="A3714">
        <v>1540045474</v>
      </c>
      <c r="B3714" t="s">
        <v>7311</v>
      </c>
      <c r="C3714" t="s">
        <v>19</v>
      </c>
      <c r="D3714" t="s">
        <v>266</v>
      </c>
      <c r="E3714" t="s">
        <v>21</v>
      </c>
      <c r="F3714" t="s">
        <v>22</v>
      </c>
      <c r="G3714" t="s">
        <v>64</v>
      </c>
      <c r="H3714" t="s">
        <v>267</v>
      </c>
      <c r="I3714" t="s">
        <v>7312</v>
      </c>
      <c r="J3714">
        <v>9.9640769999999996</v>
      </c>
      <c r="K3714">
        <v>-83.676141799999996</v>
      </c>
      <c r="L3714" t="s">
        <v>1225</v>
      </c>
      <c r="M3714" t="s">
        <v>189</v>
      </c>
      <c r="N3714" t="s">
        <v>269</v>
      </c>
      <c r="O3714" t="s">
        <v>270</v>
      </c>
      <c r="P3714">
        <v>23</v>
      </c>
      <c r="Q3714" t="s">
        <v>125</v>
      </c>
      <c r="S3714" t="str">
        <f>_xlfn.XLOOKUP(UNIVERSO[[#This Row],[Ruta]],'[1]CUOTA RUTA'!A:A,'[1]CUOTA RUTA'!D:D)</f>
        <v>Cargar</v>
      </c>
    </row>
    <row r="3715" spans="1:19" x14ac:dyDescent="0.25">
      <c r="A3715">
        <v>1540045682</v>
      </c>
      <c r="B3715" t="s">
        <v>7313</v>
      </c>
      <c r="C3715" t="s">
        <v>19</v>
      </c>
      <c r="D3715" t="s">
        <v>20</v>
      </c>
      <c r="E3715" t="s">
        <v>21</v>
      </c>
      <c r="F3715" t="s">
        <v>22</v>
      </c>
      <c r="G3715" t="s">
        <v>64</v>
      </c>
      <c r="H3715" t="s">
        <v>44</v>
      </c>
      <c r="I3715" t="s">
        <v>7314</v>
      </c>
      <c r="J3715">
        <v>10.077349999999999</v>
      </c>
      <c r="K3715">
        <v>-84.410579999999996</v>
      </c>
      <c r="L3715" t="s">
        <v>1225</v>
      </c>
      <c r="M3715" t="s">
        <v>46</v>
      </c>
      <c r="N3715" t="s">
        <v>47</v>
      </c>
      <c r="O3715" t="s">
        <v>48</v>
      </c>
      <c r="P3715">
        <v>6</v>
      </c>
      <c r="Q3715" t="s">
        <v>49</v>
      </c>
      <c r="S3715" t="str">
        <f>_xlfn.XLOOKUP(UNIVERSO[[#This Row],[Ruta]],'[1]CUOTA RUTA'!A:A,'[1]CUOTA RUTA'!D:D)</f>
        <v>Cargar</v>
      </c>
    </row>
    <row r="3716" spans="1:19" x14ac:dyDescent="0.25">
      <c r="A3716">
        <v>1540045686</v>
      </c>
      <c r="B3716" t="s">
        <v>7315</v>
      </c>
      <c r="C3716" t="s">
        <v>19</v>
      </c>
      <c r="D3716" t="s">
        <v>20</v>
      </c>
      <c r="E3716" t="s">
        <v>21</v>
      </c>
      <c r="F3716" t="s">
        <v>22</v>
      </c>
      <c r="G3716" t="s">
        <v>33</v>
      </c>
      <c r="H3716" t="s">
        <v>1021</v>
      </c>
      <c r="I3716" t="s">
        <v>7316</v>
      </c>
      <c r="J3716">
        <v>10.028560000000001</v>
      </c>
      <c r="K3716">
        <v>-84.269752999999994</v>
      </c>
      <c r="L3716" t="s">
        <v>1225</v>
      </c>
      <c r="M3716" t="s">
        <v>46</v>
      </c>
      <c r="N3716" t="s">
        <v>47</v>
      </c>
      <c r="O3716" t="s">
        <v>48</v>
      </c>
      <c r="P3716">
        <v>3</v>
      </c>
      <c r="Q3716" t="s">
        <v>101</v>
      </c>
      <c r="S3716" t="str">
        <f>_xlfn.XLOOKUP(UNIVERSO[[#This Row],[Ruta]],'[1]CUOTA RUTA'!A:A,'[1]CUOTA RUTA'!D:D)</f>
        <v>Cargar</v>
      </c>
    </row>
    <row r="3717" spans="1:19" x14ac:dyDescent="0.25">
      <c r="A3717">
        <v>1540045687</v>
      </c>
      <c r="B3717" t="s">
        <v>7317</v>
      </c>
      <c r="C3717" t="s">
        <v>19</v>
      </c>
      <c r="D3717" t="s">
        <v>32</v>
      </c>
      <c r="E3717" t="s">
        <v>21</v>
      </c>
      <c r="F3717" t="s">
        <v>22</v>
      </c>
      <c r="G3717" t="s">
        <v>33</v>
      </c>
      <c r="H3717" t="s">
        <v>1383</v>
      </c>
      <c r="I3717" t="s">
        <v>7318</v>
      </c>
      <c r="J3717">
        <v>9.9172899999999995</v>
      </c>
      <c r="K3717">
        <v>-84.095333999999994</v>
      </c>
      <c r="L3717" t="s">
        <v>1225</v>
      </c>
      <c r="M3717" t="s">
        <v>71</v>
      </c>
      <c r="N3717" t="s">
        <v>72</v>
      </c>
      <c r="O3717" t="s">
        <v>73</v>
      </c>
      <c r="P3717">
        <v>3</v>
      </c>
      <c r="Q3717" t="s">
        <v>101</v>
      </c>
      <c r="S3717" t="str">
        <f>_xlfn.XLOOKUP(UNIVERSO[[#This Row],[Ruta]],'[1]CUOTA RUTA'!A:A,'[1]CUOTA RUTA'!D:D)</f>
        <v>Cargar</v>
      </c>
    </row>
    <row r="3718" spans="1:19" x14ac:dyDescent="0.25">
      <c r="A3718">
        <v>1540045723</v>
      </c>
      <c r="B3718" t="s">
        <v>7319</v>
      </c>
      <c r="C3718" t="s">
        <v>19</v>
      </c>
      <c r="D3718" t="s">
        <v>201</v>
      </c>
      <c r="E3718" t="s">
        <v>21</v>
      </c>
      <c r="F3718" t="s">
        <v>22</v>
      </c>
      <c r="G3718" t="s">
        <v>33</v>
      </c>
      <c r="H3718" t="s">
        <v>785</v>
      </c>
      <c r="I3718" t="s">
        <v>7320</v>
      </c>
      <c r="J3718">
        <v>10.0703976</v>
      </c>
      <c r="K3718">
        <v>-84.947370199999995</v>
      </c>
      <c r="L3718" t="s">
        <v>1225</v>
      </c>
      <c r="M3718" t="s">
        <v>204</v>
      </c>
      <c r="N3718" t="s">
        <v>205</v>
      </c>
      <c r="O3718" t="s">
        <v>206</v>
      </c>
      <c r="P3718">
        <v>12</v>
      </c>
      <c r="Q3718" t="s">
        <v>42</v>
      </c>
      <c r="S3718" t="str">
        <f>_xlfn.XLOOKUP(UNIVERSO[[#This Row],[Ruta]],'[1]CUOTA RUTA'!A:A,'[1]CUOTA RUTA'!D:D)</f>
        <v>Cargar</v>
      </c>
    </row>
    <row r="3719" spans="1:19" x14ac:dyDescent="0.25">
      <c r="A3719">
        <v>1540045746</v>
      </c>
      <c r="B3719" t="s">
        <v>7321</v>
      </c>
      <c r="C3719" t="s">
        <v>19</v>
      </c>
      <c r="D3719" t="s">
        <v>32</v>
      </c>
      <c r="E3719" t="s">
        <v>21</v>
      </c>
      <c r="F3719" t="s">
        <v>22</v>
      </c>
      <c r="G3719" t="s">
        <v>64</v>
      </c>
      <c r="H3719" t="s">
        <v>698</v>
      </c>
      <c r="I3719" t="s">
        <v>7322</v>
      </c>
      <c r="J3719">
        <v>9.9583180000000002</v>
      </c>
      <c r="K3719">
        <v>-84.030330000000006</v>
      </c>
      <c r="L3719" t="s">
        <v>1225</v>
      </c>
      <c r="M3719" t="s">
        <v>94</v>
      </c>
      <c r="N3719" t="s">
        <v>95</v>
      </c>
      <c r="O3719" t="s">
        <v>96</v>
      </c>
      <c r="P3719">
        <v>8</v>
      </c>
      <c r="Q3719" t="s">
        <v>97</v>
      </c>
      <c r="S3719" t="str">
        <f>_xlfn.XLOOKUP(UNIVERSO[[#This Row],[Ruta]],'[1]CUOTA RUTA'!A:A,'[1]CUOTA RUTA'!D:D)</f>
        <v>Cargar</v>
      </c>
    </row>
    <row r="3720" spans="1:19" x14ac:dyDescent="0.25">
      <c r="A3720">
        <v>1540045747</v>
      </c>
      <c r="B3720" t="s">
        <v>7323</v>
      </c>
      <c r="C3720" t="s">
        <v>19</v>
      </c>
      <c r="D3720" t="s">
        <v>266</v>
      </c>
      <c r="E3720" t="s">
        <v>21</v>
      </c>
      <c r="F3720" t="s">
        <v>22</v>
      </c>
      <c r="G3720" t="s">
        <v>64</v>
      </c>
      <c r="H3720" t="s">
        <v>372</v>
      </c>
      <c r="I3720" t="s">
        <v>7324</v>
      </c>
      <c r="J3720">
        <v>9.9595599999999997</v>
      </c>
      <c r="K3720">
        <v>-83.708600000000004</v>
      </c>
      <c r="L3720" t="s">
        <v>1225</v>
      </c>
      <c r="M3720" t="s">
        <v>189</v>
      </c>
      <c r="N3720" t="s">
        <v>269</v>
      </c>
      <c r="O3720" t="s">
        <v>270</v>
      </c>
      <c r="P3720">
        <v>23</v>
      </c>
      <c r="Q3720" t="s">
        <v>125</v>
      </c>
      <c r="S3720" t="str">
        <f>_xlfn.XLOOKUP(UNIVERSO[[#This Row],[Ruta]],'[1]CUOTA RUTA'!A:A,'[1]CUOTA RUTA'!D:D)</f>
        <v>Cargar</v>
      </c>
    </row>
    <row r="3721" spans="1:19" x14ac:dyDescent="0.25">
      <c r="A3721">
        <v>1540045788</v>
      </c>
      <c r="B3721" t="s">
        <v>7325</v>
      </c>
      <c r="C3721" t="s">
        <v>19</v>
      </c>
      <c r="D3721" t="s">
        <v>569</v>
      </c>
      <c r="E3721" t="s">
        <v>21</v>
      </c>
      <c r="F3721" t="s">
        <v>22</v>
      </c>
      <c r="G3721" t="s">
        <v>64</v>
      </c>
      <c r="H3721" t="s">
        <v>2023</v>
      </c>
      <c r="I3721" t="s">
        <v>7326</v>
      </c>
      <c r="J3721">
        <v>8.6447600999999992</v>
      </c>
      <c r="K3721">
        <v>-83.180590199999997</v>
      </c>
      <c r="L3721" t="s">
        <v>1225</v>
      </c>
      <c r="M3721" t="s">
        <v>572</v>
      </c>
      <c r="N3721" t="s">
        <v>573</v>
      </c>
      <c r="O3721" t="s">
        <v>574</v>
      </c>
      <c r="P3721">
        <v>22</v>
      </c>
      <c r="Q3721" t="s">
        <v>30</v>
      </c>
      <c r="S3721" t="str">
        <f>_xlfn.XLOOKUP(UNIVERSO[[#This Row],[Ruta]],'[1]CUOTA RUTA'!A:A,'[1]CUOTA RUTA'!D:D)</f>
        <v>Cargar</v>
      </c>
    </row>
    <row r="3722" spans="1:19" x14ac:dyDescent="0.25">
      <c r="A3722">
        <v>1540045808</v>
      </c>
      <c r="B3722" t="s">
        <v>7327</v>
      </c>
      <c r="C3722" t="s">
        <v>19</v>
      </c>
      <c r="D3722" t="s">
        <v>20</v>
      </c>
      <c r="E3722" t="s">
        <v>21</v>
      </c>
      <c r="F3722" t="s">
        <v>22</v>
      </c>
      <c r="G3722" t="s">
        <v>64</v>
      </c>
      <c r="H3722" t="s">
        <v>913</v>
      </c>
      <c r="I3722" t="s">
        <v>7328</v>
      </c>
      <c r="J3722">
        <v>9.9653899999999993</v>
      </c>
      <c r="K3722">
        <v>-84.120500000000007</v>
      </c>
      <c r="L3722" t="s">
        <v>1225</v>
      </c>
      <c r="M3722" t="s">
        <v>27</v>
      </c>
      <c r="N3722" t="s">
        <v>28</v>
      </c>
      <c r="O3722" t="s">
        <v>29</v>
      </c>
      <c r="P3722">
        <v>7</v>
      </c>
      <c r="Q3722" t="s">
        <v>39</v>
      </c>
      <c r="S3722" t="str">
        <f>_xlfn.XLOOKUP(UNIVERSO[[#This Row],[Ruta]],'[1]CUOTA RUTA'!A:A,'[1]CUOTA RUTA'!D:D)</f>
        <v>Cargar</v>
      </c>
    </row>
    <row r="3723" spans="1:19" x14ac:dyDescent="0.25">
      <c r="A3723">
        <v>1540045811</v>
      </c>
      <c r="B3723" t="s">
        <v>7329</v>
      </c>
      <c r="C3723" t="s">
        <v>19</v>
      </c>
      <c r="D3723" t="s">
        <v>20</v>
      </c>
      <c r="E3723" t="s">
        <v>21</v>
      </c>
      <c r="F3723" t="s">
        <v>22</v>
      </c>
      <c r="G3723" t="s">
        <v>64</v>
      </c>
      <c r="H3723" t="s">
        <v>44</v>
      </c>
      <c r="I3723" t="s">
        <v>7330</v>
      </c>
      <c r="J3723">
        <v>10.091570000000001</v>
      </c>
      <c r="K3723">
        <v>-84.418719999999993</v>
      </c>
      <c r="L3723" t="s">
        <v>1225</v>
      </c>
      <c r="M3723" t="s">
        <v>46</v>
      </c>
      <c r="N3723" t="s">
        <v>47</v>
      </c>
      <c r="O3723" t="s">
        <v>48</v>
      </c>
      <c r="P3723">
        <v>6</v>
      </c>
      <c r="Q3723" t="s">
        <v>49</v>
      </c>
      <c r="S3723" t="str">
        <f>_xlfn.XLOOKUP(UNIVERSO[[#This Row],[Ruta]],'[1]CUOTA RUTA'!A:A,'[1]CUOTA RUTA'!D:D)</f>
        <v>Cargar</v>
      </c>
    </row>
    <row r="3724" spans="1:19" x14ac:dyDescent="0.25">
      <c r="A3724">
        <v>1540045855</v>
      </c>
      <c r="B3724" t="s">
        <v>7331</v>
      </c>
      <c r="C3724" t="s">
        <v>19</v>
      </c>
      <c r="D3724" t="s">
        <v>186</v>
      </c>
      <c r="E3724" t="s">
        <v>21</v>
      </c>
      <c r="F3724" t="s">
        <v>22</v>
      </c>
      <c r="G3724" t="s">
        <v>33</v>
      </c>
      <c r="H3724" t="s">
        <v>237</v>
      </c>
      <c r="I3724" t="s">
        <v>7332</v>
      </c>
      <c r="J3724">
        <v>10.093062</v>
      </c>
      <c r="K3724">
        <v>-83.342247</v>
      </c>
      <c r="L3724" t="s">
        <v>1225</v>
      </c>
      <c r="M3724" t="s">
        <v>189</v>
      </c>
      <c r="N3724" t="s">
        <v>190</v>
      </c>
      <c r="O3724" t="s">
        <v>191</v>
      </c>
      <c r="P3724">
        <v>21</v>
      </c>
      <c r="Q3724" t="s">
        <v>239</v>
      </c>
      <c r="S3724" t="str">
        <f>_xlfn.XLOOKUP(UNIVERSO[[#This Row],[Ruta]],'[1]CUOTA RUTA'!A:A,'[1]CUOTA RUTA'!D:D)</f>
        <v>Cargar</v>
      </c>
    </row>
    <row r="3725" spans="1:19" x14ac:dyDescent="0.25">
      <c r="A3725">
        <v>1540045921</v>
      </c>
      <c r="B3725" t="s">
        <v>7333</v>
      </c>
      <c r="C3725" t="s">
        <v>19</v>
      </c>
      <c r="D3725" t="s">
        <v>20</v>
      </c>
      <c r="E3725" t="s">
        <v>21</v>
      </c>
      <c r="F3725" t="s">
        <v>22</v>
      </c>
      <c r="G3725" t="s">
        <v>64</v>
      </c>
      <c r="H3725" t="s">
        <v>263</v>
      </c>
      <c r="I3725" t="s">
        <v>7334</v>
      </c>
      <c r="J3725">
        <v>10.14009851</v>
      </c>
      <c r="K3725">
        <v>-84.318655190000001</v>
      </c>
      <c r="L3725" t="s">
        <v>1225</v>
      </c>
      <c r="M3725" t="s">
        <v>46</v>
      </c>
      <c r="N3725" t="s">
        <v>47</v>
      </c>
      <c r="O3725" t="s">
        <v>48</v>
      </c>
      <c r="P3725">
        <v>2</v>
      </c>
      <c r="Q3725" t="s">
        <v>150</v>
      </c>
      <c r="S3725" t="str">
        <f>_xlfn.XLOOKUP(UNIVERSO[[#This Row],[Ruta]],'[1]CUOTA RUTA'!A:A,'[1]CUOTA RUTA'!D:D)</f>
        <v>Cargar</v>
      </c>
    </row>
    <row r="3726" spans="1:19" x14ac:dyDescent="0.25">
      <c r="A3726">
        <v>1540046002</v>
      </c>
      <c r="B3726" t="s">
        <v>7335</v>
      </c>
      <c r="C3726" t="s">
        <v>19</v>
      </c>
      <c r="D3726" t="s">
        <v>201</v>
      </c>
      <c r="E3726" t="s">
        <v>21</v>
      </c>
      <c r="F3726" t="s">
        <v>51</v>
      </c>
      <c r="G3726" t="s">
        <v>23</v>
      </c>
      <c r="H3726" t="s">
        <v>383</v>
      </c>
      <c r="I3726" t="s">
        <v>7336</v>
      </c>
      <c r="J3726">
        <v>9.8845568999999998</v>
      </c>
      <c r="K3726">
        <v>-84.576173100000005</v>
      </c>
      <c r="L3726" t="s">
        <v>1225</v>
      </c>
      <c r="M3726" t="s">
        <v>204</v>
      </c>
      <c r="N3726" t="s">
        <v>205</v>
      </c>
      <c r="O3726" t="s">
        <v>206</v>
      </c>
      <c r="P3726">
        <v>3</v>
      </c>
      <c r="Q3726" t="s">
        <v>101</v>
      </c>
      <c r="S3726" t="str">
        <f>_xlfn.XLOOKUP(UNIVERSO[[#This Row],[Ruta]],'[1]CUOTA RUTA'!A:A,'[1]CUOTA RUTA'!D:D)</f>
        <v>Cargar</v>
      </c>
    </row>
    <row r="3727" spans="1:19" x14ac:dyDescent="0.25">
      <c r="A3727">
        <v>1540046032</v>
      </c>
      <c r="B3727" t="s">
        <v>7337</v>
      </c>
      <c r="C3727" t="s">
        <v>19</v>
      </c>
      <c r="D3727" t="s">
        <v>324</v>
      </c>
      <c r="E3727" t="s">
        <v>21</v>
      </c>
      <c r="F3727" t="s">
        <v>22</v>
      </c>
      <c r="G3727" t="s">
        <v>33</v>
      </c>
      <c r="H3727" t="s">
        <v>511</v>
      </c>
      <c r="I3727" t="s">
        <v>7338</v>
      </c>
      <c r="J3727">
        <v>10.5163212</v>
      </c>
      <c r="K3727">
        <v>-84.589526300000003</v>
      </c>
      <c r="L3727" t="s">
        <v>1225</v>
      </c>
      <c r="M3727" t="s">
        <v>327</v>
      </c>
      <c r="N3727" t="s">
        <v>328</v>
      </c>
      <c r="O3727" t="s">
        <v>329</v>
      </c>
      <c r="P3727">
        <v>20</v>
      </c>
      <c r="Q3727" t="s">
        <v>74</v>
      </c>
      <c r="S3727" t="str">
        <f>_xlfn.XLOOKUP(UNIVERSO[[#This Row],[Ruta]],'[1]CUOTA RUTA'!A:A,'[1]CUOTA RUTA'!D:D)</f>
        <v>Cargar</v>
      </c>
    </row>
    <row r="3728" spans="1:19" x14ac:dyDescent="0.25">
      <c r="A3728">
        <v>1540046033</v>
      </c>
      <c r="B3728" t="s">
        <v>2687</v>
      </c>
      <c r="C3728" t="s">
        <v>19</v>
      </c>
      <c r="D3728" t="s">
        <v>20</v>
      </c>
      <c r="E3728" t="s">
        <v>21</v>
      </c>
      <c r="F3728" t="s">
        <v>22</v>
      </c>
      <c r="G3728" t="s">
        <v>64</v>
      </c>
      <c r="H3728" t="s">
        <v>674</v>
      </c>
      <c r="I3728" t="s">
        <v>7339</v>
      </c>
      <c r="J3728">
        <v>10.177633061922</v>
      </c>
      <c r="K3728">
        <v>-84.42471113901</v>
      </c>
      <c r="L3728" t="s">
        <v>1225</v>
      </c>
      <c r="M3728" t="s">
        <v>46</v>
      </c>
      <c r="N3728" t="s">
        <v>47</v>
      </c>
      <c r="O3728" t="s">
        <v>48</v>
      </c>
      <c r="P3728">
        <v>1</v>
      </c>
      <c r="Q3728" t="s">
        <v>155</v>
      </c>
      <c r="S3728" t="str">
        <f>_xlfn.XLOOKUP(UNIVERSO[[#This Row],[Ruta]],'[1]CUOTA RUTA'!A:A,'[1]CUOTA RUTA'!D:D)</f>
        <v>Cargar</v>
      </c>
    </row>
    <row r="3729" spans="1:19" x14ac:dyDescent="0.25">
      <c r="A3729">
        <v>1540046079</v>
      </c>
      <c r="B3729" t="s">
        <v>7340</v>
      </c>
      <c r="C3729" t="s">
        <v>19</v>
      </c>
      <c r="D3729" t="s">
        <v>324</v>
      </c>
      <c r="E3729" t="s">
        <v>21</v>
      </c>
      <c r="F3729" t="s">
        <v>22</v>
      </c>
      <c r="G3729" t="s">
        <v>64</v>
      </c>
      <c r="H3729" t="s">
        <v>511</v>
      </c>
      <c r="I3729" t="s">
        <v>7341</v>
      </c>
      <c r="J3729">
        <v>10.441440999999999</v>
      </c>
      <c r="K3729">
        <v>-84.562675999999996</v>
      </c>
      <c r="L3729" t="s">
        <v>1225</v>
      </c>
      <c r="M3729" t="s">
        <v>327</v>
      </c>
      <c r="N3729" t="s">
        <v>328</v>
      </c>
      <c r="O3729" t="s">
        <v>329</v>
      </c>
      <c r="P3729">
        <v>12</v>
      </c>
      <c r="Q3729" t="s">
        <v>42</v>
      </c>
      <c r="S3729" t="str">
        <f>_xlfn.XLOOKUP(UNIVERSO[[#This Row],[Ruta]],'[1]CUOTA RUTA'!A:A,'[1]CUOTA RUTA'!D:D)</f>
        <v>Cargar</v>
      </c>
    </row>
    <row r="3730" spans="1:19" x14ac:dyDescent="0.25">
      <c r="A3730">
        <v>1540046087</v>
      </c>
      <c r="B3730" t="s">
        <v>7342</v>
      </c>
      <c r="C3730" t="s">
        <v>19</v>
      </c>
      <c r="D3730" t="s">
        <v>32</v>
      </c>
      <c r="E3730" t="s">
        <v>21</v>
      </c>
      <c r="F3730" t="s">
        <v>22</v>
      </c>
      <c r="G3730" t="s">
        <v>33</v>
      </c>
      <c r="H3730" t="s">
        <v>716</v>
      </c>
      <c r="I3730" t="s">
        <v>7343</v>
      </c>
      <c r="J3730">
        <v>9.9121900000000007</v>
      </c>
      <c r="K3730">
        <v>-84.037899999999993</v>
      </c>
      <c r="L3730" t="s">
        <v>1225</v>
      </c>
      <c r="M3730" t="s">
        <v>36</v>
      </c>
      <c r="N3730" t="s">
        <v>37</v>
      </c>
      <c r="O3730" t="s">
        <v>38</v>
      </c>
      <c r="P3730">
        <v>10</v>
      </c>
      <c r="Q3730" t="s">
        <v>136</v>
      </c>
      <c r="S3730" t="str">
        <f>_xlfn.XLOOKUP(UNIVERSO[[#This Row],[Ruta]],'[1]CUOTA RUTA'!A:A,'[1]CUOTA RUTA'!D:D)</f>
        <v>Cargar</v>
      </c>
    </row>
    <row r="3731" spans="1:19" x14ac:dyDescent="0.25">
      <c r="A3731">
        <v>1540046147</v>
      </c>
      <c r="B3731" t="s">
        <v>7344</v>
      </c>
      <c r="C3731" t="s">
        <v>19</v>
      </c>
      <c r="D3731" t="s">
        <v>20</v>
      </c>
      <c r="E3731" t="s">
        <v>21</v>
      </c>
      <c r="F3731" t="s">
        <v>22</v>
      </c>
      <c r="G3731" t="s">
        <v>33</v>
      </c>
      <c r="H3731" t="s">
        <v>263</v>
      </c>
      <c r="I3731" t="s">
        <v>7345</v>
      </c>
      <c r="J3731">
        <v>10.08329</v>
      </c>
      <c r="K3731">
        <v>-84.340559999999996</v>
      </c>
      <c r="L3731" t="s">
        <v>1225</v>
      </c>
      <c r="M3731" t="s">
        <v>46</v>
      </c>
      <c r="N3731" t="s">
        <v>47</v>
      </c>
      <c r="O3731" t="s">
        <v>48</v>
      </c>
      <c r="P3731">
        <v>5</v>
      </c>
      <c r="Q3731" t="s">
        <v>117</v>
      </c>
      <c r="S3731" t="str">
        <f>_xlfn.XLOOKUP(UNIVERSO[[#This Row],[Ruta]],'[1]CUOTA RUTA'!A:A,'[1]CUOTA RUTA'!D:D)</f>
        <v>Cargar</v>
      </c>
    </row>
    <row r="3732" spans="1:19" x14ac:dyDescent="0.25">
      <c r="A3732">
        <v>1540046149</v>
      </c>
      <c r="B3732" t="s">
        <v>7346</v>
      </c>
      <c r="C3732" t="s">
        <v>19</v>
      </c>
      <c r="D3732" t="s">
        <v>32</v>
      </c>
      <c r="E3732" t="s">
        <v>21</v>
      </c>
      <c r="F3732" t="s">
        <v>22</v>
      </c>
      <c r="G3732" t="s">
        <v>23</v>
      </c>
      <c r="H3732" t="s">
        <v>92</v>
      </c>
      <c r="I3732" t="s">
        <v>7347</v>
      </c>
      <c r="J3732">
        <v>9.9761170000000003</v>
      </c>
      <c r="K3732">
        <v>-84.066410000000005</v>
      </c>
      <c r="L3732" t="s">
        <v>1225</v>
      </c>
      <c r="M3732" t="s">
        <v>94</v>
      </c>
      <c r="N3732" t="s">
        <v>95</v>
      </c>
      <c r="O3732" t="s">
        <v>96</v>
      </c>
      <c r="P3732">
        <v>10</v>
      </c>
      <c r="Q3732" t="s">
        <v>136</v>
      </c>
      <c r="S3732" t="str">
        <f>_xlfn.XLOOKUP(UNIVERSO[[#This Row],[Ruta]],'[1]CUOTA RUTA'!A:A,'[1]CUOTA RUTA'!D:D)</f>
        <v>Cargar</v>
      </c>
    </row>
    <row r="3733" spans="1:19" x14ac:dyDescent="0.25">
      <c r="A3733">
        <v>1540046177</v>
      </c>
      <c r="B3733" t="s">
        <v>7348</v>
      </c>
      <c r="C3733" t="s">
        <v>19</v>
      </c>
      <c r="D3733" t="s">
        <v>266</v>
      </c>
      <c r="E3733" t="s">
        <v>21</v>
      </c>
      <c r="F3733" t="s">
        <v>22</v>
      </c>
      <c r="G3733" t="s">
        <v>33</v>
      </c>
      <c r="H3733" t="s">
        <v>314</v>
      </c>
      <c r="I3733" t="s">
        <v>7349</v>
      </c>
      <c r="J3733">
        <v>9.8729116666669992</v>
      </c>
      <c r="K3733">
        <v>-83.904173333329993</v>
      </c>
      <c r="L3733" t="s">
        <v>1225</v>
      </c>
      <c r="M3733" t="s">
        <v>36</v>
      </c>
      <c r="N3733" t="s">
        <v>316</v>
      </c>
      <c r="O3733" t="s">
        <v>317</v>
      </c>
      <c r="P3733">
        <v>16</v>
      </c>
      <c r="Q3733" t="s">
        <v>60</v>
      </c>
      <c r="S3733" t="str">
        <f>_xlfn.XLOOKUP(UNIVERSO[[#This Row],[Ruta]],'[1]CUOTA RUTA'!A:A,'[1]CUOTA RUTA'!D:D)</f>
        <v>Cargar</v>
      </c>
    </row>
    <row r="3734" spans="1:19" x14ac:dyDescent="0.25">
      <c r="A3734">
        <v>1540046223</v>
      </c>
      <c r="B3734" t="s">
        <v>7350</v>
      </c>
      <c r="C3734" t="s">
        <v>19</v>
      </c>
      <c r="D3734" t="s">
        <v>244</v>
      </c>
      <c r="E3734" t="s">
        <v>21</v>
      </c>
      <c r="F3734" t="s">
        <v>22</v>
      </c>
      <c r="G3734" t="s">
        <v>23</v>
      </c>
      <c r="H3734" t="s">
        <v>819</v>
      </c>
      <c r="I3734" t="s">
        <v>7351</v>
      </c>
      <c r="J3734">
        <v>9.5213339999999995</v>
      </c>
      <c r="K3734">
        <v>-84.332694000000004</v>
      </c>
      <c r="L3734" t="s">
        <v>1225</v>
      </c>
      <c r="M3734" t="s">
        <v>46</v>
      </c>
      <c r="N3734" t="s">
        <v>247</v>
      </c>
      <c r="O3734" t="s">
        <v>248</v>
      </c>
      <c r="P3734">
        <v>22</v>
      </c>
      <c r="Q3734" t="s">
        <v>30</v>
      </c>
      <c r="S3734" t="str">
        <f>_xlfn.XLOOKUP(UNIVERSO[[#This Row],[Ruta]],'[1]CUOTA RUTA'!A:A,'[1]CUOTA RUTA'!D:D)</f>
        <v>Cargar</v>
      </c>
    </row>
    <row r="3735" spans="1:19" x14ac:dyDescent="0.25">
      <c r="A3735">
        <v>1540046281</v>
      </c>
      <c r="B3735" t="s">
        <v>7352</v>
      </c>
      <c r="C3735" t="s">
        <v>19</v>
      </c>
      <c r="D3735" t="s">
        <v>20</v>
      </c>
      <c r="E3735" t="s">
        <v>21</v>
      </c>
      <c r="F3735" t="s">
        <v>22</v>
      </c>
      <c r="G3735" t="s">
        <v>33</v>
      </c>
      <c r="H3735" t="s">
        <v>369</v>
      </c>
      <c r="I3735" t="s">
        <v>7353</v>
      </c>
      <c r="J3735">
        <v>10.028253400000001</v>
      </c>
      <c r="K3735">
        <v>-84.124601530000007</v>
      </c>
      <c r="L3735" t="s">
        <v>1225</v>
      </c>
      <c r="M3735" t="s">
        <v>27</v>
      </c>
      <c r="N3735" t="s">
        <v>28</v>
      </c>
      <c r="O3735" t="s">
        <v>29</v>
      </c>
      <c r="P3735">
        <v>21</v>
      </c>
      <c r="Q3735" t="s">
        <v>239</v>
      </c>
      <c r="S3735" t="str">
        <f>_xlfn.XLOOKUP(UNIVERSO[[#This Row],[Ruta]],'[1]CUOTA RUTA'!A:A,'[1]CUOTA RUTA'!D:D)</f>
        <v>Cargar</v>
      </c>
    </row>
    <row r="3736" spans="1:19" x14ac:dyDescent="0.25">
      <c r="A3736">
        <v>1540046329</v>
      </c>
      <c r="B3736" t="s">
        <v>7354</v>
      </c>
      <c r="C3736" t="s">
        <v>19</v>
      </c>
      <c r="D3736" t="s">
        <v>208</v>
      </c>
      <c r="E3736" t="s">
        <v>21</v>
      </c>
      <c r="F3736" t="s">
        <v>22</v>
      </c>
      <c r="G3736" t="s">
        <v>33</v>
      </c>
      <c r="H3736" t="s">
        <v>719</v>
      </c>
      <c r="I3736" t="s">
        <v>7355</v>
      </c>
      <c r="J3736">
        <v>10.36506647</v>
      </c>
      <c r="K3736">
        <v>-83.732213060000007</v>
      </c>
      <c r="L3736" t="s">
        <v>1225</v>
      </c>
      <c r="M3736" t="s">
        <v>189</v>
      </c>
      <c r="N3736" t="s">
        <v>211</v>
      </c>
      <c r="O3736" t="s">
        <v>212</v>
      </c>
      <c r="P3736">
        <v>1</v>
      </c>
      <c r="Q3736" t="s">
        <v>155</v>
      </c>
      <c r="S3736" t="str">
        <f>_xlfn.XLOOKUP(UNIVERSO[[#This Row],[Ruta]],'[1]CUOTA RUTA'!A:A,'[1]CUOTA RUTA'!D:D)</f>
        <v>Cargar</v>
      </c>
    </row>
    <row r="3737" spans="1:19" x14ac:dyDescent="0.25">
      <c r="A3737">
        <v>1540046342</v>
      </c>
      <c r="B3737" t="s">
        <v>7356</v>
      </c>
      <c r="C3737" t="s">
        <v>19</v>
      </c>
      <c r="D3737" t="s">
        <v>244</v>
      </c>
      <c r="E3737" t="s">
        <v>21</v>
      </c>
      <c r="F3737" t="s">
        <v>22</v>
      </c>
      <c r="G3737" t="s">
        <v>33</v>
      </c>
      <c r="H3737" t="s">
        <v>1294</v>
      </c>
      <c r="I3737" t="s">
        <v>7357</v>
      </c>
      <c r="J3737">
        <v>9.1662224999999999</v>
      </c>
      <c r="K3737">
        <v>-83.405033799999998</v>
      </c>
      <c r="L3737" t="s">
        <v>1225</v>
      </c>
      <c r="M3737" t="s">
        <v>46</v>
      </c>
      <c r="N3737" t="s">
        <v>247</v>
      </c>
      <c r="O3737" t="s">
        <v>248</v>
      </c>
      <c r="P3737">
        <v>12</v>
      </c>
      <c r="Q3737" t="s">
        <v>42</v>
      </c>
      <c r="S3737" t="str">
        <f>_xlfn.XLOOKUP(UNIVERSO[[#This Row],[Ruta]],'[1]CUOTA RUTA'!A:A,'[1]CUOTA RUTA'!D:D)</f>
        <v>Cargar</v>
      </c>
    </row>
    <row r="3738" spans="1:19" x14ac:dyDescent="0.25">
      <c r="A3738">
        <v>1540046384</v>
      </c>
      <c r="B3738" t="s">
        <v>7358</v>
      </c>
      <c r="C3738" t="s">
        <v>19</v>
      </c>
      <c r="D3738" t="s">
        <v>32</v>
      </c>
      <c r="E3738" t="s">
        <v>21</v>
      </c>
      <c r="F3738" t="s">
        <v>22</v>
      </c>
      <c r="G3738" t="s">
        <v>23</v>
      </c>
      <c r="H3738" t="s">
        <v>138</v>
      </c>
      <c r="I3738" t="s">
        <v>7359</v>
      </c>
      <c r="J3738">
        <v>9.9514220000000009</v>
      </c>
      <c r="K3738">
        <v>-84.043817000000004</v>
      </c>
      <c r="L3738" t="s">
        <v>1225</v>
      </c>
      <c r="M3738" t="s">
        <v>36</v>
      </c>
      <c r="N3738" t="s">
        <v>37</v>
      </c>
      <c r="O3738" t="s">
        <v>38</v>
      </c>
      <c r="P3738">
        <v>22</v>
      </c>
      <c r="Q3738" t="s">
        <v>30</v>
      </c>
      <c r="S3738" t="str">
        <f>_xlfn.XLOOKUP(UNIVERSO[[#This Row],[Ruta]],'[1]CUOTA RUTA'!A:A,'[1]CUOTA RUTA'!D:D)</f>
        <v>Cargar</v>
      </c>
    </row>
    <row r="3739" spans="1:19" x14ac:dyDescent="0.25">
      <c r="A3739">
        <v>1540046430</v>
      </c>
      <c r="B3739" t="s">
        <v>7360</v>
      </c>
      <c r="C3739" t="s">
        <v>19</v>
      </c>
      <c r="D3739" t="s">
        <v>349</v>
      </c>
      <c r="E3739" t="s">
        <v>21</v>
      </c>
      <c r="F3739" t="s">
        <v>22</v>
      </c>
      <c r="G3739" t="s">
        <v>33</v>
      </c>
      <c r="H3739" t="s">
        <v>711</v>
      </c>
      <c r="I3739" t="s">
        <v>7361</v>
      </c>
      <c r="J3739">
        <v>10.219982999999999</v>
      </c>
      <c r="K3739">
        <v>-85.378973000000002</v>
      </c>
      <c r="L3739" t="s">
        <v>1225</v>
      </c>
      <c r="M3739" t="s">
        <v>352</v>
      </c>
      <c r="N3739" t="s">
        <v>353</v>
      </c>
      <c r="O3739" t="s">
        <v>354</v>
      </c>
      <c r="P3739">
        <v>16</v>
      </c>
      <c r="Q3739" t="s">
        <v>60</v>
      </c>
      <c r="S3739" t="str">
        <f>_xlfn.XLOOKUP(UNIVERSO[[#This Row],[Ruta]],'[1]CUOTA RUTA'!A:A,'[1]CUOTA RUTA'!D:D)</f>
        <v>Cargar</v>
      </c>
    </row>
    <row r="3740" spans="1:19" x14ac:dyDescent="0.25">
      <c r="A3740">
        <v>1540046432</v>
      </c>
      <c r="B3740" t="s">
        <v>7362</v>
      </c>
      <c r="C3740" t="s">
        <v>19</v>
      </c>
      <c r="D3740" t="s">
        <v>20</v>
      </c>
      <c r="E3740" t="s">
        <v>62</v>
      </c>
      <c r="F3740" t="s">
        <v>63</v>
      </c>
      <c r="G3740" t="s">
        <v>64</v>
      </c>
      <c r="H3740" t="s">
        <v>1506</v>
      </c>
      <c r="I3740" t="s">
        <v>7363</v>
      </c>
      <c r="J3740">
        <v>9.9783349999999995</v>
      </c>
      <c r="K3740">
        <v>-84.151011999999994</v>
      </c>
      <c r="L3740" t="s">
        <v>1225</v>
      </c>
      <c r="M3740" t="s">
        <v>27</v>
      </c>
      <c r="N3740" t="s">
        <v>28</v>
      </c>
      <c r="O3740" t="s">
        <v>29</v>
      </c>
      <c r="P3740">
        <v>2</v>
      </c>
      <c r="Q3740" t="s">
        <v>150</v>
      </c>
      <c r="S3740" t="str">
        <f>_xlfn.XLOOKUP(UNIVERSO[[#This Row],[Ruta]],'[1]CUOTA RUTA'!A:A,'[1]CUOTA RUTA'!D:D)</f>
        <v>Cargar</v>
      </c>
    </row>
    <row r="3741" spans="1:19" x14ac:dyDescent="0.25">
      <c r="A3741">
        <v>1540046463</v>
      </c>
      <c r="B3741" t="s">
        <v>7364</v>
      </c>
      <c r="C3741" t="s">
        <v>19</v>
      </c>
      <c r="D3741" t="s">
        <v>244</v>
      </c>
      <c r="E3741" t="s">
        <v>21</v>
      </c>
      <c r="F3741" t="s">
        <v>22</v>
      </c>
      <c r="G3741" t="s">
        <v>23</v>
      </c>
      <c r="H3741" t="s">
        <v>819</v>
      </c>
      <c r="I3741" t="s">
        <v>7365</v>
      </c>
      <c r="J3741">
        <v>9.5209879999999991</v>
      </c>
      <c r="K3741">
        <v>-84.333560000000006</v>
      </c>
      <c r="L3741" t="s">
        <v>1225</v>
      </c>
      <c r="M3741" t="s">
        <v>46</v>
      </c>
      <c r="N3741" t="s">
        <v>247</v>
      </c>
      <c r="O3741" t="s">
        <v>248</v>
      </c>
      <c r="P3741">
        <v>22</v>
      </c>
      <c r="Q3741" t="s">
        <v>30</v>
      </c>
      <c r="S3741" t="str">
        <f>_xlfn.XLOOKUP(UNIVERSO[[#This Row],[Ruta]],'[1]CUOTA RUTA'!A:A,'[1]CUOTA RUTA'!D:D)</f>
        <v>Cargar</v>
      </c>
    </row>
    <row r="3742" spans="1:19" x14ac:dyDescent="0.25">
      <c r="A3742">
        <v>1540046464</v>
      </c>
      <c r="B3742" t="s">
        <v>7366</v>
      </c>
      <c r="C3742" t="s">
        <v>19</v>
      </c>
      <c r="D3742" t="s">
        <v>349</v>
      </c>
      <c r="E3742" t="s">
        <v>62</v>
      </c>
      <c r="F3742" t="s">
        <v>63</v>
      </c>
      <c r="G3742" t="s">
        <v>64</v>
      </c>
      <c r="H3742" t="s">
        <v>496</v>
      </c>
      <c r="I3742" t="s">
        <v>7367</v>
      </c>
      <c r="J3742">
        <v>10.149627000000001</v>
      </c>
      <c r="K3742">
        <v>-85.453802999999994</v>
      </c>
      <c r="L3742" t="s">
        <v>1225</v>
      </c>
      <c r="M3742" t="s">
        <v>352</v>
      </c>
      <c r="N3742" t="s">
        <v>353</v>
      </c>
      <c r="O3742" t="s">
        <v>354</v>
      </c>
      <c r="P3742">
        <v>13</v>
      </c>
      <c r="Q3742" t="s">
        <v>161</v>
      </c>
      <c r="S3742" t="str">
        <f>_xlfn.XLOOKUP(UNIVERSO[[#This Row],[Ruta]],'[1]CUOTA RUTA'!A:A,'[1]CUOTA RUTA'!D:D)</f>
        <v>Cargar</v>
      </c>
    </row>
    <row r="3743" spans="1:19" x14ac:dyDescent="0.25">
      <c r="A3743">
        <v>1540046509</v>
      </c>
      <c r="B3743" t="s">
        <v>5831</v>
      </c>
      <c r="C3743" t="s">
        <v>19</v>
      </c>
      <c r="D3743" t="s">
        <v>20</v>
      </c>
      <c r="E3743" t="s">
        <v>21</v>
      </c>
      <c r="F3743" t="s">
        <v>22</v>
      </c>
      <c r="G3743" t="s">
        <v>33</v>
      </c>
      <c r="H3743" t="s">
        <v>458</v>
      </c>
      <c r="I3743" t="s">
        <v>7368</v>
      </c>
      <c r="J3743">
        <v>9.9583882999999993</v>
      </c>
      <c r="K3743">
        <v>-84.327203299999994</v>
      </c>
      <c r="L3743" t="s">
        <v>1225</v>
      </c>
      <c r="M3743" t="s">
        <v>54</v>
      </c>
      <c r="N3743" t="s">
        <v>55</v>
      </c>
      <c r="O3743" t="s">
        <v>56</v>
      </c>
      <c r="P3743">
        <v>20</v>
      </c>
      <c r="Q3743" t="s">
        <v>74</v>
      </c>
      <c r="S3743" t="str">
        <f>_xlfn.XLOOKUP(UNIVERSO[[#This Row],[Ruta]],'[1]CUOTA RUTA'!A:A,'[1]CUOTA RUTA'!D:D)</f>
        <v>Cargar</v>
      </c>
    </row>
    <row r="3744" spans="1:19" x14ac:dyDescent="0.25">
      <c r="A3744">
        <v>1540046548</v>
      </c>
      <c r="B3744" t="s">
        <v>7369</v>
      </c>
      <c r="C3744" t="s">
        <v>19</v>
      </c>
      <c r="D3744" t="s">
        <v>32</v>
      </c>
      <c r="E3744" t="s">
        <v>21</v>
      </c>
      <c r="F3744" t="s">
        <v>22</v>
      </c>
      <c r="G3744" t="s">
        <v>33</v>
      </c>
      <c r="H3744" t="s">
        <v>183</v>
      </c>
      <c r="I3744" t="s">
        <v>7370</v>
      </c>
      <c r="J3744">
        <v>9.9557110000000009</v>
      </c>
      <c r="K3744">
        <v>-84.070459999999997</v>
      </c>
      <c r="L3744" t="s">
        <v>1225</v>
      </c>
      <c r="M3744" t="s">
        <v>36</v>
      </c>
      <c r="N3744" t="s">
        <v>37</v>
      </c>
      <c r="O3744" t="s">
        <v>38</v>
      </c>
      <c r="P3744">
        <v>3</v>
      </c>
      <c r="Q3744" t="s">
        <v>101</v>
      </c>
      <c r="S3744" t="str">
        <f>_xlfn.XLOOKUP(UNIVERSO[[#This Row],[Ruta]],'[1]CUOTA RUTA'!A:A,'[1]CUOTA RUTA'!D:D)</f>
        <v>Cargar</v>
      </c>
    </row>
    <row r="3745" spans="1:19" x14ac:dyDescent="0.25">
      <c r="A3745">
        <v>1540046554</v>
      </c>
      <c r="B3745" t="s">
        <v>7371</v>
      </c>
      <c r="C3745" t="s">
        <v>19</v>
      </c>
      <c r="D3745" t="s">
        <v>266</v>
      </c>
      <c r="E3745" t="s">
        <v>21</v>
      </c>
      <c r="F3745" t="s">
        <v>22</v>
      </c>
      <c r="G3745" t="s">
        <v>64</v>
      </c>
      <c r="H3745" t="s">
        <v>1011</v>
      </c>
      <c r="I3745" t="s">
        <v>7372</v>
      </c>
      <c r="J3745">
        <v>9.9132616666669993</v>
      </c>
      <c r="K3745">
        <v>-83.888373333329994</v>
      </c>
      <c r="L3745" t="s">
        <v>1225</v>
      </c>
      <c r="M3745" t="s">
        <v>54</v>
      </c>
      <c r="N3745" t="s">
        <v>274</v>
      </c>
      <c r="O3745" t="s">
        <v>275</v>
      </c>
      <c r="P3745">
        <v>20</v>
      </c>
      <c r="Q3745" t="s">
        <v>74</v>
      </c>
      <c r="S3745" t="str">
        <f>_xlfn.XLOOKUP(UNIVERSO[[#This Row],[Ruta]],'[1]CUOTA RUTA'!A:A,'[1]CUOTA RUTA'!D:D)</f>
        <v>Cargar</v>
      </c>
    </row>
    <row r="3746" spans="1:19" x14ac:dyDescent="0.25">
      <c r="A3746">
        <v>1540046578</v>
      </c>
      <c r="B3746" t="s">
        <v>7373</v>
      </c>
      <c r="C3746" t="s">
        <v>19</v>
      </c>
      <c r="D3746" t="s">
        <v>324</v>
      </c>
      <c r="E3746" t="s">
        <v>21</v>
      </c>
      <c r="F3746" t="s">
        <v>22</v>
      </c>
      <c r="G3746" t="s">
        <v>33</v>
      </c>
      <c r="H3746" t="s">
        <v>511</v>
      </c>
      <c r="I3746" t="s">
        <v>7374</v>
      </c>
      <c r="J3746">
        <v>10.444982</v>
      </c>
      <c r="K3746">
        <v>-84.575018</v>
      </c>
      <c r="L3746" t="s">
        <v>1225</v>
      </c>
      <c r="M3746" t="s">
        <v>327</v>
      </c>
      <c r="N3746" t="s">
        <v>328</v>
      </c>
      <c r="O3746" t="s">
        <v>329</v>
      </c>
      <c r="P3746">
        <v>12</v>
      </c>
      <c r="Q3746" t="s">
        <v>42</v>
      </c>
      <c r="S3746" t="str">
        <f>_xlfn.XLOOKUP(UNIVERSO[[#This Row],[Ruta]],'[1]CUOTA RUTA'!A:A,'[1]CUOTA RUTA'!D:D)</f>
        <v>Cargar</v>
      </c>
    </row>
    <row r="3747" spans="1:19" x14ac:dyDescent="0.25">
      <c r="A3747">
        <v>1540046588</v>
      </c>
      <c r="B3747" t="s">
        <v>7375</v>
      </c>
      <c r="C3747" t="s">
        <v>19</v>
      </c>
      <c r="D3747" t="s">
        <v>201</v>
      </c>
      <c r="E3747" t="s">
        <v>21</v>
      </c>
      <c r="F3747" t="s">
        <v>22</v>
      </c>
      <c r="G3747" t="s">
        <v>64</v>
      </c>
      <c r="H3747" t="s">
        <v>334</v>
      </c>
      <c r="I3747" t="s">
        <v>7376</v>
      </c>
      <c r="J3747">
        <v>9.9933996</v>
      </c>
      <c r="K3747">
        <v>-84.659946700000006</v>
      </c>
      <c r="L3747" t="s">
        <v>1225</v>
      </c>
      <c r="M3747" t="s">
        <v>204</v>
      </c>
      <c r="N3747" t="s">
        <v>205</v>
      </c>
      <c r="O3747" t="s">
        <v>206</v>
      </c>
      <c r="P3747">
        <v>14</v>
      </c>
      <c r="Q3747" t="s">
        <v>181</v>
      </c>
      <c r="S3747" t="str">
        <f>_xlfn.XLOOKUP(UNIVERSO[[#This Row],[Ruta]],'[1]CUOTA RUTA'!A:A,'[1]CUOTA RUTA'!D:D)</f>
        <v>Cargar</v>
      </c>
    </row>
    <row r="3748" spans="1:19" x14ac:dyDescent="0.25">
      <c r="A3748">
        <v>1540046590</v>
      </c>
      <c r="B3748" t="s">
        <v>7377</v>
      </c>
      <c r="C3748" t="s">
        <v>19</v>
      </c>
      <c r="D3748" t="s">
        <v>208</v>
      </c>
      <c r="E3748" t="s">
        <v>21</v>
      </c>
      <c r="F3748" t="s">
        <v>22</v>
      </c>
      <c r="G3748" t="s">
        <v>64</v>
      </c>
      <c r="H3748" t="s">
        <v>221</v>
      </c>
      <c r="I3748" t="s">
        <v>7378</v>
      </c>
      <c r="J3748">
        <v>10.44727</v>
      </c>
      <c r="K3748">
        <v>-84.033799999999999</v>
      </c>
      <c r="L3748" t="s">
        <v>1225</v>
      </c>
      <c r="M3748" t="s">
        <v>189</v>
      </c>
      <c r="N3748" t="s">
        <v>211</v>
      </c>
      <c r="O3748" t="s">
        <v>212</v>
      </c>
      <c r="P3748">
        <v>10</v>
      </c>
      <c r="Q3748" t="s">
        <v>136</v>
      </c>
      <c r="S3748" t="str">
        <f>_xlfn.XLOOKUP(UNIVERSO[[#This Row],[Ruta]],'[1]CUOTA RUTA'!A:A,'[1]CUOTA RUTA'!D:D)</f>
        <v>Cargar</v>
      </c>
    </row>
    <row r="3749" spans="1:19" x14ac:dyDescent="0.25">
      <c r="A3749">
        <v>1540046593</v>
      </c>
      <c r="B3749" t="s">
        <v>7379</v>
      </c>
      <c r="C3749" t="s">
        <v>19</v>
      </c>
      <c r="D3749" t="s">
        <v>349</v>
      </c>
      <c r="E3749" t="s">
        <v>21</v>
      </c>
      <c r="F3749" t="s">
        <v>22</v>
      </c>
      <c r="G3749" t="s">
        <v>23</v>
      </c>
      <c r="H3749" t="s">
        <v>496</v>
      </c>
      <c r="I3749" t="s">
        <v>7380</v>
      </c>
      <c r="J3749">
        <v>10.274241999999999</v>
      </c>
      <c r="K3749">
        <v>-85.584588999999994</v>
      </c>
      <c r="L3749" t="s">
        <v>1225</v>
      </c>
      <c r="M3749" t="s">
        <v>352</v>
      </c>
      <c r="N3749" t="s">
        <v>353</v>
      </c>
      <c r="O3749" t="s">
        <v>354</v>
      </c>
      <c r="P3749">
        <v>2</v>
      </c>
      <c r="Q3749" t="s">
        <v>150</v>
      </c>
      <c r="S3749" t="str">
        <f>_xlfn.XLOOKUP(UNIVERSO[[#This Row],[Ruta]],'[1]CUOTA RUTA'!A:A,'[1]CUOTA RUTA'!D:D)</f>
        <v>Cargar</v>
      </c>
    </row>
    <row r="3750" spans="1:19" x14ac:dyDescent="0.25">
      <c r="A3750">
        <v>1540046653</v>
      </c>
      <c r="B3750" t="s">
        <v>7381</v>
      </c>
      <c r="C3750" t="s">
        <v>19</v>
      </c>
      <c r="D3750" t="s">
        <v>20</v>
      </c>
      <c r="E3750" t="s">
        <v>21</v>
      </c>
      <c r="F3750" t="s">
        <v>22</v>
      </c>
      <c r="G3750" t="s">
        <v>33</v>
      </c>
      <c r="H3750" t="s">
        <v>674</v>
      </c>
      <c r="I3750" t="s">
        <v>7382</v>
      </c>
      <c r="J3750">
        <v>10.120059971767001</v>
      </c>
      <c r="K3750">
        <v>-84.442790563809993</v>
      </c>
      <c r="L3750" t="s">
        <v>1225</v>
      </c>
      <c r="M3750" t="s">
        <v>46</v>
      </c>
      <c r="N3750" t="s">
        <v>47</v>
      </c>
      <c r="O3750" t="s">
        <v>48</v>
      </c>
      <c r="P3750">
        <v>6</v>
      </c>
      <c r="Q3750" t="s">
        <v>49</v>
      </c>
      <c r="S3750" t="str">
        <f>_xlfn.XLOOKUP(UNIVERSO[[#This Row],[Ruta]],'[1]CUOTA RUTA'!A:A,'[1]CUOTA RUTA'!D:D)</f>
        <v>Cargar</v>
      </c>
    </row>
    <row r="3751" spans="1:19" x14ac:dyDescent="0.25">
      <c r="A3751">
        <v>1540046665</v>
      </c>
      <c r="B3751" t="s">
        <v>7383</v>
      </c>
      <c r="C3751" t="s">
        <v>19</v>
      </c>
      <c r="D3751" t="s">
        <v>20</v>
      </c>
      <c r="E3751" t="s">
        <v>21</v>
      </c>
      <c r="F3751" t="s">
        <v>22</v>
      </c>
      <c r="G3751" t="s">
        <v>33</v>
      </c>
      <c r="H3751" t="s">
        <v>250</v>
      </c>
      <c r="I3751" t="s">
        <v>7384</v>
      </c>
      <c r="J3751">
        <v>10.012483230000001</v>
      </c>
      <c r="K3751">
        <v>-84.242076990000001</v>
      </c>
      <c r="L3751" t="s">
        <v>1225</v>
      </c>
      <c r="M3751" t="s">
        <v>46</v>
      </c>
      <c r="N3751" t="s">
        <v>47</v>
      </c>
      <c r="O3751" t="s">
        <v>48</v>
      </c>
      <c r="P3751">
        <v>3</v>
      </c>
      <c r="Q3751" t="s">
        <v>101</v>
      </c>
      <c r="S3751" t="str">
        <f>_xlfn.XLOOKUP(UNIVERSO[[#This Row],[Ruta]],'[1]CUOTA RUTA'!A:A,'[1]CUOTA RUTA'!D:D)</f>
        <v>Cargar</v>
      </c>
    </row>
    <row r="3752" spans="1:19" x14ac:dyDescent="0.25">
      <c r="A3752">
        <v>1540046681</v>
      </c>
      <c r="B3752" t="s">
        <v>6945</v>
      </c>
      <c r="C3752" t="s">
        <v>19</v>
      </c>
      <c r="D3752" t="s">
        <v>20</v>
      </c>
      <c r="E3752" t="s">
        <v>21</v>
      </c>
      <c r="F3752" t="s">
        <v>22</v>
      </c>
      <c r="G3752" t="s">
        <v>33</v>
      </c>
      <c r="H3752" t="s">
        <v>263</v>
      </c>
      <c r="I3752" t="s">
        <v>7385</v>
      </c>
      <c r="J3752">
        <v>10.104089999999999</v>
      </c>
      <c r="K3752">
        <v>-84.384960000000007</v>
      </c>
      <c r="L3752" t="s">
        <v>1225</v>
      </c>
      <c r="M3752" t="s">
        <v>46</v>
      </c>
      <c r="N3752" t="s">
        <v>47</v>
      </c>
      <c r="O3752" t="s">
        <v>48</v>
      </c>
      <c r="P3752">
        <v>1</v>
      </c>
      <c r="Q3752" t="s">
        <v>155</v>
      </c>
      <c r="S3752" t="str">
        <f>_xlfn.XLOOKUP(UNIVERSO[[#This Row],[Ruta]],'[1]CUOTA RUTA'!A:A,'[1]CUOTA RUTA'!D:D)</f>
        <v>Cargar</v>
      </c>
    </row>
    <row r="3753" spans="1:19" x14ac:dyDescent="0.25">
      <c r="A3753">
        <v>1540046707</v>
      </c>
      <c r="B3753" t="s">
        <v>7386</v>
      </c>
      <c r="C3753" t="s">
        <v>19</v>
      </c>
      <c r="D3753" t="s">
        <v>337</v>
      </c>
      <c r="E3753" t="s">
        <v>21</v>
      </c>
      <c r="F3753" t="s">
        <v>22</v>
      </c>
      <c r="G3753" t="s">
        <v>33</v>
      </c>
      <c r="H3753" t="s">
        <v>824</v>
      </c>
      <c r="I3753" t="s">
        <v>7387</v>
      </c>
      <c r="J3753">
        <v>10.42936823</v>
      </c>
      <c r="K3753">
        <v>-85.092413870000001</v>
      </c>
      <c r="L3753" t="s">
        <v>1225</v>
      </c>
      <c r="M3753" t="s">
        <v>327</v>
      </c>
      <c r="N3753" t="s">
        <v>340</v>
      </c>
      <c r="O3753" t="s">
        <v>341</v>
      </c>
      <c r="P3753">
        <v>21</v>
      </c>
      <c r="Q3753" t="s">
        <v>239</v>
      </c>
      <c r="S3753" t="str">
        <f>_xlfn.XLOOKUP(UNIVERSO[[#This Row],[Ruta]],'[1]CUOTA RUTA'!A:A,'[1]CUOTA RUTA'!D:D)</f>
        <v>Cargar</v>
      </c>
    </row>
    <row r="3754" spans="1:19" x14ac:dyDescent="0.25">
      <c r="A3754">
        <v>1540046764</v>
      </c>
      <c r="B3754" t="s">
        <v>7388</v>
      </c>
      <c r="C3754" t="s">
        <v>19</v>
      </c>
      <c r="D3754" t="s">
        <v>20</v>
      </c>
      <c r="E3754" t="s">
        <v>62</v>
      </c>
      <c r="F3754" t="s">
        <v>63</v>
      </c>
      <c r="G3754" t="s">
        <v>64</v>
      </c>
      <c r="H3754" t="s">
        <v>975</v>
      </c>
      <c r="I3754" t="s">
        <v>7389</v>
      </c>
      <c r="J3754">
        <v>10.00822</v>
      </c>
      <c r="K3754">
        <v>-84.117540000000005</v>
      </c>
      <c r="L3754" t="s">
        <v>1225</v>
      </c>
      <c r="M3754" t="s">
        <v>27</v>
      </c>
      <c r="N3754" t="s">
        <v>28</v>
      </c>
      <c r="O3754" t="s">
        <v>29</v>
      </c>
      <c r="P3754">
        <v>14</v>
      </c>
      <c r="Q3754" t="s">
        <v>181</v>
      </c>
      <c r="S3754" t="str">
        <f>_xlfn.XLOOKUP(UNIVERSO[[#This Row],[Ruta]],'[1]CUOTA RUTA'!A:A,'[1]CUOTA RUTA'!D:D)</f>
        <v>Cargar</v>
      </c>
    </row>
    <row r="3755" spans="1:19" x14ac:dyDescent="0.25">
      <c r="A3755">
        <v>1540046834</v>
      </c>
      <c r="B3755" t="s">
        <v>7390</v>
      </c>
      <c r="C3755" t="s">
        <v>19</v>
      </c>
      <c r="D3755" t="s">
        <v>20</v>
      </c>
      <c r="E3755" t="s">
        <v>21</v>
      </c>
      <c r="F3755" t="s">
        <v>22</v>
      </c>
      <c r="G3755" t="s">
        <v>23</v>
      </c>
      <c r="H3755" t="s">
        <v>1143</v>
      </c>
      <c r="I3755" t="s">
        <v>7391</v>
      </c>
      <c r="J3755">
        <v>10.08029</v>
      </c>
      <c r="K3755">
        <v>-84.177170000000004</v>
      </c>
      <c r="L3755" t="s">
        <v>1225</v>
      </c>
      <c r="M3755" t="s">
        <v>54</v>
      </c>
      <c r="N3755" t="s">
        <v>55</v>
      </c>
      <c r="O3755" t="s">
        <v>56</v>
      </c>
      <c r="P3755">
        <v>18</v>
      </c>
      <c r="Q3755" t="s">
        <v>84</v>
      </c>
      <c r="S3755" t="str">
        <f>_xlfn.XLOOKUP(UNIVERSO[[#This Row],[Ruta]],'[1]CUOTA RUTA'!A:A,'[1]CUOTA RUTA'!D:D)</f>
        <v>Cargar</v>
      </c>
    </row>
    <row r="3756" spans="1:19" x14ac:dyDescent="0.25">
      <c r="A3756">
        <v>1540046857</v>
      </c>
      <c r="B3756" t="s">
        <v>7392</v>
      </c>
      <c r="C3756" t="s">
        <v>19</v>
      </c>
      <c r="D3756" t="s">
        <v>324</v>
      </c>
      <c r="E3756" t="s">
        <v>21</v>
      </c>
      <c r="F3756" t="s">
        <v>22</v>
      </c>
      <c r="G3756" t="s">
        <v>64</v>
      </c>
      <c r="H3756" t="s">
        <v>331</v>
      </c>
      <c r="I3756" t="s">
        <v>7393</v>
      </c>
      <c r="J3756">
        <v>10.461902800000001</v>
      </c>
      <c r="K3756">
        <v>-84.288118800000007</v>
      </c>
      <c r="L3756" t="s">
        <v>1225</v>
      </c>
      <c r="M3756" t="s">
        <v>327</v>
      </c>
      <c r="N3756" t="s">
        <v>328</v>
      </c>
      <c r="O3756" t="s">
        <v>329</v>
      </c>
      <c r="P3756">
        <v>18</v>
      </c>
      <c r="Q3756" t="s">
        <v>84</v>
      </c>
      <c r="S3756" t="str">
        <f>_xlfn.XLOOKUP(UNIVERSO[[#This Row],[Ruta]],'[1]CUOTA RUTA'!A:A,'[1]CUOTA RUTA'!D:D)</f>
        <v>Cargar</v>
      </c>
    </row>
    <row r="3757" spans="1:19" x14ac:dyDescent="0.25">
      <c r="A3757">
        <v>1540046913</v>
      </c>
      <c r="B3757" t="s">
        <v>7394</v>
      </c>
      <c r="C3757" t="s">
        <v>19</v>
      </c>
      <c r="D3757" t="s">
        <v>20</v>
      </c>
      <c r="E3757" t="s">
        <v>21</v>
      </c>
      <c r="F3757" t="s">
        <v>22</v>
      </c>
      <c r="G3757" t="s">
        <v>33</v>
      </c>
      <c r="H3757" t="s">
        <v>44</v>
      </c>
      <c r="I3757" t="s">
        <v>7395</v>
      </c>
      <c r="J3757">
        <v>10.097701000000001</v>
      </c>
      <c r="K3757">
        <v>-84.378768500000007</v>
      </c>
      <c r="L3757" t="s">
        <v>1225</v>
      </c>
      <c r="M3757" t="s">
        <v>46</v>
      </c>
      <c r="N3757" t="s">
        <v>47</v>
      </c>
      <c r="O3757" t="s">
        <v>48</v>
      </c>
      <c r="P3757">
        <v>2</v>
      </c>
      <c r="Q3757" t="s">
        <v>150</v>
      </c>
      <c r="S3757" t="str">
        <f>_xlfn.XLOOKUP(UNIVERSO[[#This Row],[Ruta]],'[1]CUOTA RUTA'!A:A,'[1]CUOTA RUTA'!D:D)</f>
        <v>Cargar</v>
      </c>
    </row>
    <row r="3758" spans="1:19" x14ac:dyDescent="0.25">
      <c r="A3758">
        <v>1540046939</v>
      </c>
      <c r="B3758" t="s">
        <v>7396</v>
      </c>
      <c r="C3758" t="s">
        <v>19</v>
      </c>
      <c r="D3758" t="s">
        <v>20</v>
      </c>
      <c r="E3758" t="s">
        <v>21</v>
      </c>
      <c r="F3758" t="s">
        <v>22</v>
      </c>
      <c r="G3758" t="s">
        <v>64</v>
      </c>
      <c r="H3758" t="s">
        <v>369</v>
      </c>
      <c r="I3758" t="s">
        <v>7397</v>
      </c>
      <c r="J3758">
        <v>10.01127</v>
      </c>
      <c r="K3758">
        <v>-84.119429999999994</v>
      </c>
      <c r="L3758" t="s">
        <v>1225</v>
      </c>
      <c r="M3758" t="s">
        <v>27</v>
      </c>
      <c r="N3758" t="s">
        <v>28</v>
      </c>
      <c r="O3758" t="s">
        <v>29</v>
      </c>
      <c r="P3758">
        <v>14</v>
      </c>
      <c r="Q3758" t="s">
        <v>181</v>
      </c>
      <c r="S3758" t="str">
        <f>_xlfn.XLOOKUP(UNIVERSO[[#This Row],[Ruta]],'[1]CUOTA RUTA'!A:A,'[1]CUOTA RUTA'!D:D)</f>
        <v>Cargar</v>
      </c>
    </row>
    <row r="3759" spans="1:19" x14ac:dyDescent="0.25">
      <c r="A3759">
        <v>1540046964</v>
      </c>
      <c r="B3759" t="s">
        <v>7398</v>
      </c>
      <c r="C3759" t="s">
        <v>19</v>
      </c>
      <c r="D3759" t="s">
        <v>32</v>
      </c>
      <c r="E3759" t="s">
        <v>21</v>
      </c>
      <c r="F3759" t="s">
        <v>22</v>
      </c>
      <c r="G3759" t="s">
        <v>33</v>
      </c>
      <c r="H3759" t="s">
        <v>716</v>
      </c>
      <c r="I3759" t="s">
        <v>7399</v>
      </c>
      <c r="J3759">
        <v>9.9124683000000005</v>
      </c>
      <c r="K3759">
        <v>-84.0460317</v>
      </c>
      <c r="L3759" t="s">
        <v>1225</v>
      </c>
      <c r="M3759" t="s">
        <v>36</v>
      </c>
      <c r="N3759" t="s">
        <v>37</v>
      </c>
      <c r="O3759" t="s">
        <v>38</v>
      </c>
      <c r="P3759">
        <v>11</v>
      </c>
      <c r="Q3759" t="s">
        <v>108</v>
      </c>
      <c r="S3759" t="str">
        <f>_xlfn.XLOOKUP(UNIVERSO[[#This Row],[Ruta]],'[1]CUOTA RUTA'!A:A,'[1]CUOTA RUTA'!D:D)</f>
        <v>Cargar</v>
      </c>
    </row>
    <row r="3760" spans="1:19" x14ac:dyDescent="0.25">
      <c r="A3760">
        <v>1540046985</v>
      </c>
      <c r="B3760" t="s">
        <v>7400</v>
      </c>
      <c r="C3760" t="s">
        <v>19</v>
      </c>
      <c r="D3760" t="s">
        <v>201</v>
      </c>
      <c r="E3760" t="s">
        <v>21</v>
      </c>
      <c r="F3760" t="s">
        <v>22</v>
      </c>
      <c r="G3760" t="s">
        <v>33</v>
      </c>
      <c r="H3760" t="s">
        <v>334</v>
      </c>
      <c r="I3760" t="s">
        <v>7401</v>
      </c>
      <c r="J3760">
        <v>9.9961027999999992</v>
      </c>
      <c r="K3760">
        <v>-84.646135000000001</v>
      </c>
      <c r="L3760" t="s">
        <v>1225</v>
      </c>
      <c r="M3760" t="s">
        <v>204</v>
      </c>
      <c r="N3760" t="s">
        <v>205</v>
      </c>
      <c r="O3760" t="s">
        <v>206</v>
      </c>
      <c r="P3760">
        <v>14</v>
      </c>
      <c r="Q3760" t="s">
        <v>181</v>
      </c>
      <c r="S3760" t="str">
        <f>_xlfn.XLOOKUP(UNIVERSO[[#This Row],[Ruta]],'[1]CUOTA RUTA'!A:A,'[1]CUOTA RUTA'!D:D)</f>
        <v>Cargar</v>
      </c>
    </row>
    <row r="3761" spans="1:19" x14ac:dyDescent="0.25">
      <c r="A3761">
        <v>1540047009</v>
      </c>
      <c r="B3761" t="s">
        <v>7402</v>
      </c>
      <c r="C3761" t="s">
        <v>19</v>
      </c>
      <c r="D3761" t="s">
        <v>337</v>
      </c>
      <c r="E3761" t="s">
        <v>21</v>
      </c>
      <c r="F3761" t="s">
        <v>22</v>
      </c>
      <c r="G3761" t="s">
        <v>64</v>
      </c>
      <c r="H3761" t="s">
        <v>338</v>
      </c>
      <c r="I3761" t="s">
        <v>7403</v>
      </c>
      <c r="J3761">
        <v>10.370453400000001</v>
      </c>
      <c r="K3761">
        <v>-85.781113989999994</v>
      </c>
      <c r="L3761" t="s">
        <v>1225</v>
      </c>
      <c r="M3761" t="s">
        <v>327</v>
      </c>
      <c r="N3761" t="s">
        <v>340</v>
      </c>
      <c r="O3761" t="s">
        <v>341</v>
      </c>
      <c r="P3761">
        <v>17</v>
      </c>
      <c r="Q3761" t="s">
        <v>287</v>
      </c>
      <c r="S3761" t="str">
        <f>_xlfn.XLOOKUP(UNIVERSO[[#This Row],[Ruta]],'[1]CUOTA RUTA'!A:A,'[1]CUOTA RUTA'!D:D)</f>
        <v>Cargar</v>
      </c>
    </row>
    <row r="3762" spans="1:19" x14ac:dyDescent="0.25">
      <c r="A3762">
        <v>1540047028</v>
      </c>
      <c r="B3762" t="s">
        <v>7404</v>
      </c>
      <c r="C3762" t="s">
        <v>19</v>
      </c>
      <c r="D3762" t="s">
        <v>349</v>
      </c>
      <c r="E3762" t="s">
        <v>21</v>
      </c>
      <c r="F3762" t="s">
        <v>22</v>
      </c>
      <c r="G3762" t="s">
        <v>64</v>
      </c>
      <c r="H3762" t="s">
        <v>359</v>
      </c>
      <c r="I3762" t="s">
        <v>7405</v>
      </c>
      <c r="J3762">
        <v>10.277200000000001</v>
      </c>
      <c r="K3762">
        <v>-85.637</v>
      </c>
      <c r="L3762" t="s">
        <v>1225</v>
      </c>
      <c r="M3762" t="s">
        <v>352</v>
      </c>
      <c r="N3762" t="s">
        <v>353</v>
      </c>
      <c r="O3762" t="s">
        <v>354</v>
      </c>
      <c r="P3762">
        <v>4</v>
      </c>
      <c r="Q3762" t="s">
        <v>120</v>
      </c>
      <c r="S3762" t="str">
        <f>_xlfn.XLOOKUP(UNIVERSO[[#This Row],[Ruta]],'[1]CUOTA RUTA'!A:A,'[1]CUOTA RUTA'!D:D)</f>
        <v>Cargar</v>
      </c>
    </row>
    <row r="3763" spans="1:19" x14ac:dyDescent="0.25">
      <c r="A3763">
        <v>1540047035</v>
      </c>
      <c r="B3763" t="s">
        <v>7406</v>
      </c>
      <c r="C3763" t="s">
        <v>19</v>
      </c>
      <c r="D3763" t="s">
        <v>569</v>
      </c>
      <c r="E3763" t="s">
        <v>21</v>
      </c>
      <c r="F3763" t="s">
        <v>22</v>
      </c>
      <c r="G3763" t="s">
        <v>64</v>
      </c>
      <c r="H3763" t="s">
        <v>570</v>
      </c>
      <c r="I3763" t="s">
        <v>7407</v>
      </c>
      <c r="J3763">
        <v>8.6185240000000007</v>
      </c>
      <c r="K3763">
        <v>-83.063186999999999</v>
      </c>
      <c r="L3763" t="s">
        <v>1225</v>
      </c>
      <c r="M3763" t="s">
        <v>572</v>
      </c>
      <c r="N3763" t="s">
        <v>573</v>
      </c>
      <c r="O3763" t="s">
        <v>574</v>
      </c>
      <c r="P3763">
        <v>23</v>
      </c>
      <c r="Q3763" t="s">
        <v>125</v>
      </c>
      <c r="S3763" t="str">
        <f>_xlfn.XLOOKUP(UNIVERSO[[#This Row],[Ruta]],'[1]CUOTA RUTA'!A:A,'[1]CUOTA RUTA'!D:D)</f>
        <v>Cargar</v>
      </c>
    </row>
    <row r="3764" spans="1:19" x14ac:dyDescent="0.25">
      <c r="A3764">
        <v>1540047062</v>
      </c>
      <c r="B3764" t="s">
        <v>7408</v>
      </c>
      <c r="C3764" t="s">
        <v>19</v>
      </c>
      <c r="D3764" t="s">
        <v>349</v>
      </c>
      <c r="E3764" t="s">
        <v>21</v>
      </c>
      <c r="F3764" t="s">
        <v>22</v>
      </c>
      <c r="G3764" t="s">
        <v>33</v>
      </c>
      <c r="H3764" t="s">
        <v>496</v>
      </c>
      <c r="I3764" t="s">
        <v>7409</v>
      </c>
      <c r="J3764">
        <v>9.9557400000000005</v>
      </c>
      <c r="K3764">
        <v>-85.143699999999995</v>
      </c>
      <c r="L3764" t="s">
        <v>1225</v>
      </c>
      <c r="M3764" t="s">
        <v>352</v>
      </c>
      <c r="N3764" t="s">
        <v>353</v>
      </c>
      <c r="O3764" t="s">
        <v>354</v>
      </c>
      <c r="P3764">
        <v>10</v>
      </c>
      <c r="Q3764" t="s">
        <v>136</v>
      </c>
      <c r="S3764" t="str">
        <f>_xlfn.XLOOKUP(UNIVERSO[[#This Row],[Ruta]],'[1]CUOTA RUTA'!A:A,'[1]CUOTA RUTA'!D:D)</f>
        <v>Cargar</v>
      </c>
    </row>
    <row r="3765" spans="1:19" x14ac:dyDescent="0.25">
      <c r="A3765">
        <v>1540047075</v>
      </c>
      <c r="B3765" t="s">
        <v>7410</v>
      </c>
      <c r="C3765" t="s">
        <v>19</v>
      </c>
      <c r="D3765" t="s">
        <v>208</v>
      </c>
      <c r="E3765" t="s">
        <v>21</v>
      </c>
      <c r="F3765" t="s">
        <v>22</v>
      </c>
      <c r="G3765" t="s">
        <v>64</v>
      </c>
      <c r="H3765" t="s">
        <v>616</v>
      </c>
      <c r="I3765" t="s">
        <v>7411</v>
      </c>
      <c r="J3765">
        <v>10.451871000000001</v>
      </c>
      <c r="K3765">
        <v>-84.012923999999998</v>
      </c>
      <c r="L3765" t="s">
        <v>1225</v>
      </c>
      <c r="M3765" t="s">
        <v>189</v>
      </c>
      <c r="N3765" t="s">
        <v>211</v>
      </c>
      <c r="O3765" t="s">
        <v>212</v>
      </c>
      <c r="P3765">
        <v>10</v>
      </c>
      <c r="Q3765" t="s">
        <v>136</v>
      </c>
      <c r="S3765" t="str">
        <f>_xlfn.XLOOKUP(UNIVERSO[[#This Row],[Ruta]],'[1]CUOTA RUTA'!A:A,'[1]CUOTA RUTA'!D:D)</f>
        <v>Cargar</v>
      </c>
    </row>
    <row r="3766" spans="1:19" x14ac:dyDescent="0.25">
      <c r="A3766">
        <v>1540047130</v>
      </c>
      <c r="B3766" t="s">
        <v>7412</v>
      </c>
      <c r="C3766" t="s">
        <v>19</v>
      </c>
      <c r="D3766" t="s">
        <v>324</v>
      </c>
      <c r="E3766" t="s">
        <v>21</v>
      </c>
      <c r="F3766" t="s">
        <v>22</v>
      </c>
      <c r="G3766" t="s">
        <v>33</v>
      </c>
      <c r="H3766" t="s">
        <v>393</v>
      </c>
      <c r="I3766" t="s">
        <v>7413</v>
      </c>
      <c r="J3766">
        <v>10.3629</v>
      </c>
      <c r="K3766">
        <v>-84.440299999999993</v>
      </c>
      <c r="L3766" t="s">
        <v>1225</v>
      </c>
      <c r="M3766" t="s">
        <v>327</v>
      </c>
      <c r="N3766" t="s">
        <v>328</v>
      </c>
      <c r="O3766" t="s">
        <v>329</v>
      </c>
      <c r="P3766">
        <v>15</v>
      </c>
      <c r="Q3766" t="s">
        <v>231</v>
      </c>
      <c r="S3766" t="str">
        <f>_xlfn.XLOOKUP(UNIVERSO[[#This Row],[Ruta]],'[1]CUOTA RUTA'!A:A,'[1]CUOTA RUTA'!D:D)</f>
        <v>Cargar</v>
      </c>
    </row>
    <row r="3767" spans="1:19" x14ac:dyDescent="0.25">
      <c r="A3767">
        <v>1540047177</v>
      </c>
      <c r="B3767" t="s">
        <v>7414</v>
      </c>
      <c r="C3767" t="s">
        <v>19</v>
      </c>
      <c r="D3767" t="s">
        <v>20</v>
      </c>
      <c r="E3767" t="s">
        <v>62</v>
      </c>
      <c r="F3767" t="s">
        <v>63</v>
      </c>
      <c r="G3767" t="s">
        <v>64</v>
      </c>
      <c r="H3767" t="s">
        <v>901</v>
      </c>
      <c r="I3767" t="s">
        <v>7415</v>
      </c>
      <c r="J3767">
        <v>10.061005700000001</v>
      </c>
      <c r="K3767">
        <v>-84.433320800000004</v>
      </c>
      <c r="L3767" t="s">
        <v>1225</v>
      </c>
      <c r="M3767" t="s">
        <v>46</v>
      </c>
      <c r="N3767" t="s">
        <v>47</v>
      </c>
      <c r="O3767" t="s">
        <v>48</v>
      </c>
      <c r="P3767">
        <v>8</v>
      </c>
      <c r="Q3767" t="s">
        <v>97</v>
      </c>
      <c r="S3767" t="str">
        <f>_xlfn.XLOOKUP(UNIVERSO[[#This Row],[Ruta]],'[1]CUOTA RUTA'!A:A,'[1]CUOTA RUTA'!D:D)</f>
        <v>Cargar</v>
      </c>
    </row>
    <row r="3768" spans="1:19" x14ac:dyDescent="0.25">
      <c r="A3768">
        <v>1540047180</v>
      </c>
      <c r="B3768" t="s">
        <v>7416</v>
      </c>
      <c r="C3768" t="s">
        <v>19</v>
      </c>
      <c r="D3768" t="s">
        <v>32</v>
      </c>
      <c r="E3768" t="s">
        <v>21</v>
      </c>
      <c r="F3768" t="s">
        <v>22</v>
      </c>
      <c r="G3768" t="s">
        <v>64</v>
      </c>
      <c r="H3768" t="s">
        <v>159</v>
      </c>
      <c r="I3768" t="s">
        <v>7417</v>
      </c>
      <c r="J3768">
        <v>9.5405700000000007</v>
      </c>
      <c r="K3768">
        <v>-84.055530000000005</v>
      </c>
      <c r="L3768" t="s">
        <v>1225</v>
      </c>
      <c r="M3768" t="s">
        <v>71</v>
      </c>
      <c r="N3768" t="s">
        <v>72</v>
      </c>
      <c r="O3768" t="s">
        <v>73</v>
      </c>
      <c r="P3768">
        <v>23</v>
      </c>
      <c r="Q3768" t="s">
        <v>125</v>
      </c>
      <c r="S3768" t="str">
        <f>_xlfn.XLOOKUP(UNIVERSO[[#This Row],[Ruta]],'[1]CUOTA RUTA'!A:A,'[1]CUOTA RUTA'!D:D)</f>
        <v>Cargar</v>
      </c>
    </row>
    <row r="3769" spans="1:19" x14ac:dyDescent="0.25">
      <c r="A3769">
        <v>1540047218</v>
      </c>
      <c r="B3769" t="s">
        <v>7418</v>
      </c>
      <c r="C3769" t="s">
        <v>19</v>
      </c>
      <c r="D3769" t="s">
        <v>324</v>
      </c>
      <c r="E3769" t="s">
        <v>21</v>
      </c>
      <c r="F3769" t="s">
        <v>22</v>
      </c>
      <c r="G3769" t="s">
        <v>33</v>
      </c>
      <c r="H3769" t="s">
        <v>6220</v>
      </c>
      <c r="I3769" t="s">
        <v>7419</v>
      </c>
      <c r="J3769">
        <v>10.841699999999999</v>
      </c>
      <c r="K3769">
        <v>-84.467200000000005</v>
      </c>
      <c r="L3769" t="s">
        <v>1225</v>
      </c>
      <c r="M3769" t="s">
        <v>327</v>
      </c>
      <c r="N3769" t="s">
        <v>328</v>
      </c>
      <c r="O3769" t="s">
        <v>329</v>
      </c>
      <c r="P3769">
        <v>23</v>
      </c>
      <c r="Q3769" t="s">
        <v>125</v>
      </c>
      <c r="S3769" t="str">
        <f>_xlfn.XLOOKUP(UNIVERSO[[#This Row],[Ruta]],'[1]CUOTA RUTA'!A:A,'[1]CUOTA RUTA'!D:D)</f>
        <v>Cargar</v>
      </c>
    </row>
    <row r="3770" spans="1:19" x14ac:dyDescent="0.25">
      <c r="A3770">
        <v>1540047237</v>
      </c>
      <c r="B3770" t="s">
        <v>7420</v>
      </c>
      <c r="C3770" t="s">
        <v>19</v>
      </c>
      <c r="D3770" t="s">
        <v>208</v>
      </c>
      <c r="E3770" t="s">
        <v>21</v>
      </c>
      <c r="F3770" t="s">
        <v>22</v>
      </c>
      <c r="G3770" t="s">
        <v>33</v>
      </c>
      <c r="H3770" t="s">
        <v>719</v>
      </c>
      <c r="I3770" t="s">
        <v>7421</v>
      </c>
      <c r="J3770">
        <v>10.391115080000001</v>
      </c>
      <c r="K3770">
        <v>-84.136235589999998</v>
      </c>
      <c r="L3770" t="s">
        <v>1225</v>
      </c>
      <c r="M3770" t="s">
        <v>189</v>
      </c>
      <c r="N3770" t="s">
        <v>211</v>
      </c>
      <c r="O3770" t="s">
        <v>212</v>
      </c>
      <c r="P3770">
        <v>11</v>
      </c>
      <c r="Q3770" t="s">
        <v>108</v>
      </c>
      <c r="S3770" t="str">
        <f>_xlfn.XLOOKUP(UNIVERSO[[#This Row],[Ruta]],'[1]CUOTA RUTA'!A:A,'[1]CUOTA RUTA'!D:D)</f>
        <v>Cargar</v>
      </c>
    </row>
    <row r="3771" spans="1:19" x14ac:dyDescent="0.25">
      <c r="A3771">
        <v>1540047297</v>
      </c>
      <c r="B3771" t="s">
        <v>7422</v>
      </c>
      <c r="C3771" t="s">
        <v>19</v>
      </c>
      <c r="D3771" t="s">
        <v>337</v>
      </c>
      <c r="E3771" t="s">
        <v>21</v>
      </c>
      <c r="F3771" t="s">
        <v>22</v>
      </c>
      <c r="G3771" t="s">
        <v>33</v>
      </c>
      <c r="H3771" t="s">
        <v>343</v>
      </c>
      <c r="I3771" t="s">
        <v>7423</v>
      </c>
      <c r="J3771">
        <v>10.344903</v>
      </c>
      <c r="K3771">
        <v>-85.733815000000007</v>
      </c>
      <c r="L3771" t="s">
        <v>1225</v>
      </c>
      <c r="M3771" t="s">
        <v>327</v>
      </c>
      <c r="N3771" t="s">
        <v>340</v>
      </c>
      <c r="O3771" t="s">
        <v>341</v>
      </c>
      <c r="P3771">
        <v>17</v>
      </c>
      <c r="Q3771" t="s">
        <v>287</v>
      </c>
      <c r="S3771" t="str">
        <f>_xlfn.XLOOKUP(UNIVERSO[[#This Row],[Ruta]],'[1]CUOTA RUTA'!A:A,'[1]CUOTA RUTA'!D:D)</f>
        <v>Cargar</v>
      </c>
    </row>
    <row r="3772" spans="1:19" x14ac:dyDescent="0.25">
      <c r="A3772">
        <v>1540047336</v>
      </c>
      <c r="B3772" t="s">
        <v>7424</v>
      </c>
      <c r="C3772" t="s">
        <v>19</v>
      </c>
      <c r="D3772" t="s">
        <v>32</v>
      </c>
      <c r="E3772" t="s">
        <v>21</v>
      </c>
      <c r="F3772" t="s">
        <v>22</v>
      </c>
      <c r="G3772" t="s">
        <v>64</v>
      </c>
      <c r="H3772" t="s">
        <v>148</v>
      </c>
      <c r="I3772" t="s">
        <v>7425</v>
      </c>
      <c r="J3772">
        <v>9.9865530000000007</v>
      </c>
      <c r="K3772">
        <v>-84.005604000000005</v>
      </c>
      <c r="L3772" t="s">
        <v>1225</v>
      </c>
      <c r="M3772" t="s">
        <v>94</v>
      </c>
      <c r="N3772" t="s">
        <v>95</v>
      </c>
      <c r="O3772" t="s">
        <v>96</v>
      </c>
      <c r="P3772">
        <v>5</v>
      </c>
      <c r="Q3772" t="s">
        <v>117</v>
      </c>
      <c r="S3772" t="str">
        <f>_xlfn.XLOOKUP(UNIVERSO[[#This Row],[Ruta]],'[1]CUOTA RUTA'!A:A,'[1]CUOTA RUTA'!D:D)</f>
        <v>Cargar</v>
      </c>
    </row>
    <row r="3773" spans="1:19" x14ac:dyDescent="0.25">
      <c r="A3773">
        <v>1540047341</v>
      </c>
      <c r="B3773" t="s">
        <v>7426</v>
      </c>
      <c r="C3773" t="s">
        <v>19</v>
      </c>
      <c r="D3773" t="s">
        <v>266</v>
      </c>
      <c r="E3773" t="s">
        <v>21</v>
      </c>
      <c r="F3773" t="s">
        <v>22</v>
      </c>
      <c r="G3773" t="s">
        <v>64</v>
      </c>
      <c r="H3773" t="s">
        <v>267</v>
      </c>
      <c r="I3773" t="s">
        <v>7427</v>
      </c>
      <c r="J3773">
        <v>9.9128866999999996</v>
      </c>
      <c r="K3773">
        <v>-83.674585399999998</v>
      </c>
      <c r="L3773" t="s">
        <v>1225</v>
      </c>
      <c r="M3773" t="s">
        <v>189</v>
      </c>
      <c r="N3773" t="s">
        <v>269</v>
      </c>
      <c r="O3773" t="s">
        <v>270</v>
      </c>
      <c r="P3773">
        <v>22</v>
      </c>
      <c r="Q3773" t="s">
        <v>30</v>
      </c>
      <c r="S3773" t="str">
        <f>_xlfn.XLOOKUP(UNIVERSO[[#This Row],[Ruta]],'[1]CUOTA RUTA'!A:A,'[1]CUOTA RUTA'!D:D)</f>
        <v>Cargar</v>
      </c>
    </row>
    <row r="3774" spans="1:19" x14ac:dyDescent="0.25">
      <c r="A3774">
        <v>1540047402</v>
      </c>
      <c r="B3774" t="s">
        <v>7428</v>
      </c>
      <c r="C3774" t="s">
        <v>19</v>
      </c>
      <c r="D3774" t="s">
        <v>20</v>
      </c>
      <c r="E3774" t="s">
        <v>21</v>
      </c>
      <c r="F3774" t="s">
        <v>22</v>
      </c>
      <c r="G3774" t="s">
        <v>33</v>
      </c>
      <c r="H3774" t="s">
        <v>280</v>
      </c>
      <c r="I3774" t="s">
        <v>7429</v>
      </c>
      <c r="J3774">
        <v>10.019261999999999</v>
      </c>
      <c r="K3774">
        <v>-84.207864000000001</v>
      </c>
      <c r="L3774" t="s">
        <v>1225</v>
      </c>
      <c r="M3774" t="s">
        <v>54</v>
      </c>
      <c r="N3774" t="s">
        <v>55</v>
      </c>
      <c r="O3774" t="s">
        <v>56</v>
      </c>
      <c r="P3774">
        <v>1</v>
      </c>
      <c r="Q3774" t="s">
        <v>155</v>
      </c>
      <c r="S3774" t="str">
        <f>_xlfn.XLOOKUP(UNIVERSO[[#This Row],[Ruta]],'[1]CUOTA RUTA'!A:A,'[1]CUOTA RUTA'!D:D)</f>
        <v>Cargar</v>
      </c>
    </row>
    <row r="3775" spans="1:19" x14ac:dyDescent="0.25">
      <c r="A3775">
        <v>1540047439</v>
      </c>
      <c r="B3775" t="s">
        <v>7430</v>
      </c>
      <c r="C3775" t="s">
        <v>19</v>
      </c>
      <c r="D3775" t="s">
        <v>20</v>
      </c>
      <c r="E3775" t="s">
        <v>21</v>
      </c>
      <c r="F3775" t="s">
        <v>22</v>
      </c>
      <c r="G3775" t="s">
        <v>64</v>
      </c>
      <c r="H3775" t="s">
        <v>311</v>
      </c>
      <c r="I3775" t="s">
        <v>7431</v>
      </c>
      <c r="J3775">
        <v>9.9765087999999995</v>
      </c>
      <c r="K3775">
        <v>-84.227083399999998</v>
      </c>
      <c r="L3775" t="s">
        <v>1225</v>
      </c>
      <c r="M3775" t="s">
        <v>54</v>
      </c>
      <c r="N3775" t="s">
        <v>55</v>
      </c>
      <c r="O3775" t="s">
        <v>56</v>
      </c>
      <c r="P3775">
        <v>8</v>
      </c>
      <c r="Q3775" t="s">
        <v>97</v>
      </c>
      <c r="S3775" t="str">
        <f>_xlfn.XLOOKUP(UNIVERSO[[#This Row],[Ruta]],'[1]CUOTA RUTA'!A:A,'[1]CUOTA RUTA'!D:D)</f>
        <v>Cargar</v>
      </c>
    </row>
    <row r="3776" spans="1:19" x14ac:dyDescent="0.25">
      <c r="A3776">
        <v>1540047489</v>
      </c>
      <c r="B3776" t="s">
        <v>7432</v>
      </c>
      <c r="C3776" t="s">
        <v>19</v>
      </c>
      <c r="D3776" t="s">
        <v>32</v>
      </c>
      <c r="E3776" t="s">
        <v>21</v>
      </c>
      <c r="F3776" t="s">
        <v>22</v>
      </c>
      <c r="G3776" t="s">
        <v>64</v>
      </c>
      <c r="H3776" t="s">
        <v>115</v>
      </c>
      <c r="I3776" t="s">
        <v>7433</v>
      </c>
      <c r="J3776">
        <v>9.9486070000000009</v>
      </c>
      <c r="K3776">
        <v>-84.088200000000001</v>
      </c>
      <c r="L3776" t="s">
        <v>1225</v>
      </c>
      <c r="M3776" t="s">
        <v>36</v>
      </c>
      <c r="N3776" t="s">
        <v>37</v>
      </c>
      <c r="O3776" t="s">
        <v>38</v>
      </c>
      <c r="P3776">
        <v>5</v>
      </c>
      <c r="Q3776" t="s">
        <v>117</v>
      </c>
      <c r="S3776" t="str">
        <f>_xlfn.XLOOKUP(UNIVERSO[[#This Row],[Ruta]],'[1]CUOTA RUTA'!A:A,'[1]CUOTA RUTA'!D:D)</f>
        <v>Cargar</v>
      </c>
    </row>
    <row r="3777" spans="1:19" x14ac:dyDescent="0.25">
      <c r="A3777">
        <v>1540047501</v>
      </c>
      <c r="B3777" t="s">
        <v>7434</v>
      </c>
      <c r="C3777" t="s">
        <v>19</v>
      </c>
      <c r="D3777" t="s">
        <v>20</v>
      </c>
      <c r="E3777" t="s">
        <v>21</v>
      </c>
      <c r="F3777" t="s">
        <v>22</v>
      </c>
      <c r="G3777" t="s">
        <v>23</v>
      </c>
      <c r="H3777" t="s">
        <v>255</v>
      </c>
      <c r="I3777" t="s">
        <v>7435</v>
      </c>
      <c r="J3777">
        <v>10.0753474</v>
      </c>
      <c r="K3777">
        <v>-84.244706100000002</v>
      </c>
      <c r="L3777" t="s">
        <v>1225</v>
      </c>
      <c r="M3777" t="s">
        <v>46</v>
      </c>
      <c r="N3777" t="s">
        <v>47</v>
      </c>
      <c r="O3777" t="s">
        <v>48</v>
      </c>
      <c r="P3777">
        <v>2</v>
      </c>
      <c r="Q3777" t="s">
        <v>150</v>
      </c>
      <c r="S3777" t="str">
        <f>_xlfn.XLOOKUP(UNIVERSO[[#This Row],[Ruta]],'[1]CUOTA RUTA'!A:A,'[1]CUOTA RUTA'!D:D)</f>
        <v>Cargar</v>
      </c>
    </row>
    <row r="3778" spans="1:19" x14ac:dyDescent="0.25">
      <c r="A3778">
        <v>1540047509</v>
      </c>
      <c r="B3778" t="s">
        <v>7436</v>
      </c>
      <c r="C3778" t="s">
        <v>19</v>
      </c>
      <c r="D3778" t="s">
        <v>208</v>
      </c>
      <c r="E3778" t="s">
        <v>21</v>
      </c>
      <c r="F3778" t="s">
        <v>22</v>
      </c>
      <c r="G3778" t="s">
        <v>33</v>
      </c>
      <c r="H3778" t="s">
        <v>417</v>
      </c>
      <c r="I3778" t="s">
        <v>7437</v>
      </c>
      <c r="J3778">
        <v>10.228300000000001</v>
      </c>
      <c r="K3778">
        <v>-83.7089</v>
      </c>
      <c r="L3778" t="s">
        <v>1225</v>
      </c>
      <c r="M3778" t="s">
        <v>189</v>
      </c>
      <c r="N3778" t="s">
        <v>211</v>
      </c>
      <c r="O3778" t="s">
        <v>212</v>
      </c>
      <c r="P3778">
        <v>7</v>
      </c>
      <c r="Q3778" t="s">
        <v>39</v>
      </c>
      <c r="S3778" t="str">
        <f>_xlfn.XLOOKUP(UNIVERSO[[#This Row],[Ruta]],'[1]CUOTA RUTA'!A:A,'[1]CUOTA RUTA'!D:D)</f>
        <v>Cargar</v>
      </c>
    </row>
    <row r="3779" spans="1:19" x14ac:dyDescent="0.25">
      <c r="A3779">
        <v>1540047607</v>
      </c>
      <c r="B3779" t="s">
        <v>7438</v>
      </c>
      <c r="C3779" t="s">
        <v>19</v>
      </c>
      <c r="D3779" t="s">
        <v>208</v>
      </c>
      <c r="E3779" t="s">
        <v>21</v>
      </c>
      <c r="F3779" t="s">
        <v>22</v>
      </c>
      <c r="G3779" t="s">
        <v>33</v>
      </c>
      <c r="H3779" t="s">
        <v>1794</v>
      </c>
      <c r="I3779" t="s">
        <v>7439</v>
      </c>
      <c r="J3779">
        <v>10.090208000000001</v>
      </c>
      <c r="K3779">
        <v>-83.602457000000001</v>
      </c>
      <c r="L3779" t="s">
        <v>1225</v>
      </c>
      <c r="M3779" t="s">
        <v>189</v>
      </c>
      <c r="N3779" t="s">
        <v>211</v>
      </c>
      <c r="O3779" t="s">
        <v>212</v>
      </c>
      <c r="P3779">
        <v>9</v>
      </c>
      <c r="Q3779" t="s">
        <v>80</v>
      </c>
      <c r="S3779" t="str">
        <f>_xlfn.XLOOKUP(UNIVERSO[[#This Row],[Ruta]],'[1]CUOTA RUTA'!A:A,'[1]CUOTA RUTA'!D:D)</f>
        <v>Cargar</v>
      </c>
    </row>
    <row r="3780" spans="1:19" x14ac:dyDescent="0.25">
      <c r="A3780">
        <v>1540047665</v>
      </c>
      <c r="B3780" t="s">
        <v>7440</v>
      </c>
      <c r="C3780" t="s">
        <v>19</v>
      </c>
      <c r="D3780" t="s">
        <v>32</v>
      </c>
      <c r="E3780" t="s">
        <v>21</v>
      </c>
      <c r="F3780" t="s">
        <v>22</v>
      </c>
      <c r="G3780" t="s">
        <v>33</v>
      </c>
      <c r="H3780" t="s">
        <v>683</v>
      </c>
      <c r="I3780" t="s">
        <v>7441</v>
      </c>
      <c r="J3780">
        <v>9.9389400000000006</v>
      </c>
      <c r="K3780">
        <v>-84.092699999999994</v>
      </c>
      <c r="L3780" t="s">
        <v>1225</v>
      </c>
      <c r="M3780" t="s">
        <v>71</v>
      </c>
      <c r="N3780" t="s">
        <v>72</v>
      </c>
      <c r="O3780" t="s">
        <v>73</v>
      </c>
      <c r="P3780">
        <v>4</v>
      </c>
      <c r="Q3780" t="s">
        <v>120</v>
      </c>
      <c r="S3780" t="str">
        <f>_xlfn.XLOOKUP(UNIVERSO[[#This Row],[Ruta]],'[1]CUOTA RUTA'!A:A,'[1]CUOTA RUTA'!D:D)</f>
        <v>Cargar</v>
      </c>
    </row>
    <row r="3781" spans="1:19" x14ac:dyDescent="0.25">
      <c r="A3781">
        <v>1540047692</v>
      </c>
      <c r="B3781" t="s">
        <v>7442</v>
      </c>
      <c r="C3781" t="s">
        <v>19</v>
      </c>
      <c r="D3781" t="s">
        <v>201</v>
      </c>
      <c r="E3781" t="s">
        <v>21</v>
      </c>
      <c r="F3781" t="s">
        <v>51</v>
      </c>
      <c r="G3781" t="s">
        <v>23</v>
      </c>
      <c r="H3781" t="s">
        <v>383</v>
      </c>
      <c r="I3781" t="s">
        <v>7443</v>
      </c>
      <c r="J3781">
        <v>9.9818130000000007</v>
      </c>
      <c r="K3781">
        <v>-84.732795300000006</v>
      </c>
      <c r="L3781" t="s">
        <v>1225</v>
      </c>
      <c r="M3781" t="s">
        <v>204</v>
      </c>
      <c r="N3781" t="s">
        <v>205</v>
      </c>
      <c r="O3781" t="s">
        <v>206</v>
      </c>
      <c r="P3781">
        <v>9</v>
      </c>
      <c r="Q3781" t="s">
        <v>80</v>
      </c>
      <c r="S3781" t="str">
        <f>_xlfn.XLOOKUP(UNIVERSO[[#This Row],[Ruta]],'[1]CUOTA RUTA'!A:A,'[1]CUOTA RUTA'!D:D)</f>
        <v>Cargar</v>
      </c>
    </row>
    <row r="3782" spans="1:19" x14ac:dyDescent="0.25">
      <c r="A3782">
        <v>1540047763</v>
      </c>
      <c r="B3782" t="s">
        <v>7444</v>
      </c>
      <c r="C3782" t="s">
        <v>19</v>
      </c>
      <c r="D3782" t="s">
        <v>20</v>
      </c>
      <c r="E3782" t="s">
        <v>21</v>
      </c>
      <c r="F3782" t="s">
        <v>22</v>
      </c>
      <c r="G3782" t="s">
        <v>64</v>
      </c>
      <c r="H3782" t="s">
        <v>250</v>
      </c>
      <c r="I3782" t="s">
        <v>7445</v>
      </c>
      <c r="J3782">
        <v>10.02828369</v>
      </c>
      <c r="K3782">
        <v>-84.239405919999996</v>
      </c>
      <c r="L3782" t="s">
        <v>1225</v>
      </c>
      <c r="M3782" t="s">
        <v>46</v>
      </c>
      <c r="N3782" t="s">
        <v>47</v>
      </c>
      <c r="O3782" t="s">
        <v>48</v>
      </c>
      <c r="P3782">
        <v>3</v>
      </c>
      <c r="Q3782" t="s">
        <v>101</v>
      </c>
      <c r="S3782" t="str">
        <f>_xlfn.XLOOKUP(UNIVERSO[[#This Row],[Ruta]],'[1]CUOTA RUTA'!A:A,'[1]CUOTA RUTA'!D:D)</f>
        <v>Cargar</v>
      </c>
    </row>
    <row r="3783" spans="1:19" x14ac:dyDescent="0.25">
      <c r="A3783">
        <v>1540047798</v>
      </c>
      <c r="B3783" t="s">
        <v>7446</v>
      </c>
      <c r="C3783" t="s">
        <v>19</v>
      </c>
      <c r="D3783" t="s">
        <v>349</v>
      </c>
      <c r="E3783" t="s">
        <v>62</v>
      </c>
      <c r="F3783" t="s">
        <v>63</v>
      </c>
      <c r="G3783" t="s">
        <v>64</v>
      </c>
      <c r="H3783" t="s">
        <v>448</v>
      </c>
      <c r="I3783" t="s">
        <v>7447</v>
      </c>
      <c r="J3783">
        <v>9.9711020000000001</v>
      </c>
      <c r="K3783">
        <v>-85.657272000000006</v>
      </c>
      <c r="L3783" t="s">
        <v>1225</v>
      </c>
      <c r="M3783" t="s">
        <v>352</v>
      </c>
      <c r="N3783" t="s">
        <v>353</v>
      </c>
      <c r="O3783" t="s">
        <v>354</v>
      </c>
      <c r="P3783">
        <v>6</v>
      </c>
      <c r="Q3783" t="s">
        <v>49</v>
      </c>
      <c r="S3783" t="str">
        <f>_xlfn.XLOOKUP(UNIVERSO[[#This Row],[Ruta]],'[1]CUOTA RUTA'!A:A,'[1]CUOTA RUTA'!D:D)</f>
        <v>Cargar</v>
      </c>
    </row>
    <row r="3784" spans="1:19" x14ac:dyDescent="0.25">
      <c r="A3784">
        <v>1540047857</v>
      </c>
      <c r="B3784" t="s">
        <v>7448</v>
      </c>
      <c r="C3784" t="s">
        <v>19</v>
      </c>
      <c r="D3784" t="s">
        <v>32</v>
      </c>
      <c r="E3784" t="s">
        <v>21</v>
      </c>
      <c r="F3784" t="s">
        <v>22</v>
      </c>
      <c r="G3784" t="s">
        <v>33</v>
      </c>
      <c r="H3784" t="s">
        <v>683</v>
      </c>
      <c r="I3784" t="s">
        <v>7449</v>
      </c>
      <c r="J3784">
        <v>9.9401899999999994</v>
      </c>
      <c r="K3784">
        <v>-84.093012999999999</v>
      </c>
      <c r="L3784" t="s">
        <v>1225</v>
      </c>
      <c r="M3784" t="s">
        <v>71</v>
      </c>
      <c r="N3784" t="s">
        <v>72</v>
      </c>
      <c r="O3784" t="s">
        <v>73</v>
      </c>
      <c r="P3784">
        <v>4</v>
      </c>
      <c r="Q3784" t="s">
        <v>120</v>
      </c>
      <c r="S3784" t="str">
        <f>_xlfn.XLOOKUP(UNIVERSO[[#This Row],[Ruta]],'[1]CUOTA RUTA'!A:A,'[1]CUOTA RUTA'!D:D)</f>
        <v>Cargar</v>
      </c>
    </row>
    <row r="3785" spans="1:19" x14ac:dyDescent="0.25">
      <c r="A3785">
        <v>1540047921</v>
      </c>
      <c r="B3785" t="s">
        <v>7450</v>
      </c>
      <c r="C3785" t="s">
        <v>19</v>
      </c>
      <c r="D3785" t="s">
        <v>186</v>
      </c>
      <c r="E3785" t="s">
        <v>21</v>
      </c>
      <c r="F3785" t="s">
        <v>22</v>
      </c>
      <c r="G3785" t="s">
        <v>64</v>
      </c>
      <c r="H3785" t="s">
        <v>420</v>
      </c>
      <c r="I3785" t="s">
        <v>7451</v>
      </c>
      <c r="J3785">
        <v>9.918113</v>
      </c>
      <c r="K3785">
        <v>-83.018855000000002</v>
      </c>
      <c r="L3785" t="s">
        <v>1225</v>
      </c>
      <c r="M3785" t="s">
        <v>189</v>
      </c>
      <c r="N3785" t="s">
        <v>190</v>
      </c>
      <c r="O3785" t="s">
        <v>191</v>
      </c>
      <c r="P3785">
        <v>16</v>
      </c>
      <c r="Q3785" t="s">
        <v>60</v>
      </c>
      <c r="S3785" t="str">
        <f>_xlfn.XLOOKUP(UNIVERSO[[#This Row],[Ruta]],'[1]CUOTA RUTA'!A:A,'[1]CUOTA RUTA'!D:D)</f>
        <v>Cargar</v>
      </c>
    </row>
    <row r="3786" spans="1:19" x14ac:dyDescent="0.25">
      <c r="A3786">
        <v>1540047958</v>
      </c>
      <c r="B3786" t="s">
        <v>7452</v>
      </c>
      <c r="C3786" t="s">
        <v>19</v>
      </c>
      <c r="D3786" t="s">
        <v>186</v>
      </c>
      <c r="E3786" t="s">
        <v>62</v>
      </c>
      <c r="F3786" t="s">
        <v>63</v>
      </c>
      <c r="G3786" t="s">
        <v>33</v>
      </c>
      <c r="H3786" t="s">
        <v>237</v>
      </c>
      <c r="I3786" t="s">
        <v>7453</v>
      </c>
      <c r="J3786">
        <v>10.079776000000001</v>
      </c>
      <c r="K3786">
        <v>-83.318445999999994</v>
      </c>
      <c r="L3786" t="s">
        <v>1225</v>
      </c>
      <c r="M3786" t="s">
        <v>189</v>
      </c>
      <c r="N3786" t="s">
        <v>190</v>
      </c>
      <c r="O3786" t="s">
        <v>191</v>
      </c>
      <c r="P3786">
        <v>20</v>
      </c>
      <c r="Q3786" t="s">
        <v>74</v>
      </c>
      <c r="S3786" t="str">
        <f>_xlfn.XLOOKUP(UNIVERSO[[#This Row],[Ruta]],'[1]CUOTA RUTA'!A:A,'[1]CUOTA RUTA'!D:D)</f>
        <v>Cargar</v>
      </c>
    </row>
    <row r="3787" spans="1:19" x14ac:dyDescent="0.25">
      <c r="A3787">
        <v>1540047977</v>
      </c>
      <c r="B3787" t="s">
        <v>7454</v>
      </c>
      <c r="C3787" t="s">
        <v>19</v>
      </c>
      <c r="D3787" t="s">
        <v>244</v>
      </c>
      <c r="E3787" t="s">
        <v>21</v>
      </c>
      <c r="F3787" t="s">
        <v>51</v>
      </c>
      <c r="G3787" t="s">
        <v>23</v>
      </c>
      <c r="H3787" t="s">
        <v>857</v>
      </c>
      <c r="I3787" t="s">
        <v>7455</v>
      </c>
      <c r="J3787">
        <v>9.1461400000000008</v>
      </c>
      <c r="K3787">
        <v>-83.331554999999994</v>
      </c>
      <c r="L3787" t="s">
        <v>1225</v>
      </c>
      <c r="M3787" t="s">
        <v>46</v>
      </c>
      <c r="N3787" t="s">
        <v>247</v>
      </c>
      <c r="O3787" t="s">
        <v>248</v>
      </c>
      <c r="P3787">
        <v>12</v>
      </c>
      <c r="Q3787" t="s">
        <v>42</v>
      </c>
      <c r="S3787" t="str">
        <f>_xlfn.XLOOKUP(UNIVERSO[[#This Row],[Ruta]],'[1]CUOTA RUTA'!A:A,'[1]CUOTA RUTA'!D:D)</f>
        <v>Cargar</v>
      </c>
    </row>
    <row r="3788" spans="1:19" x14ac:dyDescent="0.25">
      <c r="A3788">
        <v>1540048025</v>
      </c>
      <c r="B3788" t="s">
        <v>7456</v>
      </c>
      <c r="C3788" t="s">
        <v>19</v>
      </c>
      <c r="D3788" t="s">
        <v>201</v>
      </c>
      <c r="E3788" t="s">
        <v>21</v>
      </c>
      <c r="F3788" t="s">
        <v>22</v>
      </c>
      <c r="G3788" t="s">
        <v>33</v>
      </c>
      <c r="H3788" t="s">
        <v>593</v>
      </c>
      <c r="I3788" t="s">
        <v>7457</v>
      </c>
      <c r="J3788">
        <v>9.9861635</v>
      </c>
      <c r="K3788">
        <v>-84.779756800000001</v>
      </c>
      <c r="L3788" t="s">
        <v>1225</v>
      </c>
      <c r="M3788" t="s">
        <v>204</v>
      </c>
      <c r="N3788" t="s">
        <v>205</v>
      </c>
      <c r="O3788" t="s">
        <v>206</v>
      </c>
      <c r="P3788">
        <v>10</v>
      </c>
      <c r="Q3788" t="s">
        <v>136</v>
      </c>
      <c r="S3788" t="str">
        <f>_xlfn.XLOOKUP(UNIVERSO[[#This Row],[Ruta]],'[1]CUOTA RUTA'!A:A,'[1]CUOTA RUTA'!D:D)</f>
        <v>Cargar</v>
      </c>
    </row>
    <row r="3789" spans="1:19" x14ac:dyDescent="0.25">
      <c r="A3789">
        <v>1540048062</v>
      </c>
      <c r="B3789" t="s">
        <v>7458</v>
      </c>
      <c r="C3789" t="s">
        <v>19</v>
      </c>
      <c r="D3789" t="s">
        <v>186</v>
      </c>
      <c r="E3789" t="s">
        <v>21</v>
      </c>
      <c r="F3789" t="s">
        <v>22</v>
      </c>
      <c r="G3789" t="s">
        <v>33</v>
      </c>
      <c r="H3789" t="s">
        <v>241</v>
      </c>
      <c r="I3789" t="s">
        <v>7459</v>
      </c>
      <c r="J3789">
        <v>9.9944740000000003</v>
      </c>
      <c r="K3789">
        <v>-83.151697999999996</v>
      </c>
      <c r="L3789" t="s">
        <v>1225</v>
      </c>
      <c r="M3789" t="s">
        <v>189</v>
      </c>
      <c r="N3789" t="s">
        <v>190</v>
      </c>
      <c r="O3789" t="s">
        <v>191</v>
      </c>
      <c r="P3789">
        <v>19</v>
      </c>
      <c r="Q3789" t="s">
        <v>67</v>
      </c>
      <c r="S3789" t="str">
        <f>_xlfn.XLOOKUP(UNIVERSO[[#This Row],[Ruta]],'[1]CUOTA RUTA'!A:A,'[1]CUOTA RUTA'!D:D)</f>
        <v>Cargar</v>
      </c>
    </row>
    <row r="3790" spans="1:19" x14ac:dyDescent="0.25">
      <c r="A3790">
        <v>1540048132</v>
      </c>
      <c r="B3790" t="s">
        <v>7460</v>
      </c>
      <c r="C3790" t="s">
        <v>19</v>
      </c>
      <c r="D3790" t="s">
        <v>20</v>
      </c>
      <c r="E3790" t="s">
        <v>21</v>
      </c>
      <c r="F3790" t="s">
        <v>22</v>
      </c>
      <c r="G3790" t="s">
        <v>64</v>
      </c>
      <c r="H3790" t="s">
        <v>263</v>
      </c>
      <c r="I3790" t="s">
        <v>7461</v>
      </c>
      <c r="J3790">
        <v>10.108886999999999</v>
      </c>
      <c r="K3790">
        <v>-84.401826999999997</v>
      </c>
      <c r="L3790" t="s">
        <v>1225</v>
      </c>
      <c r="M3790" t="s">
        <v>46</v>
      </c>
      <c r="N3790" t="s">
        <v>47</v>
      </c>
      <c r="O3790" t="s">
        <v>48</v>
      </c>
      <c r="P3790">
        <v>1</v>
      </c>
      <c r="Q3790" t="s">
        <v>155</v>
      </c>
      <c r="S3790" t="str">
        <f>_xlfn.XLOOKUP(UNIVERSO[[#This Row],[Ruta]],'[1]CUOTA RUTA'!A:A,'[1]CUOTA RUTA'!D:D)</f>
        <v>Cargar</v>
      </c>
    </row>
    <row r="3791" spans="1:19" x14ac:dyDescent="0.25">
      <c r="A3791">
        <v>1540048141</v>
      </c>
      <c r="B3791" t="s">
        <v>7462</v>
      </c>
      <c r="C3791" t="s">
        <v>19</v>
      </c>
      <c r="D3791" t="s">
        <v>208</v>
      </c>
      <c r="E3791" t="s">
        <v>21</v>
      </c>
      <c r="F3791" t="s">
        <v>22</v>
      </c>
      <c r="G3791" t="s">
        <v>64</v>
      </c>
      <c r="H3791" t="s">
        <v>719</v>
      </c>
      <c r="I3791" t="s">
        <v>7463</v>
      </c>
      <c r="J3791">
        <v>10.36544</v>
      </c>
      <c r="K3791">
        <v>-83.729698330000005</v>
      </c>
      <c r="L3791" t="s">
        <v>1225</v>
      </c>
      <c r="M3791" t="s">
        <v>189</v>
      </c>
      <c r="N3791" t="s">
        <v>211</v>
      </c>
      <c r="O3791" t="s">
        <v>212</v>
      </c>
      <c r="P3791">
        <v>1</v>
      </c>
      <c r="Q3791" t="s">
        <v>155</v>
      </c>
      <c r="S3791" t="str">
        <f>_xlfn.XLOOKUP(UNIVERSO[[#This Row],[Ruta]],'[1]CUOTA RUTA'!A:A,'[1]CUOTA RUTA'!D:D)</f>
        <v>Cargar</v>
      </c>
    </row>
    <row r="3792" spans="1:19" x14ac:dyDescent="0.25">
      <c r="A3792">
        <v>1540048166</v>
      </c>
      <c r="B3792" t="s">
        <v>7464</v>
      </c>
      <c r="C3792" t="s">
        <v>19</v>
      </c>
      <c r="D3792" t="s">
        <v>349</v>
      </c>
      <c r="E3792" t="s">
        <v>21</v>
      </c>
      <c r="F3792" t="s">
        <v>22</v>
      </c>
      <c r="G3792" t="s">
        <v>64</v>
      </c>
      <c r="H3792" t="s">
        <v>448</v>
      </c>
      <c r="I3792" t="s">
        <v>7465</v>
      </c>
      <c r="J3792">
        <v>9.9718359999999997</v>
      </c>
      <c r="K3792">
        <v>-85.651486000000006</v>
      </c>
      <c r="L3792" t="s">
        <v>1225</v>
      </c>
      <c r="M3792" t="s">
        <v>352</v>
      </c>
      <c r="N3792" t="s">
        <v>353</v>
      </c>
      <c r="O3792" t="s">
        <v>354</v>
      </c>
      <c r="P3792">
        <v>7</v>
      </c>
      <c r="Q3792" t="s">
        <v>39</v>
      </c>
      <c r="S3792" t="str">
        <f>_xlfn.XLOOKUP(UNIVERSO[[#This Row],[Ruta]],'[1]CUOTA RUTA'!A:A,'[1]CUOTA RUTA'!D:D)</f>
        <v>Cargar</v>
      </c>
    </row>
    <row r="3793" spans="1:19" x14ac:dyDescent="0.25">
      <c r="A3793">
        <v>1540048196</v>
      </c>
      <c r="B3793" t="s">
        <v>1590</v>
      </c>
      <c r="C3793" t="s">
        <v>19</v>
      </c>
      <c r="D3793" t="s">
        <v>20</v>
      </c>
      <c r="E3793" t="s">
        <v>21</v>
      </c>
      <c r="F3793" t="s">
        <v>22</v>
      </c>
      <c r="G3793" t="s">
        <v>23</v>
      </c>
      <c r="H3793" t="s">
        <v>311</v>
      </c>
      <c r="I3793" t="s">
        <v>7466</v>
      </c>
      <c r="J3793">
        <v>9.9630767000000002</v>
      </c>
      <c r="K3793">
        <v>-84.227831699999996</v>
      </c>
      <c r="L3793" t="s">
        <v>1225</v>
      </c>
      <c r="M3793" t="s">
        <v>54</v>
      </c>
      <c r="N3793" t="s">
        <v>55</v>
      </c>
      <c r="O3793" t="s">
        <v>56</v>
      </c>
      <c r="P3793">
        <v>9</v>
      </c>
      <c r="Q3793" t="s">
        <v>80</v>
      </c>
      <c r="S3793" t="str">
        <f>_xlfn.XLOOKUP(UNIVERSO[[#This Row],[Ruta]],'[1]CUOTA RUTA'!A:A,'[1]CUOTA RUTA'!D:D)</f>
        <v>Cargar</v>
      </c>
    </row>
    <row r="3794" spans="1:19" x14ac:dyDescent="0.25">
      <c r="A3794">
        <v>1540048228</v>
      </c>
      <c r="B3794" t="s">
        <v>7467</v>
      </c>
      <c r="C3794" t="s">
        <v>19</v>
      </c>
      <c r="D3794" t="s">
        <v>20</v>
      </c>
      <c r="E3794" t="s">
        <v>62</v>
      </c>
      <c r="F3794" t="s">
        <v>63</v>
      </c>
      <c r="G3794" t="s">
        <v>64</v>
      </c>
      <c r="H3794" t="s">
        <v>369</v>
      </c>
      <c r="I3794" t="s">
        <v>7468</v>
      </c>
      <c r="J3794">
        <v>10.027850969999999</v>
      </c>
      <c r="K3794">
        <v>-84.138230910000004</v>
      </c>
      <c r="L3794" t="s">
        <v>1225</v>
      </c>
      <c r="M3794" t="s">
        <v>27</v>
      </c>
      <c r="N3794" t="s">
        <v>28</v>
      </c>
      <c r="O3794" t="s">
        <v>29</v>
      </c>
      <c r="P3794">
        <v>21</v>
      </c>
      <c r="Q3794" t="s">
        <v>239</v>
      </c>
      <c r="S3794" t="str">
        <f>_xlfn.XLOOKUP(UNIVERSO[[#This Row],[Ruta]],'[1]CUOTA RUTA'!A:A,'[1]CUOTA RUTA'!D:D)</f>
        <v>Cargar</v>
      </c>
    </row>
    <row r="3795" spans="1:19" x14ac:dyDescent="0.25">
      <c r="A3795">
        <v>1540048245</v>
      </c>
      <c r="B3795" t="s">
        <v>7469</v>
      </c>
      <c r="C3795" t="s">
        <v>19</v>
      </c>
      <c r="D3795" t="s">
        <v>324</v>
      </c>
      <c r="E3795" t="s">
        <v>21</v>
      </c>
      <c r="F3795" t="s">
        <v>22</v>
      </c>
      <c r="G3795" t="s">
        <v>33</v>
      </c>
      <c r="H3795" t="s">
        <v>393</v>
      </c>
      <c r="I3795" t="s">
        <v>7470</v>
      </c>
      <c r="J3795">
        <v>10.401854</v>
      </c>
      <c r="K3795">
        <v>-84.383303999999995</v>
      </c>
      <c r="L3795" t="s">
        <v>1225</v>
      </c>
      <c r="M3795" t="s">
        <v>327</v>
      </c>
      <c r="N3795" t="s">
        <v>328</v>
      </c>
      <c r="O3795" t="s">
        <v>329</v>
      </c>
      <c r="P3795">
        <v>19</v>
      </c>
      <c r="Q3795" t="s">
        <v>67</v>
      </c>
      <c r="S3795" t="str">
        <f>_xlfn.XLOOKUP(UNIVERSO[[#This Row],[Ruta]],'[1]CUOTA RUTA'!A:A,'[1]CUOTA RUTA'!D:D)</f>
        <v>Cargar</v>
      </c>
    </row>
    <row r="3796" spans="1:19" x14ac:dyDescent="0.25">
      <c r="A3796">
        <v>1540048362</v>
      </c>
      <c r="B3796" t="s">
        <v>7471</v>
      </c>
      <c r="C3796" t="s">
        <v>19</v>
      </c>
      <c r="D3796" t="s">
        <v>324</v>
      </c>
      <c r="E3796" t="s">
        <v>21</v>
      </c>
      <c r="F3796" t="s">
        <v>22</v>
      </c>
      <c r="G3796" t="s">
        <v>64</v>
      </c>
      <c r="H3796" t="s">
        <v>511</v>
      </c>
      <c r="I3796" t="s">
        <v>7472</v>
      </c>
      <c r="J3796">
        <v>10.5587</v>
      </c>
      <c r="K3796">
        <v>-84.656338000000005</v>
      </c>
      <c r="L3796" t="s">
        <v>1225</v>
      </c>
      <c r="M3796" t="s">
        <v>327</v>
      </c>
      <c r="N3796" t="s">
        <v>328</v>
      </c>
      <c r="O3796" t="s">
        <v>329</v>
      </c>
      <c r="P3796">
        <v>21</v>
      </c>
      <c r="Q3796" t="s">
        <v>239</v>
      </c>
      <c r="S3796" t="str">
        <f>_xlfn.XLOOKUP(UNIVERSO[[#This Row],[Ruta]],'[1]CUOTA RUTA'!A:A,'[1]CUOTA RUTA'!D:D)</f>
        <v>Cargar</v>
      </c>
    </row>
    <row r="3797" spans="1:19" x14ac:dyDescent="0.25">
      <c r="A3797">
        <v>1540048369</v>
      </c>
      <c r="B3797" t="s">
        <v>7473</v>
      </c>
      <c r="C3797" t="s">
        <v>19</v>
      </c>
      <c r="D3797" t="s">
        <v>266</v>
      </c>
      <c r="E3797" t="s">
        <v>21</v>
      </c>
      <c r="F3797" t="s">
        <v>22</v>
      </c>
      <c r="G3797" t="s">
        <v>23</v>
      </c>
      <c r="H3797" t="s">
        <v>706</v>
      </c>
      <c r="I3797" t="s">
        <v>7474</v>
      </c>
      <c r="J3797">
        <v>9.8577440000000003</v>
      </c>
      <c r="K3797">
        <v>-83.940124999999995</v>
      </c>
      <c r="L3797" t="s">
        <v>1225</v>
      </c>
      <c r="M3797" t="s">
        <v>36</v>
      </c>
      <c r="N3797" t="s">
        <v>316</v>
      </c>
      <c r="O3797" t="s">
        <v>317</v>
      </c>
      <c r="P3797">
        <v>18</v>
      </c>
      <c r="Q3797" t="s">
        <v>84</v>
      </c>
      <c r="S3797" t="str">
        <f>_xlfn.XLOOKUP(UNIVERSO[[#This Row],[Ruta]],'[1]CUOTA RUTA'!A:A,'[1]CUOTA RUTA'!D:D)</f>
        <v>Cargar</v>
      </c>
    </row>
    <row r="3798" spans="1:19" x14ac:dyDescent="0.25">
      <c r="A3798">
        <v>1540048393</v>
      </c>
      <c r="B3798" t="s">
        <v>7475</v>
      </c>
      <c r="C3798" t="s">
        <v>19</v>
      </c>
      <c r="D3798" t="s">
        <v>20</v>
      </c>
      <c r="E3798" t="s">
        <v>21</v>
      </c>
      <c r="F3798" t="s">
        <v>22</v>
      </c>
      <c r="G3798" t="s">
        <v>33</v>
      </c>
      <c r="H3798" t="s">
        <v>143</v>
      </c>
      <c r="I3798" t="s">
        <v>7476</v>
      </c>
      <c r="J3798">
        <v>9.9417460999999996</v>
      </c>
      <c r="K3798">
        <v>-84.122800999999995</v>
      </c>
      <c r="L3798" t="s">
        <v>1225</v>
      </c>
      <c r="M3798" t="s">
        <v>27</v>
      </c>
      <c r="N3798" t="s">
        <v>28</v>
      </c>
      <c r="O3798" t="s">
        <v>29</v>
      </c>
      <c r="P3798">
        <v>9</v>
      </c>
      <c r="Q3798" t="s">
        <v>80</v>
      </c>
      <c r="S3798" t="str">
        <f>_xlfn.XLOOKUP(UNIVERSO[[#This Row],[Ruta]],'[1]CUOTA RUTA'!A:A,'[1]CUOTA RUTA'!D:D)</f>
        <v>Cargar</v>
      </c>
    </row>
    <row r="3799" spans="1:19" x14ac:dyDescent="0.25">
      <c r="A3799">
        <v>1540048404</v>
      </c>
      <c r="B3799" t="s">
        <v>7477</v>
      </c>
      <c r="C3799" t="s">
        <v>19</v>
      </c>
      <c r="D3799" t="s">
        <v>201</v>
      </c>
      <c r="E3799" t="s">
        <v>21</v>
      </c>
      <c r="F3799" t="s">
        <v>22</v>
      </c>
      <c r="G3799" t="s">
        <v>33</v>
      </c>
      <c r="H3799" t="s">
        <v>593</v>
      </c>
      <c r="I3799" t="s">
        <v>7478</v>
      </c>
      <c r="J3799">
        <v>9.9758312</v>
      </c>
      <c r="K3799">
        <v>-84.842576300000005</v>
      </c>
      <c r="L3799" t="s">
        <v>1225</v>
      </c>
      <c r="M3799" t="s">
        <v>204</v>
      </c>
      <c r="N3799" t="s">
        <v>205</v>
      </c>
      <c r="O3799" t="s">
        <v>206</v>
      </c>
      <c r="P3799">
        <v>11</v>
      </c>
      <c r="Q3799" t="s">
        <v>108</v>
      </c>
      <c r="S3799" t="str">
        <f>_xlfn.XLOOKUP(UNIVERSO[[#This Row],[Ruta]],'[1]CUOTA RUTA'!A:A,'[1]CUOTA RUTA'!D:D)</f>
        <v>Cargar</v>
      </c>
    </row>
    <row r="3800" spans="1:19" x14ac:dyDescent="0.25">
      <c r="A3800">
        <v>1540048406</v>
      </c>
      <c r="B3800" t="s">
        <v>7479</v>
      </c>
      <c r="C3800" t="s">
        <v>19</v>
      </c>
      <c r="D3800" t="s">
        <v>32</v>
      </c>
      <c r="E3800" t="s">
        <v>21</v>
      </c>
      <c r="F3800" t="s">
        <v>22</v>
      </c>
      <c r="G3800" t="s">
        <v>64</v>
      </c>
      <c r="H3800" t="s">
        <v>76</v>
      </c>
      <c r="I3800" t="s">
        <v>7480</v>
      </c>
      <c r="J3800">
        <v>9.9709430000000001</v>
      </c>
      <c r="K3800">
        <v>-83.999082999999999</v>
      </c>
      <c r="L3800" t="s">
        <v>1225</v>
      </c>
      <c r="M3800" t="s">
        <v>36</v>
      </c>
      <c r="N3800" t="s">
        <v>37</v>
      </c>
      <c r="O3800" t="s">
        <v>38</v>
      </c>
      <c r="P3800">
        <v>21</v>
      </c>
      <c r="Q3800" t="s">
        <v>239</v>
      </c>
      <c r="S3800" t="str">
        <f>_xlfn.XLOOKUP(UNIVERSO[[#This Row],[Ruta]],'[1]CUOTA RUTA'!A:A,'[1]CUOTA RUTA'!D:D)</f>
        <v>Cargar</v>
      </c>
    </row>
    <row r="3801" spans="1:19" x14ac:dyDescent="0.25">
      <c r="A3801">
        <v>1540048411</v>
      </c>
      <c r="B3801" t="s">
        <v>7481</v>
      </c>
      <c r="C3801" t="s">
        <v>19</v>
      </c>
      <c r="D3801" t="s">
        <v>201</v>
      </c>
      <c r="E3801" t="s">
        <v>21</v>
      </c>
      <c r="F3801" t="s">
        <v>22</v>
      </c>
      <c r="G3801" t="s">
        <v>23</v>
      </c>
      <c r="H3801" t="s">
        <v>533</v>
      </c>
      <c r="I3801" t="s">
        <v>7482</v>
      </c>
      <c r="J3801">
        <v>9.9131901048789999</v>
      </c>
      <c r="K3801">
        <v>-84.524738272880001</v>
      </c>
      <c r="L3801" t="s">
        <v>1225</v>
      </c>
      <c r="M3801" t="s">
        <v>204</v>
      </c>
      <c r="N3801" t="s">
        <v>205</v>
      </c>
      <c r="O3801" t="s">
        <v>206</v>
      </c>
      <c r="P3801">
        <v>2</v>
      </c>
      <c r="Q3801" t="s">
        <v>150</v>
      </c>
      <c r="S3801" t="str">
        <f>_xlfn.XLOOKUP(UNIVERSO[[#This Row],[Ruta]],'[1]CUOTA RUTA'!A:A,'[1]CUOTA RUTA'!D:D)</f>
        <v>Cargar</v>
      </c>
    </row>
    <row r="3802" spans="1:19" x14ac:dyDescent="0.25">
      <c r="A3802">
        <v>1540048420</v>
      </c>
      <c r="B3802" t="s">
        <v>7483</v>
      </c>
      <c r="C3802" t="s">
        <v>19</v>
      </c>
      <c r="D3802" t="s">
        <v>201</v>
      </c>
      <c r="E3802" t="s">
        <v>21</v>
      </c>
      <c r="F3802" t="s">
        <v>22</v>
      </c>
      <c r="G3802" t="s">
        <v>33</v>
      </c>
      <c r="H3802" t="s">
        <v>533</v>
      </c>
      <c r="I3802" t="s">
        <v>7484</v>
      </c>
      <c r="J3802">
        <v>9.9116255273349996</v>
      </c>
      <c r="K3802">
        <v>-84.51939253914</v>
      </c>
      <c r="L3802" t="s">
        <v>1225</v>
      </c>
      <c r="M3802" t="s">
        <v>204</v>
      </c>
      <c r="N3802" t="s">
        <v>205</v>
      </c>
      <c r="O3802" t="s">
        <v>206</v>
      </c>
      <c r="P3802">
        <v>1</v>
      </c>
      <c r="Q3802" t="s">
        <v>155</v>
      </c>
      <c r="S3802" t="str">
        <f>_xlfn.XLOOKUP(UNIVERSO[[#This Row],[Ruta]],'[1]CUOTA RUTA'!A:A,'[1]CUOTA RUTA'!D:D)</f>
        <v>Cargar</v>
      </c>
    </row>
    <row r="3803" spans="1:19" x14ac:dyDescent="0.25">
      <c r="A3803">
        <v>1540048448</v>
      </c>
      <c r="B3803" t="s">
        <v>7485</v>
      </c>
      <c r="C3803" t="s">
        <v>19</v>
      </c>
      <c r="D3803" t="s">
        <v>201</v>
      </c>
      <c r="E3803" t="s">
        <v>21</v>
      </c>
      <c r="F3803" t="s">
        <v>22</v>
      </c>
      <c r="G3803" t="s">
        <v>23</v>
      </c>
      <c r="H3803" t="s">
        <v>334</v>
      </c>
      <c r="I3803" t="s">
        <v>7486</v>
      </c>
      <c r="J3803">
        <v>9.9939554000000008</v>
      </c>
      <c r="K3803">
        <v>-84.672997199999998</v>
      </c>
      <c r="L3803" t="s">
        <v>1225</v>
      </c>
      <c r="M3803" t="s">
        <v>204</v>
      </c>
      <c r="N3803" t="s">
        <v>205</v>
      </c>
      <c r="O3803" t="s">
        <v>206</v>
      </c>
      <c r="P3803">
        <v>13</v>
      </c>
      <c r="Q3803" t="s">
        <v>161</v>
      </c>
      <c r="S3803" t="str">
        <f>_xlfn.XLOOKUP(UNIVERSO[[#This Row],[Ruta]],'[1]CUOTA RUTA'!A:A,'[1]CUOTA RUTA'!D:D)</f>
        <v>Cargar</v>
      </c>
    </row>
    <row r="3804" spans="1:19" x14ac:dyDescent="0.25">
      <c r="A3804">
        <v>1540048476</v>
      </c>
      <c r="B3804" t="s">
        <v>7487</v>
      </c>
      <c r="C3804" t="s">
        <v>19</v>
      </c>
      <c r="D3804" t="s">
        <v>20</v>
      </c>
      <c r="E3804" t="s">
        <v>21</v>
      </c>
      <c r="F3804" t="s">
        <v>22</v>
      </c>
      <c r="G3804" t="s">
        <v>33</v>
      </c>
      <c r="H3804" t="s">
        <v>874</v>
      </c>
      <c r="I3804" t="s">
        <v>7488</v>
      </c>
      <c r="J3804">
        <v>9.9776030000000002</v>
      </c>
      <c r="K3804">
        <v>-84.118555999999998</v>
      </c>
      <c r="L3804" t="s">
        <v>1225</v>
      </c>
      <c r="M3804" t="s">
        <v>27</v>
      </c>
      <c r="N3804" t="s">
        <v>28</v>
      </c>
      <c r="O3804" t="s">
        <v>29</v>
      </c>
      <c r="P3804">
        <v>7</v>
      </c>
      <c r="Q3804" t="s">
        <v>39</v>
      </c>
      <c r="S3804" t="str">
        <f>_xlfn.XLOOKUP(UNIVERSO[[#This Row],[Ruta]],'[1]CUOTA RUTA'!A:A,'[1]CUOTA RUTA'!D:D)</f>
        <v>Cargar</v>
      </c>
    </row>
    <row r="3805" spans="1:19" x14ac:dyDescent="0.25">
      <c r="A3805">
        <v>1540048481</v>
      </c>
      <c r="B3805" t="s">
        <v>7489</v>
      </c>
      <c r="C3805" t="s">
        <v>19</v>
      </c>
      <c r="D3805" t="s">
        <v>32</v>
      </c>
      <c r="E3805" t="s">
        <v>21</v>
      </c>
      <c r="F3805" t="s">
        <v>22</v>
      </c>
      <c r="G3805" t="s">
        <v>64</v>
      </c>
      <c r="H3805" t="s">
        <v>82</v>
      </c>
      <c r="I3805" t="s">
        <v>7490</v>
      </c>
      <c r="J3805">
        <v>9.8984459999999999</v>
      </c>
      <c r="K3805">
        <v>-84.071580999999995</v>
      </c>
      <c r="L3805" t="s">
        <v>1225</v>
      </c>
      <c r="M3805" t="s">
        <v>71</v>
      </c>
      <c r="N3805" t="s">
        <v>72</v>
      </c>
      <c r="O3805" t="s">
        <v>73</v>
      </c>
      <c r="P3805">
        <v>7</v>
      </c>
      <c r="Q3805" t="s">
        <v>39</v>
      </c>
      <c r="S3805" t="str">
        <f>_xlfn.XLOOKUP(UNIVERSO[[#This Row],[Ruta]],'[1]CUOTA RUTA'!A:A,'[1]CUOTA RUTA'!D:D)</f>
        <v>Cargar</v>
      </c>
    </row>
    <row r="3806" spans="1:19" x14ac:dyDescent="0.25">
      <c r="A3806">
        <v>1540048504</v>
      </c>
      <c r="B3806" t="s">
        <v>7491</v>
      </c>
      <c r="C3806" t="s">
        <v>19</v>
      </c>
      <c r="D3806" t="s">
        <v>20</v>
      </c>
      <c r="E3806" t="s">
        <v>21</v>
      </c>
      <c r="F3806" t="s">
        <v>22</v>
      </c>
      <c r="G3806" t="s">
        <v>64</v>
      </c>
      <c r="H3806" t="s">
        <v>260</v>
      </c>
      <c r="I3806" t="s">
        <v>7492</v>
      </c>
      <c r="J3806">
        <v>10.083743999999999</v>
      </c>
      <c r="K3806">
        <v>-84.470078999999998</v>
      </c>
      <c r="L3806" t="s">
        <v>1225</v>
      </c>
      <c r="M3806" t="s">
        <v>46</v>
      </c>
      <c r="N3806" t="s">
        <v>47</v>
      </c>
      <c r="O3806" t="s">
        <v>48</v>
      </c>
      <c r="P3806">
        <v>7</v>
      </c>
      <c r="Q3806" t="s">
        <v>39</v>
      </c>
      <c r="S3806" t="str">
        <f>_xlfn.XLOOKUP(UNIVERSO[[#This Row],[Ruta]],'[1]CUOTA RUTA'!A:A,'[1]CUOTA RUTA'!D:D)</f>
        <v>Cargar</v>
      </c>
    </row>
    <row r="3807" spans="1:19" x14ac:dyDescent="0.25">
      <c r="A3807">
        <v>1540048559</v>
      </c>
      <c r="B3807" t="s">
        <v>7493</v>
      </c>
      <c r="C3807" t="s">
        <v>19</v>
      </c>
      <c r="D3807" t="s">
        <v>208</v>
      </c>
      <c r="E3807" t="s">
        <v>21</v>
      </c>
      <c r="F3807" t="s">
        <v>22</v>
      </c>
      <c r="G3807" t="s">
        <v>23</v>
      </c>
      <c r="H3807" t="s">
        <v>417</v>
      </c>
      <c r="I3807" t="s">
        <v>7494</v>
      </c>
      <c r="J3807">
        <v>10.32031623</v>
      </c>
      <c r="K3807">
        <v>-83.901596949999998</v>
      </c>
      <c r="L3807" t="s">
        <v>1225</v>
      </c>
      <c r="M3807" t="s">
        <v>189</v>
      </c>
      <c r="N3807" t="s">
        <v>211</v>
      </c>
      <c r="O3807" t="s">
        <v>212</v>
      </c>
      <c r="P3807">
        <v>3</v>
      </c>
      <c r="Q3807" t="s">
        <v>101</v>
      </c>
      <c r="S3807" t="str">
        <f>_xlfn.XLOOKUP(UNIVERSO[[#This Row],[Ruta]],'[1]CUOTA RUTA'!A:A,'[1]CUOTA RUTA'!D:D)</f>
        <v>Cargar</v>
      </c>
    </row>
    <row r="3808" spans="1:19" x14ac:dyDescent="0.25">
      <c r="A3808">
        <v>1540048565</v>
      </c>
      <c r="B3808" t="s">
        <v>4112</v>
      </c>
      <c r="C3808" t="s">
        <v>19</v>
      </c>
      <c r="D3808" t="s">
        <v>244</v>
      </c>
      <c r="E3808" t="s">
        <v>21</v>
      </c>
      <c r="F3808" t="s">
        <v>22</v>
      </c>
      <c r="G3808" t="s">
        <v>64</v>
      </c>
      <c r="H3808" t="s">
        <v>767</v>
      </c>
      <c r="I3808" t="s">
        <v>7495</v>
      </c>
      <c r="J3808">
        <v>9.3830860000000005</v>
      </c>
      <c r="K3808">
        <v>-83.713808999999998</v>
      </c>
      <c r="L3808" t="s">
        <v>1225</v>
      </c>
      <c r="M3808" t="s">
        <v>46</v>
      </c>
      <c r="N3808" t="s">
        <v>247</v>
      </c>
      <c r="O3808" t="s">
        <v>248</v>
      </c>
      <c r="P3808">
        <v>15</v>
      </c>
      <c r="Q3808" t="s">
        <v>231</v>
      </c>
      <c r="S3808" t="str">
        <f>_xlfn.XLOOKUP(UNIVERSO[[#This Row],[Ruta]],'[1]CUOTA RUTA'!A:A,'[1]CUOTA RUTA'!D:D)</f>
        <v>Cargar</v>
      </c>
    </row>
    <row r="3809" spans="1:19" x14ac:dyDescent="0.25">
      <c r="A3809">
        <v>1540048697</v>
      </c>
      <c r="B3809" t="s">
        <v>7496</v>
      </c>
      <c r="C3809" t="s">
        <v>19</v>
      </c>
      <c r="D3809" t="s">
        <v>324</v>
      </c>
      <c r="E3809" t="s">
        <v>21</v>
      </c>
      <c r="F3809" t="s">
        <v>22</v>
      </c>
      <c r="G3809" t="s">
        <v>33</v>
      </c>
      <c r="H3809" t="s">
        <v>331</v>
      </c>
      <c r="I3809" t="s">
        <v>7497</v>
      </c>
      <c r="J3809">
        <v>10.445525</v>
      </c>
      <c r="K3809">
        <v>-84.353121999999999</v>
      </c>
      <c r="L3809" t="s">
        <v>1225</v>
      </c>
      <c r="M3809" t="s">
        <v>327</v>
      </c>
      <c r="N3809" t="s">
        <v>328</v>
      </c>
      <c r="O3809" t="s">
        <v>329</v>
      </c>
      <c r="P3809">
        <v>19</v>
      </c>
      <c r="Q3809" t="s">
        <v>67</v>
      </c>
      <c r="S3809" t="str">
        <f>_xlfn.XLOOKUP(UNIVERSO[[#This Row],[Ruta]],'[1]CUOTA RUTA'!A:A,'[1]CUOTA RUTA'!D:D)</f>
        <v>Cargar</v>
      </c>
    </row>
    <row r="3810" spans="1:19" x14ac:dyDescent="0.25">
      <c r="A3810">
        <v>1540048735</v>
      </c>
      <c r="B3810" t="s">
        <v>7498</v>
      </c>
      <c r="C3810" t="s">
        <v>19</v>
      </c>
      <c r="D3810" t="s">
        <v>337</v>
      </c>
      <c r="E3810" t="s">
        <v>21</v>
      </c>
      <c r="F3810" t="s">
        <v>22</v>
      </c>
      <c r="G3810" t="s">
        <v>33</v>
      </c>
      <c r="H3810" t="s">
        <v>346</v>
      </c>
      <c r="I3810" t="s">
        <v>7499</v>
      </c>
      <c r="J3810">
        <v>10.51850685</v>
      </c>
      <c r="K3810">
        <v>-85.253835440000003</v>
      </c>
      <c r="L3810" t="s">
        <v>1225</v>
      </c>
      <c r="M3810" t="s">
        <v>327</v>
      </c>
      <c r="N3810" t="s">
        <v>340</v>
      </c>
      <c r="O3810" t="s">
        <v>341</v>
      </c>
      <c r="P3810">
        <v>20</v>
      </c>
      <c r="Q3810" t="s">
        <v>74</v>
      </c>
      <c r="S3810" t="str">
        <f>_xlfn.XLOOKUP(UNIVERSO[[#This Row],[Ruta]],'[1]CUOTA RUTA'!A:A,'[1]CUOTA RUTA'!D:D)</f>
        <v>Cargar</v>
      </c>
    </row>
    <row r="3811" spans="1:19" x14ac:dyDescent="0.25">
      <c r="A3811">
        <v>1540048743</v>
      </c>
      <c r="B3811" t="s">
        <v>7500</v>
      </c>
      <c r="C3811" t="s">
        <v>19</v>
      </c>
      <c r="D3811" t="s">
        <v>324</v>
      </c>
      <c r="E3811" t="s">
        <v>21</v>
      </c>
      <c r="F3811" t="s">
        <v>22</v>
      </c>
      <c r="G3811" t="s">
        <v>33</v>
      </c>
      <c r="H3811" t="s">
        <v>331</v>
      </c>
      <c r="I3811" t="s">
        <v>7501</v>
      </c>
      <c r="J3811">
        <v>10.414618000000001</v>
      </c>
      <c r="K3811">
        <v>-84.241195000000005</v>
      </c>
      <c r="L3811" t="s">
        <v>1225</v>
      </c>
      <c r="M3811" t="s">
        <v>327</v>
      </c>
      <c r="N3811" t="s">
        <v>328</v>
      </c>
      <c r="O3811" t="s">
        <v>329</v>
      </c>
      <c r="P3811">
        <v>17</v>
      </c>
      <c r="Q3811" t="s">
        <v>287</v>
      </c>
      <c r="S3811" t="str">
        <f>_xlfn.XLOOKUP(UNIVERSO[[#This Row],[Ruta]],'[1]CUOTA RUTA'!A:A,'[1]CUOTA RUTA'!D:D)</f>
        <v>Cargar</v>
      </c>
    </row>
    <row r="3812" spans="1:19" x14ac:dyDescent="0.25">
      <c r="A3812">
        <v>1540048754</v>
      </c>
      <c r="B3812" t="s">
        <v>7502</v>
      </c>
      <c r="C3812" t="s">
        <v>19</v>
      </c>
      <c r="D3812" t="s">
        <v>32</v>
      </c>
      <c r="E3812" t="s">
        <v>21</v>
      </c>
      <c r="F3812" t="s">
        <v>22</v>
      </c>
      <c r="G3812" t="s">
        <v>33</v>
      </c>
      <c r="H3812" t="s">
        <v>1383</v>
      </c>
      <c r="I3812" t="s">
        <v>7503</v>
      </c>
      <c r="J3812">
        <v>9.9097182999999998</v>
      </c>
      <c r="K3812">
        <v>-84.0938254</v>
      </c>
      <c r="L3812" t="s">
        <v>1225</v>
      </c>
      <c r="M3812" t="s">
        <v>71</v>
      </c>
      <c r="N3812" t="s">
        <v>72</v>
      </c>
      <c r="O3812" t="s">
        <v>73</v>
      </c>
      <c r="P3812">
        <v>9</v>
      </c>
      <c r="Q3812" t="s">
        <v>80</v>
      </c>
      <c r="S3812" t="str">
        <f>_xlfn.XLOOKUP(UNIVERSO[[#This Row],[Ruta]],'[1]CUOTA RUTA'!A:A,'[1]CUOTA RUTA'!D:D)</f>
        <v>Cargar</v>
      </c>
    </row>
    <row r="3813" spans="1:19" x14ac:dyDescent="0.25">
      <c r="A3813">
        <v>1540048814</v>
      </c>
      <c r="B3813" t="s">
        <v>7504</v>
      </c>
      <c r="C3813" t="s">
        <v>19</v>
      </c>
      <c r="D3813" t="s">
        <v>186</v>
      </c>
      <c r="E3813" t="s">
        <v>21</v>
      </c>
      <c r="F3813" t="s">
        <v>22</v>
      </c>
      <c r="G3813" t="s">
        <v>33</v>
      </c>
      <c r="H3813" t="s">
        <v>187</v>
      </c>
      <c r="I3813" t="s">
        <v>7505</v>
      </c>
      <c r="J3813">
        <v>9.9924909999999993</v>
      </c>
      <c r="K3813">
        <v>-83.058312000000001</v>
      </c>
      <c r="L3813" t="s">
        <v>1225</v>
      </c>
      <c r="M3813" t="s">
        <v>189</v>
      </c>
      <c r="N3813" t="s">
        <v>190</v>
      </c>
      <c r="O3813" t="s">
        <v>191</v>
      </c>
      <c r="P3813">
        <v>14</v>
      </c>
      <c r="Q3813" t="s">
        <v>181</v>
      </c>
      <c r="S3813" t="str">
        <f>_xlfn.XLOOKUP(UNIVERSO[[#This Row],[Ruta]],'[1]CUOTA RUTA'!A:A,'[1]CUOTA RUTA'!D:D)</f>
        <v>Cargar</v>
      </c>
    </row>
    <row r="3814" spans="1:19" x14ac:dyDescent="0.25">
      <c r="A3814">
        <v>1540048832</v>
      </c>
      <c r="B3814" t="s">
        <v>7506</v>
      </c>
      <c r="C3814" t="s">
        <v>19</v>
      </c>
      <c r="D3814" t="s">
        <v>201</v>
      </c>
      <c r="E3814" t="s">
        <v>21</v>
      </c>
      <c r="F3814" t="s">
        <v>22</v>
      </c>
      <c r="G3814" t="s">
        <v>33</v>
      </c>
      <c r="H3814" t="s">
        <v>499</v>
      </c>
      <c r="I3814" t="s">
        <v>7507</v>
      </c>
      <c r="J3814">
        <v>9.8992298000000005</v>
      </c>
      <c r="K3814">
        <v>-84.555166200000002</v>
      </c>
      <c r="L3814" t="s">
        <v>1225</v>
      </c>
      <c r="M3814" t="s">
        <v>204</v>
      </c>
      <c r="N3814" t="s">
        <v>205</v>
      </c>
      <c r="O3814" t="s">
        <v>206</v>
      </c>
      <c r="P3814">
        <v>3</v>
      </c>
      <c r="Q3814" t="s">
        <v>101</v>
      </c>
      <c r="S3814" t="str">
        <f>_xlfn.XLOOKUP(UNIVERSO[[#This Row],[Ruta]],'[1]CUOTA RUTA'!A:A,'[1]CUOTA RUTA'!D:D)</f>
        <v>Cargar</v>
      </c>
    </row>
    <row r="3815" spans="1:19" x14ac:dyDescent="0.25">
      <c r="A3815">
        <v>1540048868</v>
      </c>
      <c r="B3815" t="s">
        <v>7508</v>
      </c>
      <c r="C3815" t="s">
        <v>19</v>
      </c>
      <c r="D3815" t="s">
        <v>32</v>
      </c>
      <c r="E3815" t="s">
        <v>21</v>
      </c>
      <c r="F3815" t="s">
        <v>22</v>
      </c>
      <c r="G3815" t="s">
        <v>33</v>
      </c>
      <c r="H3815" t="s">
        <v>106</v>
      </c>
      <c r="I3815" t="s">
        <v>7509</v>
      </c>
      <c r="J3815">
        <v>9.9209879999999995</v>
      </c>
      <c r="K3815">
        <v>-84.115431999999998</v>
      </c>
      <c r="L3815" t="s">
        <v>1225</v>
      </c>
      <c r="M3815" t="s">
        <v>71</v>
      </c>
      <c r="N3815" t="s">
        <v>72</v>
      </c>
      <c r="O3815" t="s">
        <v>73</v>
      </c>
      <c r="P3815">
        <v>12</v>
      </c>
      <c r="Q3815" t="s">
        <v>42</v>
      </c>
      <c r="S3815" t="str">
        <f>_xlfn.XLOOKUP(UNIVERSO[[#This Row],[Ruta]],'[1]CUOTA RUTA'!A:A,'[1]CUOTA RUTA'!D:D)</f>
        <v>Cargar</v>
      </c>
    </row>
    <row r="3816" spans="1:19" x14ac:dyDescent="0.25">
      <c r="A3816">
        <v>1540048973</v>
      </c>
      <c r="B3816" t="s">
        <v>7510</v>
      </c>
      <c r="C3816" t="s">
        <v>19</v>
      </c>
      <c r="D3816" t="s">
        <v>20</v>
      </c>
      <c r="E3816" t="s">
        <v>21</v>
      </c>
      <c r="F3816" t="s">
        <v>22</v>
      </c>
      <c r="G3816" t="s">
        <v>64</v>
      </c>
      <c r="H3816" t="s">
        <v>743</v>
      </c>
      <c r="I3816" t="s">
        <v>7511</v>
      </c>
      <c r="J3816">
        <v>10.005893</v>
      </c>
      <c r="K3816">
        <v>-84.377257</v>
      </c>
      <c r="L3816" t="s">
        <v>1225</v>
      </c>
      <c r="M3816" t="s">
        <v>46</v>
      </c>
      <c r="N3816" t="s">
        <v>47</v>
      </c>
      <c r="O3816" t="s">
        <v>48</v>
      </c>
      <c r="P3816">
        <v>10</v>
      </c>
      <c r="Q3816" t="s">
        <v>136</v>
      </c>
      <c r="S3816" t="str">
        <f>_xlfn.XLOOKUP(UNIVERSO[[#This Row],[Ruta]],'[1]CUOTA RUTA'!A:A,'[1]CUOTA RUTA'!D:D)</f>
        <v>Cargar</v>
      </c>
    </row>
    <row r="3817" spans="1:19" x14ac:dyDescent="0.25">
      <c r="A3817">
        <v>1540049004</v>
      </c>
      <c r="B3817" t="s">
        <v>7512</v>
      </c>
      <c r="C3817" t="s">
        <v>19</v>
      </c>
      <c r="D3817" t="s">
        <v>20</v>
      </c>
      <c r="E3817" t="s">
        <v>62</v>
      </c>
      <c r="F3817" t="s">
        <v>63</v>
      </c>
      <c r="G3817" t="s">
        <v>64</v>
      </c>
      <c r="H3817" t="s">
        <v>369</v>
      </c>
      <c r="I3817" t="s">
        <v>7513</v>
      </c>
      <c r="J3817">
        <v>10.02316222</v>
      </c>
      <c r="K3817">
        <v>-84.130569289999997</v>
      </c>
      <c r="L3817" t="s">
        <v>1225</v>
      </c>
      <c r="M3817" t="s">
        <v>27</v>
      </c>
      <c r="N3817" t="s">
        <v>28</v>
      </c>
      <c r="O3817" t="s">
        <v>29</v>
      </c>
      <c r="P3817">
        <v>15</v>
      </c>
      <c r="Q3817" t="s">
        <v>231</v>
      </c>
      <c r="S3817" t="str">
        <f>_xlfn.XLOOKUP(UNIVERSO[[#This Row],[Ruta]],'[1]CUOTA RUTA'!A:A,'[1]CUOTA RUTA'!D:D)</f>
        <v>Cargar</v>
      </c>
    </row>
    <row r="3818" spans="1:19" x14ac:dyDescent="0.25">
      <c r="A3818">
        <v>1540049040</v>
      </c>
      <c r="B3818" t="s">
        <v>7514</v>
      </c>
      <c r="C3818" t="s">
        <v>19</v>
      </c>
      <c r="D3818" t="s">
        <v>349</v>
      </c>
      <c r="E3818" t="s">
        <v>21</v>
      </c>
      <c r="F3818" t="s">
        <v>22</v>
      </c>
      <c r="G3818" t="s">
        <v>33</v>
      </c>
      <c r="H3818" t="s">
        <v>350</v>
      </c>
      <c r="I3818" t="s">
        <v>7515</v>
      </c>
      <c r="J3818">
        <v>10.312243</v>
      </c>
      <c r="K3818">
        <v>-85.787980000000005</v>
      </c>
      <c r="L3818" t="s">
        <v>1225</v>
      </c>
      <c r="M3818" t="s">
        <v>352</v>
      </c>
      <c r="N3818" t="s">
        <v>353</v>
      </c>
      <c r="O3818" t="s">
        <v>354</v>
      </c>
      <c r="P3818">
        <v>5</v>
      </c>
      <c r="Q3818" t="s">
        <v>117</v>
      </c>
      <c r="S3818" t="str">
        <f>_xlfn.XLOOKUP(UNIVERSO[[#This Row],[Ruta]],'[1]CUOTA RUTA'!A:A,'[1]CUOTA RUTA'!D:D)</f>
        <v>Cargar</v>
      </c>
    </row>
    <row r="3819" spans="1:19" x14ac:dyDescent="0.25">
      <c r="A3819">
        <v>1540049115</v>
      </c>
      <c r="B3819" t="s">
        <v>7516</v>
      </c>
      <c r="C3819" t="s">
        <v>19</v>
      </c>
      <c r="D3819" t="s">
        <v>32</v>
      </c>
      <c r="E3819" t="s">
        <v>21</v>
      </c>
      <c r="F3819" t="s">
        <v>22</v>
      </c>
      <c r="G3819" t="s">
        <v>33</v>
      </c>
      <c r="H3819" t="s">
        <v>716</v>
      </c>
      <c r="I3819" t="s">
        <v>7517</v>
      </c>
      <c r="J3819">
        <v>9.9539782999999993</v>
      </c>
      <c r="K3819">
        <v>-84.105379999999997</v>
      </c>
      <c r="L3819" t="s">
        <v>1225</v>
      </c>
      <c r="M3819" t="s">
        <v>36</v>
      </c>
      <c r="N3819" t="s">
        <v>37</v>
      </c>
      <c r="O3819" t="s">
        <v>38</v>
      </c>
      <c r="P3819">
        <v>6</v>
      </c>
      <c r="Q3819" t="s">
        <v>49</v>
      </c>
      <c r="S3819" t="str">
        <f>_xlfn.XLOOKUP(UNIVERSO[[#This Row],[Ruta]],'[1]CUOTA RUTA'!A:A,'[1]CUOTA RUTA'!D:D)</f>
        <v>Cargar</v>
      </c>
    </row>
    <row r="3820" spans="1:19" x14ac:dyDescent="0.25">
      <c r="A3820">
        <v>1540049129</v>
      </c>
      <c r="B3820" t="s">
        <v>7518</v>
      </c>
      <c r="C3820" t="s">
        <v>19</v>
      </c>
      <c r="D3820" t="s">
        <v>349</v>
      </c>
      <c r="E3820" t="s">
        <v>21</v>
      </c>
      <c r="F3820" t="s">
        <v>22</v>
      </c>
      <c r="G3820" t="s">
        <v>23</v>
      </c>
      <c r="H3820" t="s">
        <v>908</v>
      </c>
      <c r="I3820" t="s">
        <v>7519</v>
      </c>
      <c r="J3820">
        <v>9.9401799999999998</v>
      </c>
      <c r="K3820">
        <v>-85.6554</v>
      </c>
      <c r="L3820" t="s">
        <v>1225</v>
      </c>
      <c r="M3820" t="s">
        <v>352</v>
      </c>
      <c r="N3820" t="s">
        <v>353</v>
      </c>
      <c r="O3820" t="s">
        <v>354</v>
      </c>
      <c r="P3820">
        <v>7</v>
      </c>
      <c r="Q3820" t="s">
        <v>39</v>
      </c>
      <c r="S3820" t="str">
        <f>_xlfn.XLOOKUP(UNIVERSO[[#This Row],[Ruta]],'[1]CUOTA RUTA'!A:A,'[1]CUOTA RUTA'!D:D)</f>
        <v>Cargar</v>
      </c>
    </row>
    <row r="3821" spans="1:19" x14ac:dyDescent="0.25">
      <c r="A3821">
        <v>1540049135</v>
      </c>
      <c r="B3821" t="s">
        <v>7520</v>
      </c>
      <c r="C3821" t="s">
        <v>19</v>
      </c>
      <c r="D3821" t="s">
        <v>337</v>
      </c>
      <c r="E3821" t="s">
        <v>21</v>
      </c>
      <c r="F3821" t="s">
        <v>22</v>
      </c>
      <c r="G3821" t="s">
        <v>33</v>
      </c>
      <c r="H3821" t="s">
        <v>824</v>
      </c>
      <c r="I3821" t="s">
        <v>7521</v>
      </c>
      <c r="J3821">
        <v>11.02027</v>
      </c>
      <c r="K3821">
        <v>-85.720149000000006</v>
      </c>
      <c r="L3821" t="s">
        <v>1225</v>
      </c>
      <c r="M3821" t="s">
        <v>327</v>
      </c>
      <c r="N3821" t="s">
        <v>340</v>
      </c>
      <c r="O3821" t="s">
        <v>341</v>
      </c>
      <c r="P3821">
        <v>15</v>
      </c>
      <c r="Q3821" t="s">
        <v>231</v>
      </c>
      <c r="S3821" t="str">
        <f>_xlfn.XLOOKUP(UNIVERSO[[#This Row],[Ruta]],'[1]CUOTA RUTA'!A:A,'[1]CUOTA RUTA'!D:D)</f>
        <v>Cargar</v>
      </c>
    </row>
    <row r="3822" spans="1:19" x14ac:dyDescent="0.25">
      <c r="A3822">
        <v>1540049140</v>
      </c>
      <c r="B3822" t="s">
        <v>7522</v>
      </c>
      <c r="C3822" t="s">
        <v>19</v>
      </c>
      <c r="D3822" t="s">
        <v>349</v>
      </c>
      <c r="E3822" t="s">
        <v>21</v>
      </c>
      <c r="F3822" t="s">
        <v>22</v>
      </c>
      <c r="G3822" t="s">
        <v>23</v>
      </c>
      <c r="H3822" t="s">
        <v>448</v>
      </c>
      <c r="I3822" t="s">
        <v>7523</v>
      </c>
      <c r="J3822">
        <v>10.206087</v>
      </c>
      <c r="K3822">
        <v>-85.498767999999998</v>
      </c>
      <c r="L3822" t="s">
        <v>1225</v>
      </c>
      <c r="M3822" t="s">
        <v>352</v>
      </c>
      <c r="N3822" t="s">
        <v>353</v>
      </c>
      <c r="O3822" t="s">
        <v>354</v>
      </c>
      <c r="P3822">
        <v>3</v>
      </c>
      <c r="Q3822" t="s">
        <v>101</v>
      </c>
      <c r="S3822" t="str">
        <f>_xlfn.XLOOKUP(UNIVERSO[[#This Row],[Ruta]],'[1]CUOTA RUTA'!A:A,'[1]CUOTA RUTA'!D:D)</f>
        <v>Cargar</v>
      </c>
    </row>
    <row r="3823" spans="1:19" x14ac:dyDescent="0.25">
      <c r="A3823">
        <v>1540049152</v>
      </c>
      <c r="B3823" t="s">
        <v>7524</v>
      </c>
      <c r="C3823" t="s">
        <v>19</v>
      </c>
      <c r="D3823" t="s">
        <v>20</v>
      </c>
      <c r="E3823" t="s">
        <v>21</v>
      </c>
      <c r="F3823" t="s">
        <v>22</v>
      </c>
      <c r="G3823" t="s">
        <v>33</v>
      </c>
      <c r="H3823" t="s">
        <v>888</v>
      </c>
      <c r="I3823" t="s">
        <v>7525</v>
      </c>
      <c r="J3823">
        <v>9.9945079999999997</v>
      </c>
      <c r="K3823">
        <v>-84.131175999999996</v>
      </c>
      <c r="L3823" t="s">
        <v>1225</v>
      </c>
      <c r="M3823" t="s">
        <v>27</v>
      </c>
      <c r="N3823" t="s">
        <v>28</v>
      </c>
      <c r="O3823" t="s">
        <v>29</v>
      </c>
      <c r="P3823">
        <v>19</v>
      </c>
      <c r="Q3823" t="s">
        <v>67</v>
      </c>
      <c r="S3823" t="str">
        <f>_xlfn.XLOOKUP(UNIVERSO[[#This Row],[Ruta]],'[1]CUOTA RUTA'!A:A,'[1]CUOTA RUTA'!D:D)</f>
        <v>Cargar</v>
      </c>
    </row>
    <row r="3824" spans="1:19" x14ac:dyDescent="0.25">
      <c r="A3824">
        <v>1540049161</v>
      </c>
      <c r="B3824" t="s">
        <v>7526</v>
      </c>
      <c r="C3824" t="s">
        <v>19</v>
      </c>
      <c r="D3824" t="s">
        <v>20</v>
      </c>
      <c r="E3824" t="s">
        <v>21</v>
      </c>
      <c r="F3824" t="s">
        <v>22</v>
      </c>
      <c r="G3824" t="s">
        <v>64</v>
      </c>
      <c r="H3824" t="s">
        <v>280</v>
      </c>
      <c r="I3824" t="s">
        <v>7527</v>
      </c>
      <c r="J3824">
        <v>10.024357</v>
      </c>
      <c r="K3824">
        <v>-84.203861000000003</v>
      </c>
      <c r="L3824" t="s">
        <v>1225</v>
      </c>
      <c r="M3824" t="s">
        <v>54</v>
      </c>
      <c r="N3824" t="s">
        <v>55</v>
      </c>
      <c r="O3824" t="s">
        <v>56</v>
      </c>
      <c r="P3824">
        <v>16</v>
      </c>
      <c r="Q3824" t="s">
        <v>60</v>
      </c>
      <c r="S3824" t="str">
        <f>_xlfn.XLOOKUP(UNIVERSO[[#This Row],[Ruta]],'[1]CUOTA RUTA'!A:A,'[1]CUOTA RUTA'!D:D)</f>
        <v>Cargar</v>
      </c>
    </row>
    <row r="3825" spans="1:19" x14ac:dyDescent="0.25">
      <c r="A3825">
        <v>1540049185</v>
      </c>
      <c r="B3825" t="s">
        <v>7528</v>
      </c>
      <c r="C3825" t="s">
        <v>19</v>
      </c>
      <c r="D3825" t="s">
        <v>266</v>
      </c>
      <c r="E3825" t="s">
        <v>21</v>
      </c>
      <c r="F3825" t="s">
        <v>22</v>
      </c>
      <c r="G3825" t="s">
        <v>64</v>
      </c>
      <c r="H3825" t="s">
        <v>404</v>
      </c>
      <c r="I3825" t="s">
        <v>7529</v>
      </c>
      <c r="J3825">
        <v>9.8425460000000005</v>
      </c>
      <c r="K3825">
        <v>-83.870525000000001</v>
      </c>
      <c r="L3825" t="s">
        <v>1225</v>
      </c>
      <c r="M3825" t="s">
        <v>36</v>
      </c>
      <c r="N3825" t="s">
        <v>316</v>
      </c>
      <c r="O3825" t="s">
        <v>317</v>
      </c>
      <c r="P3825">
        <v>22</v>
      </c>
      <c r="Q3825" t="s">
        <v>30</v>
      </c>
      <c r="S3825" t="str">
        <f>_xlfn.XLOOKUP(UNIVERSO[[#This Row],[Ruta]],'[1]CUOTA RUTA'!A:A,'[1]CUOTA RUTA'!D:D)</f>
        <v>Cargar</v>
      </c>
    </row>
    <row r="3826" spans="1:19" x14ac:dyDescent="0.25">
      <c r="A3826">
        <v>1540049218</v>
      </c>
      <c r="B3826" t="s">
        <v>7530</v>
      </c>
      <c r="C3826" t="s">
        <v>19</v>
      </c>
      <c r="D3826" t="s">
        <v>569</v>
      </c>
      <c r="E3826" t="s">
        <v>21</v>
      </c>
      <c r="F3826" t="s">
        <v>22</v>
      </c>
      <c r="G3826" t="s">
        <v>33</v>
      </c>
      <c r="H3826" t="s">
        <v>570</v>
      </c>
      <c r="I3826" t="s">
        <v>7531</v>
      </c>
      <c r="J3826">
        <v>8.9214870000000008</v>
      </c>
      <c r="K3826">
        <v>-83.457133999999996</v>
      </c>
      <c r="L3826" t="s">
        <v>1225</v>
      </c>
      <c r="M3826" t="s">
        <v>572</v>
      </c>
      <c r="N3826" t="s">
        <v>573</v>
      </c>
      <c r="O3826" t="s">
        <v>574</v>
      </c>
      <c r="P3826">
        <v>21</v>
      </c>
      <c r="Q3826" t="s">
        <v>239</v>
      </c>
      <c r="S3826" t="str">
        <f>_xlfn.XLOOKUP(UNIVERSO[[#This Row],[Ruta]],'[1]CUOTA RUTA'!A:A,'[1]CUOTA RUTA'!D:D)</f>
        <v>Cargar</v>
      </c>
    </row>
    <row r="3827" spans="1:19" x14ac:dyDescent="0.25">
      <c r="A3827">
        <v>1540049261</v>
      </c>
      <c r="B3827" t="s">
        <v>7532</v>
      </c>
      <c r="C3827" t="s">
        <v>19</v>
      </c>
      <c r="D3827" t="s">
        <v>20</v>
      </c>
      <c r="E3827" t="s">
        <v>21</v>
      </c>
      <c r="F3827" t="s">
        <v>22</v>
      </c>
      <c r="G3827" t="s">
        <v>64</v>
      </c>
      <c r="H3827" t="s">
        <v>260</v>
      </c>
      <c r="I3827" t="s">
        <v>7533</v>
      </c>
      <c r="J3827">
        <v>10.083602000000001</v>
      </c>
      <c r="K3827">
        <v>-84.473797000000005</v>
      </c>
      <c r="L3827" t="s">
        <v>1225</v>
      </c>
      <c r="M3827" t="s">
        <v>46</v>
      </c>
      <c r="N3827" t="s">
        <v>47</v>
      </c>
      <c r="O3827" t="s">
        <v>48</v>
      </c>
      <c r="P3827">
        <v>7</v>
      </c>
      <c r="Q3827" t="s">
        <v>39</v>
      </c>
      <c r="S3827" t="str">
        <f>_xlfn.XLOOKUP(UNIVERSO[[#This Row],[Ruta]],'[1]CUOTA RUTA'!A:A,'[1]CUOTA RUTA'!D:D)</f>
        <v>Cargar</v>
      </c>
    </row>
    <row r="3828" spans="1:19" x14ac:dyDescent="0.25">
      <c r="A3828">
        <v>1540049328</v>
      </c>
      <c r="B3828" t="s">
        <v>7534</v>
      </c>
      <c r="C3828" t="s">
        <v>19</v>
      </c>
      <c r="D3828" t="s">
        <v>266</v>
      </c>
      <c r="E3828" t="s">
        <v>21</v>
      </c>
      <c r="F3828" t="s">
        <v>22</v>
      </c>
      <c r="G3828" t="s">
        <v>33</v>
      </c>
      <c r="H3828" t="s">
        <v>267</v>
      </c>
      <c r="I3828" t="s">
        <v>7535</v>
      </c>
      <c r="J3828">
        <v>9.9013431000000001</v>
      </c>
      <c r="K3828">
        <v>-83.677350200000006</v>
      </c>
      <c r="L3828" t="s">
        <v>1225</v>
      </c>
      <c r="M3828" t="s">
        <v>189</v>
      </c>
      <c r="N3828" t="s">
        <v>269</v>
      </c>
      <c r="O3828" t="s">
        <v>270</v>
      </c>
      <c r="P3828">
        <v>20</v>
      </c>
      <c r="Q3828" t="s">
        <v>74</v>
      </c>
      <c r="S3828" t="str">
        <f>_xlfn.XLOOKUP(UNIVERSO[[#This Row],[Ruta]],'[1]CUOTA RUTA'!A:A,'[1]CUOTA RUTA'!D:D)</f>
        <v>Cargar</v>
      </c>
    </row>
    <row r="3829" spans="1:19" x14ac:dyDescent="0.25">
      <c r="A3829">
        <v>1540049362</v>
      </c>
      <c r="B3829" t="s">
        <v>7536</v>
      </c>
      <c r="C3829" t="s">
        <v>19</v>
      </c>
      <c r="D3829" t="s">
        <v>244</v>
      </c>
      <c r="E3829" t="s">
        <v>21</v>
      </c>
      <c r="F3829" t="s">
        <v>22</v>
      </c>
      <c r="G3829" t="s">
        <v>64</v>
      </c>
      <c r="H3829" t="s">
        <v>245</v>
      </c>
      <c r="I3829" t="s">
        <v>7537</v>
      </c>
      <c r="J3829">
        <v>9.2363359999999997</v>
      </c>
      <c r="K3829">
        <v>-83.657786999999999</v>
      </c>
      <c r="L3829" t="s">
        <v>1225</v>
      </c>
      <c r="M3829" t="s">
        <v>46</v>
      </c>
      <c r="N3829" t="s">
        <v>247</v>
      </c>
      <c r="O3829" t="s">
        <v>248</v>
      </c>
      <c r="P3829">
        <v>13</v>
      </c>
      <c r="Q3829" t="s">
        <v>161</v>
      </c>
      <c r="S3829" t="str">
        <f>_xlfn.XLOOKUP(UNIVERSO[[#This Row],[Ruta]],'[1]CUOTA RUTA'!A:A,'[1]CUOTA RUTA'!D:D)</f>
        <v>Cargar</v>
      </c>
    </row>
    <row r="3830" spans="1:19" x14ac:dyDescent="0.25">
      <c r="A3830">
        <v>1540049366</v>
      </c>
      <c r="B3830" t="s">
        <v>7538</v>
      </c>
      <c r="C3830" t="s">
        <v>19</v>
      </c>
      <c r="D3830" t="s">
        <v>337</v>
      </c>
      <c r="E3830" t="s">
        <v>21</v>
      </c>
      <c r="F3830" t="s">
        <v>22</v>
      </c>
      <c r="G3830" t="s">
        <v>64</v>
      </c>
      <c r="H3830" t="s">
        <v>824</v>
      </c>
      <c r="I3830" t="s">
        <v>7539</v>
      </c>
      <c r="J3830">
        <v>11.074737000000001</v>
      </c>
      <c r="K3830">
        <v>-85.630143000000004</v>
      </c>
      <c r="L3830" t="s">
        <v>1225</v>
      </c>
      <c r="M3830" t="s">
        <v>327</v>
      </c>
      <c r="N3830" t="s">
        <v>340</v>
      </c>
      <c r="O3830" t="s">
        <v>341</v>
      </c>
      <c r="P3830">
        <v>15</v>
      </c>
      <c r="Q3830" t="s">
        <v>231</v>
      </c>
      <c r="S3830" t="str">
        <f>_xlfn.XLOOKUP(UNIVERSO[[#This Row],[Ruta]],'[1]CUOTA RUTA'!A:A,'[1]CUOTA RUTA'!D:D)</f>
        <v>Cargar</v>
      </c>
    </row>
    <row r="3831" spans="1:19" x14ac:dyDescent="0.25">
      <c r="A3831">
        <v>1540049398</v>
      </c>
      <c r="B3831" t="s">
        <v>595</v>
      </c>
      <c r="C3831" t="s">
        <v>19</v>
      </c>
      <c r="D3831" t="s">
        <v>324</v>
      </c>
      <c r="E3831" t="s">
        <v>21</v>
      </c>
      <c r="F3831" t="s">
        <v>51</v>
      </c>
      <c r="G3831" t="s">
        <v>23</v>
      </c>
      <c r="H3831" t="s">
        <v>396</v>
      </c>
      <c r="I3831" t="s">
        <v>7540</v>
      </c>
      <c r="J3831">
        <v>10.399900000000001</v>
      </c>
      <c r="K3831">
        <v>-84.337599999999995</v>
      </c>
      <c r="L3831" t="s">
        <v>1225</v>
      </c>
      <c r="M3831" t="s">
        <v>327</v>
      </c>
      <c r="N3831" t="s">
        <v>328</v>
      </c>
      <c r="O3831" t="s">
        <v>329</v>
      </c>
      <c r="P3831">
        <v>18</v>
      </c>
      <c r="Q3831" t="s">
        <v>84</v>
      </c>
      <c r="S3831" t="str">
        <f>_xlfn.XLOOKUP(UNIVERSO[[#This Row],[Ruta]],'[1]CUOTA RUTA'!A:A,'[1]CUOTA RUTA'!D:D)</f>
        <v>Cargar</v>
      </c>
    </row>
    <row r="3832" spans="1:19" x14ac:dyDescent="0.25">
      <c r="A3832">
        <v>1540049495</v>
      </c>
      <c r="B3832" t="s">
        <v>7541</v>
      </c>
      <c r="C3832" t="s">
        <v>19</v>
      </c>
      <c r="D3832" t="s">
        <v>244</v>
      </c>
      <c r="E3832" t="s">
        <v>21</v>
      </c>
      <c r="F3832" t="s">
        <v>22</v>
      </c>
      <c r="G3832" t="s">
        <v>33</v>
      </c>
      <c r="H3832" t="s">
        <v>1294</v>
      </c>
      <c r="I3832" t="s">
        <v>7542</v>
      </c>
      <c r="J3832">
        <v>9.1710411000000001</v>
      </c>
      <c r="K3832">
        <v>-83.336546900000002</v>
      </c>
      <c r="L3832" t="s">
        <v>1225</v>
      </c>
      <c r="M3832" t="s">
        <v>46</v>
      </c>
      <c r="N3832" t="s">
        <v>247</v>
      </c>
      <c r="O3832" t="s">
        <v>248</v>
      </c>
      <c r="P3832">
        <v>12</v>
      </c>
      <c r="Q3832" t="s">
        <v>42</v>
      </c>
      <c r="S3832" t="str">
        <f>_xlfn.XLOOKUP(UNIVERSO[[#This Row],[Ruta]],'[1]CUOTA RUTA'!A:A,'[1]CUOTA RUTA'!D:D)</f>
        <v>Cargar</v>
      </c>
    </row>
    <row r="3833" spans="1:19" x14ac:dyDescent="0.25">
      <c r="A3833">
        <v>1540049509</v>
      </c>
      <c r="B3833" t="s">
        <v>7543</v>
      </c>
      <c r="C3833" t="s">
        <v>19</v>
      </c>
      <c r="D3833" t="s">
        <v>349</v>
      </c>
      <c r="E3833" t="s">
        <v>21</v>
      </c>
      <c r="F3833" t="s">
        <v>22</v>
      </c>
      <c r="G3833" t="s">
        <v>23</v>
      </c>
      <c r="H3833" t="s">
        <v>908</v>
      </c>
      <c r="I3833" t="s">
        <v>7544</v>
      </c>
      <c r="J3833">
        <v>9.9635230000000004</v>
      </c>
      <c r="K3833">
        <v>-85.653561999999994</v>
      </c>
      <c r="L3833" t="s">
        <v>1225</v>
      </c>
      <c r="M3833" t="s">
        <v>352</v>
      </c>
      <c r="N3833" t="s">
        <v>353</v>
      </c>
      <c r="O3833" t="s">
        <v>354</v>
      </c>
      <c r="P3833">
        <v>7</v>
      </c>
      <c r="Q3833" t="s">
        <v>39</v>
      </c>
      <c r="S3833" t="str">
        <f>_xlfn.XLOOKUP(UNIVERSO[[#This Row],[Ruta]],'[1]CUOTA RUTA'!A:A,'[1]CUOTA RUTA'!D:D)</f>
        <v>Cargar</v>
      </c>
    </row>
    <row r="3834" spans="1:19" x14ac:dyDescent="0.25">
      <c r="A3834">
        <v>1540049523</v>
      </c>
      <c r="B3834" t="s">
        <v>7545</v>
      </c>
      <c r="C3834" t="s">
        <v>19</v>
      </c>
      <c r="D3834" t="s">
        <v>201</v>
      </c>
      <c r="E3834" t="s">
        <v>21</v>
      </c>
      <c r="F3834" t="s">
        <v>22</v>
      </c>
      <c r="G3834" t="s">
        <v>33</v>
      </c>
      <c r="H3834" t="s">
        <v>488</v>
      </c>
      <c r="I3834" t="s">
        <v>7546</v>
      </c>
      <c r="J3834">
        <v>10.198653999999999</v>
      </c>
      <c r="K3834">
        <v>-84.843213000000006</v>
      </c>
      <c r="L3834" t="s">
        <v>1225</v>
      </c>
      <c r="M3834" t="s">
        <v>204</v>
      </c>
      <c r="N3834" t="s">
        <v>205</v>
      </c>
      <c r="O3834" t="s">
        <v>206</v>
      </c>
      <c r="P3834">
        <v>12</v>
      </c>
      <c r="Q3834" t="s">
        <v>42</v>
      </c>
      <c r="S3834" t="str">
        <f>_xlfn.XLOOKUP(UNIVERSO[[#This Row],[Ruta]],'[1]CUOTA RUTA'!A:A,'[1]CUOTA RUTA'!D:D)</f>
        <v>Cargar</v>
      </c>
    </row>
    <row r="3835" spans="1:19" x14ac:dyDescent="0.25">
      <c r="A3835">
        <v>1540049576</v>
      </c>
      <c r="B3835" t="s">
        <v>7547</v>
      </c>
      <c r="C3835" t="s">
        <v>19</v>
      </c>
      <c r="D3835" t="s">
        <v>32</v>
      </c>
      <c r="E3835" t="s">
        <v>21</v>
      </c>
      <c r="F3835" t="s">
        <v>22</v>
      </c>
      <c r="G3835" t="s">
        <v>64</v>
      </c>
      <c r="H3835" t="s">
        <v>179</v>
      </c>
      <c r="I3835" t="s">
        <v>7548</v>
      </c>
      <c r="J3835">
        <v>9.893561</v>
      </c>
      <c r="K3835">
        <v>-84.054867999999999</v>
      </c>
      <c r="L3835" t="s">
        <v>1225</v>
      </c>
      <c r="M3835" t="s">
        <v>36</v>
      </c>
      <c r="N3835" t="s">
        <v>37</v>
      </c>
      <c r="O3835" t="s">
        <v>38</v>
      </c>
      <c r="P3835">
        <v>13</v>
      </c>
      <c r="Q3835" t="s">
        <v>161</v>
      </c>
      <c r="S3835" t="str">
        <f>_xlfn.XLOOKUP(UNIVERSO[[#This Row],[Ruta]],'[1]CUOTA RUTA'!A:A,'[1]CUOTA RUTA'!D:D)</f>
        <v>Cargar</v>
      </c>
    </row>
    <row r="3836" spans="1:19" x14ac:dyDescent="0.25">
      <c r="A3836">
        <v>1540049713</v>
      </c>
      <c r="B3836" t="s">
        <v>7549</v>
      </c>
      <c r="C3836" t="s">
        <v>19</v>
      </c>
      <c r="D3836" t="s">
        <v>208</v>
      </c>
      <c r="E3836" t="s">
        <v>21</v>
      </c>
      <c r="F3836" t="s">
        <v>22</v>
      </c>
      <c r="G3836" t="s">
        <v>64</v>
      </c>
      <c r="H3836" t="s">
        <v>221</v>
      </c>
      <c r="I3836" t="s">
        <v>7550</v>
      </c>
      <c r="J3836">
        <v>10.120233000000001</v>
      </c>
      <c r="K3836">
        <v>-83.533955000000006</v>
      </c>
      <c r="L3836" t="s">
        <v>1225</v>
      </c>
      <c r="M3836" t="s">
        <v>189</v>
      </c>
      <c r="N3836" t="s">
        <v>211</v>
      </c>
      <c r="O3836" t="s">
        <v>212</v>
      </c>
      <c r="P3836">
        <v>8</v>
      </c>
      <c r="Q3836" t="s">
        <v>97</v>
      </c>
      <c r="S3836" t="str">
        <f>_xlfn.XLOOKUP(UNIVERSO[[#This Row],[Ruta]],'[1]CUOTA RUTA'!A:A,'[1]CUOTA RUTA'!D:D)</f>
        <v>Cargar</v>
      </c>
    </row>
    <row r="3837" spans="1:19" x14ac:dyDescent="0.25">
      <c r="A3837">
        <v>1540049729</v>
      </c>
      <c r="B3837" t="s">
        <v>7551</v>
      </c>
      <c r="C3837" t="s">
        <v>19</v>
      </c>
      <c r="D3837" t="s">
        <v>208</v>
      </c>
      <c r="E3837" t="s">
        <v>21</v>
      </c>
      <c r="F3837" t="s">
        <v>22</v>
      </c>
      <c r="G3837" t="s">
        <v>33</v>
      </c>
      <c r="H3837" t="s">
        <v>719</v>
      </c>
      <c r="I3837" t="s">
        <v>7552</v>
      </c>
      <c r="J3837">
        <v>10.371800289999999</v>
      </c>
      <c r="K3837">
        <v>-83.739547849999994</v>
      </c>
      <c r="L3837" t="s">
        <v>1225</v>
      </c>
      <c r="M3837" t="s">
        <v>189</v>
      </c>
      <c r="N3837" t="s">
        <v>211</v>
      </c>
      <c r="O3837" t="s">
        <v>212</v>
      </c>
      <c r="P3837">
        <v>1</v>
      </c>
      <c r="Q3837" t="s">
        <v>155</v>
      </c>
      <c r="S3837" t="str">
        <f>_xlfn.XLOOKUP(UNIVERSO[[#This Row],[Ruta]],'[1]CUOTA RUTA'!A:A,'[1]CUOTA RUTA'!D:D)</f>
        <v>Cargar</v>
      </c>
    </row>
    <row r="3838" spans="1:19" x14ac:dyDescent="0.25">
      <c r="A3838">
        <v>1540049766</v>
      </c>
      <c r="B3838" t="s">
        <v>7553</v>
      </c>
      <c r="C3838" t="s">
        <v>19</v>
      </c>
      <c r="D3838" t="s">
        <v>208</v>
      </c>
      <c r="E3838" t="s">
        <v>21</v>
      </c>
      <c r="F3838" t="s">
        <v>22</v>
      </c>
      <c r="G3838" t="s">
        <v>64</v>
      </c>
      <c r="H3838" t="s">
        <v>631</v>
      </c>
      <c r="I3838" t="s">
        <v>7554</v>
      </c>
      <c r="J3838">
        <v>10.65358</v>
      </c>
      <c r="K3838">
        <v>-83.840670000000003</v>
      </c>
      <c r="L3838" t="s">
        <v>1225</v>
      </c>
      <c r="M3838" t="s">
        <v>189</v>
      </c>
      <c r="N3838" t="s">
        <v>211</v>
      </c>
      <c r="O3838" t="s">
        <v>212</v>
      </c>
      <c r="P3838">
        <v>11</v>
      </c>
      <c r="Q3838" t="s">
        <v>108</v>
      </c>
      <c r="S3838" t="str">
        <f>_xlfn.XLOOKUP(UNIVERSO[[#This Row],[Ruta]],'[1]CUOTA RUTA'!A:A,'[1]CUOTA RUTA'!D:D)</f>
        <v>Cargar</v>
      </c>
    </row>
    <row r="3839" spans="1:19" x14ac:dyDescent="0.25">
      <c r="A3839">
        <v>1540049792</v>
      </c>
      <c r="B3839" t="s">
        <v>7555</v>
      </c>
      <c r="C3839" t="s">
        <v>19</v>
      </c>
      <c r="D3839" t="s">
        <v>32</v>
      </c>
      <c r="E3839" t="s">
        <v>21</v>
      </c>
      <c r="F3839" t="s">
        <v>22</v>
      </c>
      <c r="G3839" t="s">
        <v>33</v>
      </c>
      <c r="H3839" t="s">
        <v>115</v>
      </c>
      <c r="I3839" t="s">
        <v>7556</v>
      </c>
      <c r="J3839">
        <v>9.958164</v>
      </c>
      <c r="K3839">
        <v>-84.083081000000007</v>
      </c>
      <c r="L3839" t="s">
        <v>1225</v>
      </c>
      <c r="M3839" t="s">
        <v>36</v>
      </c>
      <c r="N3839" t="s">
        <v>37</v>
      </c>
      <c r="O3839" t="s">
        <v>38</v>
      </c>
      <c r="P3839">
        <v>2</v>
      </c>
      <c r="Q3839" t="s">
        <v>150</v>
      </c>
      <c r="S3839" t="str">
        <f>_xlfn.XLOOKUP(UNIVERSO[[#This Row],[Ruta]],'[1]CUOTA RUTA'!A:A,'[1]CUOTA RUTA'!D:D)</f>
        <v>Cargar</v>
      </c>
    </row>
    <row r="3840" spans="1:19" x14ac:dyDescent="0.25">
      <c r="A3840">
        <v>1540049844</v>
      </c>
      <c r="B3840" t="s">
        <v>7557</v>
      </c>
      <c r="C3840" t="s">
        <v>19</v>
      </c>
      <c r="D3840" t="s">
        <v>337</v>
      </c>
      <c r="E3840" t="s">
        <v>21</v>
      </c>
      <c r="F3840" t="s">
        <v>22</v>
      </c>
      <c r="G3840" t="s">
        <v>64</v>
      </c>
      <c r="H3840" t="s">
        <v>338</v>
      </c>
      <c r="I3840" t="s">
        <v>7558</v>
      </c>
      <c r="J3840">
        <v>10.430051000000001</v>
      </c>
      <c r="K3840">
        <v>-85.104332900000003</v>
      </c>
      <c r="L3840" t="s">
        <v>1225</v>
      </c>
      <c r="M3840" t="s">
        <v>327</v>
      </c>
      <c r="N3840" t="s">
        <v>340</v>
      </c>
      <c r="O3840" t="s">
        <v>341</v>
      </c>
      <c r="P3840">
        <v>22</v>
      </c>
      <c r="Q3840" t="s">
        <v>30</v>
      </c>
      <c r="S3840" t="str">
        <f>_xlfn.XLOOKUP(UNIVERSO[[#This Row],[Ruta]],'[1]CUOTA RUTA'!A:A,'[1]CUOTA RUTA'!D:D)</f>
        <v>Cargar</v>
      </c>
    </row>
    <row r="3841" spans="1:19" x14ac:dyDescent="0.25">
      <c r="A3841">
        <v>1540049877</v>
      </c>
      <c r="B3841" t="s">
        <v>7559</v>
      </c>
      <c r="C3841" t="s">
        <v>19</v>
      </c>
      <c r="D3841" t="s">
        <v>208</v>
      </c>
      <c r="E3841" t="s">
        <v>21</v>
      </c>
      <c r="F3841" t="s">
        <v>22</v>
      </c>
      <c r="G3841" t="s">
        <v>33</v>
      </c>
      <c r="H3841" t="s">
        <v>631</v>
      </c>
      <c r="I3841" t="s">
        <v>7560</v>
      </c>
      <c r="J3841">
        <v>10.15105333</v>
      </c>
      <c r="K3841">
        <v>-83.455726670000004</v>
      </c>
      <c r="L3841" t="s">
        <v>1225</v>
      </c>
      <c r="M3841" t="s">
        <v>189</v>
      </c>
      <c r="N3841" t="s">
        <v>211</v>
      </c>
      <c r="O3841" t="s">
        <v>212</v>
      </c>
      <c r="P3841">
        <v>9</v>
      </c>
      <c r="Q3841" t="s">
        <v>80</v>
      </c>
      <c r="S3841" t="str">
        <f>_xlfn.XLOOKUP(UNIVERSO[[#This Row],[Ruta]],'[1]CUOTA RUTA'!A:A,'[1]CUOTA RUTA'!D:D)</f>
        <v>Cargar</v>
      </c>
    </row>
    <row r="3842" spans="1:19" x14ac:dyDescent="0.25">
      <c r="A3842">
        <v>1540049909</v>
      </c>
      <c r="B3842" t="s">
        <v>7561</v>
      </c>
      <c r="C3842" t="s">
        <v>19</v>
      </c>
      <c r="D3842" t="s">
        <v>208</v>
      </c>
      <c r="E3842" t="s">
        <v>21</v>
      </c>
      <c r="F3842" t="s">
        <v>51</v>
      </c>
      <c r="G3842" t="s">
        <v>23</v>
      </c>
      <c r="H3842" t="s">
        <v>224</v>
      </c>
      <c r="I3842" t="s">
        <v>7562</v>
      </c>
      <c r="J3842">
        <v>10.3204843</v>
      </c>
      <c r="K3842">
        <v>-83.941340100000005</v>
      </c>
      <c r="L3842" t="s">
        <v>1225</v>
      </c>
      <c r="M3842" t="s">
        <v>189</v>
      </c>
      <c r="N3842" t="s">
        <v>211</v>
      </c>
      <c r="O3842" t="s">
        <v>212</v>
      </c>
      <c r="P3842">
        <v>3</v>
      </c>
      <c r="Q3842" t="s">
        <v>101</v>
      </c>
      <c r="S3842" t="str">
        <f>_xlfn.XLOOKUP(UNIVERSO[[#This Row],[Ruta]],'[1]CUOTA RUTA'!A:A,'[1]CUOTA RUTA'!D:D)</f>
        <v>Cargar</v>
      </c>
    </row>
    <row r="3843" spans="1:19" x14ac:dyDescent="0.25">
      <c r="A3843">
        <v>1540049934</v>
      </c>
      <c r="B3843" t="s">
        <v>7563</v>
      </c>
      <c r="C3843" t="s">
        <v>19</v>
      </c>
      <c r="D3843" t="s">
        <v>324</v>
      </c>
      <c r="E3843" t="s">
        <v>21</v>
      </c>
      <c r="F3843" t="s">
        <v>22</v>
      </c>
      <c r="G3843" t="s">
        <v>64</v>
      </c>
      <c r="H3843" t="s">
        <v>511</v>
      </c>
      <c r="I3843" t="s">
        <v>7564</v>
      </c>
      <c r="J3843">
        <v>10.371257</v>
      </c>
      <c r="K3843">
        <v>-84.590800999999999</v>
      </c>
      <c r="L3843" t="s">
        <v>1225</v>
      </c>
      <c r="M3843" t="s">
        <v>327</v>
      </c>
      <c r="N3843" t="s">
        <v>328</v>
      </c>
      <c r="O3843" t="s">
        <v>329</v>
      </c>
      <c r="P3843">
        <v>13</v>
      </c>
      <c r="Q3843" t="s">
        <v>161</v>
      </c>
      <c r="S3843" t="str">
        <f>_xlfn.XLOOKUP(UNIVERSO[[#This Row],[Ruta]],'[1]CUOTA RUTA'!A:A,'[1]CUOTA RUTA'!D:D)</f>
        <v>Cargar</v>
      </c>
    </row>
    <row r="3844" spans="1:19" x14ac:dyDescent="0.25">
      <c r="A3844">
        <v>1540049942</v>
      </c>
      <c r="B3844" t="s">
        <v>7565</v>
      </c>
      <c r="C3844" t="s">
        <v>19</v>
      </c>
      <c r="D3844" t="s">
        <v>208</v>
      </c>
      <c r="E3844" t="s">
        <v>21</v>
      </c>
      <c r="F3844" t="s">
        <v>22</v>
      </c>
      <c r="G3844" t="s">
        <v>33</v>
      </c>
      <c r="H3844" t="s">
        <v>502</v>
      </c>
      <c r="I3844" t="s">
        <v>7566</v>
      </c>
      <c r="J3844">
        <v>10.41065</v>
      </c>
      <c r="K3844">
        <v>-83.714730000000003</v>
      </c>
      <c r="L3844" t="s">
        <v>1225</v>
      </c>
      <c r="M3844" t="s">
        <v>189</v>
      </c>
      <c r="N3844" t="s">
        <v>211</v>
      </c>
      <c r="O3844" t="s">
        <v>212</v>
      </c>
      <c r="P3844">
        <v>2</v>
      </c>
      <c r="Q3844" t="s">
        <v>150</v>
      </c>
      <c r="S3844" t="str">
        <f>_xlfn.XLOOKUP(UNIVERSO[[#This Row],[Ruta]],'[1]CUOTA RUTA'!A:A,'[1]CUOTA RUTA'!D:D)</f>
        <v>Cargar</v>
      </c>
    </row>
    <row r="3845" spans="1:19" x14ac:dyDescent="0.25">
      <c r="A3845">
        <v>1540049971</v>
      </c>
      <c r="B3845" t="s">
        <v>7567</v>
      </c>
      <c r="C3845" t="s">
        <v>19</v>
      </c>
      <c r="D3845" t="s">
        <v>244</v>
      </c>
      <c r="E3845" t="s">
        <v>21</v>
      </c>
      <c r="F3845" t="s">
        <v>22</v>
      </c>
      <c r="G3845" t="s">
        <v>64</v>
      </c>
      <c r="H3845" t="s">
        <v>436</v>
      </c>
      <c r="I3845" t="s">
        <v>7568</v>
      </c>
      <c r="J3845">
        <v>9.4721919999999997</v>
      </c>
      <c r="K3845">
        <v>-84.103935000000007</v>
      </c>
      <c r="L3845" t="s">
        <v>1225</v>
      </c>
      <c r="M3845" t="s">
        <v>46</v>
      </c>
      <c r="N3845" t="s">
        <v>247</v>
      </c>
      <c r="O3845" t="s">
        <v>248</v>
      </c>
      <c r="P3845">
        <v>20</v>
      </c>
      <c r="Q3845" t="s">
        <v>74</v>
      </c>
      <c r="S3845" t="str">
        <f>_xlfn.XLOOKUP(UNIVERSO[[#This Row],[Ruta]],'[1]CUOTA RUTA'!A:A,'[1]CUOTA RUTA'!D:D)</f>
        <v>Cargar</v>
      </c>
    </row>
    <row r="3846" spans="1:19" x14ac:dyDescent="0.25">
      <c r="A3846">
        <v>1540050035</v>
      </c>
      <c r="B3846" t="s">
        <v>7569</v>
      </c>
      <c r="C3846" t="s">
        <v>19</v>
      </c>
      <c r="D3846" t="s">
        <v>186</v>
      </c>
      <c r="E3846" t="s">
        <v>21</v>
      </c>
      <c r="F3846" t="s">
        <v>22</v>
      </c>
      <c r="G3846" t="s">
        <v>33</v>
      </c>
      <c r="H3846" t="s">
        <v>868</v>
      </c>
      <c r="I3846" t="s">
        <v>7570</v>
      </c>
      <c r="J3846">
        <v>9.9927700000000002</v>
      </c>
      <c r="K3846">
        <v>-83.029200000000003</v>
      </c>
      <c r="L3846" t="s">
        <v>1225</v>
      </c>
      <c r="M3846" t="s">
        <v>189</v>
      </c>
      <c r="N3846" t="s">
        <v>190</v>
      </c>
      <c r="O3846" t="s">
        <v>191</v>
      </c>
      <c r="P3846">
        <v>12</v>
      </c>
      <c r="Q3846" t="s">
        <v>42</v>
      </c>
      <c r="S3846" t="str">
        <f>_xlfn.XLOOKUP(UNIVERSO[[#This Row],[Ruta]],'[1]CUOTA RUTA'!A:A,'[1]CUOTA RUTA'!D:D)</f>
        <v>Cargar</v>
      </c>
    </row>
    <row r="3847" spans="1:19" x14ac:dyDescent="0.25">
      <c r="A3847">
        <v>1540050056</v>
      </c>
      <c r="B3847" t="s">
        <v>7571</v>
      </c>
      <c r="C3847" t="s">
        <v>19</v>
      </c>
      <c r="D3847" t="s">
        <v>20</v>
      </c>
      <c r="E3847" t="s">
        <v>62</v>
      </c>
      <c r="F3847" t="s">
        <v>63</v>
      </c>
      <c r="G3847" t="s">
        <v>33</v>
      </c>
      <c r="H3847" t="s">
        <v>1128</v>
      </c>
      <c r="I3847" t="s">
        <v>7572</v>
      </c>
      <c r="J3847">
        <v>10.072603000000001</v>
      </c>
      <c r="K3847">
        <v>-84.314834000000005</v>
      </c>
      <c r="L3847" t="s">
        <v>1225</v>
      </c>
      <c r="M3847" t="s">
        <v>46</v>
      </c>
      <c r="N3847" t="s">
        <v>47</v>
      </c>
      <c r="O3847" t="s">
        <v>48</v>
      </c>
      <c r="P3847">
        <v>4</v>
      </c>
      <c r="Q3847" t="s">
        <v>120</v>
      </c>
      <c r="S3847" t="str">
        <f>_xlfn.XLOOKUP(UNIVERSO[[#This Row],[Ruta]],'[1]CUOTA RUTA'!A:A,'[1]CUOTA RUTA'!D:D)</f>
        <v>Cargar</v>
      </c>
    </row>
    <row r="3848" spans="1:19" x14ac:dyDescent="0.25">
      <c r="A3848">
        <v>1540050208</v>
      </c>
      <c r="B3848" t="s">
        <v>7573</v>
      </c>
      <c r="C3848" t="s">
        <v>19</v>
      </c>
      <c r="D3848" t="s">
        <v>208</v>
      </c>
      <c r="E3848" t="s">
        <v>21</v>
      </c>
      <c r="F3848" t="s">
        <v>51</v>
      </c>
      <c r="G3848" t="s">
        <v>23</v>
      </c>
      <c r="H3848" t="s">
        <v>224</v>
      </c>
      <c r="I3848" t="s">
        <v>7574</v>
      </c>
      <c r="J3848">
        <v>10.35873</v>
      </c>
      <c r="K3848">
        <v>-83.735129999999998</v>
      </c>
      <c r="L3848" t="s">
        <v>1225</v>
      </c>
      <c r="M3848" t="s">
        <v>189</v>
      </c>
      <c r="N3848" t="s">
        <v>211</v>
      </c>
      <c r="O3848" t="s">
        <v>212</v>
      </c>
      <c r="P3848">
        <v>1</v>
      </c>
      <c r="Q3848" t="s">
        <v>155</v>
      </c>
      <c r="S3848" t="str">
        <f>_xlfn.XLOOKUP(UNIVERSO[[#This Row],[Ruta]],'[1]CUOTA RUTA'!A:A,'[1]CUOTA RUTA'!D:D)</f>
        <v>Cargar</v>
      </c>
    </row>
    <row r="3849" spans="1:19" x14ac:dyDescent="0.25">
      <c r="A3849">
        <v>1540050237</v>
      </c>
      <c r="B3849" t="s">
        <v>7575</v>
      </c>
      <c r="C3849" t="s">
        <v>19</v>
      </c>
      <c r="D3849" t="s">
        <v>20</v>
      </c>
      <c r="E3849" t="s">
        <v>21</v>
      </c>
      <c r="F3849" t="s">
        <v>22</v>
      </c>
      <c r="G3849" t="s">
        <v>64</v>
      </c>
      <c r="H3849" t="s">
        <v>1143</v>
      </c>
      <c r="I3849" t="s">
        <v>7576</v>
      </c>
      <c r="J3849">
        <v>10.048093</v>
      </c>
      <c r="K3849">
        <v>-84.207965000000002</v>
      </c>
      <c r="L3849" t="s">
        <v>1225</v>
      </c>
      <c r="M3849" t="s">
        <v>54</v>
      </c>
      <c r="N3849" t="s">
        <v>55</v>
      </c>
      <c r="O3849" t="s">
        <v>56</v>
      </c>
      <c r="P3849">
        <v>17</v>
      </c>
      <c r="Q3849" t="s">
        <v>287</v>
      </c>
      <c r="S3849" t="str">
        <f>_xlfn.XLOOKUP(UNIVERSO[[#This Row],[Ruta]],'[1]CUOTA RUTA'!A:A,'[1]CUOTA RUTA'!D:D)</f>
        <v>Cargar</v>
      </c>
    </row>
    <row r="3850" spans="1:19" x14ac:dyDescent="0.25">
      <c r="A3850">
        <v>1540050301</v>
      </c>
      <c r="B3850" t="s">
        <v>7577</v>
      </c>
      <c r="C3850" t="s">
        <v>19</v>
      </c>
      <c r="D3850" t="s">
        <v>32</v>
      </c>
      <c r="E3850" t="s">
        <v>21</v>
      </c>
      <c r="F3850" t="s">
        <v>22</v>
      </c>
      <c r="G3850" t="s">
        <v>33</v>
      </c>
      <c r="H3850" t="s">
        <v>1383</v>
      </c>
      <c r="I3850" t="s">
        <v>7578</v>
      </c>
      <c r="J3850">
        <v>9.9089916999999996</v>
      </c>
      <c r="K3850">
        <v>-84.096736699999994</v>
      </c>
      <c r="L3850" t="s">
        <v>1225</v>
      </c>
      <c r="M3850" t="s">
        <v>71</v>
      </c>
      <c r="N3850" t="s">
        <v>72</v>
      </c>
      <c r="O3850" t="s">
        <v>73</v>
      </c>
      <c r="P3850">
        <v>9</v>
      </c>
      <c r="Q3850" t="s">
        <v>80</v>
      </c>
      <c r="S3850" t="str">
        <f>_xlfn.XLOOKUP(UNIVERSO[[#This Row],[Ruta]],'[1]CUOTA RUTA'!A:A,'[1]CUOTA RUTA'!D:D)</f>
        <v>Cargar</v>
      </c>
    </row>
    <row r="3851" spans="1:19" x14ac:dyDescent="0.25">
      <c r="A3851">
        <v>1540050380</v>
      </c>
      <c r="B3851" t="s">
        <v>7579</v>
      </c>
      <c r="C3851" t="s">
        <v>19</v>
      </c>
      <c r="D3851" t="s">
        <v>186</v>
      </c>
      <c r="E3851" t="s">
        <v>62</v>
      </c>
      <c r="F3851" t="s">
        <v>63</v>
      </c>
      <c r="G3851" t="s">
        <v>64</v>
      </c>
      <c r="H3851" t="s">
        <v>420</v>
      </c>
      <c r="I3851" t="s">
        <v>7580</v>
      </c>
      <c r="J3851">
        <v>9.7270280000000007</v>
      </c>
      <c r="K3851">
        <v>-83.005931000000004</v>
      </c>
      <c r="L3851" t="s">
        <v>1225</v>
      </c>
      <c r="M3851" t="s">
        <v>189</v>
      </c>
      <c r="N3851" t="s">
        <v>190</v>
      </c>
      <c r="O3851" t="s">
        <v>191</v>
      </c>
      <c r="P3851">
        <v>18</v>
      </c>
      <c r="Q3851" t="s">
        <v>84</v>
      </c>
      <c r="S3851" t="str">
        <f>_xlfn.XLOOKUP(UNIVERSO[[#This Row],[Ruta]],'[1]CUOTA RUTA'!A:A,'[1]CUOTA RUTA'!D:D)</f>
        <v>Cargar</v>
      </c>
    </row>
    <row r="3852" spans="1:19" x14ac:dyDescent="0.25">
      <c r="A3852">
        <v>1540050430</v>
      </c>
      <c r="B3852" t="s">
        <v>7581</v>
      </c>
      <c r="C3852" t="s">
        <v>19</v>
      </c>
      <c r="D3852" t="s">
        <v>32</v>
      </c>
      <c r="E3852" t="s">
        <v>21</v>
      </c>
      <c r="F3852" t="s">
        <v>22</v>
      </c>
      <c r="G3852" t="s">
        <v>64</v>
      </c>
      <c r="H3852" t="s">
        <v>69</v>
      </c>
      <c r="I3852" t="s">
        <v>7582</v>
      </c>
      <c r="J3852">
        <v>9.8673883333330004</v>
      </c>
      <c r="K3852">
        <v>-84.071713333329996</v>
      </c>
      <c r="L3852" t="s">
        <v>1225</v>
      </c>
      <c r="M3852" t="s">
        <v>71</v>
      </c>
      <c r="N3852" t="s">
        <v>72</v>
      </c>
      <c r="O3852" t="s">
        <v>73</v>
      </c>
      <c r="P3852">
        <v>19</v>
      </c>
      <c r="Q3852" t="s">
        <v>67</v>
      </c>
      <c r="S3852" t="str">
        <f>_xlfn.XLOOKUP(UNIVERSO[[#This Row],[Ruta]],'[1]CUOTA RUTA'!A:A,'[1]CUOTA RUTA'!D:D)</f>
        <v>Cargar</v>
      </c>
    </row>
    <row r="3853" spans="1:19" x14ac:dyDescent="0.25">
      <c r="A3853">
        <v>1540050485</v>
      </c>
      <c r="B3853" t="s">
        <v>7583</v>
      </c>
      <c r="C3853" t="s">
        <v>19</v>
      </c>
      <c r="D3853" t="s">
        <v>208</v>
      </c>
      <c r="E3853" t="s">
        <v>21</v>
      </c>
      <c r="F3853" t="s">
        <v>22</v>
      </c>
      <c r="G3853" t="s">
        <v>64</v>
      </c>
      <c r="H3853" t="s">
        <v>1794</v>
      </c>
      <c r="I3853" t="s">
        <v>7584</v>
      </c>
      <c r="J3853">
        <v>10.32854833</v>
      </c>
      <c r="K3853">
        <v>-83.919528330000006</v>
      </c>
      <c r="L3853" t="s">
        <v>1225</v>
      </c>
      <c r="M3853" t="s">
        <v>189</v>
      </c>
      <c r="N3853" t="s">
        <v>211</v>
      </c>
      <c r="O3853" t="s">
        <v>212</v>
      </c>
      <c r="P3853">
        <v>3</v>
      </c>
      <c r="Q3853" t="s">
        <v>101</v>
      </c>
      <c r="S3853" t="str">
        <f>_xlfn.XLOOKUP(UNIVERSO[[#This Row],[Ruta]],'[1]CUOTA RUTA'!A:A,'[1]CUOTA RUTA'!D:D)</f>
        <v>Cargar</v>
      </c>
    </row>
    <row r="3854" spans="1:19" x14ac:dyDescent="0.25">
      <c r="A3854">
        <v>1540050487</v>
      </c>
      <c r="B3854" t="s">
        <v>7585</v>
      </c>
      <c r="C3854" t="s">
        <v>19</v>
      </c>
      <c r="D3854" t="s">
        <v>32</v>
      </c>
      <c r="E3854" t="s">
        <v>21</v>
      </c>
      <c r="F3854" t="s">
        <v>22</v>
      </c>
      <c r="G3854" t="s">
        <v>64</v>
      </c>
      <c r="H3854" t="s">
        <v>112</v>
      </c>
      <c r="I3854" t="s">
        <v>7586</v>
      </c>
      <c r="J3854">
        <v>9.9742960000000007</v>
      </c>
      <c r="K3854">
        <v>-84.086821</v>
      </c>
      <c r="L3854" t="s">
        <v>1225</v>
      </c>
      <c r="M3854" t="s">
        <v>94</v>
      </c>
      <c r="N3854" t="s">
        <v>95</v>
      </c>
      <c r="O3854" t="s">
        <v>96</v>
      </c>
      <c r="P3854">
        <v>11</v>
      </c>
      <c r="Q3854" t="s">
        <v>108</v>
      </c>
      <c r="S3854" t="str">
        <f>_xlfn.XLOOKUP(UNIVERSO[[#This Row],[Ruta]],'[1]CUOTA RUTA'!A:A,'[1]CUOTA RUTA'!D:D)</f>
        <v>Cargar</v>
      </c>
    </row>
    <row r="3855" spans="1:19" x14ac:dyDescent="0.25">
      <c r="A3855">
        <v>1540050543</v>
      </c>
      <c r="B3855" t="s">
        <v>7587</v>
      </c>
      <c r="C3855" t="s">
        <v>19</v>
      </c>
      <c r="D3855" t="s">
        <v>244</v>
      </c>
      <c r="E3855" t="s">
        <v>21</v>
      </c>
      <c r="F3855" t="s">
        <v>22</v>
      </c>
      <c r="G3855" t="s">
        <v>33</v>
      </c>
      <c r="H3855" t="s">
        <v>1294</v>
      </c>
      <c r="I3855" t="s">
        <v>7588</v>
      </c>
      <c r="J3855">
        <v>9.3226990000000001</v>
      </c>
      <c r="K3855">
        <v>-83.666742999999997</v>
      </c>
      <c r="L3855" t="s">
        <v>1225</v>
      </c>
      <c r="M3855" t="s">
        <v>46</v>
      </c>
      <c r="N3855" t="s">
        <v>247</v>
      </c>
      <c r="O3855" t="s">
        <v>248</v>
      </c>
      <c r="P3855">
        <v>13</v>
      </c>
      <c r="Q3855" t="s">
        <v>161</v>
      </c>
      <c r="S3855" t="str">
        <f>_xlfn.XLOOKUP(UNIVERSO[[#This Row],[Ruta]],'[1]CUOTA RUTA'!A:A,'[1]CUOTA RUTA'!D:D)</f>
        <v>Cargar</v>
      </c>
    </row>
    <row r="3856" spans="1:19" x14ac:dyDescent="0.25">
      <c r="A3856">
        <v>1540050608</v>
      </c>
      <c r="B3856" t="s">
        <v>7589</v>
      </c>
      <c r="C3856" t="s">
        <v>19</v>
      </c>
      <c r="D3856" t="s">
        <v>349</v>
      </c>
      <c r="E3856" t="s">
        <v>21</v>
      </c>
      <c r="F3856" t="s">
        <v>22</v>
      </c>
      <c r="G3856" t="s">
        <v>33</v>
      </c>
      <c r="H3856" t="s">
        <v>350</v>
      </c>
      <c r="I3856" t="s">
        <v>7590</v>
      </c>
      <c r="J3856">
        <v>10.314632</v>
      </c>
      <c r="K3856">
        <v>-85.801678999999993</v>
      </c>
      <c r="L3856" t="s">
        <v>1225</v>
      </c>
      <c r="M3856" t="s">
        <v>352</v>
      </c>
      <c r="N3856" t="s">
        <v>353</v>
      </c>
      <c r="O3856" t="s">
        <v>354</v>
      </c>
      <c r="P3856">
        <v>5</v>
      </c>
      <c r="Q3856" t="s">
        <v>117</v>
      </c>
      <c r="S3856" t="str">
        <f>_xlfn.XLOOKUP(UNIVERSO[[#This Row],[Ruta]],'[1]CUOTA RUTA'!A:A,'[1]CUOTA RUTA'!D:D)</f>
        <v>Cargar</v>
      </c>
    </row>
    <row r="3857" spans="1:19" x14ac:dyDescent="0.25">
      <c r="A3857">
        <v>1540050699</v>
      </c>
      <c r="B3857" t="s">
        <v>7591</v>
      </c>
      <c r="C3857" t="s">
        <v>19</v>
      </c>
      <c r="D3857" t="s">
        <v>20</v>
      </c>
      <c r="E3857" t="s">
        <v>21</v>
      </c>
      <c r="F3857" t="s">
        <v>22</v>
      </c>
      <c r="G3857" t="s">
        <v>33</v>
      </c>
      <c r="H3857" t="s">
        <v>674</v>
      </c>
      <c r="I3857" t="s">
        <v>7592</v>
      </c>
      <c r="J3857">
        <v>10.103878999999999</v>
      </c>
      <c r="K3857">
        <v>-84.461883</v>
      </c>
      <c r="L3857" t="s">
        <v>1225</v>
      </c>
      <c r="M3857" t="s">
        <v>46</v>
      </c>
      <c r="N3857" t="s">
        <v>47</v>
      </c>
      <c r="O3857" t="s">
        <v>48</v>
      </c>
      <c r="P3857">
        <v>6</v>
      </c>
      <c r="Q3857" t="s">
        <v>49</v>
      </c>
      <c r="S3857" t="str">
        <f>_xlfn.XLOOKUP(UNIVERSO[[#This Row],[Ruta]],'[1]CUOTA RUTA'!A:A,'[1]CUOTA RUTA'!D:D)</f>
        <v>Cargar</v>
      </c>
    </row>
    <row r="3858" spans="1:19" x14ac:dyDescent="0.25">
      <c r="A3858">
        <v>1540050732</v>
      </c>
      <c r="B3858" t="s">
        <v>7593</v>
      </c>
      <c r="C3858" t="s">
        <v>19</v>
      </c>
      <c r="D3858" t="s">
        <v>20</v>
      </c>
      <c r="E3858" t="s">
        <v>21</v>
      </c>
      <c r="F3858" t="s">
        <v>22</v>
      </c>
      <c r="G3858" t="s">
        <v>64</v>
      </c>
      <c r="H3858" t="s">
        <v>280</v>
      </c>
      <c r="I3858" t="s">
        <v>7594</v>
      </c>
      <c r="J3858">
        <v>10.018325000000001</v>
      </c>
      <c r="K3858">
        <v>-84.209456000000003</v>
      </c>
      <c r="L3858" t="s">
        <v>1225</v>
      </c>
      <c r="M3858" t="s">
        <v>54</v>
      </c>
      <c r="N3858" t="s">
        <v>55</v>
      </c>
      <c r="O3858" t="s">
        <v>56</v>
      </c>
      <c r="P3858">
        <v>1</v>
      </c>
      <c r="Q3858" t="s">
        <v>155</v>
      </c>
      <c r="S3858" t="str">
        <f>_xlfn.XLOOKUP(UNIVERSO[[#This Row],[Ruta]],'[1]CUOTA RUTA'!A:A,'[1]CUOTA RUTA'!D:D)</f>
        <v>Cargar</v>
      </c>
    </row>
    <row r="3859" spans="1:19" x14ac:dyDescent="0.25">
      <c r="A3859">
        <v>1540050787</v>
      </c>
      <c r="B3859" t="s">
        <v>7595</v>
      </c>
      <c r="C3859" t="s">
        <v>19</v>
      </c>
      <c r="D3859" t="s">
        <v>324</v>
      </c>
      <c r="E3859" t="s">
        <v>21</v>
      </c>
      <c r="F3859" t="s">
        <v>22</v>
      </c>
      <c r="G3859" t="s">
        <v>33</v>
      </c>
      <c r="H3859" t="s">
        <v>511</v>
      </c>
      <c r="I3859" t="s">
        <v>7596</v>
      </c>
      <c r="J3859">
        <v>10.456270999999999</v>
      </c>
      <c r="K3859">
        <v>-84.558235999999994</v>
      </c>
      <c r="L3859" t="s">
        <v>1225</v>
      </c>
      <c r="M3859" t="s">
        <v>327</v>
      </c>
      <c r="N3859" t="s">
        <v>328</v>
      </c>
      <c r="O3859" t="s">
        <v>329</v>
      </c>
      <c r="P3859">
        <v>12</v>
      </c>
      <c r="Q3859" t="s">
        <v>42</v>
      </c>
      <c r="S3859" t="str">
        <f>_xlfn.XLOOKUP(UNIVERSO[[#This Row],[Ruta]],'[1]CUOTA RUTA'!A:A,'[1]CUOTA RUTA'!D:D)</f>
        <v>Cargar</v>
      </c>
    </row>
    <row r="3860" spans="1:19" x14ac:dyDescent="0.25">
      <c r="A3860">
        <v>1540050802</v>
      </c>
      <c r="B3860" t="s">
        <v>7597</v>
      </c>
      <c r="C3860" t="s">
        <v>19</v>
      </c>
      <c r="D3860" t="s">
        <v>208</v>
      </c>
      <c r="E3860" t="s">
        <v>21</v>
      </c>
      <c r="F3860" t="s">
        <v>22</v>
      </c>
      <c r="G3860" t="s">
        <v>64</v>
      </c>
      <c r="H3860" t="s">
        <v>209</v>
      </c>
      <c r="I3860" t="s">
        <v>7598</v>
      </c>
      <c r="J3860">
        <v>10.292363699999999</v>
      </c>
      <c r="K3860">
        <v>-83.879754700000007</v>
      </c>
      <c r="L3860" t="s">
        <v>1225</v>
      </c>
      <c r="M3860" t="s">
        <v>189</v>
      </c>
      <c r="N3860" t="s">
        <v>211</v>
      </c>
      <c r="O3860" t="s">
        <v>212</v>
      </c>
      <c r="P3860">
        <v>11</v>
      </c>
      <c r="Q3860" t="s">
        <v>108</v>
      </c>
      <c r="S3860" t="str">
        <f>_xlfn.XLOOKUP(UNIVERSO[[#This Row],[Ruta]],'[1]CUOTA RUTA'!A:A,'[1]CUOTA RUTA'!D:D)</f>
        <v>Cargar</v>
      </c>
    </row>
    <row r="3861" spans="1:19" x14ac:dyDescent="0.25">
      <c r="A3861">
        <v>1540050845</v>
      </c>
      <c r="B3861" t="s">
        <v>7599</v>
      </c>
      <c r="C3861" t="s">
        <v>19</v>
      </c>
      <c r="D3861" t="s">
        <v>20</v>
      </c>
      <c r="E3861" t="s">
        <v>62</v>
      </c>
      <c r="F3861" t="s">
        <v>63</v>
      </c>
      <c r="G3861" t="s">
        <v>33</v>
      </c>
      <c r="H3861" t="s">
        <v>722</v>
      </c>
      <c r="I3861" t="s">
        <v>7600</v>
      </c>
      <c r="J3861">
        <v>9.9335974999999994</v>
      </c>
      <c r="K3861">
        <v>-84.117046799999997</v>
      </c>
      <c r="L3861" t="s">
        <v>1225</v>
      </c>
      <c r="M3861" t="s">
        <v>27</v>
      </c>
      <c r="N3861" t="s">
        <v>28</v>
      </c>
      <c r="O3861" t="s">
        <v>29</v>
      </c>
      <c r="P3861">
        <v>9</v>
      </c>
      <c r="Q3861" t="s">
        <v>80</v>
      </c>
      <c r="S3861" t="str">
        <f>_xlfn.XLOOKUP(UNIVERSO[[#This Row],[Ruta]],'[1]CUOTA RUTA'!A:A,'[1]CUOTA RUTA'!D:D)</f>
        <v>Cargar</v>
      </c>
    </row>
    <row r="3862" spans="1:19" x14ac:dyDescent="0.25">
      <c r="A3862">
        <v>1540050903</v>
      </c>
      <c r="B3862" t="s">
        <v>7601</v>
      </c>
      <c r="C3862" t="s">
        <v>19</v>
      </c>
      <c r="D3862" t="s">
        <v>208</v>
      </c>
      <c r="E3862" t="s">
        <v>21</v>
      </c>
      <c r="F3862" t="s">
        <v>22</v>
      </c>
      <c r="G3862" t="s">
        <v>33</v>
      </c>
      <c r="H3862" t="s">
        <v>417</v>
      </c>
      <c r="I3862" t="s">
        <v>7602</v>
      </c>
      <c r="J3862">
        <v>10.20008833</v>
      </c>
      <c r="K3862">
        <v>-83.774431669999998</v>
      </c>
      <c r="L3862" t="s">
        <v>1225</v>
      </c>
      <c r="M3862" t="s">
        <v>189</v>
      </c>
      <c r="N3862" t="s">
        <v>211</v>
      </c>
      <c r="O3862" t="s">
        <v>212</v>
      </c>
      <c r="P3862">
        <v>5</v>
      </c>
      <c r="Q3862" t="s">
        <v>117</v>
      </c>
      <c r="S3862" t="str">
        <f>_xlfn.XLOOKUP(UNIVERSO[[#This Row],[Ruta]],'[1]CUOTA RUTA'!A:A,'[1]CUOTA RUTA'!D:D)</f>
        <v>Cargar</v>
      </c>
    </row>
    <row r="3863" spans="1:19" x14ac:dyDescent="0.25">
      <c r="A3863">
        <v>1540050992</v>
      </c>
      <c r="B3863" t="s">
        <v>7603</v>
      </c>
      <c r="C3863" t="s">
        <v>19</v>
      </c>
      <c r="D3863" t="s">
        <v>266</v>
      </c>
      <c r="E3863" t="s">
        <v>21</v>
      </c>
      <c r="F3863" t="s">
        <v>22</v>
      </c>
      <c r="G3863" t="s">
        <v>33</v>
      </c>
      <c r="H3863" t="s">
        <v>272</v>
      </c>
      <c r="I3863" t="s">
        <v>7604</v>
      </c>
      <c r="J3863">
        <v>9.9170163000000002</v>
      </c>
      <c r="K3863">
        <v>-83.808806399999995</v>
      </c>
      <c r="L3863" t="s">
        <v>1225</v>
      </c>
      <c r="M3863" t="s">
        <v>54</v>
      </c>
      <c r="N3863" t="s">
        <v>274</v>
      </c>
      <c r="O3863" t="s">
        <v>275</v>
      </c>
      <c r="P3863">
        <v>21</v>
      </c>
      <c r="Q3863" t="s">
        <v>239</v>
      </c>
      <c r="S3863" t="str">
        <f>_xlfn.XLOOKUP(UNIVERSO[[#This Row],[Ruta]],'[1]CUOTA RUTA'!A:A,'[1]CUOTA RUTA'!D:D)</f>
        <v>Cargar</v>
      </c>
    </row>
    <row r="3864" spans="1:19" x14ac:dyDescent="0.25">
      <c r="A3864">
        <v>1540051039</v>
      </c>
      <c r="B3864" t="s">
        <v>7605</v>
      </c>
      <c r="C3864" t="s">
        <v>19</v>
      </c>
      <c r="D3864" t="s">
        <v>32</v>
      </c>
      <c r="E3864" t="s">
        <v>21</v>
      </c>
      <c r="F3864" t="s">
        <v>22</v>
      </c>
      <c r="G3864" t="s">
        <v>23</v>
      </c>
      <c r="H3864" t="s">
        <v>138</v>
      </c>
      <c r="I3864" t="s">
        <v>7606</v>
      </c>
      <c r="J3864">
        <v>9.9436099999999996</v>
      </c>
      <c r="K3864">
        <v>-84.016919999999999</v>
      </c>
      <c r="L3864" t="s">
        <v>1225</v>
      </c>
      <c r="M3864" t="s">
        <v>36</v>
      </c>
      <c r="N3864" t="s">
        <v>37</v>
      </c>
      <c r="O3864" t="s">
        <v>38</v>
      </c>
      <c r="P3864">
        <v>9</v>
      </c>
      <c r="Q3864" t="s">
        <v>80</v>
      </c>
      <c r="S3864" t="str">
        <f>_xlfn.XLOOKUP(UNIVERSO[[#This Row],[Ruta]],'[1]CUOTA RUTA'!A:A,'[1]CUOTA RUTA'!D:D)</f>
        <v>Cargar</v>
      </c>
    </row>
    <row r="3865" spans="1:19" x14ac:dyDescent="0.25">
      <c r="A3865">
        <v>1540051050</v>
      </c>
      <c r="B3865" t="s">
        <v>5160</v>
      </c>
      <c r="C3865" t="s">
        <v>19</v>
      </c>
      <c r="D3865" t="s">
        <v>569</v>
      </c>
      <c r="E3865" t="s">
        <v>21</v>
      </c>
      <c r="F3865" t="s">
        <v>22</v>
      </c>
      <c r="G3865" t="s">
        <v>33</v>
      </c>
      <c r="H3865" t="s">
        <v>570</v>
      </c>
      <c r="I3865" t="s">
        <v>7607</v>
      </c>
      <c r="J3865">
        <v>8.5434769999999993</v>
      </c>
      <c r="K3865">
        <v>-82.855973000000006</v>
      </c>
      <c r="L3865" t="s">
        <v>1225</v>
      </c>
      <c r="M3865" t="s">
        <v>572</v>
      </c>
      <c r="N3865" t="s">
        <v>573</v>
      </c>
      <c r="O3865" t="s">
        <v>574</v>
      </c>
      <c r="P3865">
        <v>23</v>
      </c>
      <c r="Q3865" t="s">
        <v>125</v>
      </c>
      <c r="S3865" t="str">
        <f>_xlfn.XLOOKUP(UNIVERSO[[#This Row],[Ruta]],'[1]CUOTA RUTA'!A:A,'[1]CUOTA RUTA'!D:D)</f>
        <v>Cargar</v>
      </c>
    </row>
    <row r="3866" spans="1:19" x14ac:dyDescent="0.25">
      <c r="A3866">
        <v>1540051069</v>
      </c>
      <c r="B3866" t="s">
        <v>7608</v>
      </c>
      <c r="C3866" t="s">
        <v>19</v>
      </c>
      <c r="D3866" t="s">
        <v>201</v>
      </c>
      <c r="E3866" t="s">
        <v>21</v>
      </c>
      <c r="F3866" t="s">
        <v>22</v>
      </c>
      <c r="G3866" t="s">
        <v>33</v>
      </c>
      <c r="H3866" t="s">
        <v>202</v>
      </c>
      <c r="I3866" t="s">
        <v>7609</v>
      </c>
      <c r="J3866">
        <v>9.9758650000000006</v>
      </c>
      <c r="K3866">
        <v>-84.720918999999995</v>
      </c>
      <c r="L3866" t="s">
        <v>1225</v>
      </c>
      <c r="M3866" t="s">
        <v>204</v>
      </c>
      <c r="N3866" t="s">
        <v>205</v>
      </c>
      <c r="O3866" t="s">
        <v>206</v>
      </c>
      <c r="P3866">
        <v>7</v>
      </c>
      <c r="Q3866" t="s">
        <v>39</v>
      </c>
      <c r="S3866" t="str">
        <f>_xlfn.XLOOKUP(UNIVERSO[[#This Row],[Ruta]],'[1]CUOTA RUTA'!A:A,'[1]CUOTA RUTA'!D:D)</f>
        <v>Cargar</v>
      </c>
    </row>
    <row r="3867" spans="1:19" x14ac:dyDescent="0.25">
      <c r="A3867">
        <v>1540051100</v>
      </c>
      <c r="B3867" t="s">
        <v>7610</v>
      </c>
      <c r="C3867" t="s">
        <v>19</v>
      </c>
      <c r="D3867" t="s">
        <v>208</v>
      </c>
      <c r="E3867" t="s">
        <v>21</v>
      </c>
      <c r="F3867" t="s">
        <v>22</v>
      </c>
      <c r="G3867" t="s">
        <v>64</v>
      </c>
      <c r="H3867" t="s">
        <v>631</v>
      </c>
      <c r="I3867" t="s">
        <v>7611</v>
      </c>
      <c r="J3867">
        <v>10.27946833</v>
      </c>
      <c r="K3867">
        <v>-83.727441670000005</v>
      </c>
      <c r="L3867" t="s">
        <v>1225</v>
      </c>
      <c r="M3867" t="s">
        <v>189</v>
      </c>
      <c r="N3867" t="s">
        <v>211</v>
      </c>
      <c r="O3867" t="s">
        <v>212</v>
      </c>
      <c r="P3867">
        <v>7</v>
      </c>
      <c r="Q3867" t="s">
        <v>39</v>
      </c>
      <c r="S3867" t="str">
        <f>_xlfn.XLOOKUP(UNIVERSO[[#This Row],[Ruta]],'[1]CUOTA RUTA'!A:A,'[1]CUOTA RUTA'!D:D)</f>
        <v>Cargar</v>
      </c>
    </row>
    <row r="3868" spans="1:19" x14ac:dyDescent="0.25">
      <c r="A3868">
        <v>1540051102</v>
      </c>
      <c r="B3868" t="s">
        <v>7612</v>
      </c>
      <c r="C3868" t="s">
        <v>19</v>
      </c>
      <c r="D3868" t="s">
        <v>20</v>
      </c>
      <c r="E3868" t="s">
        <v>21</v>
      </c>
      <c r="F3868" t="s">
        <v>22</v>
      </c>
      <c r="G3868" t="s">
        <v>33</v>
      </c>
      <c r="H3868" t="s">
        <v>260</v>
      </c>
      <c r="I3868" t="s">
        <v>7613</v>
      </c>
      <c r="J3868">
        <v>10.116548330000001</v>
      </c>
      <c r="K3868">
        <v>-84.533173520000005</v>
      </c>
      <c r="L3868" t="s">
        <v>1225</v>
      </c>
      <c r="M3868" t="s">
        <v>46</v>
      </c>
      <c r="N3868" t="s">
        <v>47</v>
      </c>
      <c r="O3868" t="s">
        <v>48</v>
      </c>
      <c r="P3868">
        <v>9</v>
      </c>
      <c r="Q3868" t="s">
        <v>80</v>
      </c>
      <c r="S3868" t="str">
        <f>_xlfn.XLOOKUP(UNIVERSO[[#This Row],[Ruta]],'[1]CUOTA RUTA'!A:A,'[1]CUOTA RUTA'!D:D)</f>
        <v>Cargar</v>
      </c>
    </row>
    <row r="3869" spans="1:19" x14ac:dyDescent="0.25">
      <c r="A3869">
        <v>1540051135</v>
      </c>
      <c r="B3869" t="s">
        <v>7614</v>
      </c>
      <c r="C3869" t="s">
        <v>19</v>
      </c>
      <c r="D3869" t="s">
        <v>20</v>
      </c>
      <c r="E3869" t="s">
        <v>21</v>
      </c>
      <c r="F3869" t="s">
        <v>22</v>
      </c>
      <c r="G3869" t="s">
        <v>23</v>
      </c>
      <c r="H3869" t="s">
        <v>518</v>
      </c>
      <c r="I3869" t="s">
        <v>7615</v>
      </c>
      <c r="J3869">
        <v>9.9876129999999996</v>
      </c>
      <c r="K3869">
        <v>-84.151449</v>
      </c>
      <c r="L3869" t="s">
        <v>1225</v>
      </c>
      <c r="M3869" t="s">
        <v>27</v>
      </c>
      <c r="N3869" t="s">
        <v>28</v>
      </c>
      <c r="O3869" t="s">
        <v>29</v>
      </c>
      <c r="P3869">
        <v>4</v>
      </c>
      <c r="Q3869" t="s">
        <v>120</v>
      </c>
      <c r="S3869" t="str">
        <f>_xlfn.XLOOKUP(UNIVERSO[[#This Row],[Ruta]],'[1]CUOTA RUTA'!A:A,'[1]CUOTA RUTA'!D:D)</f>
        <v>Cargar</v>
      </c>
    </row>
    <row r="3870" spans="1:19" x14ac:dyDescent="0.25">
      <c r="A3870">
        <v>1540051205</v>
      </c>
      <c r="B3870" t="s">
        <v>7616</v>
      </c>
      <c r="C3870" t="s">
        <v>19</v>
      </c>
      <c r="D3870" t="s">
        <v>32</v>
      </c>
      <c r="E3870" t="s">
        <v>62</v>
      </c>
      <c r="F3870" t="s">
        <v>63</v>
      </c>
      <c r="G3870" t="s">
        <v>64</v>
      </c>
      <c r="H3870" t="s">
        <v>1113</v>
      </c>
      <c r="I3870" t="s">
        <v>7617</v>
      </c>
      <c r="J3870">
        <v>9.9258919999999993</v>
      </c>
      <c r="K3870">
        <v>-84.064452000000003</v>
      </c>
      <c r="L3870" t="s">
        <v>1225</v>
      </c>
      <c r="M3870" t="s">
        <v>36</v>
      </c>
      <c r="N3870" t="s">
        <v>37</v>
      </c>
      <c r="O3870" t="s">
        <v>38</v>
      </c>
      <c r="P3870">
        <v>7</v>
      </c>
      <c r="Q3870" t="s">
        <v>39</v>
      </c>
      <c r="S3870" t="str">
        <f>_xlfn.XLOOKUP(UNIVERSO[[#This Row],[Ruta]],'[1]CUOTA RUTA'!A:A,'[1]CUOTA RUTA'!D:D)</f>
        <v>Cargar</v>
      </c>
    </row>
    <row r="3871" spans="1:19" x14ac:dyDescent="0.25">
      <c r="A3871">
        <v>1540051233</v>
      </c>
      <c r="B3871" t="s">
        <v>7618</v>
      </c>
      <c r="C3871" t="s">
        <v>19</v>
      </c>
      <c r="D3871" t="s">
        <v>349</v>
      </c>
      <c r="E3871" t="s">
        <v>21</v>
      </c>
      <c r="F3871" t="s">
        <v>22</v>
      </c>
      <c r="G3871" t="s">
        <v>64</v>
      </c>
      <c r="H3871" t="s">
        <v>350</v>
      </c>
      <c r="I3871" t="s">
        <v>7619</v>
      </c>
      <c r="J3871">
        <v>9.9206350000000008</v>
      </c>
      <c r="K3871">
        <v>-85.535938999999999</v>
      </c>
      <c r="L3871" t="s">
        <v>1225</v>
      </c>
      <c r="M3871" t="s">
        <v>352</v>
      </c>
      <c r="N3871" t="s">
        <v>353</v>
      </c>
      <c r="O3871" t="s">
        <v>354</v>
      </c>
      <c r="P3871">
        <v>8</v>
      </c>
      <c r="Q3871" t="s">
        <v>97</v>
      </c>
      <c r="S3871" t="str">
        <f>_xlfn.XLOOKUP(UNIVERSO[[#This Row],[Ruta]],'[1]CUOTA RUTA'!A:A,'[1]CUOTA RUTA'!D:D)</f>
        <v>Cargar</v>
      </c>
    </row>
    <row r="3872" spans="1:19" x14ac:dyDescent="0.25">
      <c r="A3872">
        <v>1540051247</v>
      </c>
      <c r="B3872" t="s">
        <v>7620</v>
      </c>
      <c r="C3872" t="s">
        <v>19</v>
      </c>
      <c r="D3872" t="s">
        <v>324</v>
      </c>
      <c r="E3872" t="s">
        <v>21</v>
      </c>
      <c r="F3872" t="s">
        <v>22</v>
      </c>
      <c r="G3872" t="s">
        <v>64</v>
      </c>
      <c r="H3872" t="s">
        <v>511</v>
      </c>
      <c r="I3872" t="s">
        <v>7621</v>
      </c>
      <c r="J3872">
        <v>10.457100000000001</v>
      </c>
      <c r="K3872">
        <v>-84.574200000000005</v>
      </c>
      <c r="L3872" t="s">
        <v>1225</v>
      </c>
      <c r="M3872" t="s">
        <v>327</v>
      </c>
      <c r="N3872" t="s">
        <v>328</v>
      </c>
      <c r="O3872" t="s">
        <v>329</v>
      </c>
      <c r="P3872">
        <v>13</v>
      </c>
      <c r="Q3872" t="s">
        <v>161</v>
      </c>
      <c r="S3872" t="str">
        <f>_xlfn.XLOOKUP(UNIVERSO[[#This Row],[Ruta]],'[1]CUOTA RUTA'!A:A,'[1]CUOTA RUTA'!D:D)</f>
        <v>Cargar</v>
      </c>
    </row>
    <row r="3873" spans="1:19" x14ac:dyDescent="0.25">
      <c r="A3873">
        <v>1540051252</v>
      </c>
      <c r="B3873" t="s">
        <v>7622</v>
      </c>
      <c r="C3873" t="s">
        <v>19</v>
      </c>
      <c r="D3873" t="s">
        <v>32</v>
      </c>
      <c r="E3873" t="s">
        <v>21</v>
      </c>
      <c r="F3873" t="s">
        <v>22</v>
      </c>
      <c r="G3873" t="s">
        <v>64</v>
      </c>
      <c r="H3873" t="s">
        <v>1345</v>
      </c>
      <c r="I3873" t="s">
        <v>7623</v>
      </c>
      <c r="J3873">
        <v>9.9311369999999997</v>
      </c>
      <c r="K3873">
        <v>-84.066867000000002</v>
      </c>
      <c r="L3873" t="s">
        <v>1225</v>
      </c>
      <c r="M3873" t="s">
        <v>71</v>
      </c>
      <c r="N3873" t="s">
        <v>72</v>
      </c>
      <c r="O3873" t="s">
        <v>73</v>
      </c>
      <c r="P3873">
        <v>5</v>
      </c>
      <c r="Q3873" t="s">
        <v>117</v>
      </c>
      <c r="S3873" t="str">
        <f>_xlfn.XLOOKUP(UNIVERSO[[#This Row],[Ruta]],'[1]CUOTA RUTA'!A:A,'[1]CUOTA RUTA'!D:D)</f>
        <v>Cargar</v>
      </c>
    </row>
    <row r="3874" spans="1:19" x14ac:dyDescent="0.25">
      <c r="A3874">
        <v>1540051278</v>
      </c>
      <c r="B3874" t="s">
        <v>7624</v>
      </c>
      <c r="C3874" t="s">
        <v>19</v>
      </c>
      <c r="D3874" t="s">
        <v>208</v>
      </c>
      <c r="E3874" t="s">
        <v>21</v>
      </c>
      <c r="F3874" t="s">
        <v>22</v>
      </c>
      <c r="G3874" t="s">
        <v>64</v>
      </c>
      <c r="H3874" t="s">
        <v>209</v>
      </c>
      <c r="I3874" t="s">
        <v>7625</v>
      </c>
      <c r="J3874">
        <v>10.166191</v>
      </c>
      <c r="K3874">
        <v>-83.609942000000004</v>
      </c>
      <c r="L3874" t="s">
        <v>1225</v>
      </c>
      <c r="M3874" t="s">
        <v>189</v>
      </c>
      <c r="N3874" t="s">
        <v>211</v>
      </c>
      <c r="O3874" t="s">
        <v>212</v>
      </c>
      <c r="P3874">
        <v>7</v>
      </c>
      <c r="Q3874" t="s">
        <v>39</v>
      </c>
      <c r="S3874" t="str">
        <f>_xlfn.XLOOKUP(UNIVERSO[[#This Row],[Ruta]],'[1]CUOTA RUTA'!A:A,'[1]CUOTA RUTA'!D:D)</f>
        <v>Cargar</v>
      </c>
    </row>
    <row r="3875" spans="1:19" x14ac:dyDescent="0.25">
      <c r="A3875">
        <v>1540051287</v>
      </c>
      <c r="B3875" t="s">
        <v>7626</v>
      </c>
      <c r="C3875" t="s">
        <v>19</v>
      </c>
      <c r="D3875" t="s">
        <v>244</v>
      </c>
      <c r="E3875" t="s">
        <v>21</v>
      </c>
      <c r="F3875" t="s">
        <v>22</v>
      </c>
      <c r="G3875" t="s">
        <v>64</v>
      </c>
      <c r="H3875" t="s">
        <v>767</v>
      </c>
      <c r="I3875" t="s">
        <v>7627</v>
      </c>
      <c r="J3875">
        <v>9.3764649999999996</v>
      </c>
      <c r="K3875">
        <v>-83.731164000000007</v>
      </c>
      <c r="L3875" t="s">
        <v>1225</v>
      </c>
      <c r="M3875" t="s">
        <v>46</v>
      </c>
      <c r="N3875" t="s">
        <v>247</v>
      </c>
      <c r="O3875" t="s">
        <v>248</v>
      </c>
      <c r="P3875">
        <v>15</v>
      </c>
      <c r="Q3875" t="s">
        <v>231</v>
      </c>
      <c r="S3875" t="str">
        <f>_xlfn.XLOOKUP(UNIVERSO[[#This Row],[Ruta]],'[1]CUOTA RUTA'!A:A,'[1]CUOTA RUTA'!D:D)</f>
        <v>Cargar</v>
      </c>
    </row>
    <row r="3876" spans="1:19" x14ac:dyDescent="0.25">
      <c r="A3876">
        <v>1540051288</v>
      </c>
      <c r="B3876" t="s">
        <v>7628</v>
      </c>
      <c r="C3876" t="s">
        <v>19</v>
      </c>
      <c r="D3876" t="s">
        <v>244</v>
      </c>
      <c r="E3876" t="s">
        <v>21</v>
      </c>
      <c r="F3876" t="s">
        <v>22</v>
      </c>
      <c r="G3876" t="s">
        <v>33</v>
      </c>
      <c r="H3876" t="s">
        <v>245</v>
      </c>
      <c r="I3876" t="s">
        <v>7629</v>
      </c>
      <c r="J3876">
        <v>9.296246</v>
      </c>
      <c r="K3876">
        <v>-83.665374999999997</v>
      </c>
      <c r="L3876" t="s">
        <v>1225</v>
      </c>
      <c r="M3876" t="s">
        <v>46</v>
      </c>
      <c r="N3876" t="s">
        <v>247</v>
      </c>
      <c r="O3876" t="s">
        <v>248</v>
      </c>
      <c r="P3876">
        <v>13</v>
      </c>
      <c r="Q3876" t="s">
        <v>161</v>
      </c>
      <c r="S3876" t="str">
        <f>_xlfn.XLOOKUP(UNIVERSO[[#This Row],[Ruta]],'[1]CUOTA RUTA'!A:A,'[1]CUOTA RUTA'!D:D)</f>
        <v>Cargar</v>
      </c>
    </row>
    <row r="3877" spans="1:19" x14ac:dyDescent="0.25">
      <c r="A3877">
        <v>1540051377</v>
      </c>
      <c r="B3877" t="s">
        <v>7630</v>
      </c>
      <c r="C3877" t="s">
        <v>19</v>
      </c>
      <c r="D3877" t="s">
        <v>20</v>
      </c>
      <c r="E3877" t="s">
        <v>21</v>
      </c>
      <c r="F3877" t="s">
        <v>22</v>
      </c>
      <c r="G3877" t="s">
        <v>64</v>
      </c>
      <c r="H3877" t="s">
        <v>910</v>
      </c>
      <c r="I3877" t="s">
        <v>7631</v>
      </c>
      <c r="J3877">
        <v>9.9983410999999993</v>
      </c>
      <c r="K3877">
        <v>-84.119943800000001</v>
      </c>
      <c r="L3877" t="s">
        <v>1225</v>
      </c>
      <c r="M3877" t="s">
        <v>27</v>
      </c>
      <c r="N3877" t="s">
        <v>28</v>
      </c>
      <c r="O3877" t="s">
        <v>29</v>
      </c>
      <c r="P3877">
        <v>13</v>
      </c>
      <c r="Q3877" t="s">
        <v>161</v>
      </c>
      <c r="S3877" t="str">
        <f>_xlfn.XLOOKUP(UNIVERSO[[#This Row],[Ruta]],'[1]CUOTA RUTA'!A:A,'[1]CUOTA RUTA'!D:D)</f>
        <v>Cargar</v>
      </c>
    </row>
    <row r="3878" spans="1:19" x14ac:dyDescent="0.25">
      <c r="A3878">
        <v>1540051478</v>
      </c>
      <c r="B3878" t="s">
        <v>7632</v>
      </c>
      <c r="C3878" t="s">
        <v>19</v>
      </c>
      <c r="D3878" t="s">
        <v>349</v>
      </c>
      <c r="E3878" t="s">
        <v>21</v>
      </c>
      <c r="F3878" t="s">
        <v>22</v>
      </c>
      <c r="G3878" t="s">
        <v>64</v>
      </c>
      <c r="H3878" t="s">
        <v>359</v>
      </c>
      <c r="I3878" t="s">
        <v>7633</v>
      </c>
      <c r="J3878">
        <v>10.270363</v>
      </c>
      <c r="K3878">
        <v>-85.741992999999994</v>
      </c>
      <c r="L3878" t="s">
        <v>1225</v>
      </c>
      <c r="M3878" t="s">
        <v>352</v>
      </c>
      <c r="N3878" t="s">
        <v>353</v>
      </c>
      <c r="O3878" t="s">
        <v>354</v>
      </c>
      <c r="P3878">
        <v>4</v>
      </c>
      <c r="Q3878" t="s">
        <v>120</v>
      </c>
      <c r="S3878" t="str">
        <f>_xlfn.XLOOKUP(UNIVERSO[[#This Row],[Ruta]],'[1]CUOTA RUTA'!A:A,'[1]CUOTA RUTA'!D:D)</f>
        <v>Cargar</v>
      </c>
    </row>
    <row r="3879" spans="1:19" x14ac:dyDescent="0.25">
      <c r="A3879">
        <v>1540051482</v>
      </c>
      <c r="B3879" t="s">
        <v>7634</v>
      </c>
      <c r="C3879" t="s">
        <v>19</v>
      </c>
      <c r="D3879" t="s">
        <v>201</v>
      </c>
      <c r="E3879" t="s">
        <v>21</v>
      </c>
      <c r="F3879" t="s">
        <v>51</v>
      </c>
      <c r="G3879" t="s">
        <v>23</v>
      </c>
      <c r="H3879" t="s">
        <v>533</v>
      </c>
      <c r="I3879" t="s">
        <v>7635</v>
      </c>
      <c r="J3879">
        <v>9.9127813496829997</v>
      </c>
      <c r="K3879">
        <v>-84.52257940682</v>
      </c>
      <c r="L3879" t="s">
        <v>1225</v>
      </c>
      <c r="M3879" t="s">
        <v>204</v>
      </c>
      <c r="N3879" t="s">
        <v>205</v>
      </c>
      <c r="O3879" t="s">
        <v>206</v>
      </c>
      <c r="P3879">
        <v>2</v>
      </c>
      <c r="Q3879" t="s">
        <v>150</v>
      </c>
      <c r="S3879" t="str">
        <f>_xlfn.XLOOKUP(UNIVERSO[[#This Row],[Ruta]],'[1]CUOTA RUTA'!A:A,'[1]CUOTA RUTA'!D:D)</f>
        <v>Cargar</v>
      </c>
    </row>
    <row r="3880" spans="1:19" x14ac:dyDescent="0.25">
      <c r="A3880">
        <v>1540051509</v>
      </c>
      <c r="B3880" t="s">
        <v>7636</v>
      </c>
      <c r="C3880" t="s">
        <v>19</v>
      </c>
      <c r="D3880" t="s">
        <v>20</v>
      </c>
      <c r="E3880" t="s">
        <v>21</v>
      </c>
      <c r="F3880" t="s">
        <v>22</v>
      </c>
      <c r="G3880" t="s">
        <v>33</v>
      </c>
      <c r="H3880" t="s">
        <v>260</v>
      </c>
      <c r="I3880" t="s">
        <v>7637</v>
      </c>
      <c r="J3880">
        <v>10.083995</v>
      </c>
      <c r="K3880">
        <v>-84.470281999999997</v>
      </c>
      <c r="L3880" t="s">
        <v>1225</v>
      </c>
      <c r="M3880" t="s">
        <v>46</v>
      </c>
      <c r="N3880" t="s">
        <v>47</v>
      </c>
      <c r="O3880" t="s">
        <v>48</v>
      </c>
      <c r="P3880">
        <v>7</v>
      </c>
      <c r="Q3880" t="s">
        <v>39</v>
      </c>
      <c r="S3880" t="str">
        <f>_xlfn.XLOOKUP(UNIVERSO[[#This Row],[Ruta]],'[1]CUOTA RUTA'!A:A,'[1]CUOTA RUTA'!D:D)</f>
        <v>Cargar</v>
      </c>
    </row>
    <row r="3881" spans="1:19" x14ac:dyDescent="0.25">
      <c r="A3881">
        <v>1540051521</v>
      </c>
      <c r="B3881" t="s">
        <v>7638</v>
      </c>
      <c r="C3881" t="s">
        <v>19</v>
      </c>
      <c r="D3881" t="s">
        <v>337</v>
      </c>
      <c r="E3881" t="s">
        <v>21</v>
      </c>
      <c r="F3881" t="s">
        <v>22</v>
      </c>
      <c r="G3881" t="s">
        <v>23</v>
      </c>
      <c r="H3881" t="s">
        <v>338</v>
      </c>
      <c r="I3881" t="s">
        <v>7639</v>
      </c>
      <c r="J3881">
        <v>10.4305992</v>
      </c>
      <c r="K3881">
        <v>-85.098705960000004</v>
      </c>
      <c r="L3881" t="s">
        <v>1225</v>
      </c>
      <c r="M3881" t="s">
        <v>327</v>
      </c>
      <c r="N3881" t="s">
        <v>340</v>
      </c>
      <c r="O3881" t="s">
        <v>341</v>
      </c>
      <c r="P3881">
        <v>22</v>
      </c>
      <c r="Q3881" t="s">
        <v>30</v>
      </c>
      <c r="S3881" t="str">
        <f>_xlfn.XLOOKUP(UNIVERSO[[#This Row],[Ruta]],'[1]CUOTA RUTA'!A:A,'[1]CUOTA RUTA'!D:D)</f>
        <v>Cargar</v>
      </c>
    </row>
    <row r="3882" spans="1:19" x14ac:dyDescent="0.25">
      <c r="A3882">
        <v>1540051575</v>
      </c>
      <c r="B3882" t="s">
        <v>7640</v>
      </c>
      <c r="C3882" t="s">
        <v>19</v>
      </c>
      <c r="D3882" t="s">
        <v>337</v>
      </c>
      <c r="E3882" t="s">
        <v>21</v>
      </c>
      <c r="F3882" t="s">
        <v>22</v>
      </c>
      <c r="G3882" t="s">
        <v>64</v>
      </c>
      <c r="H3882" t="s">
        <v>824</v>
      </c>
      <c r="I3882" t="s">
        <v>7641</v>
      </c>
      <c r="J3882">
        <v>10.931889999999999</v>
      </c>
      <c r="K3882">
        <v>-85.685973000000004</v>
      </c>
      <c r="L3882" t="s">
        <v>1225</v>
      </c>
      <c r="M3882" t="s">
        <v>327</v>
      </c>
      <c r="N3882" t="s">
        <v>340</v>
      </c>
      <c r="O3882" t="s">
        <v>341</v>
      </c>
      <c r="P3882">
        <v>15</v>
      </c>
      <c r="Q3882" t="s">
        <v>231</v>
      </c>
      <c r="S3882" t="str">
        <f>_xlfn.XLOOKUP(UNIVERSO[[#This Row],[Ruta]],'[1]CUOTA RUTA'!A:A,'[1]CUOTA RUTA'!D:D)</f>
        <v>Cargar</v>
      </c>
    </row>
    <row r="3883" spans="1:19" x14ac:dyDescent="0.25">
      <c r="A3883">
        <v>1540051581</v>
      </c>
      <c r="B3883" t="s">
        <v>7642</v>
      </c>
      <c r="C3883" t="s">
        <v>19</v>
      </c>
      <c r="D3883" t="s">
        <v>349</v>
      </c>
      <c r="E3883" t="s">
        <v>21</v>
      </c>
      <c r="F3883" t="s">
        <v>22</v>
      </c>
      <c r="G3883" t="s">
        <v>33</v>
      </c>
      <c r="H3883" t="s">
        <v>350</v>
      </c>
      <c r="I3883" t="s">
        <v>7643</v>
      </c>
      <c r="J3883">
        <v>10.25590251</v>
      </c>
      <c r="K3883">
        <v>-85.580468819999993</v>
      </c>
      <c r="L3883" t="s">
        <v>1225</v>
      </c>
      <c r="M3883" t="s">
        <v>352</v>
      </c>
      <c r="N3883" t="s">
        <v>353</v>
      </c>
      <c r="O3883" t="s">
        <v>354</v>
      </c>
      <c r="P3883">
        <v>1</v>
      </c>
      <c r="Q3883" t="s">
        <v>155</v>
      </c>
      <c r="S3883" t="str">
        <f>_xlfn.XLOOKUP(UNIVERSO[[#This Row],[Ruta]],'[1]CUOTA RUTA'!A:A,'[1]CUOTA RUTA'!D:D)</f>
        <v>Cargar</v>
      </c>
    </row>
    <row r="3884" spans="1:19" x14ac:dyDescent="0.25">
      <c r="A3884">
        <v>1540051603</v>
      </c>
      <c r="B3884" t="s">
        <v>7644</v>
      </c>
      <c r="C3884" t="s">
        <v>19</v>
      </c>
      <c r="D3884" t="s">
        <v>337</v>
      </c>
      <c r="E3884" t="s">
        <v>21</v>
      </c>
      <c r="F3884" t="s">
        <v>22</v>
      </c>
      <c r="G3884" t="s">
        <v>64</v>
      </c>
      <c r="H3884" t="s">
        <v>1732</v>
      </c>
      <c r="I3884" t="s">
        <v>7645</v>
      </c>
      <c r="J3884">
        <v>10.476903439999999</v>
      </c>
      <c r="K3884">
        <v>-84.970311030000005</v>
      </c>
      <c r="L3884" t="s">
        <v>1225</v>
      </c>
      <c r="M3884" t="s">
        <v>327</v>
      </c>
      <c r="N3884" t="s">
        <v>340</v>
      </c>
      <c r="O3884" t="s">
        <v>341</v>
      </c>
      <c r="P3884">
        <v>22</v>
      </c>
      <c r="Q3884" t="s">
        <v>30</v>
      </c>
      <c r="S3884" t="str">
        <f>_xlfn.XLOOKUP(UNIVERSO[[#This Row],[Ruta]],'[1]CUOTA RUTA'!A:A,'[1]CUOTA RUTA'!D:D)</f>
        <v>Cargar</v>
      </c>
    </row>
    <row r="3885" spans="1:19" x14ac:dyDescent="0.25">
      <c r="A3885">
        <v>1540051640</v>
      </c>
      <c r="B3885" t="s">
        <v>7493</v>
      </c>
      <c r="C3885" t="s">
        <v>19</v>
      </c>
      <c r="D3885" t="s">
        <v>201</v>
      </c>
      <c r="E3885" t="s">
        <v>21</v>
      </c>
      <c r="F3885" t="s">
        <v>22</v>
      </c>
      <c r="G3885" t="s">
        <v>23</v>
      </c>
      <c r="H3885" t="s">
        <v>334</v>
      </c>
      <c r="I3885" t="s">
        <v>7646</v>
      </c>
      <c r="J3885">
        <v>9.9781492000000007</v>
      </c>
      <c r="K3885">
        <v>-84.726589799999999</v>
      </c>
      <c r="L3885" t="s">
        <v>1225</v>
      </c>
      <c r="M3885" t="s">
        <v>204</v>
      </c>
      <c r="N3885" t="s">
        <v>205</v>
      </c>
      <c r="O3885" t="s">
        <v>206</v>
      </c>
      <c r="P3885">
        <v>7</v>
      </c>
      <c r="Q3885" t="s">
        <v>39</v>
      </c>
      <c r="S3885" t="str">
        <f>_xlfn.XLOOKUP(UNIVERSO[[#This Row],[Ruta]],'[1]CUOTA RUTA'!A:A,'[1]CUOTA RUTA'!D:D)</f>
        <v>Cargar</v>
      </c>
    </row>
    <row r="3886" spans="1:19" x14ac:dyDescent="0.25">
      <c r="A3886">
        <v>1540051673</v>
      </c>
      <c r="B3886" t="s">
        <v>7647</v>
      </c>
      <c r="C3886" t="s">
        <v>19</v>
      </c>
      <c r="D3886" t="s">
        <v>244</v>
      </c>
      <c r="E3886" t="s">
        <v>21</v>
      </c>
      <c r="F3886" t="s">
        <v>22</v>
      </c>
      <c r="G3886" t="s">
        <v>64</v>
      </c>
      <c r="H3886" t="s">
        <v>857</v>
      </c>
      <c r="I3886" t="s">
        <v>7648</v>
      </c>
      <c r="J3886">
        <v>9.3867379999999994</v>
      </c>
      <c r="K3886">
        <v>-83.704649000000003</v>
      </c>
      <c r="L3886" t="s">
        <v>1225</v>
      </c>
      <c r="M3886" t="s">
        <v>46</v>
      </c>
      <c r="N3886" t="s">
        <v>247</v>
      </c>
      <c r="O3886" t="s">
        <v>248</v>
      </c>
      <c r="P3886">
        <v>15</v>
      </c>
      <c r="Q3886" t="s">
        <v>231</v>
      </c>
      <c r="S3886" t="str">
        <f>_xlfn.XLOOKUP(UNIVERSO[[#This Row],[Ruta]],'[1]CUOTA RUTA'!A:A,'[1]CUOTA RUTA'!D:D)</f>
        <v>Cargar</v>
      </c>
    </row>
    <row r="3887" spans="1:19" x14ac:dyDescent="0.25">
      <c r="A3887">
        <v>1540051677</v>
      </c>
      <c r="B3887" t="s">
        <v>7649</v>
      </c>
      <c r="C3887" t="s">
        <v>19</v>
      </c>
      <c r="D3887" t="s">
        <v>20</v>
      </c>
      <c r="E3887" t="s">
        <v>21</v>
      </c>
      <c r="F3887" t="s">
        <v>22</v>
      </c>
      <c r="G3887" t="s">
        <v>33</v>
      </c>
      <c r="H3887" t="s">
        <v>198</v>
      </c>
      <c r="I3887" t="s">
        <v>7650</v>
      </c>
      <c r="J3887">
        <v>9.9064859999999992</v>
      </c>
      <c r="K3887">
        <v>-84.181951999999995</v>
      </c>
      <c r="L3887" t="s">
        <v>1225</v>
      </c>
      <c r="M3887" t="s">
        <v>54</v>
      </c>
      <c r="N3887" t="s">
        <v>55</v>
      </c>
      <c r="O3887" t="s">
        <v>56</v>
      </c>
      <c r="P3887">
        <v>11</v>
      </c>
      <c r="Q3887" t="s">
        <v>108</v>
      </c>
      <c r="S3887" t="str">
        <f>_xlfn.XLOOKUP(UNIVERSO[[#This Row],[Ruta]],'[1]CUOTA RUTA'!A:A,'[1]CUOTA RUTA'!D:D)</f>
        <v>Cargar</v>
      </c>
    </row>
    <row r="3888" spans="1:19" x14ac:dyDescent="0.25">
      <c r="A3888">
        <v>1540051727</v>
      </c>
      <c r="B3888" t="s">
        <v>7651</v>
      </c>
      <c r="C3888" t="s">
        <v>19</v>
      </c>
      <c r="D3888" t="s">
        <v>266</v>
      </c>
      <c r="E3888" t="s">
        <v>21</v>
      </c>
      <c r="F3888" t="s">
        <v>22</v>
      </c>
      <c r="G3888" t="s">
        <v>33</v>
      </c>
      <c r="H3888" t="s">
        <v>366</v>
      </c>
      <c r="I3888" t="s">
        <v>7652</v>
      </c>
      <c r="J3888">
        <v>9.8588000000000005</v>
      </c>
      <c r="K3888">
        <v>-83.917599999999993</v>
      </c>
      <c r="L3888" t="s">
        <v>1225</v>
      </c>
      <c r="M3888" t="s">
        <v>36</v>
      </c>
      <c r="N3888" t="s">
        <v>316</v>
      </c>
      <c r="O3888" t="s">
        <v>317</v>
      </c>
      <c r="P3888">
        <v>18</v>
      </c>
      <c r="Q3888" t="s">
        <v>84</v>
      </c>
      <c r="S3888" t="str">
        <f>_xlfn.XLOOKUP(UNIVERSO[[#This Row],[Ruta]],'[1]CUOTA RUTA'!A:A,'[1]CUOTA RUTA'!D:D)</f>
        <v>Cargar</v>
      </c>
    </row>
    <row r="3889" spans="1:19" x14ac:dyDescent="0.25">
      <c r="A3889">
        <v>1540051763</v>
      </c>
      <c r="B3889" t="s">
        <v>7653</v>
      </c>
      <c r="C3889" t="s">
        <v>19</v>
      </c>
      <c r="D3889" t="s">
        <v>201</v>
      </c>
      <c r="E3889" t="s">
        <v>21</v>
      </c>
      <c r="F3889" t="s">
        <v>22</v>
      </c>
      <c r="G3889" t="s">
        <v>33</v>
      </c>
      <c r="H3889" t="s">
        <v>334</v>
      </c>
      <c r="I3889" t="s">
        <v>7654</v>
      </c>
      <c r="J3889">
        <v>9.9194291999999997</v>
      </c>
      <c r="K3889">
        <v>-84.655051499999999</v>
      </c>
      <c r="L3889" t="s">
        <v>1225</v>
      </c>
      <c r="M3889" t="s">
        <v>204</v>
      </c>
      <c r="N3889" t="s">
        <v>205</v>
      </c>
      <c r="O3889" t="s">
        <v>206</v>
      </c>
      <c r="P3889">
        <v>6</v>
      </c>
      <c r="Q3889" t="s">
        <v>49</v>
      </c>
      <c r="S3889" t="str">
        <f>_xlfn.XLOOKUP(UNIVERSO[[#This Row],[Ruta]],'[1]CUOTA RUTA'!A:A,'[1]CUOTA RUTA'!D:D)</f>
        <v>Cargar</v>
      </c>
    </row>
    <row r="3890" spans="1:19" x14ac:dyDescent="0.25">
      <c r="A3890">
        <v>1540051769</v>
      </c>
      <c r="B3890" t="s">
        <v>595</v>
      </c>
      <c r="C3890" t="s">
        <v>19</v>
      </c>
      <c r="D3890" t="s">
        <v>201</v>
      </c>
      <c r="E3890" t="s">
        <v>21</v>
      </c>
      <c r="F3890" t="s">
        <v>22</v>
      </c>
      <c r="G3890" t="s">
        <v>33</v>
      </c>
      <c r="H3890" t="s">
        <v>794</v>
      </c>
      <c r="I3890" t="s">
        <v>7655</v>
      </c>
      <c r="J3890">
        <v>9.6106532999999992</v>
      </c>
      <c r="K3890">
        <v>-84.615865200000002</v>
      </c>
      <c r="L3890" t="s">
        <v>1225</v>
      </c>
      <c r="M3890" t="s">
        <v>204</v>
      </c>
      <c r="N3890" t="s">
        <v>205</v>
      </c>
      <c r="O3890" t="s">
        <v>206</v>
      </c>
      <c r="P3890">
        <v>6</v>
      </c>
      <c r="Q3890" t="s">
        <v>49</v>
      </c>
      <c r="S3890" t="str">
        <f>_xlfn.XLOOKUP(UNIVERSO[[#This Row],[Ruta]],'[1]CUOTA RUTA'!A:A,'[1]CUOTA RUTA'!D:D)</f>
        <v>Cargar</v>
      </c>
    </row>
    <row r="3891" spans="1:19" x14ac:dyDescent="0.25">
      <c r="A3891">
        <v>1540051881</v>
      </c>
      <c r="B3891" t="s">
        <v>7656</v>
      </c>
      <c r="C3891" t="s">
        <v>19</v>
      </c>
      <c r="D3891" t="s">
        <v>32</v>
      </c>
      <c r="E3891" t="s">
        <v>21</v>
      </c>
      <c r="F3891" t="s">
        <v>22</v>
      </c>
      <c r="G3891" t="s">
        <v>64</v>
      </c>
      <c r="H3891" t="s">
        <v>1113</v>
      </c>
      <c r="I3891" t="s">
        <v>7657</v>
      </c>
      <c r="J3891">
        <v>9.9336199999999995</v>
      </c>
      <c r="K3891">
        <v>-84.051030999999995</v>
      </c>
      <c r="L3891" t="s">
        <v>1225</v>
      </c>
      <c r="M3891" t="s">
        <v>36</v>
      </c>
      <c r="N3891" t="s">
        <v>37</v>
      </c>
      <c r="O3891" t="s">
        <v>38</v>
      </c>
      <c r="P3891">
        <v>23</v>
      </c>
      <c r="Q3891" t="s">
        <v>125</v>
      </c>
      <c r="S3891" t="str">
        <f>_xlfn.XLOOKUP(UNIVERSO[[#This Row],[Ruta]],'[1]CUOTA RUTA'!A:A,'[1]CUOTA RUTA'!D:D)</f>
        <v>Cargar</v>
      </c>
    </row>
    <row r="3892" spans="1:19" x14ac:dyDescent="0.25">
      <c r="A3892">
        <v>1540051883</v>
      </c>
      <c r="B3892" t="s">
        <v>7658</v>
      </c>
      <c r="C3892" t="s">
        <v>19</v>
      </c>
      <c r="D3892" t="s">
        <v>20</v>
      </c>
      <c r="E3892" t="s">
        <v>21</v>
      </c>
      <c r="F3892" t="s">
        <v>22</v>
      </c>
      <c r="G3892" t="s">
        <v>33</v>
      </c>
      <c r="H3892" t="s">
        <v>44</v>
      </c>
      <c r="I3892" t="s">
        <v>7659</v>
      </c>
      <c r="J3892">
        <v>10.096912400000001</v>
      </c>
      <c r="K3892">
        <v>-84.425823500000007</v>
      </c>
      <c r="L3892" t="s">
        <v>1225</v>
      </c>
      <c r="M3892" t="s">
        <v>46</v>
      </c>
      <c r="N3892" t="s">
        <v>47</v>
      </c>
      <c r="O3892" t="s">
        <v>48</v>
      </c>
      <c r="P3892">
        <v>6</v>
      </c>
      <c r="Q3892" t="s">
        <v>49</v>
      </c>
      <c r="S3892" t="str">
        <f>_xlfn.XLOOKUP(UNIVERSO[[#This Row],[Ruta]],'[1]CUOTA RUTA'!A:A,'[1]CUOTA RUTA'!D:D)</f>
        <v>Cargar</v>
      </c>
    </row>
    <row r="3893" spans="1:19" x14ac:dyDescent="0.25">
      <c r="A3893">
        <v>1540051913</v>
      </c>
      <c r="B3893" t="s">
        <v>7660</v>
      </c>
      <c r="C3893" t="s">
        <v>19</v>
      </c>
      <c r="D3893" t="s">
        <v>32</v>
      </c>
      <c r="E3893" t="s">
        <v>21</v>
      </c>
      <c r="F3893" t="s">
        <v>22</v>
      </c>
      <c r="G3893" t="s">
        <v>33</v>
      </c>
      <c r="H3893" t="s">
        <v>65</v>
      </c>
      <c r="I3893" t="s">
        <v>7661</v>
      </c>
      <c r="J3893">
        <v>9.9089200000000002</v>
      </c>
      <c r="K3893">
        <v>-83.991759999999999</v>
      </c>
      <c r="L3893" t="s">
        <v>1225</v>
      </c>
      <c r="M3893" t="s">
        <v>36</v>
      </c>
      <c r="N3893" t="s">
        <v>37</v>
      </c>
      <c r="O3893" t="s">
        <v>38</v>
      </c>
      <c r="P3893">
        <v>18</v>
      </c>
      <c r="Q3893" t="s">
        <v>84</v>
      </c>
      <c r="S3893" t="str">
        <f>_xlfn.XLOOKUP(UNIVERSO[[#This Row],[Ruta]],'[1]CUOTA RUTA'!A:A,'[1]CUOTA RUTA'!D:D)</f>
        <v>Cargar</v>
      </c>
    </row>
    <row r="3894" spans="1:19" x14ac:dyDescent="0.25">
      <c r="A3894">
        <v>1540051985</v>
      </c>
      <c r="B3894" t="s">
        <v>7662</v>
      </c>
      <c r="C3894" t="s">
        <v>19</v>
      </c>
      <c r="D3894" t="s">
        <v>337</v>
      </c>
      <c r="E3894" t="s">
        <v>21</v>
      </c>
      <c r="F3894" t="s">
        <v>22</v>
      </c>
      <c r="G3894" t="s">
        <v>64</v>
      </c>
      <c r="H3894" t="s">
        <v>343</v>
      </c>
      <c r="I3894" t="s">
        <v>7663</v>
      </c>
      <c r="J3894">
        <v>10.381333</v>
      </c>
      <c r="K3894">
        <v>-85.111830999999995</v>
      </c>
      <c r="L3894" t="s">
        <v>1225</v>
      </c>
      <c r="M3894" t="s">
        <v>327</v>
      </c>
      <c r="N3894" t="s">
        <v>340</v>
      </c>
      <c r="O3894" t="s">
        <v>341</v>
      </c>
      <c r="P3894">
        <v>21</v>
      </c>
      <c r="Q3894" t="s">
        <v>239</v>
      </c>
      <c r="S3894" t="str">
        <f>_xlfn.XLOOKUP(UNIVERSO[[#This Row],[Ruta]],'[1]CUOTA RUTA'!A:A,'[1]CUOTA RUTA'!D:D)</f>
        <v>Cargar</v>
      </c>
    </row>
    <row r="3895" spans="1:19" x14ac:dyDescent="0.25">
      <c r="A3895">
        <v>1540052009</v>
      </c>
      <c r="B3895" t="s">
        <v>7664</v>
      </c>
      <c r="C3895" t="s">
        <v>19</v>
      </c>
      <c r="D3895" t="s">
        <v>32</v>
      </c>
      <c r="E3895" t="s">
        <v>21</v>
      </c>
      <c r="F3895" t="s">
        <v>22</v>
      </c>
      <c r="G3895" t="s">
        <v>33</v>
      </c>
      <c r="H3895" t="s">
        <v>82</v>
      </c>
      <c r="I3895" t="s">
        <v>7665</v>
      </c>
      <c r="J3895">
        <v>9.8911099999999994</v>
      </c>
      <c r="K3895">
        <v>-84.061099999999996</v>
      </c>
      <c r="L3895" t="s">
        <v>1225</v>
      </c>
      <c r="M3895" t="s">
        <v>71</v>
      </c>
      <c r="N3895" t="s">
        <v>72</v>
      </c>
      <c r="O3895" t="s">
        <v>73</v>
      </c>
      <c r="P3895">
        <v>19</v>
      </c>
      <c r="Q3895" t="s">
        <v>67</v>
      </c>
      <c r="S3895" t="str">
        <f>_xlfn.XLOOKUP(UNIVERSO[[#This Row],[Ruta]],'[1]CUOTA RUTA'!A:A,'[1]CUOTA RUTA'!D:D)</f>
        <v>Cargar</v>
      </c>
    </row>
    <row r="3896" spans="1:19" x14ac:dyDescent="0.25">
      <c r="A3896">
        <v>1540052026</v>
      </c>
      <c r="B3896" t="s">
        <v>7666</v>
      </c>
      <c r="C3896" t="s">
        <v>19</v>
      </c>
      <c r="D3896" t="s">
        <v>186</v>
      </c>
      <c r="E3896" t="s">
        <v>21</v>
      </c>
      <c r="F3896" t="s">
        <v>22</v>
      </c>
      <c r="G3896" t="s">
        <v>23</v>
      </c>
      <c r="H3896" t="s">
        <v>237</v>
      </c>
      <c r="I3896" t="s">
        <v>7667</v>
      </c>
      <c r="J3896">
        <v>10.079499999999999</v>
      </c>
      <c r="K3896">
        <v>-83.288700000000006</v>
      </c>
      <c r="L3896" t="s">
        <v>1225</v>
      </c>
      <c r="M3896" t="s">
        <v>189</v>
      </c>
      <c r="N3896" t="s">
        <v>190</v>
      </c>
      <c r="O3896" t="s">
        <v>191</v>
      </c>
      <c r="P3896">
        <v>20</v>
      </c>
      <c r="Q3896" t="s">
        <v>74</v>
      </c>
      <c r="S3896" t="str">
        <f>_xlfn.XLOOKUP(UNIVERSO[[#This Row],[Ruta]],'[1]CUOTA RUTA'!A:A,'[1]CUOTA RUTA'!D:D)</f>
        <v>Cargar</v>
      </c>
    </row>
    <row r="3897" spans="1:19" x14ac:dyDescent="0.25">
      <c r="A3897">
        <v>1540052060</v>
      </c>
      <c r="B3897" t="s">
        <v>7668</v>
      </c>
      <c r="C3897" t="s">
        <v>19</v>
      </c>
      <c r="D3897" t="s">
        <v>266</v>
      </c>
      <c r="E3897" t="s">
        <v>21</v>
      </c>
      <c r="F3897" t="s">
        <v>22</v>
      </c>
      <c r="G3897" t="s">
        <v>33</v>
      </c>
      <c r="H3897" t="s">
        <v>404</v>
      </c>
      <c r="I3897" t="s">
        <v>7669</v>
      </c>
      <c r="J3897">
        <v>9.8641710000000007</v>
      </c>
      <c r="K3897">
        <v>-83.904077999999998</v>
      </c>
      <c r="L3897" t="s">
        <v>1225</v>
      </c>
      <c r="M3897" t="s">
        <v>36</v>
      </c>
      <c r="N3897" t="s">
        <v>316</v>
      </c>
      <c r="O3897" t="s">
        <v>317</v>
      </c>
      <c r="P3897">
        <v>16</v>
      </c>
      <c r="Q3897" t="s">
        <v>60</v>
      </c>
      <c r="S3897" t="str">
        <f>_xlfn.XLOOKUP(UNIVERSO[[#This Row],[Ruta]],'[1]CUOTA RUTA'!A:A,'[1]CUOTA RUTA'!D:D)</f>
        <v>Cargar</v>
      </c>
    </row>
    <row r="3898" spans="1:19" x14ac:dyDescent="0.25">
      <c r="A3898">
        <v>1540052100</v>
      </c>
      <c r="B3898" t="s">
        <v>7670</v>
      </c>
      <c r="C3898" t="s">
        <v>19</v>
      </c>
      <c r="D3898" t="s">
        <v>324</v>
      </c>
      <c r="E3898" t="s">
        <v>21</v>
      </c>
      <c r="F3898" t="s">
        <v>22</v>
      </c>
      <c r="G3898" t="s">
        <v>64</v>
      </c>
      <c r="H3898" t="s">
        <v>325</v>
      </c>
      <c r="I3898" t="s">
        <v>7671</v>
      </c>
      <c r="J3898">
        <v>10.373699999999999</v>
      </c>
      <c r="K3898">
        <v>-84.475200000000001</v>
      </c>
      <c r="L3898" t="s">
        <v>1225</v>
      </c>
      <c r="M3898" t="s">
        <v>327</v>
      </c>
      <c r="N3898" t="s">
        <v>328</v>
      </c>
      <c r="O3898" t="s">
        <v>329</v>
      </c>
      <c r="P3898">
        <v>14</v>
      </c>
      <c r="Q3898" t="s">
        <v>181</v>
      </c>
      <c r="S3898" t="str">
        <f>_xlfn.XLOOKUP(UNIVERSO[[#This Row],[Ruta]],'[1]CUOTA RUTA'!A:A,'[1]CUOTA RUTA'!D:D)</f>
        <v>Cargar</v>
      </c>
    </row>
    <row r="3899" spans="1:19" x14ac:dyDescent="0.25">
      <c r="A3899">
        <v>1540052106</v>
      </c>
      <c r="B3899" t="s">
        <v>7672</v>
      </c>
      <c r="C3899" t="s">
        <v>19</v>
      </c>
      <c r="D3899" t="s">
        <v>201</v>
      </c>
      <c r="E3899" t="s">
        <v>21</v>
      </c>
      <c r="F3899" t="s">
        <v>22</v>
      </c>
      <c r="G3899" t="s">
        <v>33</v>
      </c>
      <c r="H3899" t="s">
        <v>533</v>
      </c>
      <c r="I3899" t="s">
        <v>7673</v>
      </c>
      <c r="J3899">
        <v>9.9039675999999996</v>
      </c>
      <c r="K3899">
        <v>-84.528524300000001</v>
      </c>
      <c r="L3899" t="s">
        <v>1225</v>
      </c>
      <c r="M3899" t="s">
        <v>204</v>
      </c>
      <c r="N3899" t="s">
        <v>205</v>
      </c>
      <c r="O3899" t="s">
        <v>206</v>
      </c>
      <c r="P3899">
        <v>2</v>
      </c>
      <c r="Q3899" t="s">
        <v>150</v>
      </c>
      <c r="S3899" t="str">
        <f>_xlfn.XLOOKUP(UNIVERSO[[#This Row],[Ruta]],'[1]CUOTA RUTA'!A:A,'[1]CUOTA RUTA'!D:D)</f>
        <v>Cargar</v>
      </c>
    </row>
    <row r="3900" spans="1:19" x14ac:dyDescent="0.25">
      <c r="A3900">
        <v>1540052186</v>
      </c>
      <c r="B3900" t="s">
        <v>7674</v>
      </c>
      <c r="C3900" t="s">
        <v>19</v>
      </c>
      <c r="D3900" t="s">
        <v>324</v>
      </c>
      <c r="E3900" t="s">
        <v>21</v>
      </c>
      <c r="F3900" t="s">
        <v>22</v>
      </c>
      <c r="G3900" t="s">
        <v>64</v>
      </c>
      <c r="H3900" t="s">
        <v>331</v>
      </c>
      <c r="I3900" t="s">
        <v>7675</v>
      </c>
      <c r="J3900">
        <v>10.314397</v>
      </c>
      <c r="K3900">
        <v>-84.181614999999994</v>
      </c>
      <c r="L3900" t="s">
        <v>1225</v>
      </c>
      <c r="M3900" t="s">
        <v>327</v>
      </c>
      <c r="N3900" t="s">
        <v>328</v>
      </c>
      <c r="O3900" t="s">
        <v>329</v>
      </c>
      <c r="P3900">
        <v>23</v>
      </c>
      <c r="Q3900" t="s">
        <v>125</v>
      </c>
      <c r="S3900" t="str">
        <f>_xlfn.XLOOKUP(UNIVERSO[[#This Row],[Ruta]],'[1]CUOTA RUTA'!A:A,'[1]CUOTA RUTA'!D:D)</f>
        <v>Cargar</v>
      </c>
    </row>
    <row r="3901" spans="1:19" x14ac:dyDescent="0.25">
      <c r="A3901">
        <v>1540052256</v>
      </c>
      <c r="B3901" t="s">
        <v>7676</v>
      </c>
      <c r="C3901" t="s">
        <v>19</v>
      </c>
      <c r="D3901" t="s">
        <v>324</v>
      </c>
      <c r="E3901" t="s">
        <v>21</v>
      </c>
      <c r="F3901" t="s">
        <v>22</v>
      </c>
      <c r="G3901" t="s">
        <v>33</v>
      </c>
      <c r="H3901" t="s">
        <v>557</v>
      </c>
      <c r="I3901" t="s">
        <v>7224</v>
      </c>
      <c r="J3901">
        <v>10.472292700000001</v>
      </c>
      <c r="K3901">
        <v>-84.645357099999998</v>
      </c>
      <c r="L3901" t="s">
        <v>1225</v>
      </c>
      <c r="M3901" t="s">
        <v>327</v>
      </c>
      <c r="N3901" t="s">
        <v>328</v>
      </c>
      <c r="O3901" t="s">
        <v>329</v>
      </c>
      <c r="P3901">
        <v>21</v>
      </c>
      <c r="Q3901" t="s">
        <v>239</v>
      </c>
      <c r="S3901" t="str">
        <f>_xlfn.XLOOKUP(UNIVERSO[[#This Row],[Ruta]],'[1]CUOTA RUTA'!A:A,'[1]CUOTA RUTA'!D:D)</f>
        <v>Cargar</v>
      </c>
    </row>
    <row r="3902" spans="1:19" x14ac:dyDescent="0.25">
      <c r="A3902">
        <v>1540052348</v>
      </c>
      <c r="B3902" t="s">
        <v>7677</v>
      </c>
      <c r="C3902" t="s">
        <v>19</v>
      </c>
      <c r="D3902" t="s">
        <v>208</v>
      </c>
      <c r="E3902" t="s">
        <v>21</v>
      </c>
      <c r="F3902" t="s">
        <v>22</v>
      </c>
      <c r="G3902" t="s">
        <v>64</v>
      </c>
      <c r="H3902" t="s">
        <v>209</v>
      </c>
      <c r="I3902" t="s">
        <v>7678</v>
      </c>
      <c r="J3902">
        <v>10.22916669</v>
      </c>
      <c r="K3902">
        <v>-83.80619849</v>
      </c>
      <c r="L3902" t="s">
        <v>1225</v>
      </c>
      <c r="M3902" t="s">
        <v>189</v>
      </c>
      <c r="N3902" t="s">
        <v>211</v>
      </c>
      <c r="O3902" t="s">
        <v>212</v>
      </c>
      <c r="P3902">
        <v>5</v>
      </c>
      <c r="Q3902" t="s">
        <v>117</v>
      </c>
      <c r="S3902" t="str">
        <f>_xlfn.XLOOKUP(UNIVERSO[[#This Row],[Ruta]],'[1]CUOTA RUTA'!A:A,'[1]CUOTA RUTA'!D:D)</f>
        <v>Cargar</v>
      </c>
    </row>
    <row r="3903" spans="1:19" x14ac:dyDescent="0.25">
      <c r="A3903">
        <v>1540052442</v>
      </c>
      <c r="B3903" t="s">
        <v>7679</v>
      </c>
      <c r="C3903" t="s">
        <v>19</v>
      </c>
      <c r="D3903" t="s">
        <v>569</v>
      </c>
      <c r="E3903" t="s">
        <v>21</v>
      </c>
      <c r="F3903" t="s">
        <v>22</v>
      </c>
      <c r="G3903" t="s">
        <v>64</v>
      </c>
      <c r="H3903" t="s">
        <v>570</v>
      </c>
      <c r="I3903" t="s">
        <v>7680</v>
      </c>
      <c r="J3903">
        <v>8.6572259999999996</v>
      </c>
      <c r="K3903">
        <v>-83.053157999999996</v>
      </c>
      <c r="L3903" t="s">
        <v>1225</v>
      </c>
      <c r="M3903" t="s">
        <v>572</v>
      </c>
      <c r="N3903" t="s">
        <v>573</v>
      </c>
      <c r="O3903" t="s">
        <v>574</v>
      </c>
      <c r="P3903">
        <v>23</v>
      </c>
      <c r="Q3903" t="s">
        <v>125</v>
      </c>
      <c r="S3903" t="str">
        <f>_xlfn.XLOOKUP(UNIVERSO[[#This Row],[Ruta]],'[1]CUOTA RUTA'!A:A,'[1]CUOTA RUTA'!D:D)</f>
        <v>Cargar</v>
      </c>
    </row>
    <row r="3904" spans="1:19" x14ac:dyDescent="0.25">
      <c r="A3904">
        <v>1540052447</v>
      </c>
      <c r="B3904" t="s">
        <v>7681</v>
      </c>
      <c r="C3904" t="s">
        <v>19</v>
      </c>
      <c r="D3904" t="s">
        <v>201</v>
      </c>
      <c r="E3904" t="s">
        <v>21</v>
      </c>
      <c r="F3904" t="s">
        <v>22</v>
      </c>
      <c r="G3904" t="s">
        <v>33</v>
      </c>
      <c r="H3904" t="s">
        <v>499</v>
      </c>
      <c r="I3904" t="s">
        <v>7682</v>
      </c>
      <c r="J3904">
        <v>9.8941554000000007</v>
      </c>
      <c r="K3904">
        <v>-84.642391599999996</v>
      </c>
      <c r="L3904" t="s">
        <v>1225</v>
      </c>
      <c r="M3904" t="s">
        <v>204</v>
      </c>
      <c r="N3904" t="s">
        <v>205</v>
      </c>
      <c r="O3904" t="s">
        <v>206</v>
      </c>
      <c r="P3904">
        <v>6</v>
      </c>
      <c r="Q3904" t="s">
        <v>49</v>
      </c>
      <c r="S3904" t="str">
        <f>_xlfn.XLOOKUP(UNIVERSO[[#This Row],[Ruta]],'[1]CUOTA RUTA'!A:A,'[1]CUOTA RUTA'!D:D)</f>
        <v>Cargar</v>
      </c>
    </row>
    <row r="3905" spans="1:19" x14ac:dyDescent="0.25">
      <c r="A3905">
        <v>1540052473</v>
      </c>
      <c r="B3905" t="s">
        <v>7683</v>
      </c>
      <c r="C3905" t="s">
        <v>19</v>
      </c>
      <c r="D3905" t="s">
        <v>324</v>
      </c>
      <c r="E3905" t="s">
        <v>21</v>
      </c>
      <c r="F3905" t="s">
        <v>22</v>
      </c>
      <c r="G3905" t="s">
        <v>33</v>
      </c>
      <c r="H3905" t="s">
        <v>393</v>
      </c>
      <c r="I3905" t="s">
        <v>7684</v>
      </c>
      <c r="J3905">
        <v>10.366</v>
      </c>
      <c r="K3905">
        <v>-84.437100000000001</v>
      </c>
      <c r="L3905" t="s">
        <v>1225</v>
      </c>
      <c r="M3905" t="s">
        <v>327</v>
      </c>
      <c r="N3905" t="s">
        <v>328</v>
      </c>
      <c r="O3905" t="s">
        <v>329</v>
      </c>
      <c r="P3905">
        <v>15</v>
      </c>
      <c r="Q3905" t="s">
        <v>231</v>
      </c>
      <c r="S3905" t="str">
        <f>_xlfn.XLOOKUP(UNIVERSO[[#This Row],[Ruta]],'[1]CUOTA RUTA'!A:A,'[1]CUOTA RUTA'!D:D)</f>
        <v>Cargar</v>
      </c>
    </row>
    <row r="3906" spans="1:19" x14ac:dyDescent="0.25">
      <c r="A3906">
        <v>1540052538</v>
      </c>
      <c r="B3906" t="s">
        <v>7685</v>
      </c>
      <c r="C3906" t="s">
        <v>19</v>
      </c>
      <c r="D3906" t="s">
        <v>266</v>
      </c>
      <c r="E3906" t="s">
        <v>21</v>
      </c>
      <c r="F3906" t="s">
        <v>22</v>
      </c>
      <c r="G3906" t="s">
        <v>64</v>
      </c>
      <c r="H3906" t="s">
        <v>372</v>
      </c>
      <c r="I3906" t="s">
        <v>7686</v>
      </c>
      <c r="J3906">
        <v>9.9107920499999995</v>
      </c>
      <c r="K3906">
        <v>-83.689296080000005</v>
      </c>
      <c r="L3906" t="s">
        <v>1225</v>
      </c>
      <c r="M3906" t="s">
        <v>189</v>
      </c>
      <c r="N3906" t="s">
        <v>269</v>
      </c>
      <c r="O3906" t="s">
        <v>270</v>
      </c>
      <c r="P3906">
        <v>21</v>
      </c>
      <c r="Q3906" t="s">
        <v>239</v>
      </c>
      <c r="S3906" t="str">
        <f>_xlfn.XLOOKUP(UNIVERSO[[#This Row],[Ruta]],'[1]CUOTA RUTA'!A:A,'[1]CUOTA RUTA'!D:D)</f>
        <v>Cargar</v>
      </c>
    </row>
    <row r="3907" spans="1:19" x14ac:dyDescent="0.25">
      <c r="A3907">
        <v>1540052549</v>
      </c>
      <c r="B3907" t="s">
        <v>7687</v>
      </c>
      <c r="C3907" t="s">
        <v>19</v>
      </c>
      <c r="D3907" t="s">
        <v>337</v>
      </c>
      <c r="E3907" t="s">
        <v>21</v>
      </c>
      <c r="F3907" t="s">
        <v>22</v>
      </c>
      <c r="G3907" t="s">
        <v>64</v>
      </c>
      <c r="H3907" t="s">
        <v>451</v>
      </c>
      <c r="I3907" t="s">
        <v>7688</v>
      </c>
      <c r="J3907">
        <v>10.64535867</v>
      </c>
      <c r="K3907">
        <v>-85.438875690000003</v>
      </c>
      <c r="L3907" t="s">
        <v>1225</v>
      </c>
      <c r="M3907" t="s">
        <v>327</v>
      </c>
      <c r="N3907" t="s">
        <v>340</v>
      </c>
      <c r="O3907" t="s">
        <v>341</v>
      </c>
      <c r="P3907">
        <v>12</v>
      </c>
      <c r="Q3907" t="s">
        <v>42</v>
      </c>
      <c r="S3907" t="str">
        <f>_xlfn.XLOOKUP(UNIVERSO[[#This Row],[Ruta]],'[1]CUOTA RUTA'!A:A,'[1]CUOTA RUTA'!D:D)</f>
        <v>Cargar</v>
      </c>
    </row>
    <row r="3908" spans="1:19" x14ac:dyDescent="0.25">
      <c r="A3908">
        <v>1540052562</v>
      </c>
      <c r="B3908" t="s">
        <v>7689</v>
      </c>
      <c r="C3908" t="s">
        <v>19</v>
      </c>
      <c r="D3908" t="s">
        <v>266</v>
      </c>
      <c r="E3908" t="s">
        <v>21</v>
      </c>
      <c r="F3908" t="s">
        <v>22</v>
      </c>
      <c r="G3908" t="s">
        <v>23</v>
      </c>
      <c r="H3908" t="s">
        <v>1011</v>
      </c>
      <c r="I3908" t="s">
        <v>7690</v>
      </c>
      <c r="J3908">
        <v>9.8960621</v>
      </c>
      <c r="K3908">
        <v>-83.872858699999995</v>
      </c>
      <c r="L3908" t="s">
        <v>1225</v>
      </c>
      <c r="M3908" t="s">
        <v>54</v>
      </c>
      <c r="N3908" t="s">
        <v>274</v>
      </c>
      <c r="O3908" t="s">
        <v>275</v>
      </c>
      <c r="P3908">
        <v>20</v>
      </c>
      <c r="Q3908" t="s">
        <v>74</v>
      </c>
      <c r="S3908" t="str">
        <f>_xlfn.XLOOKUP(UNIVERSO[[#This Row],[Ruta]],'[1]CUOTA RUTA'!A:A,'[1]CUOTA RUTA'!D:D)</f>
        <v>Cargar</v>
      </c>
    </row>
    <row r="3909" spans="1:19" x14ac:dyDescent="0.25">
      <c r="A3909">
        <v>1540052609</v>
      </c>
      <c r="B3909" t="s">
        <v>7691</v>
      </c>
      <c r="C3909" t="s">
        <v>19</v>
      </c>
      <c r="D3909" t="s">
        <v>201</v>
      </c>
      <c r="E3909" t="s">
        <v>21</v>
      </c>
      <c r="F3909" t="s">
        <v>22</v>
      </c>
      <c r="G3909" t="s">
        <v>33</v>
      </c>
      <c r="H3909" t="s">
        <v>334</v>
      </c>
      <c r="I3909" t="s">
        <v>7692</v>
      </c>
      <c r="J3909">
        <v>9.9911460000000005</v>
      </c>
      <c r="K3909">
        <v>-84.667991900000004</v>
      </c>
      <c r="L3909" t="s">
        <v>1225</v>
      </c>
      <c r="M3909" t="s">
        <v>204</v>
      </c>
      <c r="N3909" t="s">
        <v>205</v>
      </c>
      <c r="O3909" t="s">
        <v>206</v>
      </c>
      <c r="P3909">
        <v>13</v>
      </c>
      <c r="Q3909" t="s">
        <v>161</v>
      </c>
      <c r="S3909" t="str">
        <f>_xlfn.XLOOKUP(UNIVERSO[[#This Row],[Ruta]],'[1]CUOTA RUTA'!A:A,'[1]CUOTA RUTA'!D:D)</f>
        <v>Cargar</v>
      </c>
    </row>
    <row r="3910" spans="1:19" x14ac:dyDescent="0.25">
      <c r="A3910">
        <v>1540052620</v>
      </c>
      <c r="B3910" t="s">
        <v>7693</v>
      </c>
      <c r="C3910" t="s">
        <v>19</v>
      </c>
      <c r="D3910" t="s">
        <v>244</v>
      </c>
      <c r="E3910" t="s">
        <v>21</v>
      </c>
      <c r="F3910" t="s">
        <v>22</v>
      </c>
      <c r="G3910" t="s">
        <v>64</v>
      </c>
      <c r="H3910" t="s">
        <v>525</v>
      </c>
      <c r="I3910" t="s">
        <v>7694</v>
      </c>
      <c r="J3910">
        <v>9.5367709999999999</v>
      </c>
      <c r="K3910">
        <v>-84.396191000000002</v>
      </c>
      <c r="L3910" t="s">
        <v>1225</v>
      </c>
      <c r="M3910" t="s">
        <v>46</v>
      </c>
      <c r="N3910" t="s">
        <v>247</v>
      </c>
      <c r="O3910" t="s">
        <v>248</v>
      </c>
      <c r="P3910">
        <v>23</v>
      </c>
      <c r="Q3910" t="s">
        <v>125</v>
      </c>
      <c r="S3910" t="str">
        <f>_xlfn.XLOOKUP(UNIVERSO[[#This Row],[Ruta]],'[1]CUOTA RUTA'!A:A,'[1]CUOTA RUTA'!D:D)</f>
        <v>Cargar</v>
      </c>
    </row>
    <row r="3911" spans="1:19" x14ac:dyDescent="0.25">
      <c r="A3911">
        <v>1540052675</v>
      </c>
      <c r="B3911" t="s">
        <v>7695</v>
      </c>
      <c r="C3911" t="s">
        <v>19</v>
      </c>
      <c r="D3911" t="s">
        <v>244</v>
      </c>
      <c r="E3911" t="s">
        <v>21</v>
      </c>
      <c r="F3911" t="s">
        <v>22</v>
      </c>
      <c r="G3911" t="s">
        <v>33</v>
      </c>
      <c r="H3911" t="s">
        <v>819</v>
      </c>
      <c r="I3911" t="s">
        <v>7696</v>
      </c>
      <c r="J3911">
        <v>9.5198440000000009</v>
      </c>
      <c r="K3911">
        <v>-84.327927000000003</v>
      </c>
      <c r="L3911" t="s">
        <v>1225</v>
      </c>
      <c r="M3911" t="s">
        <v>46</v>
      </c>
      <c r="N3911" t="s">
        <v>247</v>
      </c>
      <c r="O3911" t="s">
        <v>248</v>
      </c>
      <c r="P3911">
        <v>22</v>
      </c>
      <c r="Q3911" t="s">
        <v>30</v>
      </c>
      <c r="S3911" t="str">
        <f>_xlfn.XLOOKUP(UNIVERSO[[#This Row],[Ruta]],'[1]CUOTA RUTA'!A:A,'[1]CUOTA RUTA'!D:D)</f>
        <v>Cargar</v>
      </c>
    </row>
    <row r="3912" spans="1:19" x14ac:dyDescent="0.25">
      <c r="A3912">
        <v>1540052687</v>
      </c>
      <c r="B3912" t="s">
        <v>7697</v>
      </c>
      <c r="C3912" t="s">
        <v>19</v>
      </c>
      <c r="D3912" t="s">
        <v>20</v>
      </c>
      <c r="E3912" t="s">
        <v>21</v>
      </c>
      <c r="F3912" t="s">
        <v>22</v>
      </c>
      <c r="G3912" t="s">
        <v>64</v>
      </c>
      <c r="H3912" t="s">
        <v>638</v>
      </c>
      <c r="I3912" t="s">
        <v>7698</v>
      </c>
      <c r="J3912">
        <v>10.015044</v>
      </c>
      <c r="K3912">
        <v>-84.217687999999995</v>
      </c>
      <c r="L3912" t="s">
        <v>1225</v>
      </c>
      <c r="M3912" t="s">
        <v>54</v>
      </c>
      <c r="N3912" t="s">
        <v>55</v>
      </c>
      <c r="O3912" t="s">
        <v>56</v>
      </c>
      <c r="P3912">
        <v>1</v>
      </c>
      <c r="Q3912" t="s">
        <v>155</v>
      </c>
      <c r="S3912" t="str">
        <f>_xlfn.XLOOKUP(UNIVERSO[[#This Row],[Ruta]],'[1]CUOTA RUTA'!A:A,'[1]CUOTA RUTA'!D:D)</f>
        <v>Cargar</v>
      </c>
    </row>
    <row r="3913" spans="1:19" x14ac:dyDescent="0.25">
      <c r="A3913">
        <v>1540052709</v>
      </c>
      <c r="B3913" t="s">
        <v>7699</v>
      </c>
      <c r="C3913" t="s">
        <v>19</v>
      </c>
      <c r="D3913" t="s">
        <v>20</v>
      </c>
      <c r="E3913" t="s">
        <v>21</v>
      </c>
      <c r="F3913" t="s">
        <v>22</v>
      </c>
      <c r="G3913" t="s">
        <v>23</v>
      </c>
      <c r="H3913" t="s">
        <v>674</v>
      </c>
      <c r="I3913" t="s">
        <v>7700</v>
      </c>
      <c r="J3913">
        <v>10.201012110695</v>
      </c>
      <c r="K3913">
        <v>-84.397218066830007</v>
      </c>
      <c r="L3913" t="s">
        <v>1225</v>
      </c>
      <c r="M3913" t="s">
        <v>46</v>
      </c>
      <c r="N3913" t="s">
        <v>47</v>
      </c>
      <c r="O3913" t="s">
        <v>48</v>
      </c>
      <c r="P3913">
        <v>1</v>
      </c>
      <c r="Q3913" t="s">
        <v>155</v>
      </c>
      <c r="S3913" t="str">
        <f>_xlfn.XLOOKUP(UNIVERSO[[#This Row],[Ruta]],'[1]CUOTA RUTA'!A:A,'[1]CUOTA RUTA'!D:D)</f>
        <v>Cargar</v>
      </c>
    </row>
    <row r="3914" spans="1:19" x14ac:dyDescent="0.25">
      <c r="A3914">
        <v>1540052719</v>
      </c>
      <c r="B3914" t="s">
        <v>7701</v>
      </c>
      <c r="C3914" t="s">
        <v>19</v>
      </c>
      <c r="D3914" t="s">
        <v>244</v>
      </c>
      <c r="E3914" t="s">
        <v>21</v>
      </c>
      <c r="F3914" t="s">
        <v>22</v>
      </c>
      <c r="G3914" t="s">
        <v>64</v>
      </c>
      <c r="H3914" t="s">
        <v>245</v>
      </c>
      <c r="I3914" t="s">
        <v>7702</v>
      </c>
      <c r="J3914">
        <v>9.2920280000000002</v>
      </c>
      <c r="K3914">
        <v>-83.671172999999996</v>
      </c>
      <c r="L3914" t="s">
        <v>1225</v>
      </c>
      <c r="M3914" t="s">
        <v>46</v>
      </c>
      <c r="N3914" t="s">
        <v>247</v>
      </c>
      <c r="O3914" t="s">
        <v>248</v>
      </c>
      <c r="P3914">
        <v>13</v>
      </c>
      <c r="Q3914" t="s">
        <v>161</v>
      </c>
      <c r="S3914" t="str">
        <f>_xlfn.XLOOKUP(UNIVERSO[[#This Row],[Ruta]],'[1]CUOTA RUTA'!A:A,'[1]CUOTA RUTA'!D:D)</f>
        <v>Cargar</v>
      </c>
    </row>
    <row r="3915" spans="1:19" x14ac:dyDescent="0.25">
      <c r="A3915">
        <v>1540052761</v>
      </c>
      <c r="B3915" t="s">
        <v>7703</v>
      </c>
      <c r="C3915" t="s">
        <v>19</v>
      </c>
      <c r="D3915" t="s">
        <v>266</v>
      </c>
      <c r="E3915" t="s">
        <v>21</v>
      </c>
      <c r="F3915" t="s">
        <v>22</v>
      </c>
      <c r="G3915" t="s">
        <v>33</v>
      </c>
      <c r="H3915" t="s">
        <v>321</v>
      </c>
      <c r="I3915" t="s">
        <v>7704</v>
      </c>
      <c r="J3915">
        <v>9.7887860999999994</v>
      </c>
      <c r="K3915">
        <v>-83.840904800000004</v>
      </c>
      <c r="L3915" t="s">
        <v>1225</v>
      </c>
      <c r="M3915" t="s">
        <v>54</v>
      </c>
      <c r="N3915" t="s">
        <v>274</v>
      </c>
      <c r="O3915" t="s">
        <v>275</v>
      </c>
      <c r="P3915">
        <v>23</v>
      </c>
      <c r="Q3915" t="s">
        <v>125</v>
      </c>
      <c r="S3915" t="str">
        <f>_xlfn.XLOOKUP(UNIVERSO[[#This Row],[Ruta]],'[1]CUOTA RUTA'!A:A,'[1]CUOTA RUTA'!D:D)</f>
        <v>Cargar</v>
      </c>
    </row>
    <row r="3916" spans="1:19" x14ac:dyDescent="0.25">
      <c r="A3916">
        <v>1540052779</v>
      </c>
      <c r="B3916" t="s">
        <v>7705</v>
      </c>
      <c r="C3916" t="s">
        <v>19</v>
      </c>
      <c r="D3916" t="s">
        <v>324</v>
      </c>
      <c r="E3916" t="s">
        <v>21</v>
      </c>
      <c r="F3916" t="s">
        <v>22</v>
      </c>
      <c r="G3916" t="s">
        <v>64</v>
      </c>
      <c r="H3916" t="s">
        <v>331</v>
      </c>
      <c r="I3916" t="s">
        <v>7706</v>
      </c>
      <c r="J3916">
        <v>10.440270256431999</v>
      </c>
      <c r="K3916">
        <v>-84.403279086539996</v>
      </c>
      <c r="L3916" t="s">
        <v>1225</v>
      </c>
      <c r="M3916" t="s">
        <v>327</v>
      </c>
      <c r="N3916" t="s">
        <v>328</v>
      </c>
      <c r="O3916" t="s">
        <v>329</v>
      </c>
      <c r="P3916">
        <v>19</v>
      </c>
      <c r="Q3916" t="s">
        <v>67</v>
      </c>
      <c r="S3916" t="str">
        <f>_xlfn.XLOOKUP(UNIVERSO[[#This Row],[Ruta]],'[1]CUOTA RUTA'!A:A,'[1]CUOTA RUTA'!D:D)</f>
        <v>Cargar</v>
      </c>
    </row>
    <row r="3917" spans="1:19" x14ac:dyDescent="0.25">
      <c r="A3917">
        <v>1540052855</v>
      </c>
      <c r="B3917" t="s">
        <v>7707</v>
      </c>
      <c r="C3917" t="s">
        <v>19</v>
      </c>
      <c r="D3917" t="s">
        <v>20</v>
      </c>
      <c r="E3917" t="s">
        <v>21</v>
      </c>
      <c r="F3917" t="s">
        <v>22</v>
      </c>
      <c r="G3917" t="s">
        <v>23</v>
      </c>
      <c r="H3917" t="s">
        <v>250</v>
      </c>
      <c r="I3917" t="s">
        <v>7708</v>
      </c>
      <c r="J3917">
        <v>10.041999000000001</v>
      </c>
      <c r="K3917">
        <v>-84.235164999999995</v>
      </c>
      <c r="L3917" t="s">
        <v>1225</v>
      </c>
      <c r="M3917" t="s">
        <v>46</v>
      </c>
      <c r="N3917" t="s">
        <v>47</v>
      </c>
      <c r="O3917" t="s">
        <v>48</v>
      </c>
      <c r="P3917">
        <v>3</v>
      </c>
      <c r="Q3917" t="s">
        <v>101</v>
      </c>
      <c r="S3917" t="str">
        <f>_xlfn.XLOOKUP(UNIVERSO[[#This Row],[Ruta]],'[1]CUOTA RUTA'!A:A,'[1]CUOTA RUTA'!D:D)</f>
        <v>Cargar</v>
      </c>
    </row>
    <row r="3918" spans="1:19" x14ac:dyDescent="0.25">
      <c r="A3918">
        <v>1540052872</v>
      </c>
      <c r="B3918" t="s">
        <v>7709</v>
      </c>
      <c r="C3918" t="s">
        <v>19</v>
      </c>
      <c r="D3918" t="s">
        <v>208</v>
      </c>
      <c r="E3918" t="s">
        <v>21</v>
      </c>
      <c r="F3918" t="s">
        <v>22</v>
      </c>
      <c r="G3918" t="s">
        <v>33</v>
      </c>
      <c r="H3918" t="s">
        <v>1794</v>
      </c>
      <c r="I3918" t="s">
        <v>7710</v>
      </c>
      <c r="J3918">
        <v>10.356446</v>
      </c>
      <c r="K3918">
        <v>-83.882918000000004</v>
      </c>
      <c r="L3918" t="s">
        <v>1225</v>
      </c>
      <c r="M3918" t="s">
        <v>189</v>
      </c>
      <c r="N3918" t="s">
        <v>211</v>
      </c>
      <c r="O3918" t="s">
        <v>212</v>
      </c>
      <c r="P3918">
        <v>3</v>
      </c>
      <c r="Q3918" t="s">
        <v>101</v>
      </c>
      <c r="S3918" t="str">
        <f>_xlfn.XLOOKUP(UNIVERSO[[#This Row],[Ruta]],'[1]CUOTA RUTA'!A:A,'[1]CUOTA RUTA'!D:D)</f>
        <v>Cargar</v>
      </c>
    </row>
    <row r="3919" spans="1:19" x14ac:dyDescent="0.25">
      <c r="A3919">
        <v>1540052876</v>
      </c>
      <c r="B3919" t="s">
        <v>7711</v>
      </c>
      <c r="C3919" t="s">
        <v>19</v>
      </c>
      <c r="D3919" t="s">
        <v>208</v>
      </c>
      <c r="E3919" t="s">
        <v>21</v>
      </c>
      <c r="F3919" t="s">
        <v>22</v>
      </c>
      <c r="G3919" t="s">
        <v>23</v>
      </c>
      <c r="H3919" t="s">
        <v>1794</v>
      </c>
      <c r="I3919" t="s">
        <v>7712</v>
      </c>
      <c r="J3919">
        <v>10.386449000000001</v>
      </c>
      <c r="K3919">
        <v>-83.971121999999994</v>
      </c>
      <c r="L3919" t="s">
        <v>1225</v>
      </c>
      <c r="M3919" t="s">
        <v>189</v>
      </c>
      <c r="N3919" t="s">
        <v>211</v>
      </c>
      <c r="O3919" t="s">
        <v>212</v>
      </c>
      <c r="P3919">
        <v>10</v>
      </c>
      <c r="Q3919" t="s">
        <v>136</v>
      </c>
      <c r="S3919" t="str">
        <f>_xlfn.XLOOKUP(UNIVERSO[[#This Row],[Ruta]],'[1]CUOTA RUTA'!A:A,'[1]CUOTA RUTA'!D:D)</f>
        <v>Cargar</v>
      </c>
    </row>
    <row r="3920" spans="1:19" x14ac:dyDescent="0.25">
      <c r="A3920">
        <v>1540052974</v>
      </c>
      <c r="B3920" t="s">
        <v>7713</v>
      </c>
      <c r="C3920" t="s">
        <v>19</v>
      </c>
      <c r="D3920" t="s">
        <v>208</v>
      </c>
      <c r="E3920" t="s">
        <v>21</v>
      </c>
      <c r="F3920" t="s">
        <v>22</v>
      </c>
      <c r="G3920" t="s">
        <v>33</v>
      </c>
      <c r="H3920" t="s">
        <v>631</v>
      </c>
      <c r="I3920" t="s">
        <v>7714</v>
      </c>
      <c r="J3920">
        <v>10.180275</v>
      </c>
      <c r="K3920">
        <v>-83.482896999999994</v>
      </c>
      <c r="L3920" t="s">
        <v>1225</v>
      </c>
      <c r="M3920" t="s">
        <v>189</v>
      </c>
      <c r="N3920" t="s">
        <v>211</v>
      </c>
      <c r="O3920" t="s">
        <v>212</v>
      </c>
      <c r="P3920">
        <v>9</v>
      </c>
      <c r="Q3920" t="s">
        <v>80</v>
      </c>
      <c r="S3920" t="str">
        <f>_xlfn.XLOOKUP(UNIVERSO[[#This Row],[Ruta]],'[1]CUOTA RUTA'!A:A,'[1]CUOTA RUTA'!D:D)</f>
        <v>Cargar</v>
      </c>
    </row>
    <row r="3921" spans="1:19" x14ac:dyDescent="0.25">
      <c r="A3921">
        <v>1540052975</v>
      </c>
      <c r="B3921" t="s">
        <v>7715</v>
      </c>
      <c r="C3921" t="s">
        <v>19</v>
      </c>
      <c r="D3921" t="s">
        <v>208</v>
      </c>
      <c r="E3921" t="s">
        <v>21</v>
      </c>
      <c r="F3921" t="s">
        <v>22</v>
      </c>
      <c r="G3921" t="s">
        <v>23</v>
      </c>
      <c r="H3921" t="s">
        <v>209</v>
      </c>
      <c r="I3921" t="s">
        <v>7716</v>
      </c>
      <c r="J3921">
        <v>10.215444</v>
      </c>
      <c r="K3921">
        <v>-83.784142000000003</v>
      </c>
      <c r="L3921" t="s">
        <v>1225</v>
      </c>
      <c r="M3921" t="s">
        <v>189</v>
      </c>
      <c r="N3921" t="s">
        <v>211</v>
      </c>
      <c r="O3921" t="s">
        <v>212</v>
      </c>
      <c r="P3921">
        <v>5</v>
      </c>
      <c r="Q3921" t="s">
        <v>117</v>
      </c>
      <c r="S3921" t="str">
        <f>_xlfn.XLOOKUP(UNIVERSO[[#This Row],[Ruta]],'[1]CUOTA RUTA'!A:A,'[1]CUOTA RUTA'!D:D)</f>
        <v>Cargar</v>
      </c>
    </row>
    <row r="3922" spans="1:19" x14ac:dyDescent="0.25">
      <c r="A3922">
        <v>1540052992</v>
      </c>
      <c r="B3922" t="s">
        <v>7717</v>
      </c>
      <c r="C3922" t="s">
        <v>19</v>
      </c>
      <c r="D3922" t="s">
        <v>20</v>
      </c>
      <c r="E3922" t="s">
        <v>21</v>
      </c>
      <c r="F3922" t="s">
        <v>22</v>
      </c>
      <c r="G3922" t="s">
        <v>33</v>
      </c>
      <c r="H3922" t="s">
        <v>910</v>
      </c>
      <c r="I3922" t="s">
        <v>7718</v>
      </c>
      <c r="J3922">
        <v>10.001726140000001</v>
      </c>
      <c r="K3922">
        <v>-84.137755970000001</v>
      </c>
      <c r="L3922" t="s">
        <v>1225</v>
      </c>
      <c r="M3922" t="s">
        <v>27</v>
      </c>
      <c r="N3922" t="s">
        <v>28</v>
      </c>
      <c r="O3922" t="s">
        <v>29</v>
      </c>
      <c r="P3922">
        <v>12</v>
      </c>
      <c r="Q3922" t="s">
        <v>42</v>
      </c>
      <c r="S3922" t="str">
        <f>_xlfn.XLOOKUP(UNIVERSO[[#This Row],[Ruta]],'[1]CUOTA RUTA'!A:A,'[1]CUOTA RUTA'!D:D)</f>
        <v>Cargar</v>
      </c>
    </row>
    <row r="3923" spans="1:19" x14ac:dyDescent="0.25">
      <c r="A3923">
        <v>1540053008</v>
      </c>
      <c r="B3923" t="s">
        <v>7719</v>
      </c>
      <c r="C3923" t="s">
        <v>19</v>
      </c>
      <c r="D3923" t="s">
        <v>20</v>
      </c>
      <c r="E3923" t="s">
        <v>21</v>
      </c>
      <c r="F3923" t="s">
        <v>22</v>
      </c>
      <c r="G3923" t="s">
        <v>33</v>
      </c>
      <c r="H3923" t="s">
        <v>285</v>
      </c>
      <c r="I3923" t="s">
        <v>7720</v>
      </c>
      <c r="J3923">
        <v>10.0558</v>
      </c>
      <c r="K3923">
        <v>-84.164000000000001</v>
      </c>
      <c r="L3923" t="s">
        <v>1225</v>
      </c>
      <c r="M3923" t="s">
        <v>54</v>
      </c>
      <c r="N3923" t="s">
        <v>55</v>
      </c>
      <c r="O3923" t="s">
        <v>56</v>
      </c>
      <c r="P3923">
        <v>18</v>
      </c>
      <c r="Q3923" t="s">
        <v>84</v>
      </c>
      <c r="S3923" t="str">
        <f>_xlfn.XLOOKUP(UNIVERSO[[#This Row],[Ruta]],'[1]CUOTA RUTA'!A:A,'[1]CUOTA RUTA'!D:D)</f>
        <v>Cargar</v>
      </c>
    </row>
    <row r="3924" spans="1:19" x14ac:dyDescent="0.25">
      <c r="A3924">
        <v>1540053069</v>
      </c>
      <c r="B3924" t="s">
        <v>7721</v>
      </c>
      <c r="C3924" t="s">
        <v>19</v>
      </c>
      <c r="D3924" t="s">
        <v>324</v>
      </c>
      <c r="E3924" t="s">
        <v>21</v>
      </c>
      <c r="F3924" t="s">
        <v>22</v>
      </c>
      <c r="G3924" t="s">
        <v>64</v>
      </c>
      <c r="H3924" t="s">
        <v>331</v>
      </c>
      <c r="I3924" t="s">
        <v>7722</v>
      </c>
      <c r="J3924">
        <v>10.465061</v>
      </c>
      <c r="K3924">
        <v>-84.460611</v>
      </c>
      <c r="L3924" t="s">
        <v>1225</v>
      </c>
      <c r="M3924" t="s">
        <v>327</v>
      </c>
      <c r="N3924" t="s">
        <v>328</v>
      </c>
      <c r="O3924" t="s">
        <v>329</v>
      </c>
      <c r="P3924">
        <v>22</v>
      </c>
      <c r="Q3924" t="s">
        <v>30</v>
      </c>
      <c r="S3924" t="str">
        <f>_xlfn.XLOOKUP(UNIVERSO[[#This Row],[Ruta]],'[1]CUOTA RUTA'!A:A,'[1]CUOTA RUTA'!D:D)</f>
        <v>Cargar</v>
      </c>
    </row>
    <row r="3925" spans="1:19" x14ac:dyDescent="0.25">
      <c r="A3925">
        <v>1540053124</v>
      </c>
      <c r="B3925" t="s">
        <v>7723</v>
      </c>
      <c r="C3925" t="s">
        <v>19</v>
      </c>
      <c r="D3925" t="s">
        <v>324</v>
      </c>
      <c r="E3925" t="s">
        <v>21</v>
      </c>
      <c r="F3925" t="s">
        <v>22</v>
      </c>
      <c r="G3925" t="s">
        <v>64</v>
      </c>
      <c r="H3925" t="s">
        <v>393</v>
      </c>
      <c r="I3925" t="s">
        <v>7724</v>
      </c>
      <c r="J3925">
        <v>10.3209</v>
      </c>
      <c r="K3925">
        <v>-84.424099999999996</v>
      </c>
      <c r="L3925" t="s">
        <v>1225</v>
      </c>
      <c r="M3925" t="s">
        <v>327</v>
      </c>
      <c r="N3925" t="s">
        <v>328</v>
      </c>
      <c r="O3925" t="s">
        <v>329</v>
      </c>
      <c r="P3925">
        <v>22</v>
      </c>
      <c r="Q3925" t="s">
        <v>30</v>
      </c>
      <c r="S3925" t="str">
        <f>_xlfn.XLOOKUP(UNIVERSO[[#This Row],[Ruta]],'[1]CUOTA RUTA'!A:A,'[1]CUOTA RUTA'!D:D)</f>
        <v>Cargar</v>
      </c>
    </row>
    <row r="3926" spans="1:19" x14ac:dyDescent="0.25">
      <c r="A3926">
        <v>1540053265</v>
      </c>
      <c r="B3926" t="s">
        <v>7725</v>
      </c>
      <c r="C3926" t="s">
        <v>19</v>
      </c>
      <c r="D3926" t="s">
        <v>186</v>
      </c>
      <c r="E3926" t="s">
        <v>21</v>
      </c>
      <c r="F3926" t="s">
        <v>22</v>
      </c>
      <c r="G3926" t="s">
        <v>64</v>
      </c>
      <c r="H3926" t="s">
        <v>229</v>
      </c>
      <c r="I3926" t="s">
        <v>7726</v>
      </c>
      <c r="J3926">
        <v>9.9860939999999996</v>
      </c>
      <c r="K3926">
        <v>-83.040111999999993</v>
      </c>
      <c r="L3926" t="s">
        <v>1225</v>
      </c>
      <c r="M3926" t="s">
        <v>189</v>
      </c>
      <c r="N3926" t="s">
        <v>190</v>
      </c>
      <c r="O3926" t="s">
        <v>191</v>
      </c>
      <c r="P3926">
        <v>15</v>
      </c>
      <c r="Q3926" t="s">
        <v>231</v>
      </c>
      <c r="S3926" t="str">
        <f>_xlfn.XLOOKUP(UNIVERSO[[#This Row],[Ruta]],'[1]CUOTA RUTA'!A:A,'[1]CUOTA RUTA'!D:D)</f>
        <v>Cargar</v>
      </c>
    </row>
    <row r="3927" spans="1:19" x14ac:dyDescent="0.25">
      <c r="A3927">
        <v>1540053279</v>
      </c>
      <c r="B3927" t="s">
        <v>7727</v>
      </c>
      <c r="C3927" t="s">
        <v>19</v>
      </c>
      <c r="D3927" t="s">
        <v>244</v>
      </c>
      <c r="E3927" t="s">
        <v>21</v>
      </c>
      <c r="F3927" t="s">
        <v>22</v>
      </c>
      <c r="G3927" t="s">
        <v>64</v>
      </c>
      <c r="H3927" t="s">
        <v>1294</v>
      </c>
      <c r="I3927" t="s">
        <v>7357</v>
      </c>
      <c r="J3927">
        <v>9.1721789999999999</v>
      </c>
      <c r="K3927">
        <v>-83.402429999999995</v>
      </c>
      <c r="L3927" t="s">
        <v>1225</v>
      </c>
      <c r="M3927" t="s">
        <v>46</v>
      </c>
      <c r="N3927" t="s">
        <v>247</v>
      </c>
      <c r="O3927" t="s">
        <v>248</v>
      </c>
      <c r="P3927">
        <v>12</v>
      </c>
      <c r="Q3927" t="s">
        <v>42</v>
      </c>
      <c r="S3927" t="str">
        <f>_xlfn.XLOOKUP(UNIVERSO[[#This Row],[Ruta]],'[1]CUOTA RUTA'!A:A,'[1]CUOTA RUTA'!D:D)</f>
        <v>Cargar</v>
      </c>
    </row>
    <row r="3928" spans="1:19" x14ac:dyDescent="0.25">
      <c r="A3928">
        <v>1540053282</v>
      </c>
      <c r="B3928" t="s">
        <v>7728</v>
      </c>
      <c r="C3928" t="s">
        <v>19</v>
      </c>
      <c r="D3928" t="s">
        <v>208</v>
      </c>
      <c r="E3928" t="s">
        <v>21</v>
      </c>
      <c r="F3928" t="s">
        <v>22</v>
      </c>
      <c r="G3928" t="s">
        <v>33</v>
      </c>
      <c r="H3928" t="s">
        <v>417</v>
      </c>
      <c r="I3928" t="s">
        <v>7729</v>
      </c>
      <c r="J3928">
        <v>10.216132289999999</v>
      </c>
      <c r="K3928">
        <v>-83.792920249999995</v>
      </c>
      <c r="L3928" t="s">
        <v>1225</v>
      </c>
      <c r="M3928" t="s">
        <v>189</v>
      </c>
      <c r="N3928" t="s">
        <v>211</v>
      </c>
      <c r="O3928" t="s">
        <v>212</v>
      </c>
      <c r="P3928">
        <v>4</v>
      </c>
      <c r="Q3928" t="s">
        <v>120</v>
      </c>
      <c r="S3928" t="str">
        <f>_xlfn.XLOOKUP(UNIVERSO[[#This Row],[Ruta]],'[1]CUOTA RUTA'!A:A,'[1]CUOTA RUTA'!D:D)</f>
        <v>Cargar</v>
      </c>
    </row>
    <row r="3929" spans="1:19" x14ac:dyDescent="0.25">
      <c r="A3929">
        <v>1540053349</v>
      </c>
      <c r="B3929" t="s">
        <v>7730</v>
      </c>
      <c r="C3929" t="s">
        <v>19</v>
      </c>
      <c r="D3929" t="s">
        <v>201</v>
      </c>
      <c r="E3929" t="s">
        <v>21</v>
      </c>
      <c r="F3929" t="s">
        <v>51</v>
      </c>
      <c r="G3929" t="s">
        <v>23</v>
      </c>
      <c r="H3929" t="s">
        <v>593</v>
      </c>
      <c r="I3929" t="s">
        <v>7731</v>
      </c>
      <c r="J3929">
        <v>9.9829401000000004</v>
      </c>
      <c r="K3929">
        <v>-84.779046100000002</v>
      </c>
      <c r="L3929" t="s">
        <v>1225</v>
      </c>
      <c r="M3929" t="s">
        <v>204</v>
      </c>
      <c r="N3929" t="s">
        <v>205</v>
      </c>
      <c r="O3929" t="s">
        <v>206</v>
      </c>
      <c r="P3929">
        <v>11</v>
      </c>
      <c r="Q3929" t="s">
        <v>108</v>
      </c>
      <c r="S3929" t="str">
        <f>_xlfn.XLOOKUP(UNIVERSO[[#This Row],[Ruta]],'[1]CUOTA RUTA'!A:A,'[1]CUOTA RUTA'!D:D)</f>
        <v>Cargar</v>
      </c>
    </row>
    <row r="3930" spans="1:19" x14ac:dyDescent="0.25">
      <c r="A3930">
        <v>1540053350</v>
      </c>
      <c r="B3930" t="s">
        <v>7732</v>
      </c>
      <c r="C3930" t="s">
        <v>19</v>
      </c>
      <c r="D3930" t="s">
        <v>266</v>
      </c>
      <c r="E3930" t="s">
        <v>21</v>
      </c>
      <c r="F3930" t="s">
        <v>22</v>
      </c>
      <c r="G3930" t="s">
        <v>33</v>
      </c>
      <c r="H3930" t="s">
        <v>706</v>
      </c>
      <c r="I3930" t="s">
        <v>7733</v>
      </c>
      <c r="J3930">
        <v>9.8540480000000006</v>
      </c>
      <c r="K3930">
        <v>-83.934196</v>
      </c>
      <c r="L3930" t="s">
        <v>1225</v>
      </c>
      <c r="M3930" t="s">
        <v>36</v>
      </c>
      <c r="N3930" t="s">
        <v>316</v>
      </c>
      <c r="O3930" t="s">
        <v>317</v>
      </c>
      <c r="P3930">
        <v>18</v>
      </c>
      <c r="Q3930" t="s">
        <v>84</v>
      </c>
      <c r="S3930" t="str">
        <f>_xlfn.XLOOKUP(UNIVERSO[[#This Row],[Ruta]],'[1]CUOTA RUTA'!A:A,'[1]CUOTA RUTA'!D:D)</f>
        <v>Cargar</v>
      </c>
    </row>
    <row r="3931" spans="1:19" x14ac:dyDescent="0.25">
      <c r="A3931">
        <v>1540053408</v>
      </c>
      <c r="B3931" t="s">
        <v>7734</v>
      </c>
      <c r="C3931" t="s">
        <v>19</v>
      </c>
      <c r="D3931" t="s">
        <v>324</v>
      </c>
      <c r="E3931" t="s">
        <v>21</v>
      </c>
      <c r="F3931" t="s">
        <v>22</v>
      </c>
      <c r="G3931" t="s">
        <v>33</v>
      </c>
      <c r="H3931" t="s">
        <v>325</v>
      </c>
      <c r="I3931" t="s">
        <v>7735</v>
      </c>
      <c r="J3931">
        <v>10.368544999999999</v>
      </c>
      <c r="K3931">
        <v>-84.506152999999998</v>
      </c>
      <c r="L3931" t="s">
        <v>1225</v>
      </c>
      <c r="M3931" t="s">
        <v>327</v>
      </c>
      <c r="N3931" t="s">
        <v>328</v>
      </c>
      <c r="O3931" t="s">
        <v>329</v>
      </c>
      <c r="P3931">
        <v>14</v>
      </c>
      <c r="Q3931" t="s">
        <v>181</v>
      </c>
      <c r="S3931" t="str">
        <f>_xlfn.XLOOKUP(UNIVERSO[[#This Row],[Ruta]],'[1]CUOTA RUTA'!A:A,'[1]CUOTA RUTA'!D:D)</f>
        <v>Cargar</v>
      </c>
    </row>
    <row r="3932" spans="1:19" x14ac:dyDescent="0.25">
      <c r="A3932">
        <v>1540053412</v>
      </c>
      <c r="B3932" t="s">
        <v>7736</v>
      </c>
      <c r="C3932" t="s">
        <v>19</v>
      </c>
      <c r="D3932" t="s">
        <v>208</v>
      </c>
      <c r="E3932" t="s">
        <v>21</v>
      </c>
      <c r="F3932" t="s">
        <v>22</v>
      </c>
      <c r="G3932" t="s">
        <v>33</v>
      </c>
      <c r="H3932" t="s">
        <v>218</v>
      </c>
      <c r="I3932" t="s">
        <v>7737</v>
      </c>
      <c r="J3932">
        <v>10.212674</v>
      </c>
      <c r="K3932">
        <v>-83.685393000000005</v>
      </c>
      <c r="L3932" t="s">
        <v>1225</v>
      </c>
      <c r="M3932" t="s">
        <v>189</v>
      </c>
      <c r="N3932" t="s">
        <v>211</v>
      </c>
      <c r="O3932" t="s">
        <v>212</v>
      </c>
      <c r="P3932">
        <v>6</v>
      </c>
      <c r="Q3932" t="s">
        <v>49</v>
      </c>
      <c r="S3932" t="str">
        <f>_xlfn.XLOOKUP(UNIVERSO[[#This Row],[Ruta]],'[1]CUOTA RUTA'!A:A,'[1]CUOTA RUTA'!D:D)</f>
        <v>Cargar</v>
      </c>
    </row>
    <row r="3933" spans="1:19" x14ac:dyDescent="0.25">
      <c r="A3933">
        <v>1540053496</v>
      </c>
      <c r="B3933" t="s">
        <v>7738</v>
      </c>
      <c r="C3933" t="s">
        <v>19</v>
      </c>
      <c r="D3933" t="s">
        <v>324</v>
      </c>
      <c r="E3933" t="s">
        <v>21</v>
      </c>
      <c r="F3933" t="s">
        <v>22</v>
      </c>
      <c r="G3933" t="s">
        <v>33</v>
      </c>
      <c r="H3933" t="s">
        <v>331</v>
      </c>
      <c r="I3933" t="s">
        <v>7739</v>
      </c>
      <c r="J3933">
        <v>10.453284</v>
      </c>
      <c r="K3933">
        <v>-84.274186</v>
      </c>
      <c r="L3933" t="s">
        <v>1225</v>
      </c>
      <c r="M3933" t="s">
        <v>327</v>
      </c>
      <c r="N3933" t="s">
        <v>328</v>
      </c>
      <c r="O3933" t="s">
        <v>329</v>
      </c>
      <c r="P3933">
        <v>17</v>
      </c>
      <c r="Q3933" t="s">
        <v>287</v>
      </c>
      <c r="S3933" t="str">
        <f>_xlfn.XLOOKUP(UNIVERSO[[#This Row],[Ruta]],'[1]CUOTA RUTA'!A:A,'[1]CUOTA RUTA'!D:D)</f>
        <v>Cargar</v>
      </c>
    </row>
    <row r="3934" spans="1:19" x14ac:dyDescent="0.25">
      <c r="A3934">
        <v>1540053499</v>
      </c>
      <c r="B3934" t="s">
        <v>7740</v>
      </c>
      <c r="C3934" t="s">
        <v>19</v>
      </c>
      <c r="D3934" t="s">
        <v>208</v>
      </c>
      <c r="E3934" t="s">
        <v>21</v>
      </c>
      <c r="F3934" t="s">
        <v>22</v>
      </c>
      <c r="G3934" t="s">
        <v>33</v>
      </c>
      <c r="H3934" t="s">
        <v>502</v>
      </c>
      <c r="I3934" t="s">
        <v>7741</v>
      </c>
      <c r="J3934">
        <v>10.401952209999999</v>
      </c>
      <c r="K3934">
        <v>-83.694275079999997</v>
      </c>
      <c r="L3934" t="s">
        <v>1225</v>
      </c>
      <c r="M3934" t="s">
        <v>189</v>
      </c>
      <c r="N3934" t="s">
        <v>211</v>
      </c>
      <c r="O3934" t="s">
        <v>212</v>
      </c>
      <c r="P3934">
        <v>7</v>
      </c>
      <c r="Q3934" t="s">
        <v>39</v>
      </c>
      <c r="S3934" t="str">
        <f>_xlfn.XLOOKUP(UNIVERSO[[#This Row],[Ruta]],'[1]CUOTA RUTA'!A:A,'[1]CUOTA RUTA'!D:D)</f>
        <v>Cargar</v>
      </c>
    </row>
    <row r="3935" spans="1:19" x14ac:dyDescent="0.25">
      <c r="A3935">
        <v>1540053549</v>
      </c>
      <c r="B3935" t="s">
        <v>7742</v>
      </c>
      <c r="C3935" t="s">
        <v>19</v>
      </c>
      <c r="D3935" t="s">
        <v>324</v>
      </c>
      <c r="E3935" t="s">
        <v>21</v>
      </c>
      <c r="F3935" t="s">
        <v>22</v>
      </c>
      <c r="G3935" t="s">
        <v>64</v>
      </c>
      <c r="H3935" t="s">
        <v>511</v>
      </c>
      <c r="I3935" t="s">
        <v>7743</v>
      </c>
      <c r="J3935">
        <v>10.438261000000001</v>
      </c>
      <c r="K3935">
        <v>-84.566846999999996</v>
      </c>
      <c r="L3935" t="s">
        <v>1225</v>
      </c>
      <c r="M3935" t="s">
        <v>327</v>
      </c>
      <c r="N3935" t="s">
        <v>328</v>
      </c>
      <c r="O3935" t="s">
        <v>329</v>
      </c>
      <c r="P3935">
        <v>12</v>
      </c>
      <c r="Q3935" t="s">
        <v>42</v>
      </c>
      <c r="S3935" t="str">
        <f>_xlfn.XLOOKUP(UNIVERSO[[#This Row],[Ruta]],'[1]CUOTA RUTA'!A:A,'[1]CUOTA RUTA'!D:D)</f>
        <v>Cargar</v>
      </c>
    </row>
    <row r="3936" spans="1:19" x14ac:dyDescent="0.25">
      <c r="A3936">
        <v>1540053559</v>
      </c>
      <c r="B3936" t="s">
        <v>7744</v>
      </c>
      <c r="C3936" t="s">
        <v>19</v>
      </c>
      <c r="D3936" t="s">
        <v>266</v>
      </c>
      <c r="E3936" t="s">
        <v>21</v>
      </c>
      <c r="F3936" t="s">
        <v>22</v>
      </c>
      <c r="G3936" t="s">
        <v>64</v>
      </c>
      <c r="H3936" t="s">
        <v>372</v>
      </c>
      <c r="I3936" t="s">
        <v>7745</v>
      </c>
      <c r="J3936">
        <v>9.8739528100000005</v>
      </c>
      <c r="K3936">
        <v>-83.651945330000004</v>
      </c>
      <c r="L3936" t="s">
        <v>1225</v>
      </c>
      <c r="M3936" t="s">
        <v>189</v>
      </c>
      <c r="N3936" t="s">
        <v>269</v>
      </c>
      <c r="O3936" t="s">
        <v>270</v>
      </c>
      <c r="P3936">
        <v>20</v>
      </c>
      <c r="Q3936" t="s">
        <v>74</v>
      </c>
      <c r="S3936" t="str">
        <f>_xlfn.XLOOKUP(UNIVERSO[[#This Row],[Ruta]],'[1]CUOTA RUTA'!A:A,'[1]CUOTA RUTA'!D:D)</f>
        <v>Cargar</v>
      </c>
    </row>
    <row r="3937" spans="1:19" x14ac:dyDescent="0.25">
      <c r="A3937">
        <v>1540053586</v>
      </c>
      <c r="B3937" t="s">
        <v>7746</v>
      </c>
      <c r="C3937" t="s">
        <v>19</v>
      </c>
      <c r="D3937" t="s">
        <v>349</v>
      </c>
      <c r="E3937" t="s">
        <v>21</v>
      </c>
      <c r="F3937" t="s">
        <v>22</v>
      </c>
      <c r="G3937" t="s">
        <v>33</v>
      </c>
      <c r="H3937" t="s">
        <v>496</v>
      </c>
      <c r="I3937" t="s">
        <v>7747</v>
      </c>
      <c r="J3937">
        <v>9.9590899999999998</v>
      </c>
      <c r="K3937">
        <v>-85.115799999999993</v>
      </c>
      <c r="L3937" t="s">
        <v>1225</v>
      </c>
      <c r="M3937" t="s">
        <v>352</v>
      </c>
      <c r="N3937" t="s">
        <v>353</v>
      </c>
      <c r="O3937" t="s">
        <v>354</v>
      </c>
      <c r="P3937">
        <v>10</v>
      </c>
      <c r="Q3937" t="s">
        <v>136</v>
      </c>
      <c r="S3937" t="str">
        <f>_xlfn.XLOOKUP(UNIVERSO[[#This Row],[Ruta]],'[1]CUOTA RUTA'!A:A,'[1]CUOTA RUTA'!D:D)</f>
        <v>Cargar</v>
      </c>
    </row>
    <row r="3938" spans="1:19" x14ac:dyDescent="0.25">
      <c r="A3938">
        <v>1540053657</v>
      </c>
      <c r="B3938" t="s">
        <v>7748</v>
      </c>
      <c r="C3938" t="s">
        <v>19</v>
      </c>
      <c r="D3938" t="s">
        <v>244</v>
      </c>
      <c r="E3938" t="s">
        <v>21</v>
      </c>
      <c r="F3938" t="s">
        <v>51</v>
      </c>
      <c r="G3938" t="s">
        <v>23</v>
      </c>
      <c r="H3938" t="s">
        <v>767</v>
      </c>
      <c r="I3938" t="s">
        <v>7749</v>
      </c>
      <c r="J3938">
        <v>9.2071363900000005</v>
      </c>
      <c r="K3938">
        <v>-83.643086789999998</v>
      </c>
      <c r="L3938" t="s">
        <v>1225</v>
      </c>
      <c r="M3938" t="s">
        <v>46</v>
      </c>
      <c r="N3938" t="s">
        <v>247</v>
      </c>
      <c r="O3938" t="s">
        <v>248</v>
      </c>
      <c r="P3938">
        <v>19</v>
      </c>
      <c r="Q3938" t="s">
        <v>67</v>
      </c>
      <c r="S3938" t="str">
        <f>_xlfn.XLOOKUP(UNIVERSO[[#This Row],[Ruta]],'[1]CUOTA RUTA'!A:A,'[1]CUOTA RUTA'!D:D)</f>
        <v>Cargar</v>
      </c>
    </row>
    <row r="3939" spans="1:19" x14ac:dyDescent="0.25">
      <c r="A3939">
        <v>1540053662</v>
      </c>
      <c r="B3939" t="s">
        <v>7750</v>
      </c>
      <c r="C3939" t="s">
        <v>19</v>
      </c>
      <c r="D3939" t="s">
        <v>324</v>
      </c>
      <c r="E3939" t="s">
        <v>21</v>
      </c>
      <c r="F3939" t="s">
        <v>22</v>
      </c>
      <c r="G3939" t="s">
        <v>33</v>
      </c>
      <c r="H3939" t="s">
        <v>325</v>
      </c>
      <c r="I3939" t="s">
        <v>7751</v>
      </c>
      <c r="J3939">
        <v>10.409443</v>
      </c>
      <c r="K3939">
        <v>-84.528591000000006</v>
      </c>
      <c r="L3939" t="s">
        <v>1225</v>
      </c>
      <c r="M3939" t="s">
        <v>327</v>
      </c>
      <c r="N3939" t="s">
        <v>328</v>
      </c>
      <c r="O3939" t="s">
        <v>329</v>
      </c>
      <c r="P3939">
        <v>20</v>
      </c>
      <c r="Q3939" t="s">
        <v>74</v>
      </c>
      <c r="S3939" t="str">
        <f>_xlfn.XLOOKUP(UNIVERSO[[#This Row],[Ruta]],'[1]CUOTA RUTA'!A:A,'[1]CUOTA RUTA'!D:D)</f>
        <v>Cargar</v>
      </c>
    </row>
    <row r="3940" spans="1:19" x14ac:dyDescent="0.25">
      <c r="A3940">
        <v>1540053711</v>
      </c>
      <c r="B3940" t="s">
        <v>7752</v>
      </c>
      <c r="C3940" t="s">
        <v>19</v>
      </c>
      <c r="D3940" t="s">
        <v>20</v>
      </c>
      <c r="E3940" t="s">
        <v>21</v>
      </c>
      <c r="F3940" t="s">
        <v>22</v>
      </c>
      <c r="G3940" t="s">
        <v>64</v>
      </c>
      <c r="H3940" t="s">
        <v>250</v>
      </c>
      <c r="I3940" t="s">
        <v>7753</v>
      </c>
      <c r="J3940">
        <v>10.040070999999999</v>
      </c>
      <c r="K3940">
        <v>-84.242362600000007</v>
      </c>
      <c r="L3940" t="s">
        <v>1225</v>
      </c>
      <c r="M3940" t="s">
        <v>46</v>
      </c>
      <c r="N3940" t="s">
        <v>47</v>
      </c>
      <c r="O3940" t="s">
        <v>48</v>
      </c>
      <c r="P3940">
        <v>2</v>
      </c>
      <c r="Q3940" t="s">
        <v>150</v>
      </c>
      <c r="S3940" t="str">
        <f>_xlfn.XLOOKUP(UNIVERSO[[#This Row],[Ruta]],'[1]CUOTA RUTA'!A:A,'[1]CUOTA RUTA'!D:D)</f>
        <v>Cargar</v>
      </c>
    </row>
    <row r="3941" spans="1:19" x14ac:dyDescent="0.25">
      <c r="A3941">
        <v>1540053802</v>
      </c>
      <c r="B3941" t="s">
        <v>7754</v>
      </c>
      <c r="C3941" t="s">
        <v>19</v>
      </c>
      <c r="D3941" t="s">
        <v>186</v>
      </c>
      <c r="E3941" t="s">
        <v>21</v>
      </c>
      <c r="F3941" t="s">
        <v>22</v>
      </c>
      <c r="G3941" t="s">
        <v>33</v>
      </c>
      <c r="H3941" t="s">
        <v>237</v>
      </c>
      <c r="I3941" t="s">
        <v>7755</v>
      </c>
      <c r="J3941">
        <v>10.080793999999999</v>
      </c>
      <c r="K3941">
        <v>-83.338635999999994</v>
      </c>
      <c r="L3941" t="s">
        <v>1225</v>
      </c>
      <c r="M3941" t="s">
        <v>189</v>
      </c>
      <c r="N3941" t="s">
        <v>190</v>
      </c>
      <c r="O3941" t="s">
        <v>191</v>
      </c>
      <c r="P3941">
        <v>21</v>
      </c>
      <c r="Q3941" t="s">
        <v>239</v>
      </c>
      <c r="S3941" t="str">
        <f>_xlfn.XLOOKUP(UNIVERSO[[#This Row],[Ruta]],'[1]CUOTA RUTA'!A:A,'[1]CUOTA RUTA'!D:D)</f>
        <v>Cargar</v>
      </c>
    </row>
    <row r="3942" spans="1:19" x14ac:dyDescent="0.25">
      <c r="A3942">
        <v>1540053828</v>
      </c>
      <c r="B3942" t="s">
        <v>7756</v>
      </c>
      <c r="C3942" t="s">
        <v>19</v>
      </c>
      <c r="D3942" t="s">
        <v>337</v>
      </c>
      <c r="E3942" t="s">
        <v>21</v>
      </c>
      <c r="F3942" t="s">
        <v>22</v>
      </c>
      <c r="G3942" t="s">
        <v>33</v>
      </c>
      <c r="H3942" t="s">
        <v>346</v>
      </c>
      <c r="I3942" t="s">
        <v>7757</v>
      </c>
      <c r="J3942">
        <v>10.52822741</v>
      </c>
      <c r="K3942">
        <v>-85.254743489999996</v>
      </c>
      <c r="L3942" t="s">
        <v>1225</v>
      </c>
      <c r="M3942" t="s">
        <v>327</v>
      </c>
      <c r="N3942" t="s">
        <v>340</v>
      </c>
      <c r="O3942" t="s">
        <v>341</v>
      </c>
      <c r="P3942">
        <v>20</v>
      </c>
      <c r="Q3942" t="s">
        <v>74</v>
      </c>
      <c r="S3942" t="str">
        <f>_xlfn.XLOOKUP(UNIVERSO[[#This Row],[Ruta]],'[1]CUOTA RUTA'!A:A,'[1]CUOTA RUTA'!D:D)</f>
        <v>Cargar</v>
      </c>
    </row>
    <row r="3943" spans="1:19" x14ac:dyDescent="0.25">
      <c r="A3943">
        <v>1540053876</v>
      </c>
      <c r="B3943" t="s">
        <v>7758</v>
      </c>
      <c r="C3943" t="s">
        <v>19</v>
      </c>
      <c r="D3943" t="s">
        <v>324</v>
      </c>
      <c r="E3943" t="s">
        <v>21</v>
      </c>
      <c r="F3943" t="s">
        <v>22</v>
      </c>
      <c r="G3943" t="s">
        <v>64</v>
      </c>
      <c r="H3943" t="s">
        <v>390</v>
      </c>
      <c r="I3943" t="s">
        <v>7759</v>
      </c>
      <c r="J3943">
        <v>10.3005</v>
      </c>
      <c r="K3943">
        <v>-84.426000000000002</v>
      </c>
      <c r="L3943" t="s">
        <v>1225</v>
      </c>
      <c r="M3943" t="s">
        <v>327</v>
      </c>
      <c r="N3943" t="s">
        <v>328</v>
      </c>
      <c r="O3943" t="s">
        <v>329</v>
      </c>
      <c r="P3943">
        <v>23</v>
      </c>
      <c r="Q3943" t="s">
        <v>125</v>
      </c>
      <c r="S3943" t="str">
        <f>_xlfn.XLOOKUP(UNIVERSO[[#This Row],[Ruta]],'[1]CUOTA RUTA'!A:A,'[1]CUOTA RUTA'!D:D)</f>
        <v>Cargar</v>
      </c>
    </row>
    <row r="3944" spans="1:19" x14ac:dyDescent="0.25">
      <c r="A3944">
        <v>1540053887</v>
      </c>
      <c r="B3944" t="s">
        <v>7760</v>
      </c>
      <c r="C3944" t="s">
        <v>19</v>
      </c>
      <c r="D3944" t="s">
        <v>32</v>
      </c>
      <c r="E3944" t="s">
        <v>21</v>
      </c>
      <c r="F3944" t="s">
        <v>22</v>
      </c>
      <c r="G3944" t="s">
        <v>64</v>
      </c>
      <c r="H3944" t="s">
        <v>716</v>
      </c>
      <c r="I3944" t="s">
        <v>7761</v>
      </c>
      <c r="J3944">
        <v>9.9039809999999999</v>
      </c>
      <c r="K3944">
        <v>-84.069163000000003</v>
      </c>
      <c r="L3944" t="s">
        <v>1225</v>
      </c>
      <c r="M3944" t="s">
        <v>36</v>
      </c>
      <c r="N3944" t="s">
        <v>37</v>
      </c>
      <c r="O3944" t="s">
        <v>38</v>
      </c>
      <c r="P3944">
        <v>13</v>
      </c>
      <c r="Q3944" t="s">
        <v>161</v>
      </c>
      <c r="S3944" t="str">
        <f>_xlfn.XLOOKUP(UNIVERSO[[#This Row],[Ruta]],'[1]CUOTA RUTA'!A:A,'[1]CUOTA RUTA'!D:D)</f>
        <v>Cargar</v>
      </c>
    </row>
    <row r="3945" spans="1:19" x14ac:dyDescent="0.25">
      <c r="A3945">
        <v>1540053904</v>
      </c>
      <c r="B3945" t="s">
        <v>7762</v>
      </c>
      <c r="C3945" t="s">
        <v>19</v>
      </c>
      <c r="D3945" t="s">
        <v>201</v>
      </c>
      <c r="E3945" t="s">
        <v>21</v>
      </c>
      <c r="F3945" t="s">
        <v>22</v>
      </c>
      <c r="G3945" t="s">
        <v>64</v>
      </c>
      <c r="H3945" t="s">
        <v>533</v>
      </c>
      <c r="I3945" t="s">
        <v>7763</v>
      </c>
      <c r="J3945">
        <v>9.9191900000000004</v>
      </c>
      <c r="K3945">
        <v>-85.520801000000006</v>
      </c>
      <c r="L3945" t="s">
        <v>1225</v>
      </c>
      <c r="M3945" t="s">
        <v>204</v>
      </c>
      <c r="N3945" t="s">
        <v>205</v>
      </c>
      <c r="O3945" t="s">
        <v>206</v>
      </c>
      <c r="P3945">
        <v>14</v>
      </c>
      <c r="Q3945" t="s">
        <v>181</v>
      </c>
      <c r="S3945" t="str">
        <f>_xlfn.XLOOKUP(UNIVERSO[[#This Row],[Ruta]],'[1]CUOTA RUTA'!A:A,'[1]CUOTA RUTA'!D:D)</f>
        <v>Cargar</v>
      </c>
    </row>
    <row r="3946" spans="1:19" x14ac:dyDescent="0.25">
      <c r="A3946">
        <v>1540053919</v>
      </c>
      <c r="B3946" t="s">
        <v>7764</v>
      </c>
      <c r="C3946" t="s">
        <v>19</v>
      </c>
      <c r="D3946" t="s">
        <v>266</v>
      </c>
      <c r="E3946" t="s">
        <v>21</v>
      </c>
      <c r="F3946" t="s">
        <v>22</v>
      </c>
      <c r="G3946" t="s">
        <v>64</v>
      </c>
      <c r="H3946" t="s">
        <v>372</v>
      </c>
      <c r="I3946" t="s">
        <v>7765</v>
      </c>
      <c r="J3946">
        <v>9.9111016599999999</v>
      </c>
      <c r="K3946">
        <v>-83.702498360000007</v>
      </c>
      <c r="L3946" t="s">
        <v>1225</v>
      </c>
      <c r="M3946" t="s">
        <v>189</v>
      </c>
      <c r="N3946" t="s">
        <v>269</v>
      </c>
      <c r="O3946" t="s">
        <v>270</v>
      </c>
      <c r="P3946">
        <v>22</v>
      </c>
      <c r="Q3946" t="s">
        <v>30</v>
      </c>
      <c r="S3946" t="str">
        <f>_xlfn.XLOOKUP(UNIVERSO[[#This Row],[Ruta]],'[1]CUOTA RUTA'!A:A,'[1]CUOTA RUTA'!D:D)</f>
        <v>Cargar</v>
      </c>
    </row>
    <row r="3947" spans="1:19" x14ac:dyDescent="0.25">
      <c r="A3947">
        <v>1540053927</v>
      </c>
      <c r="B3947" t="s">
        <v>7766</v>
      </c>
      <c r="C3947" t="s">
        <v>19</v>
      </c>
      <c r="D3947" t="s">
        <v>32</v>
      </c>
      <c r="E3947" t="s">
        <v>21</v>
      </c>
      <c r="F3947" t="s">
        <v>22</v>
      </c>
      <c r="G3947" t="s">
        <v>64</v>
      </c>
      <c r="H3947" t="s">
        <v>179</v>
      </c>
      <c r="I3947" t="s">
        <v>7767</v>
      </c>
      <c r="J3947">
        <v>9.8661216666670004</v>
      </c>
      <c r="K3947">
        <v>-84.032830000000004</v>
      </c>
      <c r="L3947" t="s">
        <v>1225</v>
      </c>
      <c r="M3947" t="s">
        <v>36</v>
      </c>
      <c r="N3947" t="s">
        <v>37</v>
      </c>
      <c r="O3947" t="s">
        <v>38</v>
      </c>
      <c r="P3947">
        <v>17</v>
      </c>
      <c r="Q3947" t="s">
        <v>287</v>
      </c>
      <c r="S3947" t="str">
        <f>_xlfn.XLOOKUP(UNIVERSO[[#This Row],[Ruta]],'[1]CUOTA RUTA'!A:A,'[1]CUOTA RUTA'!D:D)</f>
        <v>Cargar</v>
      </c>
    </row>
    <row r="3948" spans="1:19" x14ac:dyDescent="0.25">
      <c r="A3948">
        <v>1540053941</v>
      </c>
      <c r="B3948" t="s">
        <v>7768</v>
      </c>
      <c r="C3948" t="s">
        <v>19</v>
      </c>
      <c r="D3948" t="s">
        <v>32</v>
      </c>
      <c r="E3948" t="s">
        <v>21</v>
      </c>
      <c r="F3948" t="s">
        <v>22</v>
      </c>
      <c r="G3948" t="s">
        <v>64</v>
      </c>
      <c r="H3948" t="s">
        <v>115</v>
      </c>
      <c r="I3948" t="s">
        <v>7769</v>
      </c>
      <c r="J3948">
        <v>9.9435500000000001</v>
      </c>
      <c r="K3948">
        <v>-84.066299999999998</v>
      </c>
      <c r="L3948" t="s">
        <v>1225</v>
      </c>
      <c r="M3948" t="s">
        <v>36</v>
      </c>
      <c r="N3948" t="s">
        <v>37</v>
      </c>
      <c r="O3948" t="s">
        <v>38</v>
      </c>
      <c r="P3948">
        <v>4</v>
      </c>
      <c r="Q3948" t="s">
        <v>120</v>
      </c>
      <c r="S3948" t="str">
        <f>_xlfn.XLOOKUP(UNIVERSO[[#This Row],[Ruta]],'[1]CUOTA RUTA'!A:A,'[1]CUOTA RUTA'!D:D)</f>
        <v>Cargar</v>
      </c>
    </row>
    <row r="3949" spans="1:19" x14ac:dyDescent="0.25">
      <c r="A3949">
        <v>1540053993</v>
      </c>
      <c r="B3949" t="s">
        <v>7770</v>
      </c>
      <c r="C3949" t="s">
        <v>19</v>
      </c>
      <c r="D3949" t="s">
        <v>201</v>
      </c>
      <c r="E3949" t="s">
        <v>21</v>
      </c>
      <c r="F3949" t="s">
        <v>22</v>
      </c>
      <c r="G3949" t="s">
        <v>64</v>
      </c>
      <c r="H3949" t="s">
        <v>593</v>
      </c>
      <c r="I3949" t="s">
        <v>7771</v>
      </c>
      <c r="J3949">
        <v>9.9855649</v>
      </c>
      <c r="K3949">
        <v>-84.776566799999998</v>
      </c>
      <c r="L3949" t="s">
        <v>1225</v>
      </c>
      <c r="M3949" t="s">
        <v>204</v>
      </c>
      <c r="N3949" t="s">
        <v>205</v>
      </c>
      <c r="O3949" t="s">
        <v>206</v>
      </c>
      <c r="P3949">
        <v>10</v>
      </c>
      <c r="Q3949" t="s">
        <v>136</v>
      </c>
      <c r="S3949" t="str">
        <f>_xlfn.XLOOKUP(UNIVERSO[[#This Row],[Ruta]],'[1]CUOTA RUTA'!A:A,'[1]CUOTA RUTA'!D:D)</f>
        <v>Cargar</v>
      </c>
    </row>
    <row r="3950" spans="1:19" x14ac:dyDescent="0.25">
      <c r="A3950">
        <v>1540053999</v>
      </c>
      <c r="B3950" t="s">
        <v>7772</v>
      </c>
      <c r="C3950" t="s">
        <v>19</v>
      </c>
      <c r="D3950" t="s">
        <v>337</v>
      </c>
      <c r="E3950" t="s">
        <v>21</v>
      </c>
      <c r="F3950" t="s">
        <v>22</v>
      </c>
      <c r="G3950" t="s">
        <v>33</v>
      </c>
      <c r="H3950" t="s">
        <v>346</v>
      </c>
      <c r="I3950" t="s">
        <v>7773</v>
      </c>
      <c r="J3950">
        <v>10.430746900000001</v>
      </c>
      <c r="K3950">
        <v>-85.262176100000005</v>
      </c>
      <c r="L3950" t="s">
        <v>1225</v>
      </c>
      <c r="M3950" t="s">
        <v>327</v>
      </c>
      <c r="N3950" t="s">
        <v>340</v>
      </c>
      <c r="O3950" t="s">
        <v>341</v>
      </c>
      <c r="P3950">
        <v>21</v>
      </c>
      <c r="Q3950" t="s">
        <v>239</v>
      </c>
      <c r="S3950" t="str">
        <f>_xlfn.XLOOKUP(UNIVERSO[[#This Row],[Ruta]],'[1]CUOTA RUTA'!A:A,'[1]CUOTA RUTA'!D:D)</f>
        <v>Cargar</v>
      </c>
    </row>
    <row r="3951" spans="1:19" x14ac:dyDescent="0.25">
      <c r="A3951">
        <v>1540054028</v>
      </c>
      <c r="B3951" t="s">
        <v>7774</v>
      </c>
      <c r="C3951" t="s">
        <v>19</v>
      </c>
      <c r="D3951" t="s">
        <v>201</v>
      </c>
      <c r="E3951" t="s">
        <v>21</v>
      </c>
      <c r="F3951" t="s">
        <v>22</v>
      </c>
      <c r="G3951" t="s">
        <v>64</v>
      </c>
      <c r="H3951" t="s">
        <v>334</v>
      </c>
      <c r="I3951" t="s">
        <v>7775</v>
      </c>
      <c r="J3951">
        <v>9.9819066999999997</v>
      </c>
      <c r="K3951">
        <v>-84.717957200000001</v>
      </c>
      <c r="L3951" t="s">
        <v>1225</v>
      </c>
      <c r="M3951" t="s">
        <v>204</v>
      </c>
      <c r="N3951" t="s">
        <v>205</v>
      </c>
      <c r="O3951" t="s">
        <v>206</v>
      </c>
      <c r="P3951">
        <v>8</v>
      </c>
      <c r="Q3951" t="s">
        <v>97</v>
      </c>
      <c r="S3951" t="str">
        <f>_xlfn.XLOOKUP(UNIVERSO[[#This Row],[Ruta]],'[1]CUOTA RUTA'!A:A,'[1]CUOTA RUTA'!D:D)</f>
        <v>Cargar</v>
      </c>
    </row>
    <row r="3952" spans="1:19" x14ac:dyDescent="0.25">
      <c r="A3952">
        <v>1540054056</v>
      </c>
      <c r="B3952" t="s">
        <v>7776</v>
      </c>
      <c r="C3952" t="s">
        <v>19</v>
      </c>
      <c r="D3952" t="s">
        <v>324</v>
      </c>
      <c r="E3952" t="s">
        <v>21</v>
      </c>
      <c r="F3952" t="s">
        <v>22</v>
      </c>
      <c r="G3952" t="s">
        <v>33</v>
      </c>
      <c r="H3952" t="s">
        <v>393</v>
      </c>
      <c r="I3952" t="s">
        <v>7777</v>
      </c>
      <c r="J3952">
        <v>10.3841</v>
      </c>
      <c r="K3952">
        <v>-84.435000000000002</v>
      </c>
      <c r="L3952" t="s">
        <v>1225</v>
      </c>
      <c r="M3952" t="s">
        <v>327</v>
      </c>
      <c r="N3952" t="s">
        <v>328</v>
      </c>
      <c r="O3952" t="s">
        <v>329</v>
      </c>
      <c r="P3952">
        <v>19</v>
      </c>
      <c r="Q3952" t="s">
        <v>67</v>
      </c>
      <c r="S3952" t="str">
        <f>_xlfn.XLOOKUP(UNIVERSO[[#This Row],[Ruta]],'[1]CUOTA RUTA'!A:A,'[1]CUOTA RUTA'!D:D)</f>
        <v>Cargar</v>
      </c>
    </row>
    <row r="3953" spans="1:19" x14ac:dyDescent="0.25">
      <c r="A3953">
        <v>1540054066</v>
      </c>
      <c r="B3953" t="s">
        <v>7778</v>
      </c>
      <c r="C3953" t="s">
        <v>19</v>
      </c>
      <c r="D3953" t="s">
        <v>324</v>
      </c>
      <c r="E3953" t="s">
        <v>21</v>
      </c>
      <c r="F3953" t="s">
        <v>22</v>
      </c>
      <c r="G3953" t="s">
        <v>64</v>
      </c>
      <c r="H3953" t="s">
        <v>393</v>
      </c>
      <c r="I3953" t="s">
        <v>7779</v>
      </c>
      <c r="J3953">
        <v>10.416008</v>
      </c>
      <c r="K3953">
        <v>-84.367632</v>
      </c>
      <c r="L3953" t="s">
        <v>1225</v>
      </c>
      <c r="M3953" t="s">
        <v>327</v>
      </c>
      <c r="N3953" t="s">
        <v>328</v>
      </c>
      <c r="O3953" t="s">
        <v>329</v>
      </c>
      <c r="P3953">
        <v>18</v>
      </c>
      <c r="Q3953" t="s">
        <v>84</v>
      </c>
      <c r="S3953" t="str">
        <f>_xlfn.XLOOKUP(UNIVERSO[[#This Row],[Ruta]],'[1]CUOTA RUTA'!A:A,'[1]CUOTA RUTA'!D:D)</f>
        <v>Cargar</v>
      </c>
    </row>
    <row r="3954" spans="1:19" x14ac:dyDescent="0.25">
      <c r="A3954">
        <v>1540054137</v>
      </c>
      <c r="B3954" t="s">
        <v>7780</v>
      </c>
      <c r="C3954" t="s">
        <v>19</v>
      </c>
      <c r="D3954" t="s">
        <v>20</v>
      </c>
      <c r="E3954" t="s">
        <v>21</v>
      </c>
      <c r="F3954" t="s">
        <v>22</v>
      </c>
      <c r="G3954" t="s">
        <v>33</v>
      </c>
      <c r="H3954" t="s">
        <v>143</v>
      </c>
      <c r="I3954" t="s">
        <v>7781</v>
      </c>
      <c r="J3954">
        <v>9.9453999999999994</v>
      </c>
      <c r="K3954">
        <v>-84.127700000000004</v>
      </c>
      <c r="L3954" t="s">
        <v>1225</v>
      </c>
      <c r="M3954" t="s">
        <v>27</v>
      </c>
      <c r="N3954" t="s">
        <v>28</v>
      </c>
      <c r="O3954" t="s">
        <v>29</v>
      </c>
      <c r="P3954">
        <v>9</v>
      </c>
      <c r="Q3954" t="s">
        <v>80</v>
      </c>
      <c r="S3954" t="str">
        <f>_xlfn.XLOOKUP(UNIVERSO[[#This Row],[Ruta]],'[1]CUOTA RUTA'!A:A,'[1]CUOTA RUTA'!D:D)</f>
        <v>Cargar</v>
      </c>
    </row>
    <row r="3955" spans="1:19" x14ac:dyDescent="0.25">
      <c r="A3955">
        <v>1540054181</v>
      </c>
      <c r="B3955" t="s">
        <v>7782</v>
      </c>
      <c r="C3955" t="s">
        <v>19</v>
      </c>
      <c r="D3955" t="s">
        <v>32</v>
      </c>
      <c r="E3955" t="s">
        <v>21</v>
      </c>
      <c r="F3955" t="s">
        <v>22</v>
      </c>
      <c r="G3955" t="s">
        <v>64</v>
      </c>
      <c r="H3955" t="s">
        <v>115</v>
      </c>
      <c r="I3955" t="s">
        <v>7783</v>
      </c>
      <c r="J3955">
        <v>9.95566</v>
      </c>
      <c r="K3955">
        <v>-84.078400000000002</v>
      </c>
      <c r="L3955" t="s">
        <v>1225</v>
      </c>
      <c r="M3955" t="s">
        <v>36</v>
      </c>
      <c r="N3955" t="s">
        <v>37</v>
      </c>
      <c r="O3955" t="s">
        <v>38</v>
      </c>
      <c r="P3955">
        <v>3</v>
      </c>
      <c r="Q3955" t="s">
        <v>101</v>
      </c>
      <c r="S3955" t="str">
        <f>_xlfn.XLOOKUP(UNIVERSO[[#This Row],[Ruta]],'[1]CUOTA RUTA'!A:A,'[1]CUOTA RUTA'!D:D)</f>
        <v>Cargar</v>
      </c>
    </row>
    <row r="3956" spans="1:19" x14ac:dyDescent="0.25">
      <c r="A3956">
        <v>1540054200</v>
      </c>
      <c r="B3956" t="s">
        <v>7784</v>
      </c>
      <c r="C3956" t="s">
        <v>19</v>
      </c>
      <c r="D3956" t="s">
        <v>20</v>
      </c>
      <c r="E3956" t="s">
        <v>21</v>
      </c>
      <c r="F3956" t="s">
        <v>22</v>
      </c>
      <c r="G3956" t="s">
        <v>64</v>
      </c>
      <c r="H3956" t="s">
        <v>52</v>
      </c>
      <c r="I3956" t="s">
        <v>7785</v>
      </c>
      <c r="J3956">
        <v>9.9220733800000005</v>
      </c>
      <c r="K3956">
        <v>-84.135356169999994</v>
      </c>
      <c r="L3956" t="s">
        <v>1225</v>
      </c>
      <c r="M3956" t="s">
        <v>54</v>
      </c>
      <c r="N3956" t="s">
        <v>55</v>
      </c>
      <c r="O3956" t="s">
        <v>56</v>
      </c>
      <c r="P3956">
        <v>13</v>
      </c>
      <c r="Q3956" t="s">
        <v>161</v>
      </c>
      <c r="S3956" t="str">
        <f>_xlfn.XLOOKUP(UNIVERSO[[#This Row],[Ruta]],'[1]CUOTA RUTA'!A:A,'[1]CUOTA RUTA'!D:D)</f>
        <v>Cargar</v>
      </c>
    </row>
    <row r="3957" spans="1:19" x14ac:dyDescent="0.25">
      <c r="A3957">
        <v>1540054290</v>
      </c>
      <c r="B3957" t="s">
        <v>7786</v>
      </c>
      <c r="C3957" t="s">
        <v>19</v>
      </c>
      <c r="D3957" t="s">
        <v>324</v>
      </c>
      <c r="E3957" t="s">
        <v>21</v>
      </c>
      <c r="F3957" t="s">
        <v>22</v>
      </c>
      <c r="G3957" t="s">
        <v>64</v>
      </c>
      <c r="H3957" t="s">
        <v>325</v>
      </c>
      <c r="I3957" t="s">
        <v>7787</v>
      </c>
      <c r="J3957">
        <v>10.323877</v>
      </c>
      <c r="K3957">
        <v>-84.511708999999996</v>
      </c>
      <c r="L3957" t="s">
        <v>1225</v>
      </c>
      <c r="M3957" t="s">
        <v>327</v>
      </c>
      <c r="N3957" t="s">
        <v>328</v>
      </c>
      <c r="O3957" t="s">
        <v>329</v>
      </c>
      <c r="P3957">
        <v>14</v>
      </c>
      <c r="Q3957" t="s">
        <v>181</v>
      </c>
      <c r="S3957" t="str">
        <f>_xlfn.XLOOKUP(UNIVERSO[[#This Row],[Ruta]],'[1]CUOTA RUTA'!A:A,'[1]CUOTA RUTA'!D:D)</f>
        <v>Cargar</v>
      </c>
    </row>
    <row r="3958" spans="1:19" x14ac:dyDescent="0.25">
      <c r="A3958">
        <v>1540054311</v>
      </c>
      <c r="B3958" t="s">
        <v>7788</v>
      </c>
      <c r="C3958" t="s">
        <v>19</v>
      </c>
      <c r="D3958" t="s">
        <v>20</v>
      </c>
      <c r="E3958" t="s">
        <v>21</v>
      </c>
      <c r="F3958" t="s">
        <v>22</v>
      </c>
      <c r="G3958" t="s">
        <v>33</v>
      </c>
      <c r="H3958" t="s">
        <v>44</v>
      </c>
      <c r="I3958" t="s">
        <v>7789</v>
      </c>
      <c r="J3958">
        <v>10.090813900000001</v>
      </c>
      <c r="K3958">
        <v>-84.414769100000001</v>
      </c>
      <c r="L3958" t="s">
        <v>1225</v>
      </c>
      <c r="M3958" t="s">
        <v>46</v>
      </c>
      <c r="N3958" t="s">
        <v>47</v>
      </c>
      <c r="O3958" t="s">
        <v>48</v>
      </c>
      <c r="P3958">
        <v>6</v>
      </c>
      <c r="Q3958" t="s">
        <v>49</v>
      </c>
      <c r="S3958" t="str">
        <f>_xlfn.XLOOKUP(UNIVERSO[[#This Row],[Ruta]],'[1]CUOTA RUTA'!A:A,'[1]CUOTA RUTA'!D:D)</f>
        <v>Cargar</v>
      </c>
    </row>
    <row r="3959" spans="1:19" x14ac:dyDescent="0.25">
      <c r="A3959">
        <v>1540054312</v>
      </c>
      <c r="B3959" t="s">
        <v>7790</v>
      </c>
      <c r="C3959" t="s">
        <v>19</v>
      </c>
      <c r="D3959" t="s">
        <v>20</v>
      </c>
      <c r="E3959" t="s">
        <v>62</v>
      </c>
      <c r="F3959" t="s">
        <v>63</v>
      </c>
      <c r="G3959" t="s">
        <v>64</v>
      </c>
      <c r="H3959" t="s">
        <v>722</v>
      </c>
      <c r="I3959" t="s">
        <v>7791</v>
      </c>
      <c r="J3959">
        <v>9.94651</v>
      </c>
      <c r="K3959">
        <v>-84.149100000000004</v>
      </c>
      <c r="L3959" t="s">
        <v>1225</v>
      </c>
      <c r="M3959" t="s">
        <v>27</v>
      </c>
      <c r="N3959" t="s">
        <v>28</v>
      </c>
      <c r="O3959" t="s">
        <v>29</v>
      </c>
      <c r="P3959">
        <v>22</v>
      </c>
      <c r="Q3959" t="s">
        <v>30</v>
      </c>
      <c r="S3959" t="str">
        <f>_xlfn.XLOOKUP(UNIVERSO[[#This Row],[Ruta]],'[1]CUOTA RUTA'!A:A,'[1]CUOTA RUTA'!D:D)</f>
        <v>Cargar</v>
      </c>
    </row>
    <row r="3960" spans="1:19" x14ac:dyDescent="0.25">
      <c r="A3960">
        <v>1540054333</v>
      </c>
      <c r="B3960" t="s">
        <v>7792</v>
      </c>
      <c r="C3960" t="s">
        <v>19</v>
      </c>
      <c r="D3960" t="s">
        <v>32</v>
      </c>
      <c r="E3960" t="s">
        <v>21</v>
      </c>
      <c r="F3960" t="s">
        <v>22</v>
      </c>
      <c r="G3960" t="s">
        <v>23</v>
      </c>
      <c r="H3960" t="s">
        <v>115</v>
      </c>
      <c r="I3960" t="s">
        <v>7793</v>
      </c>
      <c r="J3960">
        <v>9.9581789999999994</v>
      </c>
      <c r="K3960">
        <v>-84.096513000000002</v>
      </c>
      <c r="L3960" t="s">
        <v>1225</v>
      </c>
      <c r="M3960" t="s">
        <v>36</v>
      </c>
      <c r="N3960" t="s">
        <v>37</v>
      </c>
      <c r="O3960" t="s">
        <v>38</v>
      </c>
      <c r="P3960">
        <v>6</v>
      </c>
      <c r="Q3960" t="s">
        <v>49</v>
      </c>
      <c r="S3960" t="str">
        <f>_xlfn.XLOOKUP(UNIVERSO[[#This Row],[Ruta]],'[1]CUOTA RUTA'!A:A,'[1]CUOTA RUTA'!D:D)</f>
        <v>Cargar</v>
      </c>
    </row>
    <row r="3961" spans="1:19" x14ac:dyDescent="0.25">
      <c r="A3961">
        <v>1540054382</v>
      </c>
      <c r="B3961" t="s">
        <v>7794</v>
      </c>
      <c r="C3961" t="s">
        <v>19</v>
      </c>
      <c r="D3961" t="s">
        <v>324</v>
      </c>
      <c r="E3961" t="s">
        <v>21</v>
      </c>
      <c r="F3961" t="s">
        <v>22</v>
      </c>
      <c r="G3961" t="s">
        <v>64</v>
      </c>
      <c r="H3961" t="s">
        <v>557</v>
      </c>
      <c r="I3961" t="s">
        <v>7795</v>
      </c>
      <c r="J3961">
        <v>10.465780000000001</v>
      </c>
      <c r="K3961">
        <v>-84.643361999999996</v>
      </c>
      <c r="L3961" t="s">
        <v>1225</v>
      </c>
      <c r="M3961" t="s">
        <v>327</v>
      </c>
      <c r="N3961" t="s">
        <v>328</v>
      </c>
      <c r="O3961" t="s">
        <v>329</v>
      </c>
      <c r="P3961">
        <v>20</v>
      </c>
      <c r="Q3961" t="s">
        <v>74</v>
      </c>
      <c r="S3961" t="str">
        <f>_xlfn.XLOOKUP(UNIVERSO[[#This Row],[Ruta]],'[1]CUOTA RUTA'!A:A,'[1]CUOTA RUTA'!D:D)</f>
        <v>Cargar</v>
      </c>
    </row>
    <row r="3962" spans="1:19" x14ac:dyDescent="0.25">
      <c r="A3962">
        <v>1540054395</v>
      </c>
      <c r="B3962" t="s">
        <v>7796</v>
      </c>
      <c r="C3962" t="s">
        <v>19</v>
      </c>
      <c r="D3962" t="s">
        <v>201</v>
      </c>
      <c r="E3962" t="s">
        <v>21</v>
      </c>
      <c r="F3962" t="s">
        <v>22</v>
      </c>
      <c r="G3962" t="s">
        <v>33</v>
      </c>
      <c r="H3962" t="s">
        <v>533</v>
      </c>
      <c r="I3962" t="s">
        <v>7797</v>
      </c>
      <c r="J3962">
        <v>9.9092739999999999</v>
      </c>
      <c r="K3962">
        <v>-84.516638999999998</v>
      </c>
      <c r="L3962" t="s">
        <v>1225</v>
      </c>
      <c r="M3962" t="s">
        <v>204</v>
      </c>
      <c r="N3962" t="s">
        <v>205</v>
      </c>
      <c r="O3962" t="s">
        <v>206</v>
      </c>
      <c r="P3962">
        <v>1</v>
      </c>
      <c r="Q3962" t="s">
        <v>155</v>
      </c>
      <c r="S3962" t="str">
        <f>_xlfn.XLOOKUP(UNIVERSO[[#This Row],[Ruta]],'[1]CUOTA RUTA'!A:A,'[1]CUOTA RUTA'!D:D)</f>
        <v>Cargar</v>
      </c>
    </row>
    <row r="3963" spans="1:19" x14ac:dyDescent="0.25">
      <c r="A3963">
        <v>1540054467</v>
      </c>
      <c r="B3963" t="s">
        <v>7798</v>
      </c>
      <c r="C3963" t="s">
        <v>19</v>
      </c>
      <c r="D3963" t="s">
        <v>32</v>
      </c>
      <c r="E3963" t="s">
        <v>21</v>
      </c>
      <c r="F3963" t="s">
        <v>22</v>
      </c>
      <c r="G3963" t="s">
        <v>64</v>
      </c>
      <c r="H3963" t="s">
        <v>625</v>
      </c>
      <c r="I3963" t="s">
        <v>7799</v>
      </c>
      <c r="J3963">
        <v>10.015886666667001</v>
      </c>
      <c r="K3963">
        <v>-84.054419999999993</v>
      </c>
      <c r="L3963" t="s">
        <v>1225</v>
      </c>
      <c r="M3963" t="s">
        <v>94</v>
      </c>
      <c r="N3963" t="s">
        <v>95</v>
      </c>
      <c r="O3963" t="s">
        <v>96</v>
      </c>
      <c r="P3963">
        <v>5</v>
      </c>
      <c r="Q3963" t="s">
        <v>117</v>
      </c>
      <c r="S3963" t="str">
        <f>_xlfn.XLOOKUP(UNIVERSO[[#This Row],[Ruta]],'[1]CUOTA RUTA'!A:A,'[1]CUOTA RUTA'!D:D)</f>
        <v>Cargar</v>
      </c>
    </row>
    <row r="3964" spans="1:19" x14ac:dyDescent="0.25">
      <c r="A3964">
        <v>1540054496</v>
      </c>
      <c r="B3964" t="s">
        <v>7800</v>
      </c>
      <c r="C3964" t="s">
        <v>19</v>
      </c>
      <c r="D3964" t="s">
        <v>32</v>
      </c>
      <c r="E3964" t="s">
        <v>21</v>
      </c>
      <c r="F3964" t="s">
        <v>22</v>
      </c>
      <c r="G3964" t="s">
        <v>64</v>
      </c>
      <c r="H3964" t="s">
        <v>174</v>
      </c>
      <c r="I3964" t="s">
        <v>7801</v>
      </c>
      <c r="J3964">
        <v>9.9357629999999997</v>
      </c>
      <c r="K3964">
        <v>-84.078643</v>
      </c>
      <c r="L3964" t="s">
        <v>1225</v>
      </c>
      <c r="M3964" t="s">
        <v>71</v>
      </c>
      <c r="N3964" t="s">
        <v>72</v>
      </c>
      <c r="O3964" t="s">
        <v>73</v>
      </c>
      <c r="P3964">
        <v>2</v>
      </c>
      <c r="Q3964" t="s">
        <v>150</v>
      </c>
      <c r="S3964" t="str">
        <f>_xlfn.XLOOKUP(UNIVERSO[[#This Row],[Ruta]],'[1]CUOTA RUTA'!A:A,'[1]CUOTA RUTA'!D:D)</f>
        <v>Cargar</v>
      </c>
    </row>
    <row r="3965" spans="1:19" x14ac:dyDescent="0.25">
      <c r="A3965">
        <v>1540054539</v>
      </c>
      <c r="B3965" t="s">
        <v>7802</v>
      </c>
      <c r="C3965" t="s">
        <v>19</v>
      </c>
      <c r="D3965" t="s">
        <v>32</v>
      </c>
      <c r="E3965" t="s">
        <v>21</v>
      </c>
      <c r="F3965" t="s">
        <v>22</v>
      </c>
      <c r="G3965" t="s">
        <v>33</v>
      </c>
      <c r="H3965" t="s">
        <v>99</v>
      </c>
      <c r="I3965" t="s">
        <v>7803</v>
      </c>
      <c r="J3965">
        <v>9.9356709999999993</v>
      </c>
      <c r="K3965">
        <v>-84.084058999999996</v>
      </c>
      <c r="L3965" t="s">
        <v>1225</v>
      </c>
      <c r="M3965" t="s">
        <v>71</v>
      </c>
      <c r="N3965" t="s">
        <v>72</v>
      </c>
      <c r="O3965" t="s">
        <v>73</v>
      </c>
      <c r="P3965">
        <v>1</v>
      </c>
      <c r="Q3965" t="s">
        <v>155</v>
      </c>
      <c r="S3965" t="str">
        <f>_xlfn.XLOOKUP(UNIVERSO[[#This Row],[Ruta]],'[1]CUOTA RUTA'!A:A,'[1]CUOTA RUTA'!D:D)</f>
        <v>Cargar</v>
      </c>
    </row>
    <row r="3966" spans="1:19" x14ac:dyDescent="0.25">
      <c r="A3966">
        <v>1540054540</v>
      </c>
      <c r="B3966" t="s">
        <v>7804</v>
      </c>
      <c r="C3966" t="s">
        <v>19</v>
      </c>
      <c r="D3966" t="s">
        <v>266</v>
      </c>
      <c r="E3966" t="s">
        <v>21</v>
      </c>
      <c r="F3966" t="s">
        <v>22</v>
      </c>
      <c r="G3966" t="s">
        <v>33</v>
      </c>
      <c r="H3966" t="s">
        <v>404</v>
      </c>
      <c r="I3966" t="s">
        <v>7805</v>
      </c>
      <c r="J3966">
        <v>9.8395890000000001</v>
      </c>
      <c r="K3966">
        <v>-83.868165000000005</v>
      </c>
      <c r="L3966" t="s">
        <v>1225</v>
      </c>
      <c r="M3966" t="s">
        <v>36</v>
      </c>
      <c r="N3966" t="s">
        <v>316</v>
      </c>
      <c r="O3966" t="s">
        <v>317</v>
      </c>
      <c r="P3966">
        <v>23</v>
      </c>
      <c r="Q3966" t="s">
        <v>125</v>
      </c>
      <c r="S3966" t="str">
        <f>_xlfn.XLOOKUP(UNIVERSO[[#This Row],[Ruta]],'[1]CUOTA RUTA'!A:A,'[1]CUOTA RUTA'!D:D)</f>
        <v>Cargar</v>
      </c>
    </row>
    <row r="3967" spans="1:19" x14ac:dyDescent="0.25">
      <c r="A3967">
        <v>1540054546</v>
      </c>
      <c r="B3967" t="s">
        <v>7806</v>
      </c>
      <c r="C3967" t="s">
        <v>19</v>
      </c>
      <c r="D3967" t="s">
        <v>266</v>
      </c>
      <c r="E3967" t="s">
        <v>21</v>
      </c>
      <c r="F3967" t="s">
        <v>22</v>
      </c>
      <c r="G3967" t="s">
        <v>64</v>
      </c>
      <c r="H3967" t="s">
        <v>404</v>
      </c>
      <c r="I3967" t="s">
        <v>7807</v>
      </c>
      <c r="J3967">
        <v>9.8320833333329993</v>
      </c>
      <c r="K3967">
        <v>-83.878164999999996</v>
      </c>
      <c r="L3967" t="s">
        <v>1225</v>
      </c>
      <c r="M3967" t="s">
        <v>36</v>
      </c>
      <c r="N3967" t="s">
        <v>316</v>
      </c>
      <c r="O3967" t="s">
        <v>317</v>
      </c>
      <c r="P3967">
        <v>23</v>
      </c>
      <c r="Q3967" t="s">
        <v>125</v>
      </c>
      <c r="S3967" t="str">
        <f>_xlfn.XLOOKUP(UNIVERSO[[#This Row],[Ruta]],'[1]CUOTA RUTA'!A:A,'[1]CUOTA RUTA'!D:D)</f>
        <v>Cargar</v>
      </c>
    </row>
    <row r="3968" spans="1:19" x14ac:dyDescent="0.25">
      <c r="A3968">
        <v>1540054556</v>
      </c>
      <c r="B3968" t="s">
        <v>7808</v>
      </c>
      <c r="C3968" t="s">
        <v>19</v>
      </c>
      <c r="D3968" t="s">
        <v>20</v>
      </c>
      <c r="E3968" t="s">
        <v>62</v>
      </c>
      <c r="F3968" t="s">
        <v>63</v>
      </c>
      <c r="G3968" t="s">
        <v>64</v>
      </c>
      <c r="H3968" t="s">
        <v>913</v>
      </c>
      <c r="I3968" t="s">
        <v>7809</v>
      </c>
      <c r="J3968">
        <v>9.9653310000000008</v>
      </c>
      <c r="K3968">
        <v>-84.120913999999999</v>
      </c>
      <c r="L3968" t="s">
        <v>1225</v>
      </c>
      <c r="M3968" t="s">
        <v>27</v>
      </c>
      <c r="N3968" t="s">
        <v>28</v>
      </c>
      <c r="O3968" t="s">
        <v>29</v>
      </c>
      <c r="P3968">
        <v>7</v>
      </c>
      <c r="Q3968" t="s">
        <v>39</v>
      </c>
      <c r="S3968" t="str">
        <f>_xlfn.XLOOKUP(UNIVERSO[[#This Row],[Ruta]],'[1]CUOTA RUTA'!A:A,'[1]CUOTA RUTA'!D:D)</f>
        <v>Cargar</v>
      </c>
    </row>
    <row r="3969" spans="1:19" x14ac:dyDescent="0.25">
      <c r="A3969">
        <v>1540054594</v>
      </c>
      <c r="B3969" t="s">
        <v>7810</v>
      </c>
      <c r="C3969" t="s">
        <v>19</v>
      </c>
      <c r="D3969" t="s">
        <v>20</v>
      </c>
      <c r="E3969" t="s">
        <v>21</v>
      </c>
      <c r="F3969" t="s">
        <v>22</v>
      </c>
      <c r="G3969" t="s">
        <v>23</v>
      </c>
      <c r="H3969" t="s">
        <v>774</v>
      </c>
      <c r="I3969" t="s">
        <v>7811</v>
      </c>
      <c r="J3969">
        <v>9.9344300000000008</v>
      </c>
      <c r="K3969">
        <v>-84.229399999999998</v>
      </c>
      <c r="L3969" t="s">
        <v>1225</v>
      </c>
      <c r="M3969" t="s">
        <v>54</v>
      </c>
      <c r="N3969" t="s">
        <v>55</v>
      </c>
      <c r="O3969" t="s">
        <v>56</v>
      </c>
      <c r="P3969">
        <v>10</v>
      </c>
      <c r="Q3969" t="s">
        <v>136</v>
      </c>
      <c r="S3969" t="str">
        <f>_xlfn.XLOOKUP(UNIVERSO[[#This Row],[Ruta]],'[1]CUOTA RUTA'!A:A,'[1]CUOTA RUTA'!D:D)</f>
        <v>Cargar</v>
      </c>
    </row>
    <row r="3970" spans="1:19" x14ac:dyDescent="0.25">
      <c r="A3970">
        <v>1540054660</v>
      </c>
      <c r="B3970" t="s">
        <v>7812</v>
      </c>
      <c r="C3970" t="s">
        <v>19</v>
      </c>
      <c r="D3970" t="s">
        <v>244</v>
      </c>
      <c r="E3970" t="s">
        <v>21</v>
      </c>
      <c r="F3970" t="s">
        <v>22</v>
      </c>
      <c r="G3970" t="s">
        <v>64</v>
      </c>
      <c r="H3970" t="s">
        <v>436</v>
      </c>
      <c r="I3970" t="s">
        <v>7813</v>
      </c>
      <c r="J3970">
        <v>9.4729100000000006</v>
      </c>
      <c r="K3970">
        <v>-84.101923999999997</v>
      </c>
      <c r="L3970" t="s">
        <v>1225</v>
      </c>
      <c r="M3970" t="s">
        <v>46</v>
      </c>
      <c r="N3970" t="s">
        <v>247</v>
      </c>
      <c r="O3970" t="s">
        <v>248</v>
      </c>
      <c r="P3970">
        <v>20</v>
      </c>
      <c r="Q3970" t="s">
        <v>74</v>
      </c>
      <c r="S3970" t="str">
        <f>_xlfn.XLOOKUP(UNIVERSO[[#This Row],[Ruta]],'[1]CUOTA RUTA'!A:A,'[1]CUOTA RUTA'!D:D)</f>
        <v>Cargar</v>
      </c>
    </row>
    <row r="3971" spans="1:19" x14ac:dyDescent="0.25">
      <c r="A3971">
        <v>1540054663</v>
      </c>
      <c r="B3971" t="s">
        <v>7814</v>
      </c>
      <c r="C3971" t="s">
        <v>19</v>
      </c>
      <c r="D3971" t="s">
        <v>324</v>
      </c>
      <c r="E3971" t="s">
        <v>21</v>
      </c>
      <c r="F3971" t="s">
        <v>22</v>
      </c>
      <c r="G3971" t="s">
        <v>64</v>
      </c>
      <c r="H3971" t="s">
        <v>325</v>
      </c>
      <c r="I3971" t="s">
        <v>7815</v>
      </c>
      <c r="J3971">
        <v>10.365836666667001</v>
      </c>
      <c r="K3971">
        <v>-84.554538333330001</v>
      </c>
      <c r="L3971" t="s">
        <v>1225</v>
      </c>
      <c r="M3971" t="s">
        <v>327</v>
      </c>
      <c r="N3971" t="s">
        <v>328</v>
      </c>
      <c r="O3971" t="s">
        <v>329</v>
      </c>
      <c r="P3971">
        <v>14</v>
      </c>
      <c r="Q3971" t="s">
        <v>181</v>
      </c>
      <c r="S3971" t="str">
        <f>_xlfn.XLOOKUP(UNIVERSO[[#This Row],[Ruta]],'[1]CUOTA RUTA'!A:A,'[1]CUOTA RUTA'!D:D)</f>
        <v>Cargar</v>
      </c>
    </row>
    <row r="3972" spans="1:19" x14ac:dyDescent="0.25">
      <c r="A3972">
        <v>1540054680</v>
      </c>
      <c r="B3972" t="s">
        <v>7816</v>
      </c>
      <c r="C3972" t="s">
        <v>19</v>
      </c>
      <c r="D3972" t="s">
        <v>20</v>
      </c>
      <c r="E3972" t="s">
        <v>21</v>
      </c>
      <c r="F3972" t="s">
        <v>22</v>
      </c>
      <c r="G3972" t="s">
        <v>23</v>
      </c>
      <c r="H3972" t="s">
        <v>250</v>
      </c>
      <c r="I3972" t="s">
        <v>7817</v>
      </c>
      <c r="J3972">
        <v>10.068545</v>
      </c>
      <c r="K3972">
        <v>-84.316921699999995</v>
      </c>
      <c r="L3972" t="s">
        <v>1225</v>
      </c>
      <c r="M3972" t="s">
        <v>46</v>
      </c>
      <c r="N3972" t="s">
        <v>47</v>
      </c>
      <c r="O3972" t="s">
        <v>48</v>
      </c>
      <c r="P3972">
        <v>4</v>
      </c>
      <c r="Q3972" t="s">
        <v>120</v>
      </c>
      <c r="S3972" t="str">
        <f>_xlfn.XLOOKUP(UNIVERSO[[#This Row],[Ruta]],'[1]CUOTA RUTA'!A:A,'[1]CUOTA RUTA'!D:D)</f>
        <v>Cargar</v>
      </c>
    </row>
    <row r="3973" spans="1:19" x14ac:dyDescent="0.25">
      <c r="A3973">
        <v>1540054714</v>
      </c>
      <c r="B3973" t="s">
        <v>7818</v>
      </c>
      <c r="C3973" t="s">
        <v>19</v>
      </c>
      <c r="D3973" t="s">
        <v>186</v>
      </c>
      <c r="E3973" t="s">
        <v>21</v>
      </c>
      <c r="F3973" t="s">
        <v>22</v>
      </c>
      <c r="G3973" t="s">
        <v>64</v>
      </c>
      <c r="H3973" t="s">
        <v>187</v>
      </c>
      <c r="I3973" t="s">
        <v>7819</v>
      </c>
      <c r="J3973">
        <v>10.005129999999999</v>
      </c>
      <c r="K3973">
        <v>-83.055745000000002</v>
      </c>
      <c r="L3973" t="s">
        <v>1225</v>
      </c>
      <c r="M3973" t="s">
        <v>189</v>
      </c>
      <c r="N3973" t="s">
        <v>190</v>
      </c>
      <c r="O3973" t="s">
        <v>191</v>
      </c>
      <c r="P3973">
        <v>23</v>
      </c>
      <c r="Q3973" t="s">
        <v>125</v>
      </c>
      <c r="S3973" t="str">
        <f>_xlfn.XLOOKUP(UNIVERSO[[#This Row],[Ruta]],'[1]CUOTA RUTA'!A:A,'[1]CUOTA RUTA'!D:D)</f>
        <v>Cargar</v>
      </c>
    </row>
    <row r="3974" spans="1:19" x14ac:dyDescent="0.25">
      <c r="A3974">
        <v>1540054722</v>
      </c>
      <c r="B3974" t="s">
        <v>7820</v>
      </c>
      <c r="C3974" t="s">
        <v>19</v>
      </c>
      <c r="D3974" t="s">
        <v>201</v>
      </c>
      <c r="E3974" t="s">
        <v>21</v>
      </c>
      <c r="F3974" t="s">
        <v>22</v>
      </c>
      <c r="G3974" t="s">
        <v>64</v>
      </c>
      <c r="H3974" t="s">
        <v>499</v>
      </c>
      <c r="I3974" t="s">
        <v>7821</v>
      </c>
      <c r="J3974">
        <v>9.9113035000000007</v>
      </c>
      <c r="K3974">
        <v>-84.537133800000007</v>
      </c>
      <c r="L3974" t="s">
        <v>1225</v>
      </c>
      <c r="M3974" t="s">
        <v>204</v>
      </c>
      <c r="N3974" t="s">
        <v>205</v>
      </c>
      <c r="O3974" t="s">
        <v>206</v>
      </c>
      <c r="P3974">
        <v>3</v>
      </c>
      <c r="Q3974" t="s">
        <v>101</v>
      </c>
      <c r="S3974" t="str">
        <f>_xlfn.XLOOKUP(UNIVERSO[[#This Row],[Ruta]],'[1]CUOTA RUTA'!A:A,'[1]CUOTA RUTA'!D:D)</f>
        <v>Cargar</v>
      </c>
    </row>
    <row r="3975" spans="1:19" x14ac:dyDescent="0.25">
      <c r="A3975">
        <v>1540054852</v>
      </c>
      <c r="B3975" t="s">
        <v>7822</v>
      </c>
      <c r="C3975" t="s">
        <v>19</v>
      </c>
      <c r="D3975" t="s">
        <v>244</v>
      </c>
      <c r="E3975" t="s">
        <v>21</v>
      </c>
      <c r="F3975" t="s">
        <v>22</v>
      </c>
      <c r="G3975" t="s">
        <v>33</v>
      </c>
      <c r="H3975" t="s">
        <v>566</v>
      </c>
      <c r="I3975" t="s">
        <v>7823</v>
      </c>
      <c r="J3975">
        <v>9.1794452</v>
      </c>
      <c r="K3975">
        <v>-83.333778899999999</v>
      </c>
      <c r="L3975" t="s">
        <v>1225</v>
      </c>
      <c r="M3975" t="s">
        <v>46</v>
      </c>
      <c r="N3975" t="s">
        <v>247</v>
      </c>
      <c r="O3975" t="s">
        <v>248</v>
      </c>
      <c r="P3975">
        <v>12</v>
      </c>
      <c r="Q3975" t="s">
        <v>42</v>
      </c>
      <c r="S3975" t="str">
        <f>_xlfn.XLOOKUP(UNIVERSO[[#This Row],[Ruta]],'[1]CUOTA RUTA'!A:A,'[1]CUOTA RUTA'!D:D)</f>
        <v>Cargar</v>
      </c>
    </row>
    <row r="3976" spans="1:19" x14ac:dyDescent="0.25">
      <c r="A3976">
        <v>1540054866</v>
      </c>
      <c r="B3976" t="s">
        <v>7824</v>
      </c>
      <c r="C3976" t="s">
        <v>19</v>
      </c>
      <c r="D3976" t="s">
        <v>244</v>
      </c>
      <c r="E3976" t="s">
        <v>21</v>
      </c>
      <c r="F3976" t="s">
        <v>22</v>
      </c>
      <c r="G3976" t="s">
        <v>33</v>
      </c>
      <c r="H3976" t="s">
        <v>436</v>
      </c>
      <c r="I3976" t="s">
        <v>7825</v>
      </c>
      <c r="J3976">
        <v>9.4402150000000002</v>
      </c>
      <c r="K3976">
        <v>-84.174937</v>
      </c>
      <c r="L3976" t="s">
        <v>1225</v>
      </c>
      <c r="M3976" t="s">
        <v>46</v>
      </c>
      <c r="N3976" t="s">
        <v>247</v>
      </c>
      <c r="O3976" t="s">
        <v>248</v>
      </c>
      <c r="P3976">
        <v>21</v>
      </c>
      <c r="Q3976" t="s">
        <v>239</v>
      </c>
      <c r="S3976" t="str">
        <f>_xlfn.XLOOKUP(UNIVERSO[[#This Row],[Ruta]],'[1]CUOTA RUTA'!A:A,'[1]CUOTA RUTA'!D:D)</f>
        <v>Cargar</v>
      </c>
    </row>
    <row r="3977" spans="1:19" x14ac:dyDescent="0.25">
      <c r="A3977">
        <v>1540054929</v>
      </c>
      <c r="B3977" t="s">
        <v>7826</v>
      </c>
      <c r="C3977" t="s">
        <v>19</v>
      </c>
      <c r="D3977" t="s">
        <v>20</v>
      </c>
      <c r="E3977" t="s">
        <v>21</v>
      </c>
      <c r="F3977" t="s">
        <v>22</v>
      </c>
      <c r="G3977" t="s">
        <v>64</v>
      </c>
      <c r="H3977" t="s">
        <v>44</v>
      </c>
      <c r="I3977" t="s">
        <v>7827</v>
      </c>
      <c r="J3977">
        <v>10.094343</v>
      </c>
      <c r="K3977">
        <v>-84.428044999999997</v>
      </c>
      <c r="L3977" t="s">
        <v>1225</v>
      </c>
      <c r="M3977" t="s">
        <v>46</v>
      </c>
      <c r="N3977" t="s">
        <v>47</v>
      </c>
      <c r="O3977" t="s">
        <v>48</v>
      </c>
      <c r="P3977">
        <v>6</v>
      </c>
      <c r="Q3977" t="s">
        <v>49</v>
      </c>
      <c r="S3977" t="str">
        <f>_xlfn.XLOOKUP(UNIVERSO[[#This Row],[Ruta]],'[1]CUOTA RUTA'!A:A,'[1]CUOTA RUTA'!D:D)</f>
        <v>Cargar</v>
      </c>
    </row>
    <row r="3978" spans="1:19" x14ac:dyDescent="0.25">
      <c r="A3978">
        <v>1540054949</v>
      </c>
      <c r="B3978" t="s">
        <v>7828</v>
      </c>
      <c r="C3978" t="s">
        <v>19</v>
      </c>
      <c r="D3978" t="s">
        <v>201</v>
      </c>
      <c r="E3978" t="s">
        <v>62</v>
      </c>
      <c r="F3978" t="s">
        <v>63</v>
      </c>
      <c r="G3978" t="s">
        <v>33</v>
      </c>
      <c r="H3978" t="s">
        <v>785</v>
      </c>
      <c r="I3978" t="s">
        <v>7829</v>
      </c>
      <c r="J3978">
        <v>9.9916073999999995</v>
      </c>
      <c r="K3978">
        <v>-84.720863300000005</v>
      </c>
      <c r="L3978" t="s">
        <v>1225</v>
      </c>
      <c r="M3978" t="s">
        <v>204</v>
      </c>
      <c r="N3978" t="s">
        <v>205</v>
      </c>
      <c r="O3978" t="s">
        <v>206</v>
      </c>
      <c r="P3978">
        <v>8</v>
      </c>
      <c r="Q3978" t="s">
        <v>97</v>
      </c>
      <c r="S3978" t="str">
        <f>_xlfn.XLOOKUP(UNIVERSO[[#This Row],[Ruta]],'[1]CUOTA RUTA'!A:A,'[1]CUOTA RUTA'!D:D)</f>
        <v>Cargar</v>
      </c>
    </row>
    <row r="3979" spans="1:19" x14ac:dyDescent="0.25">
      <c r="A3979">
        <v>1540054951</v>
      </c>
      <c r="B3979" t="s">
        <v>7830</v>
      </c>
      <c r="C3979" t="s">
        <v>19</v>
      </c>
      <c r="D3979" t="s">
        <v>201</v>
      </c>
      <c r="E3979" t="s">
        <v>21</v>
      </c>
      <c r="F3979" t="s">
        <v>22</v>
      </c>
      <c r="G3979" t="s">
        <v>64</v>
      </c>
      <c r="H3979" t="s">
        <v>528</v>
      </c>
      <c r="I3979" t="s">
        <v>7831</v>
      </c>
      <c r="J3979">
        <v>10.245835</v>
      </c>
      <c r="K3979">
        <v>-85.011138000000003</v>
      </c>
      <c r="L3979" t="s">
        <v>1225</v>
      </c>
      <c r="M3979" t="s">
        <v>327</v>
      </c>
      <c r="N3979" t="s">
        <v>530</v>
      </c>
      <c r="O3979" t="s">
        <v>531</v>
      </c>
      <c r="P3979">
        <v>1</v>
      </c>
      <c r="Q3979" t="s">
        <v>155</v>
      </c>
      <c r="S3979" t="str">
        <f>_xlfn.XLOOKUP(UNIVERSO[[#This Row],[Ruta]],'[1]CUOTA RUTA'!A:A,'[1]CUOTA RUTA'!D:D)</f>
        <v>Cargar</v>
      </c>
    </row>
    <row r="3980" spans="1:19" x14ac:dyDescent="0.25">
      <c r="A3980">
        <v>1540054972</v>
      </c>
      <c r="B3980" t="s">
        <v>7832</v>
      </c>
      <c r="C3980" t="s">
        <v>19</v>
      </c>
      <c r="D3980" t="s">
        <v>32</v>
      </c>
      <c r="E3980" t="s">
        <v>21</v>
      </c>
      <c r="F3980" t="s">
        <v>22</v>
      </c>
      <c r="G3980" t="s">
        <v>64</v>
      </c>
      <c r="H3980" t="s">
        <v>69</v>
      </c>
      <c r="I3980" t="s">
        <v>7833</v>
      </c>
      <c r="J3980">
        <v>9.867538333333</v>
      </c>
      <c r="K3980">
        <v>-84.047476666660003</v>
      </c>
      <c r="L3980" t="s">
        <v>1225</v>
      </c>
      <c r="M3980" t="s">
        <v>71</v>
      </c>
      <c r="N3980" t="s">
        <v>72</v>
      </c>
      <c r="O3980" t="s">
        <v>73</v>
      </c>
      <c r="P3980">
        <v>21</v>
      </c>
      <c r="Q3980" t="s">
        <v>239</v>
      </c>
      <c r="S3980" t="str">
        <f>_xlfn.XLOOKUP(UNIVERSO[[#This Row],[Ruta]],'[1]CUOTA RUTA'!A:A,'[1]CUOTA RUTA'!D:D)</f>
        <v>Cargar</v>
      </c>
    </row>
    <row r="3981" spans="1:19" x14ac:dyDescent="0.25">
      <c r="A3981">
        <v>1540055027</v>
      </c>
      <c r="B3981" t="s">
        <v>7834</v>
      </c>
      <c r="C3981" t="s">
        <v>19</v>
      </c>
      <c r="D3981" t="s">
        <v>324</v>
      </c>
      <c r="E3981" t="s">
        <v>21</v>
      </c>
      <c r="F3981" t="s">
        <v>22</v>
      </c>
      <c r="G3981" t="s">
        <v>33</v>
      </c>
      <c r="H3981" t="s">
        <v>390</v>
      </c>
      <c r="I3981" t="s">
        <v>7835</v>
      </c>
      <c r="J3981">
        <v>10.337205300000001</v>
      </c>
      <c r="K3981">
        <v>-84.431449400000005</v>
      </c>
      <c r="L3981" t="s">
        <v>1225</v>
      </c>
      <c r="M3981" t="s">
        <v>327</v>
      </c>
      <c r="N3981" t="s">
        <v>328</v>
      </c>
      <c r="O3981" t="s">
        <v>329</v>
      </c>
      <c r="P3981">
        <v>15</v>
      </c>
      <c r="Q3981" t="s">
        <v>231</v>
      </c>
      <c r="S3981" t="str">
        <f>_xlfn.XLOOKUP(UNIVERSO[[#This Row],[Ruta]],'[1]CUOTA RUTA'!A:A,'[1]CUOTA RUTA'!D:D)</f>
        <v>Cargar</v>
      </c>
    </row>
    <row r="3982" spans="1:19" x14ac:dyDescent="0.25">
      <c r="A3982">
        <v>1540055204</v>
      </c>
      <c r="B3982" t="s">
        <v>7836</v>
      </c>
      <c r="C3982" t="s">
        <v>19</v>
      </c>
      <c r="D3982" t="s">
        <v>266</v>
      </c>
      <c r="E3982" t="s">
        <v>21</v>
      </c>
      <c r="F3982" t="s">
        <v>22</v>
      </c>
      <c r="G3982" t="s">
        <v>64</v>
      </c>
      <c r="H3982" t="s">
        <v>706</v>
      </c>
      <c r="I3982" t="s">
        <v>7837</v>
      </c>
      <c r="J3982">
        <v>9.8665970000000005</v>
      </c>
      <c r="K3982">
        <v>-83.927548000000002</v>
      </c>
      <c r="L3982" t="s">
        <v>1225</v>
      </c>
      <c r="M3982" t="s">
        <v>36</v>
      </c>
      <c r="N3982" t="s">
        <v>316</v>
      </c>
      <c r="O3982" t="s">
        <v>317</v>
      </c>
      <c r="P3982">
        <v>16</v>
      </c>
      <c r="Q3982" t="s">
        <v>60</v>
      </c>
      <c r="S3982" t="str">
        <f>_xlfn.XLOOKUP(UNIVERSO[[#This Row],[Ruta]],'[1]CUOTA RUTA'!A:A,'[1]CUOTA RUTA'!D:D)</f>
        <v>Cargar</v>
      </c>
    </row>
    <row r="3983" spans="1:19" x14ac:dyDescent="0.25">
      <c r="A3983">
        <v>1540055253</v>
      </c>
      <c r="B3983" t="s">
        <v>7838</v>
      </c>
      <c r="C3983" t="s">
        <v>19</v>
      </c>
      <c r="D3983" t="s">
        <v>244</v>
      </c>
      <c r="E3983" t="s">
        <v>21</v>
      </c>
      <c r="F3983" t="s">
        <v>22</v>
      </c>
      <c r="G3983" t="s">
        <v>33</v>
      </c>
      <c r="H3983" t="s">
        <v>1294</v>
      </c>
      <c r="I3983" t="s">
        <v>7839</v>
      </c>
      <c r="J3983">
        <v>9.3282419999999995</v>
      </c>
      <c r="K3983">
        <v>-83.678465000000003</v>
      </c>
      <c r="L3983" t="s">
        <v>1225</v>
      </c>
      <c r="M3983" t="s">
        <v>46</v>
      </c>
      <c r="N3983" t="s">
        <v>247</v>
      </c>
      <c r="O3983" t="s">
        <v>248</v>
      </c>
      <c r="P3983">
        <v>13</v>
      </c>
      <c r="Q3983" t="s">
        <v>161</v>
      </c>
      <c r="S3983" t="str">
        <f>_xlfn.XLOOKUP(UNIVERSO[[#This Row],[Ruta]],'[1]CUOTA RUTA'!A:A,'[1]CUOTA RUTA'!D:D)</f>
        <v>Cargar</v>
      </c>
    </row>
    <row r="3984" spans="1:19" x14ac:dyDescent="0.25">
      <c r="A3984">
        <v>1540055275</v>
      </c>
      <c r="B3984" t="s">
        <v>7840</v>
      </c>
      <c r="C3984" t="s">
        <v>19</v>
      </c>
      <c r="D3984" t="s">
        <v>20</v>
      </c>
      <c r="E3984" t="s">
        <v>21</v>
      </c>
      <c r="F3984" t="s">
        <v>22</v>
      </c>
      <c r="G3984" t="s">
        <v>33</v>
      </c>
      <c r="H3984" t="s">
        <v>198</v>
      </c>
      <c r="I3984" t="s">
        <v>7841</v>
      </c>
      <c r="J3984">
        <v>9.9244500000000002</v>
      </c>
      <c r="K3984">
        <v>-84.174199999999999</v>
      </c>
      <c r="L3984" t="s">
        <v>1225</v>
      </c>
      <c r="M3984" t="s">
        <v>54</v>
      </c>
      <c r="N3984" t="s">
        <v>55</v>
      </c>
      <c r="O3984" t="s">
        <v>56</v>
      </c>
      <c r="P3984">
        <v>11</v>
      </c>
      <c r="Q3984" t="s">
        <v>108</v>
      </c>
      <c r="S3984" t="str">
        <f>_xlfn.XLOOKUP(UNIVERSO[[#This Row],[Ruta]],'[1]CUOTA RUTA'!A:A,'[1]CUOTA RUTA'!D:D)</f>
        <v>Cargar</v>
      </c>
    </row>
    <row r="3985" spans="1:19" x14ac:dyDescent="0.25">
      <c r="A3985">
        <v>1540055407</v>
      </c>
      <c r="B3985" t="s">
        <v>7842</v>
      </c>
      <c r="C3985" t="s">
        <v>19</v>
      </c>
      <c r="D3985" t="s">
        <v>32</v>
      </c>
      <c r="E3985" t="s">
        <v>21</v>
      </c>
      <c r="F3985" t="s">
        <v>22</v>
      </c>
      <c r="G3985" t="s">
        <v>64</v>
      </c>
      <c r="H3985" t="s">
        <v>179</v>
      </c>
      <c r="I3985" t="s">
        <v>7843</v>
      </c>
      <c r="J3985">
        <v>9.8889019999999999</v>
      </c>
      <c r="K3985">
        <v>-84.021027000000004</v>
      </c>
      <c r="L3985" t="s">
        <v>1225</v>
      </c>
      <c r="M3985" t="s">
        <v>36</v>
      </c>
      <c r="N3985" t="s">
        <v>37</v>
      </c>
      <c r="O3985" t="s">
        <v>38</v>
      </c>
      <c r="P3985">
        <v>16</v>
      </c>
      <c r="Q3985" t="s">
        <v>60</v>
      </c>
      <c r="S3985" t="str">
        <f>_xlfn.XLOOKUP(UNIVERSO[[#This Row],[Ruta]],'[1]CUOTA RUTA'!A:A,'[1]CUOTA RUTA'!D:D)</f>
        <v>Cargar</v>
      </c>
    </row>
    <row r="3986" spans="1:19" x14ac:dyDescent="0.25">
      <c r="A3986">
        <v>1540055468</v>
      </c>
      <c r="B3986" t="s">
        <v>7844</v>
      </c>
      <c r="C3986" t="s">
        <v>19</v>
      </c>
      <c r="D3986" t="s">
        <v>20</v>
      </c>
      <c r="E3986" t="s">
        <v>21</v>
      </c>
      <c r="F3986" t="s">
        <v>22</v>
      </c>
      <c r="G3986" t="s">
        <v>33</v>
      </c>
      <c r="H3986" t="s">
        <v>285</v>
      </c>
      <c r="I3986" t="s">
        <v>7845</v>
      </c>
      <c r="J3986">
        <v>10.063700000000001</v>
      </c>
      <c r="K3986">
        <v>-84.1554</v>
      </c>
      <c r="L3986" t="s">
        <v>1225</v>
      </c>
      <c r="M3986" t="s">
        <v>54</v>
      </c>
      <c r="N3986" t="s">
        <v>55</v>
      </c>
      <c r="O3986" t="s">
        <v>56</v>
      </c>
      <c r="P3986">
        <v>18</v>
      </c>
      <c r="Q3986" t="s">
        <v>84</v>
      </c>
      <c r="S3986" t="str">
        <f>_xlfn.XLOOKUP(UNIVERSO[[#This Row],[Ruta]],'[1]CUOTA RUTA'!A:A,'[1]CUOTA RUTA'!D:D)</f>
        <v>Cargar</v>
      </c>
    </row>
    <row r="3987" spans="1:19" x14ac:dyDescent="0.25">
      <c r="A3987">
        <v>1540055481</v>
      </c>
      <c r="B3987" t="s">
        <v>7846</v>
      </c>
      <c r="C3987" t="s">
        <v>19</v>
      </c>
      <c r="D3987" t="s">
        <v>32</v>
      </c>
      <c r="E3987" t="s">
        <v>21</v>
      </c>
      <c r="F3987" t="s">
        <v>22</v>
      </c>
      <c r="G3987" t="s">
        <v>64</v>
      </c>
      <c r="H3987" t="s">
        <v>1113</v>
      </c>
      <c r="I3987" t="s">
        <v>7847</v>
      </c>
      <c r="J3987">
        <v>9.9344970000000004</v>
      </c>
      <c r="K3987">
        <v>-84.040347999999994</v>
      </c>
      <c r="L3987" t="s">
        <v>1225</v>
      </c>
      <c r="M3987" t="s">
        <v>36</v>
      </c>
      <c r="N3987" t="s">
        <v>37</v>
      </c>
      <c r="O3987" t="s">
        <v>38</v>
      </c>
      <c r="P3987">
        <v>8</v>
      </c>
      <c r="Q3987" t="s">
        <v>97</v>
      </c>
      <c r="S3987" t="str">
        <f>_xlfn.XLOOKUP(UNIVERSO[[#This Row],[Ruta]],'[1]CUOTA RUTA'!A:A,'[1]CUOTA RUTA'!D:D)</f>
        <v>Cargar</v>
      </c>
    </row>
    <row r="3988" spans="1:19" x14ac:dyDescent="0.25">
      <c r="A3988">
        <v>1540055527</v>
      </c>
      <c r="B3988" t="s">
        <v>7848</v>
      </c>
      <c r="C3988" t="s">
        <v>19</v>
      </c>
      <c r="D3988" t="s">
        <v>20</v>
      </c>
      <c r="E3988" t="s">
        <v>21</v>
      </c>
      <c r="F3988" t="s">
        <v>22</v>
      </c>
      <c r="G3988" t="s">
        <v>64</v>
      </c>
      <c r="H3988" t="s">
        <v>674</v>
      </c>
      <c r="I3988" t="s">
        <v>7849</v>
      </c>
      <c r="J3988">
        <v>10.16114</v>
      </c>
      <c r="K3988">
        <v>-84.371467999999993</v>
      </c>
      <c r="L3988" t="s">
        <v>1225</v>
      </c>
      <c r="M3988" t="s">
        <v>46</v>
      </c>
      <c r="N3988" t="s">
        <v>47</v>
      </c>
      <c r="O3988" t="s">
        <v>48</v>
      </c>
      <c r="P3988">
        <v>2</v>
      </c>
      <c r="Q3988" t="s">
        <v>150</v>
      </c>
      <c r="S3988" t="str">
        <f>_xlfn.XLOOKUP(UNIVERSO[[#This Row],[Ruta]],'[1]CUOTA RUTA'!A:A,'[1]CUOTA RUTA'!D:D)</f>
        <v>Cargar</v>
      </c>
    </row>
    <row r="3989" spans="1:19" x14ac:dyDescent="0.25">
      <c r="A3989">
        <v>1540055560</v>
      </c>
      <c r="B3989" t="s">
        <v>7850</v>
      </c>
      <c r="C3989" t="s">
        <v>19</v>
      </c>
      <c r="D3989" t="s">
        <v>186</v>
      </c>
      <c r="E3989" t="s">
        <v>21</v>
      </c>
      <c r="F3989" t="s">
        <v>22</v>
      </c>
      <c r="G3989" t="s">
        <v>33</v>
      </c>
      <c r="H3989" t="s">
        <v>187</v>
      </c>
      <c r="I3989" t="s">
        <v>7851</v>
      </c>
      <c r="J3989">
        <v>10.004918999999999</v>
      </c>
      <c r="K3989">
        <v>-83.035096999999993</v>
      </c>
      <c r="L3989" t="s">
        <v>1225</v>
      </c>
      <c r="M3989" t="s">
        <v>189</v>
      </c>
      <c r="N3989" t="s">
        <v>190</v>
      </c>
      <c r="O3989" t="s">
        <v>191</v>
      </c>
      <c r="P3989">
        <v>12</v>
      </c>
      <c r="Q3989" t="s">
        <v>42</v>
      </c>
      <c r="S3989" t="str">
        <f>_xlfn.XLOOKUP(UNIVERSO[[#This Row],[Ruta]],'[1]CUOTA RUTA'!A:A,'[1]CUOTA RUTA'!D:D)</f>
        <v>Cargar</v>
      </c>
    </row>
    <row r="3990" spans="1:19" x14ac:dyDescent="0.25">
      <c r="A3990">
        <v>1540055573</v>
      </c>
      <c r="B3990" t="s">
        <v>7852</v>
      </c>
      <c r="C3990" t="s">
        <v>19</v>
      </c>
      <c r="D3990" t="s">
        <v>20</v>
      </c>
      <c r="E3990" t="s">
        <v>21</v>
      </c>
      <c r="F3990" t="s">
        <v>22</v>
      </c>
      <c r="G3990" t="s">
        <v>64</v>
      </c>
      <c r="H3990" t="s">
        <v>260</v>
      </c>
      <c r="I3990" t="s">
        <v>7853</v>
      </c>
      <c r="J3990">
        <v>10.087076200927999</v>
      </c>
      <c r="K3990">
        <v>-84.488462536059998</v>
      </c>
      <c r="L3990" t="s">
        <v>1225</v>
      </c>
      <c r="M3990" t="s">
        <v>46</v>
      </c>
      <c r="N3990" t="s">
        <v>47</v>
      </c>
      <c r="O3990" t="s">
        <v>48</v>
      </c>
      <c r="P3990">
        <v>7</v>
      </c>
      <c r="Q3990" t="s">
        <v>39</v>
      </c>
      <c r="S3990" t="str">
        <f>_xlfn.XLOOKUP(UNIVERSO[[#This Row],[Ruta]],'[1]CUOTA RUTA'!A:A,'[1]CUOTA RUTA'!D:D)</f>
        <v>Cargar</v>
      </c>
    </row>
    <row r="3991" spans="1:19" x14ac:dyDescent="0.25">
      <c r="A3991">
        <v>1540055584</v>
      </c>
      <c r="B3991" t="s">
        <v>7854</v>
      </c>
      <c r="C3991" t="s">
        <v>19</v>
      </c>
      <c r="D3991" t="s">
        <v>186</v>
      </c>
      <c r="E3991" t="s">
        <v>21</v>
      </c>
      <c r="F3991" t="s">
        <v>22</v>
      </c>
      <c r="G3991" t="s">
        <v>64</v>
      </c>
      <c r="H3991" t="s">
        <v>229</v>
      </c>
      <c r="I3991" t="s">
        <v>7855</v>
      </c>
      <c r="J3991">
        <v>9.976305</v>
      </c>
      <c r="K3991">
        <v>-83.051185000000004</v>
      </c>
      <c r="L3991" t="s">
        <v>1225</v>
      </c>
      <c r="M3991" t="s">
        <v>189</v>
      </c>
      <c r="N3991" t="s">
        <v>190</v>
      </c>
      <c r="O3991" t="s">
        <v>191</v>
      </c>
      <c r="P3991">
        <v>14</v>
      </c>
      <c r="Q3991" t="s">
        <v>181</v>
      </c>
      <c r="S3991" t="str">
        <f>_xlfn.XLOOKUP(UNIVERSO[[#This Row],[Ruta]],'[1]CUOTA RUTA'!A:A,'[1]CUOTA RUTA'!D:D)</f>
        <v>Cargar</v>
      </c>
    </row>
    <row r="3992" spans="1:19" x14ac:dyDescent="0.25">
      <c r="A3992">
        <v>1540055609</v>
      </c>
      <c r="B3992" t="s">
        <v>7856</v>
      </c>
      <c r="C3992" t="s">
        <v>19</v>
      </c>
      <c r="D3992" t="s">
        <v>186</v>
      </c>
      <c r="E3992" t="s">
        <v>21</v>
      </c>
      <c r="F3992" t="s">
        <v>51</v>
      </c>
      <c r="G3992" t="s">
        <v>23</v>
      </c>
      <c r="H3992" t="s">
        <v>420</v>
      </c>
      <c r="I3992" t="s">
        <v>7857</v>
      </c>
      <c r="J3992">
        <v>9.7714800000000004</v>
      </c>
      <c r="K3992">
        <v>-82.906899999999993</v>
      </c>
      <c r="L3992" t="s">
        <v>1225</v>
      </c>
      <c r="M3992" t="s">
        <v>189</v>
      </c>
      <c r="N3992" t="s">
        <v>190</v>
      </c>
      <c r="O3992" t="s">
        <v>191</v>
      </c>
      <c r="P3992">
        <v>17</v>
      </c>
      <c r="Q3992" t="s">
        <v>287</v>
      </c>
      <c r="S3992" t="str">
        <f>_xlfn.XLOOKUP(UNIVERSO[[#This Row],[Ruta]],'[1]CUOTA RUTA'!A:A,'[1]CUOTA RUTA'!D:D)</f>
        <v>Cargar</v>
      </c>
    </row>
    <row r="3993" spans="1:19" x14ac:dyDescent="0.25">
      <c r="A3993">
        <v>1540055625</v>
      </c>
      <c r="B3993" t="s">
        <v>7858</v>
      </c>
      <c r="C3993" t="s">
        <v>19</v>
      </c>
      <c r="D3993" t="s">
        <v>20</v>
      </c>
      <c r="E3993" t="s">
        <v>21</v>
      </c>
      <c r="F3993" t="s">
        <v>22</v>
      </c>
      <c r="G3993" t="s">
        <v>33</v>
      </c>
      <c r="H3993" t="s">
        <v>975</v>
      </c>
      <c r="I3993" t="s">
        <v>7859</v>
      </c>
      <c r="J3993">
        <v>10.003183999999999</v>
      </c>
      <c r="K3993">
        <v>-84.117538999999994</v>
      </c>
      <c r="L3993" t="s">
        <v>1225</v>
      </c>
      <c r="M3993" t="s">
        <v>27</v>
      </c>
      <c r="N3993" t="s">
        <v>28</v>
      </c>
      <c r="O3993" t="s">
        <v>29</v>
      </c>
      <c r="P3993">
        <v>14</v>
      </c>
      <c r="Q3993" t="s">
        <v>181</v>
      </c>
      <c r="S3993" t="str">
        <f>_xlfn.XLOOKUP(UNIVERSO[[#This Row],[Ruta]],'[1]CUOTA RUTA'!A:A,'[1]CUOTA RUTA'!D:D)</f>
        <v>Cargar</v>
      </c>
    </row>
    <row r="3994" spans="1:19" x14ac:dyDescent="0.25">
      <c r="A3994">
        <v>1540055720</v>
      </c>
      <c r="B3994" t="s">
        <v>7860</v>
      </c>
      <c r="C3994" t="s">
        <v>19</v>
      </c>
      <c r="D3994" t="s">
        <v>337</v>
      </c>
      <c r="E3994" t="s">
        <v>21</v>
      </c>
      <c r="F3994" t="s">
        <v>22</v>
      </c>
      <c r="G3994" t="s">
        <v>23</v>
      </c>
      <c r="H3994" t="s">
        <v>1732</v>
      </c>
      <c r="I3994" t="s">
        <v>7861</v>
      </c>
      <c r="J3994">
        <v>10.457476550000001</v>
      </c>
      <c r="K3994">
        <v>-85.770327719999997</v>
      </c>
      <c r="L3994" t="s">
        <v>1225</v>
      </c>
      <c r="M3994" t="s">
        <v>327</v>
      </c>
      <c r="N3994" t="s">
        <v>340</v>
      </c>
      <c r="O3994" t="s">
        <v>341</v>
      </c>
      <c r="P3994">
        <v>18</v>
      </c>
      <c r="Q3994" t="s">
        <v>84</v>
      </c>
      <c r="S3994" t="str">
        <f>_xlfn.XLOOKUP(UNIVERSO[[#This Row],[Ruta]],'[1]CUOTA RUTA'!A:A,'[1]CUOTA RUTA'!D:D)</f>
        <v>Cargar</v>
      </c>
    </row>
    <row r="3995" spans="1:19" x14ac:dyDescent="0.25">
      <c r="A3995">
        <v>1540055818</v>
      </c>
      <c r="B3995" t="s">
        <v>7862</v>
      </c>
      <c r="C3995" t="s">
        <v>19</v>
      </c>
      <c r="D3995" t="s">
        <v>569</v>
      </c>
      <c r="E3995" t="s">
        <v>21</v>
      </c>
      <c r="F3995" t="s">
        <v>22</v>
      </c>
      <c r="G3995" t="s">
        <v>64</v>
      </c>
      <c r="H3995" t="s">
        <v>570</v>
      </c>
      <c r="I3995" t="s">
        <v>7863</v>
      </c>
      <c r="J3995">
        <v>8.9615270000000002</v>
      </c>
      <c r="K3995">
        <v>-83.450546000000003</v>
      </c>
      <c r="L3995" t="s">
        <v>1225</v>
      </c>
      <c r="M3995" t="s">
        <v>572</v>
      </c>
      <c r="N3995" t="s">
        <v>573</v>
      </c>
      <c r="O3995" t="s">
        <v>574</v>
      </c>
      <c r="P3995">
        <v>21</v>
      </c>
      <c r="Q3995" t="s">
        <v>239</v>
      </c>
      <c r="S3995" t="str">
        <f>_xlfn.XLOOKUP(UNIVERSO[[#This Row],[Ruta]],'[1]CUOTA RUTA'!A:A,'[1]CUOTA RUTA'!D:D)</f>
        <v>Cargar</v>
      </c>
    </row>
    <row r="3996" spans="1:19" x14ac:dyDescent="0.25">
      <c r="A3996">
        <v>1540055819</v>
      </c>
      <c r="B3996" t="s">
        <v>7864</v>
      </c>
      <c r="C3996" t="s">
        <v>19</v>
      </c>
      <c r="D3996" t="s">
        <v>20</v>
      </c>
      <c r="E3996" t="s">
        <v>21</v>
      </c>
      <c r="F3996" t="s">
        <v>22</v>
      </c>
      <c r="G3996" t="s">
        <v>64</v>
      </c>
      <c r="H3996" t="s">
        <v>143</v>
      </c>
      <c r="I3996" t="s">
        <v>7865</v>
      </c>
      <c r="J3996">
        <v>9.9432550299999996</v>
      </c>
      <c r="K3996">
        <v>-84.126453830000003</v>
      </c>
      <c r="L3996" t="s">
        <v>1225</v>
      </c>
      <c r="M3996" t="s">
        <v>27</v>
      </c>
      <c r="N3996" t="s">
        <v>28</v>
      </c>
      <c r="O3996" t="s">
        <v>29</v>
      </c>
      <c r="P3996">
        <v>9</v>
      </c>
      <c r="Q3996" t="s">
        <v>80</v>
      </c>
      <c r="S3996" t="str">
        <f>_xlfn.XLOOKUP(UNIVERSO[[#This Row],[Ruta]],'[1]CUOTA RUTA'!A:A,'[1]CUOTA RUTA'!D:D)</f>
        <v>Cargar</v>
      </c>
    </row>
    <row r="3997" spans="1:19" x14ac:dyDescent="0.25">
      <c r="A3997">
        <v>1540055903</v>
      </c>
      <c r="B3997" t="s">
        <v>7866</v>
      </c>
      <c r="C3997" t="s">
        <v>19</v>
      </c>
      <c r="D3997" t="s">
        <v>208</v>
      </c>
      <c r="E3997" t="s">
        <v>62</v>
      </c>
      <c r="F3997" t="s">
        <v>63</v>
      </c>
      <c r="G3997" t="s">
        <v>33</v>
      </c>
      <c r="H3997" t="s">
        <v>631</v>
      </c>
      <c r="I3997" t="s">
        <v>7867</v>
      </c>
      <c r="J3997">
        <v>10.16894087</v>
      </c>
      <c r="K3997">
        <v>-83.443705769999994</v>
      </c>
      <c r="L3997" t="s">
        <v>1225</v>
      </c>
      <c r="M3997" t="s">
        <v>189</v>
      </c>
      <c r="N3997" t="s">
        <v>211</v>
      </c>
      <c r="O3997" t="s">
        <v>212</v>
      </c>
      <c r="P3997">
        <v>9</v>
      </c>
      <c r="Q3997" t="s">
        <v>80</v>
      </c>
      <c r="S3997" t="str">
        <f>_xlfn.XLOOKUP(UNIVERSO[[#This Row],[Ruta]],'[1]CUOTA RUTA'!A:A,'[1]CUOTA RUTA'!D:D)</f>
        <v>Cargar</v>
      </c>
    </row>
    <row r="3998" spans="1:19" x14ac:dyDescent="0.25">
      <c r="A3998">
        <v>1540055920</v>
      </c>
      <c r="B3998" t="s">
        <v>7868</v>
      </c>
      <c r="C3998" t="s">
        <v>19</v>
      </c>
      <c r="D3998" t="s">
        <v>201</v>
      </c>
      <c r="E3998" t="s">
        <v>21</v>
      </c>
      <c r="F3998" t="s">
        <v>22</v>
      </c>
      <c r="G3998" t="s">
        <v>64</v>
      </c>
      <c r="H3998" t="s">
        <v>593</v>
      </c>
      <c r="I3998" t="s">
        <v>7869</v>
      </c>
      <c r="J3998">
        <v>9.9856168000000007</v>
      </c>
      <c r="K3998">
        <v>-84.778478000000007</v>
      </c>
      <c r="L3998" t="s">
        <v>1225</v>
      </c>
      <c r="M3998" t="s">
        <v>204</v>
      </c>
      <c r="N3998" t="s">
        <v>205</v>
      </c>
      <c r="O3998" t="s">
        <v>206</v>
      </c>
      <c r="P3998">
        <v>10</v>
      </c>
      <c r="Q3998" t="s">
        <v>136</v>
      </c>
      <c r="S3998" t="str">
        <f>_xlfn.XLOOKUP(UNIVERSO[[#This Row],[Ruta]],'[1]CUOTA RUTA'!A:A,'[1]CUOTA RUTA'!D:D)</f>
        <v>Cargar</v>
      </c>
    </row>
    <row r="3999" spans="1:19" x14ac:dyDescent="0.25">
      <c r="A3999">
        <v>1540056001</v>
      </c>
      <c r="B3999" t="s">
        <v>7870</v>
      </c>
      <c r="C3999" t="s">
        <v>19</v>
      </c>
      <c r="D3999" t="s">
        <v>201</v>
      </c>
      <c r="E3999" t="s">
        <v>21</v>
      </c>
      <c r="F3999" t="s">
        <v>22</v>
      </c>
      <c r="G3999" t="s">
        <v>64</v>
      </c>
      <c r="H3999" t="s">
        <v>202</v>
      </c>
      <c r="I3999" t="s">
        <v>7871</v>
      </c>
      <c r="J3999">
        <v>9.9749248000000001</v>
      </c>
      <c r="K3999">
        <v>-84.750992400000001</v>
      </c>
      <c r="L3999" t="s">
        <v>1225</v>
      </c>
      <c r="M3999" t="s">
        <v>204</v>
      </c>
      <c r="N3999" t="s">
        <v>205</v>
      </c>
      <c r="O3999" t="s">
        <v>206</v>
      </c>
      <c r="P3999">
        <v>10</v>
      </c>
      <c r="Q3999" t="s">
        <v>136</v>
      </c>
      <c r="S3999" t="str">
        <f>_xlfn.XLOOKUP(UNIVERSO[[#This Row],[Ruta]],'[1]CUOTA RUTA'!A:A,'[1]CUOTA RUTA'!D:D)</f>
        <v>Cargar</v>
      </c>
    </row>
    <row r="4000" spans="1:19" x14ac:dyDescent="0.25">
      <c r="A4000">
        <v>1540056016</v>
      </c>
      <c r="B4000" t="s">
        <v>7872</v>
      </c>
      <c r="C4000" t="s">
        <v>19</v>
      </c>
      <c r="D4000" t="s">
        <v>266</v>
      </c>
      <c r="E4000" t="s">
        <v>21</v>
      </c>
      <c r="F4000" t="s">
        <v>22</v>
      </c>
      <c r="G4000" t="s">
        <v>33</v>
      </c>
      <c r="H4000" t="s">
        <v>372</v>
      </c>
      <c r="I4000" t="s">
        <v>7873</v>
      </c>
      <c r="J4000">
        <v>9.9014918499999993</v>
      </c>
      <c r="K4000">
        <v>-83.676430769999996</v>
      </c>
      <c r="L4000" t="s">
        <v>1225</v>
      </c>
      <c r="M4000" t="s">
        <v>189</v>
      </c>
      <c r="N4000" t="s">
        <v>269</v>
      </c>
      <c r="O4000" t="s">
        <v>270</v>
      </c>
      <c r="P4000">
        <v>20</v>
      </c>
      <c r="Q4000" t="s">
        <v>74</v>
      </c>
      <c r="S4000" t="str">
        <f>_xlfn.XLOOKUP(UNIVERSO[[#This Row],[Ruta]],'[1]CUOTA RUTA'!A:A,'[1]CUOTA RUTA'!D:D)</f>
        <v>Cargar</v>
      </c>
    </row>
    <row r="4001" spans="1:19" x14ac:dyDescent="0.25">
      <c r="A4001">
        <v>1540056020</v>
      </c>
      <c r="B4001" t="s">
        <v>7874</v>
      </c>
      <c r="C4001" t="s">
        <v>19</v>
      </c>
      <c r="D4001" t="s">
        <v>186</v>
      </c>
      <c r="E4001" t="s">
        <v>21</v>
      </c>
      <c r="F4001" t="s">
        <v>22</v>
      </c>
      <c r="G4001" t="s">
        <v>64</v>
      </c>
      <c r="H4001" t="s">
        <v>420</v>
      </c>
      <c r="I4001" t="s">
        <v>7875</v>
      </c>
      <c r="J4001">
        <v>9.7377059999999993</v>
      </c>
      <c r="K4001">
        <v>-83.037158000000005</v>
      </c>
      <c r="L4001" t="s">
        <v>1225</v>
      </c>
      <c r="M4001" t="s">
        <v>189</v>
      </c>
      <c r="N4001" t="s">
        <v>190</v>
      </c>
      <c r="O4001" t="s">
        <v>191</v>
      </c>
      <c r="P4001">
        <v>18</v>
      </c>
      <c r="Q4001" t="s">
        <v>84</v>
      </c>
      <c r="S4001" t="str">
        <f>_xlfn.XLOOKUP(UNIVERSO[[#This Row],[Ruta]],'[1]CUOTA RUTA'!A:A,'[1]CUOTA RUTA'!D:D)</f>
        <v>Cargar</v>
      </c>
    </row>
    <row r="4002" spans="1:19" x14ac:dyDescent="0.25">
      <c r="A4002">
        <v>1540056073</v>
      </c>
      <c r="B4002" t="s">
        <v>7876</v>
      </c>
      <c r="C4002" t="s">
        <v>19</v>
      </c>
      <c r="D4002" t="s">
        <v>208</v>
      </c>
      <c r="E4002" t="s">
        <v>21</v>
      </c>
      <c r="F4002" t="s">
        <v>22</v>
      </c>
      <c r="G4002" t="s">
        <v>64</v>
      </c>
      <c r="H4002" t="s">
        <v>209</v>
      </c>
      <c r="I4002" t="s">
        <v>7877</v>
      </c>
      <c r="J4002">
        <v>10.218472</v>
      </c>
      <c r="K4002">
        <v>-83.790845000000004</v>
      </c>
      <c r="L4002" t="s">
        <v>1225</v>
      </c>
      <c r="M4002" t="s">
        <v>189</v>
      </c>
      <c r="N4002" t="s">
        <v>211</v>
      </c>
      <c r="O4002" t="s">
        <v>212</v>
      </c>
      <c r="P4002">
        <v>5</v>
      </c>
      <c r="Q4002" t="s">
        <v>117</v>
      </c>
      <c r="S4002" t="str">
        <f>_xlfn.XLOOKUP(UNIVERSO[[#This Row],[Ruta]],'[1]CUOTA RUTA'!A:A,'[1]CUOTA RUTA'!D:D)</f>
        <v>Cargar</v>
      </c>
    </row>
    <row r="4003" spans="1:19" x14ac:dyDescent="0.25">
      <c r="A4003">
        <v>1540056100</v>
      </c>
      <c r="B4003" t="s">
        <v>7878</v>
      </c>
      <c r="C4003" t="s">
        <v>19</v>
      </c>
      <c r="D4003" t="s">
        <v>349</v>
      </c>
      <c r="E4003" t="s">
        <v>21</v>
      </c>
      <c r="F4003" t="s">
        <v>22</v>
      </c>
      <c r="G4003" t="s">
        <v>64</v>
      </c>
      <c r="H4003" t="s">
        <v>711</v>
      </c>
      <c r="I4003" t="s">
        <v>7879</v>
      </c>
      <c r="J4003">
        <v>9.9990220000000001</v>
      </c>
      <c r="K4003">
        <v>-85.703827000000004</v>
      </c>
      <c r="L4003" t="s">
        <v>1225</v>
      </c>
      <c r="M4003" t="s">
        <v>352</v>
      </c>
      <c r="N4003" t="s">
        <v>353</v>
      </c>
      <c r="O4003" t="s">
        <v>354</v>
      </c>
      <c r="P4003">
        <v>6</v>
      </c>
      <c r="Q4003" t="s">
        <v>49</v>
      </c>
      <c r="S4003" t="str">
        <f>_xlfn.XLOOKUP(UNIVERSO[[#This Row],[Ruta]],'[1]CUOTA RUTA'!A:A,'[1]CUOTA RUTA'!D:D)</f>
        <v>Cargar</v>
      </c>
    </row>
    <row r="4004" spans="1:19" x14ac:dyDescent="0.25">
      <c r="A4004">
        <v>1540056122</v>
      </c>
      <c r="B4004" t="s">
        <v>7880</v>
      </c>
      <c r="C4004" t="s">
        <v>19</v>
      </c>
      <c r="D4004" t="s">
        <v>20</v>
      </c>
      <c r="E4004" t="s">
        <v>21</v>
      </c>
      <c r="F4004" t="s">
        <v>22</v>
      </c>
      <c r="G4004" t="s">
        <v>33</v>
      </c>
      <c r="H4004" t="s">
        <v>311</v>
      </c>
      <c r="I4004" t="s">
        <v>7881</v>
      </c>
      <c r="J4004">
        <v>9.9622446</v>
      </c>
      <c r="K4004">
        <v>-84.228422300000005</v>
      </c>
      <c r="L4004" t="s">
        <v>1225</v>
      </c>
      <c r="M4004" t="s">
        <v>54</v>
      </c>
      <c r="N4004" t="s">
        <v>55</v>
      </c>
      <c r="O4004" t="s">
        <v>56</v>
      </c>
      <c r="P4004">
        <v>9</v>
      </c>
      <c r="Q4004" t="s">
        <v>80</v>
      </c>
      <c r="S4004" t="str">
        <f>_xlfn.XLOOKUP(UNIVERSO[[#This Row],[Ruta]],'[1]CUOTA RUTA'!A:A,'[1]CUOTA RUTA'!D:D)</f>
        <v>Cargar</v>
      </c>
    </row>
    <row r="4005" spans="1:19" x14ac:dyDescent="0.25">
      <c r="A4005">
        <v>1540056189</v>
      </c>
      <c r="B4005" t="s">
        <v>7882</v>
      </c>
      <c r="C4005" t="s">
        <v>19</v>
      </c>
      <c r="D4005" t="s">
        <v>208</v>
      </c>
      <c r="E4005" t="s">
        <v>21</v>
      </c>
      <c r="F4005" t="s">
        <v>22</v>
      </c>
      <c r="G4005" t="s">
        <v>64</v>
      </c>
      <c r="H4005" t="s">
        <v>221</v>
      </c>
      <c r="I4005" t="s">
        <v>7883</v>
      </c>
      <c r="J4005">
        <v>10.447639000000001</v>
      </c>
      <c r="K4005">
        <v>-84.045963</v>
      </c>
      <c r="L4005" t="s">
        <v>1225</v>
      </c>
      <c r="M4005" t="s">
        <v>189</v>
      </c>
      <c r="N4005" t="s">
        <v>211</v>
      </c>
      <c r="O4005" t="s">
        <v>212</v>
      </c>
      <c r="P4005">
        <v>11</v>
      </c>
      <c r="Q4005" t="s">
        <v>108</v>
      </c>
      <c r="S4005" t="str">
        <f>_xlfn.XLOOKUP(UNIVERSO[[#This Row],[Ruta]],'[1]CUOTA RUTA'!A:A,'[1]CUOTA RUTA'!D:D)</f>
        <v>Cargar</v>
      </c>
    </row>
    <row r="4006" spans="1:19" x14ac:dyDescent="0.25">
      <c r="A4006">
        <v>1540056206</v>
      </c>
      <c r="B4006" t="s">
        <v>7884</v>
      </c>
      <c r="C4006" t="s">
        <v>19</v>
      </c>
      <c r="D4006" t="s">
        <v>201</v>
      </c>
      <c r="E4006" t="s">
        <v>21</v>
      </c>
      <c r="F4006" t="s">
        <v>22</v>
      </c>
      <c r="G4006" t="s">
        <v>64</v>
      </c>
      <c r="H4006" t="s">
        <v>528</v>
      </c>
      <c r="I4006" t="s">
        <v>7885</v>
      </c>
      <c r="J4006">
        <v>10.188599</v>
      </c>
      <c r="K4006">
        <v>-85.156166999999996</v>
      </c>
      <c r="L4006" t="s">
        <v>1225</v>
      </c>
      <c r="M4006" t="s">
        <v>327</v>
      </c>
      <c r="N4006" t="s">
        <v>530</v>
      </c>
      <c r="O4006" t="s">
        <v>531</v>
      </c>
      <c r="P4006">
        <v>2</v>
      </c>
      <c r="Q4006" t="s">
        <v>150</v>
      </c>
      <c r="S4006" t="str">
        <f>_xlfn.XLOOKUP(UNIVERSO[[#This Row],[Ruta]],'[1]CUOTA RUTA'!A:A,'[1]CUOTA RUTA'!D:D)</f>
        <v>Cargar</v>
      </c>
    </row>
    <row r="4007" spans="1:19" x14ac:dyDescent="0.25">
      <c r="A4007">
        <v>1540056227</v>
      </c>
      <c r="B4007" t="s">
        <v>7886</v>
      </c>
      <c r="C4007" t="s">
        <v>19</v>
      </c>
      <c r="D4007" t="s">
        <v>349</v>
      </c>
      <c r="E4007" t="s">
        <v>21</v>
      </c>
      <c r="F4007" t="s">
        <v>22</v>
      </c>
      <c r="G4007" t="s">
        <v>64</v>
      </c>
      <c r="H4007" t="s">
        <v>356</v>
      </c>
      <c r="I4007" t="s">
        <v>7887</v>
      </c>
      <c r="J4007">
        <v>10.155511666667</v>
      </c>
      <c r="K4007">
        <v>-85.449943333329998</v>
      </c>
      <c r="L4007" t="s">
        <v>1225</v>
      </c>
      <c r="M4007" t="s">
        <v>352</v>
      </c>
      <c r="N4007" t="s">
        <v>353</v>
      </c>
      <c r="O4007" t="s">
        <v>354</v>
      </c>
      <c r="P4007">
        <v>13</v>
      </c>
      <c r="Q4007" t="s">
        <v>161</v>
      </c>
      <c r="S4007" t="str">
        <f>_xlfn.XLOOKUP(UNIVERSO[[#This Row],[Ruta]],'[1]CUOTA RUTA'!A:A,'[1]CUOTA RUTA'!D:D)</f>
        <v>Cargar</v>
      </c>
    </row>
    <row r="4008" spans="1:19" x14ac:dyDescent="0.25">
      <c r="A4008">
        <v>1540056239</v>
      </c>
      <c r="B4008" t="s">
        <v>7888</v>
      </c>
      <c r="C4008" t="s">
        <v>19</v>
      </c>
      <c r="D4008" t="s">
        <v>244</v>
      </c>
      <c r="E4008" t="s">
        <v>21</v>
      </c>
      <c r="F4008" t="s">
        <v>22</v>
      </c>
      <c r="G4008" t="s">
        <v>64</v>
      </c>
      <c r="H4008" t="s">
        <v>819</v>
      </c>
      <c r="I4008" t="s">
        <v>7889</v>
      </c>
      <c r="J4008">
        <v>9.49526</v>
      </c>
      <c r="K4008">
        <v>-84.158500000000004</v>
      </c>
      <c r="L4008" t="s">
        <v>1225</v>
      </c>
      <c r="M4008" t="s">
        <v>46</v>
      </c>
      <c r="N4008" t="s">
        <v>247</v>
      </c>
      <c r="O4008" t="s">
        <v>248</v>
      </c>
      <c r="P4008">
        <v>21</v>
      </c>
      <c r="Q4008" t="s">
        <v>239</v>
      </c>
      <c r="S4008" t="str">
        <f>_xlfn.XLOOKUP(UNIVERSO[[#This Row],[Ruta]],'[1]CUOTA RUTA'!A:A,'[1]CUOTA RUTA'!D:D)</f>
        <v>Cargar</v>
      </c>
    </row>
    <row r="4009" spans="1:19" x14ac:dyDescent="0.25">
      <c r="A4009">
        <v>1540056246</v>
      </c>
      <c r="B4009" t="s">
        <v>7890</v>
      </c>
      <c r="C4009" t="s">
        <v>19</v>
      </c>
      <c r="D4009" t="s">
        <v>324</v>
      </c>
      <c r="E4009" t="s">
        <v>21</v>
      </c>
      <c r="F4009" t="s">
        <v>22</v>
      </c>
      <c r="G4009" t="s">
        <v>33</v>
      </c>
      <c r="H4009" t="s">
        <v>396</v>
      </c>
      <c r="I4009" t="s">
        <v>7891</v>
      </c>
      <c r="J4009">
        <v>10.4070325</v>
      </c>
      <c r="K4009">
        <v>-84.597318599999994</v>
      </c>
      <c r="L4009" t="s">
        <v>1225</v>
      </c>
      <c r="M4009" t="s">
        <v>327</v>
      </c>
      <c r="N4009" t="s">
        <v>328</v>
      </c>
      <c r="O4009" t="s">
        <v>329</v>
      </c>
      <c r="P4009">
        <v>12</v>
      </c>
      <c r="Q4009" t="s">
        <v>42</v>
      </c>
      <c r="S4009" t="str">
        <f>_xlfn.XLOOKUP(UNIVERSO[[#This Row],[Ruta]],'[1]CUOTA RUTA'!A:A,'[1]CUOTA RUTA'!D:D)</f>
        <v>Cargar</v>
      </c>
    </row>
    <row r="4010" spans="1:19" x14ac:dyDescent="0.25">
      <c r="A4010">
        <v>1540056267</v>
      </c>
      <c r="B4010" t="s">
        <v>7892</v>
      </c>
      <c r="C4010" t="s">
        <v>19</v>
      </c>
      <c r="D4010" t="s">
        <v>201</v>
      </c>
      <c r="E4010" t="s">
        <v>21</v>
      </c>
      <c r="F4010" t="s">
        <v>51</v>
      </c>
      <c r="G4010" t="s">
        <v>23</v>
      </c>
      <c r="H4010" t="s">
        <v>794</v>
      </c>
      <c r="I4010" t="s">
        <v>7893</v>
      </c>
      <c r="J4010">
        <v>9.6133631000000008</v>
      </c>
      <c r="K4010">
        <v>-84.626988499999996</v>
      </c>
      <c r="L4010" t="s">
        <v>1225</v>
      </c>
      <c r="M4010" t="s">
        <v>204</v>
      </c>
      <c r="N4010" t="s">
        <v>205</v>
      </c>
      <c r="O4010" t="s">
        <v>206</v>
      </c>
      <c r="P4010">
        <v>6</v>
      </c>
      <c r="Q4010" t="s">
        <v>49</v>
      </c>
      <c r="S4010" t="str">
        <f>_xlfn.XLOOKUP(UNIVERSO[[#This Row],[Ruta]],'[1]CUOTA RUTA'!A:A,'[1]CUOTA RUTA'!D:D)</f>
        <v>Cargar</v>
      </c>
    </row>
    <row r="4011" spans="1:19" x14ac:dyDescent="0.25">
      <c r="A4011">
        <v>1540056316</v>
      </c>
      <c r="B4011" t="s">
        <v>7894</v>
      </c>
      <c r="C4011" t="s">
        <v>19</v>
      </c>
      <c r="D4011" t="s">
        <v>186</v>
      </c>
      <c r="E4011" t="s">
        <v>21</v>
      </c>
      <c r="F4011" t="s">
        <v>22</v>
      </c>
      <c r="G4011" t="s">
        <v>64</v>
      </c>
      <c r="H4011" t="s">
        <v>187</v>
      </c>
      <c r="I4011" t="s">
        <v>6746</v>
      </c>
      <c r="J4011">
        <v>9.9991769999999995</v>
      </c>
      <c r="K4011">
        <v>-83.047140999999996</v>
      </c>
      <c r="L4011" t="s">
        <v>1225</v>
      </c>
      <c r="M4011" t="s">
        <v>189</v>
      </c>
      <c r="N4011" t="s">
        <v>190</v>
      </c>
      <c r="O4011" t="s">
        <v>191</v>
      </c>
      <c r="P4011">
        <v>13</v>
      </c>
      <c r="Q4011" t="s">
        <v>161</v>
      </c>
      <c r="S4011" t="str">
        <f>_xlfn.XLOOKUP(UNIVERSO[[#This Row],[Ruta]],'[1]CUOTA RUTA'!A:A,'[1]CUOTA RUTA'!D:D)</f>
        <v>Cargar</v>
      </c>
    </row>
    <row r="4012" spans="1:19" x14ac:dyDescent="0.25">
      <c r="A4012">
        <v>1540056384</v>
      </c>
      <c r="B4012" t="s">
        <v>7895</v>
      </c>
      <c r="C4012" t="s">
        <v>19</v>
      </c>
      <c r="D4012" t="s">
        <v>32</v>
      </c>
      <c r="E4012" t="s">
        <v>21</v>
      </c>
      <c r="F4012" t="s">
        <v>22</v>
      </c>
      <c r="G4012" t="s">
        <v>64</v>
      </c>
      <c r="H4012" t="s">
        <v>698</v>
      </c>
      <c r="I4012" t="s">
        <v>7896</v>
      </c>
      <c r="J4012">
        <v>9.9534599999999998</v>
      </c>
      <c r="K4012">
        <v>-84.029089999999997</v>
      </c>
      <c r="L4012" t="s">
        <v>1225</v>
      </c>
      <c r="M4012" t="s">
        <v>94</v>
      </c>
      <c r="N4012" t="s">
        <v>95</v>
      </c>
      <c r="O4012" t="s">
        <v>96</v>
      </c>
      <c r="P4012">
        <v>8</v>
      </c>
      <c r="Q4012" t="s">
        <v>97</v>
      </c>
      <c r="S4012" t="str">
        <f>_xlfn.XLOOKUP(UNIVERSO[[#This Row],[Ruta]],'[1]CUOTA RUTA'!A:A,'[1]CUOTA RUTA'!D:D)</f>
        <v>Cargar</v>
      </c>
    </row>
    <row r="4013" spans="1:19" x14ac:dyDescent="0.25">
      <c r="A4013">
        <v>1540056409</v>
      </c>
      <c r="B4013" t="s">
        <v>7897</v>
      </c>
      <c r="C4013" t="s">
        <v>19</v>
      </c>
      <c r="D4013" t="s">
        <v>20</v>
      </c>
      <c r="E4013" t="s">
        <v>21</v>
      </c>
      <c r="F4013" t="s">
        <v>22</v>
      </c>
      <c r="G4013" t="s">
        <v>33</v>
      </c>
      <c r="H4013" t="s">
        <v>518</v>
      </c>
      <c r="I4013" t="s">
        <v>7898</v>
      </c>
      <c r="J4013">
        <v>9.9946632999999991</v>
      </c>
      <c r="K4013">
        <v>-84.098540499999999</v>
      </c>
      <c r="L4013" t="s">
        <v>1225</v>
      </c>
      <c r="M4013" t="s">
        <v>27</v>
      </c>
      <c r="N4013" t="s">
        <v>28</v>
      </c>
      <c r="O4013" t="s">
        <v>29</v>
      </c>
      <c r="P4013">
        <v>18</v>
      </c>
      <c r="Q4013" t="s">
        <v>84</v>
      </c>
      <c r="S4013" t="str">
        <f>_xlfn.XLOOKUP(UNIVERSO[[#This Row],[Ruta]],'[1]CUOTA RUTA'!A:A,'[1]CUOTA RUTA'!D:D)</f>
        <v>Cargar</v>
      </c>
    </row>
    <row r="4014" spans="1:19" x14ac:dyDescent="0.25">
      <c r="A4014">
        <v>1540056445</v>
      </c>
      <c r="B4014" t="s">
        <v>7899</v>
      </c>
      <c r="C4014" t="s">
        <v>19</v>
      </c>
      <c r="D4014" t="s">
        <v>208</v>
      </c>
      <c r="E4014" t="s">
        <v>21</v>
      </c>
      <c r="F4014" t="s">
        <v>22</v>
      </c>
      <c r="G4014" t="s">
        <v>33</v>
      </c>
      <c r="H4014" t="s">
        <v>1794</v>
      </c>
      <c r="I4014" t="s">
        <v>7900</v>
      </c>
      <c r="J4014">
        <v>10.394767999999999</v>
      </c>
      <c r="K4014">
        <v>-83.967250000000007</v>
      </c>
      <c r="L4014" t="s">
        <v>1225</v>
      </c>
      <c r="M4014" t="s">
        <v>189</v>
      </c>
      <c r="N4014" t="s">
        <v>211</v>
      </c>
      <c r="O4014" t="s">
        <v>212</v>
      </c>
      <c r="P4014">
        <v>10</v>
      </c>
      <c r="Q4014" t="s">
        <v>136</v>
      </c>
      <c r="S4014" t="str">
        <f>_xlfn.XLOOKUP(UNIVERSO[[#This Row],[Ruta]],'[1]CUOTA RUTA'!A:A,'[1]CUOTA RUTA'!D:D)</f>
        <v>Cargar</v>
      </c>
    </row>
    <row r="4015" spans="1:19" x14ac:dyDescent="0.25">
      <c r="A4015">
        <v>1540056490</v>
      </c>
      <c r="B4015" t="s">
        <v>4464</v>
      </c>
      <c r="C4015" t="s">
        <v>19</v>
      </c>
      <c r="D4015" t="s">
        <v>32</v>
      </c>
      <c r="E4015" t="s">
        <v>21</v>
      </c>
      <c r="F4015" t="s">
        <v>51</v>
      </c>
      <c r="G4015" t="s">
        <v>23</v>
      </c>
      <c r="H4015" t="s">
        <v>441</v>
      </c>
      <c r="I4015" t="s">
        <v>7901</v>
      </c>
      <c r="J4015">
        <v>9.8603989999999992</v>
      </c>
      <c r="K4015">
        <v>-84.054698999999999</v>
      </c>
      <c r="L4015" t="s">
        <v>1225</v>
      </c>
      <c r="M4015" t="s">
        <v>71</v>
      </c>
      <c r="N4015" t="s">
        <v>72</v>
      </c>
      <c r="O4015" t="s">
        <v>73</v>
      </c>
      <c r="P4015">
        <v>21</v>
      </c>
      <c r="Q4015" t="s">
        <v>239</v>
      </c>
      <c r="S4015" t="str">
        <f>_xlfn.XLOOKUP(UNIVERSO[[#This Row],[Ruta]],'[1]CUOTA RUTA'!A:A,'[1]CUOTA RUTA'!D:D)</f>
        <v>Cargar</v>
      </c>
    </row>
    <row r="4016" spans="1:19" x14ac:dyDescent="0.25">
      <c r="A4016">
        <v>1540056500</v>
      </c>
      <c r="B4016" t="s">
        <v>7902</v>
      </c>
      <c r="C4016" t="s">
        <v>19</v>
      </c>
      <c r="D4016" t="s">
        <v>324</v>
      </c>
      <c r="E4016" t="s">
        <v>21</v>
      </c>
      <c r="F4016" t="s">
        <v>22</v>
      </c>
      <c r="G4016" t="s">
        <v>33</v>
      </c>
      <c r="H4016" t="s">
        <v>393</v>
      </c>
      <c r="I4016" t="s">
        <v>7903</v>
      </c>
      <c r="J4016">
        <v>10.379268700000001</v>
      </c>
      <c r="K4016">
        <v>-84.330274799999998</v>
      </c>
      <c r="L4016" t="s">
        <v>1225</v>
      </c>
      <c r="M4016" t="s">
        <v>327</v>
      </c>
      <c r="N4016" t="s">
        <v>328</v>
      </c>
      <c r="O4016" t="s">
        <v>329</v>
      </c>
      <c r="P4016">
        <v>16</v>
      </c>
      <c r="Q4016" t="s">
        <v>60</v>
      </c>
      <c r="S4016" t="str">
        <f>_xlfn.XLOOKUP(UNIVERSO[[#This Row],[Ruta]],'[1]CUOTA RUTA'!A:A,'[1]CUOTA RUTA'!D:D)</f>
        <v>Cargar</v>
      </c>
    </row>
    <row r="4017" spans="1:19" x14ac:dyDescent="0.25">
      <c r="A4017">
        <v>1540056542</v>
      </c>
      <c r="B4017" t="s">
        <v>7904</v>
      </c>
      <c r="C4017" t="s">
        <v>19</v>
      </c>
      <c r="D4017" t="s">
        <v>244</v>
      </c>
      <c r="E4017" t="s">
        <v>21</v>
      </c>
      <c r="F4017" t="s">
        <v>22</v>
      </c>
      <c r="G4017" t="s">
        <v>64</v>
      </c>
      <c r="H4017" t="s">
        <v>1294</v>
      </c>
      <c r="I4017" t="s">
        <v>7905</v>
      </c>
      <c r="J4017">
        <v>9.1652079999999998</v>
      </c>
      <c r="K4017">
        <v>-83.4065844</v>
      </c>
      <c r="L4017" t="s">
        <v>1225</v>
      </c>
      <c r="M4017" t="s">
        <v>46</v>
      </c>
      <c r="N4017" t="s">
        <v>247</v>
      </c>
      <c r="O4017" t="s">
        <v>248</v>
      </c>
      <c r="P4017">
        <v>12</v>
      </c>
      <c r="Q4017" t="s">
        <v>42</v>
      </c>
      <c r="S4017" t="str">
        <f>_xlfn.XLOOKUP(UNIVERSO[[#This Row],[Ruta]],'[1]CUOTA RUTA'!A:A,'[1]CUOTA RUTA'!D:D)</f>
        <v>Cargar</v>
      </c>
    </row>
    <row r="4018" spans="1:19" x14ac:dyDescent="0.25">
      <c r="A4018">
        <v>1540056625</v>
      </c>
      <c r="B4018" t="s">
        <v>7906</v>
      </c>
      <c r="C4018" t="s">
        <v>19</v>
      </c>
      <c r="D4018" t="s">
        <v>20</v>
      </c>
      <c r="E4018" t="s">
        <v>21</v>
      </c>
      <c r="F4018" t="s">
        <v>22</v>
      </c>
      <c r="G4018" t="s">
        <v>33</v>
      </c>
      <c r="H4018" t="s">
        <v>143</v>
      </c>
      <c r="I4018" t="s">
        <v>7907</v>
      </c>
      <c r="J4018">
        <v>9.9498076399999995</v>
      </c>
      <c r="K4018">
        <v>-84.143538669999998</v>
      </c>
      <c r="L4018" t="s">
        <v>1225</v>
      </c>
      <c r="M4018" t="s">
        <v>27</v>
      </c>
      <c r="N4018" t="s">
        <v>28</v>
      </c>
      <c r="O4018" t="s">
        <v>29</v>
      </c>
      <c r="P4018">
        <v>22</v>
      </c>
      <c r="Q4018" t="s">
        <v>30</v>
      </c>
      <c r="S4018" t="str">
        <f>_xlfn.XLOOKUP(UNIVERSO[[#This Row],[Ruta]],'[1]CUOTA RUTA'!A:A,'[1]CUOTA RUTA'!D:D)</f>
        <v>Cargar</v>
      </c>
    </row>
    <row r="4019" spans="1:19" x14ac:dyDescent="0.25">
      <c r="A4019">
        <v>1540056693</v>
      </c>
      <c r="B4019" t="s">
        <v>7908</v>
      </c>
      <c r="C4019" t="s">
        <v>19</v>
      </c>
      <c r="D4019" t="s">
        <v>32</v>
      </c>
      <c r="E4019" t="s">
        <v>21</v>
      </c>
      <c r="F4019" t="s">
        <v>22</v>
      </c>
      <c r="G4019" t="s">
        <v>64</v>
      </c>
      <c r="H4019" t="s">
        <v>92</v>
      </c>
      <c r="I4019" t="s">
        <v>7909</v>
      </c>
      <c r="J4019">
        <v>9.9654699999999998</v>
      </c>
      <c r="K4019">
        <v>-84.024760000000001</v>
      </c>
      <c r="L4019" t="s">
        <v>1225</v>
      </c>
      <c r="M4019" t="s">
        <v>94</v>
      </c>
      <c r="N4019" t="s">
        <v>95</v>
      </c>
      <c r="O4019" t="s">
        <v>96</v>
      </c>
      <c r="P4019">
        <v>8</v>
      </c>
      <c r="Q4019" t="s">
        <v>97</v>
      </c>
      <c r="S4019" t="str">
        <f>_xlfn.XLOOKUP(UNIVERSO[[#This Row],[Ruta]],'[1]CUOTA RUTA'!A:A,'[1]CUOTA RUTA'!D:D)</f>
        <v>Cargar</v>
      </c>
    </row>
    <row r="4020" spans="1:19" x14ac:dyDescent="0.25">
      <c r="A4020">
        <v>1540056695</v>
      </c>
      <c r="B4020" t="s">
        <v>7910</v>
      </c>
      <c r="C4020" t="s">
        <v>19</v>
      </c>
      <c r="D4020" t="s">
        <v>349</v>
      </c>
      <c r="E4020" t="s">
        <v>21</v>
      </c>
      <c r="F4020" t="s">
        <v>22</v>
      </c>
      <c r="G4020" t="s">
        <v>64</v>
      </c>
      <c r="H4020" t="s">
        <v>711</v>
      </c>
      <c r="I4020" t="s">
        <v>7001</v>
      </c>
      <c r="J4020">
        <v>10.018549</v>
      </c>
      <c r="K4020">
        <v>-85.360007999999993</v>
      </c>
      <c r="L4020" t="s">
        <v>1225</v>
      </c>
      <c r="M4020" t="s">
        <v>352</v>
      </c>
      <c r="N4020" t="s">
        <v>353</v>
      </c>
      <c r="O4020" t="s">
        <v>354</v>
      </c>
      <c r="P4020">
        <v>14</v>
      </c>
      <c r="Q4020" t="s">
        <v>181</v>
      </c>
      <c r="S4020" t="str">
        <f>_xlfn.XLOOKUP(UNIVERSO[[#This Row],[Ruta]],'[1]CUOTA RUTA'!A:A,'[1]CUOTA RUTA'!D:D)</f>
        <v>Cargar</v>
      </c>
    </row>
    <row r="4021" spans="1:19" x14ac:dyDescent="0.25">
      <c r="A4021">
        <v>1540056716</v>
      </c>
      <c r="B4021" t="s">
        <v>7911</v>
      </c>
      <c r="C4021" t="s">
        <v>19</v>
      </c>
      <c r="D4021" t="s">
        <v>569</v>
      </c>
      <c r="E4021" t="s">
        <v>21</v>
      </c>
      <c r="F4021" t="s">
        <v>22</v>
      </c>
      <c r="G4021" t="s">
        <v>23</v>
      </c>
      <c r="H4021" t="s">
        <v>2023</v>
      </c>
      <c r="I4021" t="s">
        <v>7912</v>
      </c>
      <c r="J4021">
        <v>8.6497308000000004</v>
      </c>
      <c r="K4021">
        <v>-83.180712900000003</v>
      </c>
      <c r="L4021" t="s">
        <v>1225</v>
      </c>
      <c r="M4021" t="s">
        <v>572</v>
      </c>
      <c r="N4021" t="s">
        <v>573</v>
      </c>
      <c r="O4021" t="s">
        <v>574</v>
      </c>
      <c r="P4021">
        <v>22</v>
      </c>
      <c r="Q4021" t="s">
        <v>30</v>
      </c>
      <c r="S4021" t="str">
        <f>_xlfn.XLOOKUP(UNIVERSO[[#This Row],[Ruta]],'[1]CUOTA RUTA'!A:A,'[1]CUOTA RUTA'!D:D)</f>
        <v>Cargar</v>
      </c>
    </row>
    <row r="4022" spans="1:19" x14ac:dyDescent="0.25">
      <c r="A4022">
        <v>1540056807</v>
      </c>
      <c r="B4022" t="s">
        <v>7913</v>
      </c>
      <c r="C4022" t="s">
        <v>19</v>
      </c>
      <c r="D4022" t="s">
        <v>208</v>
      </c>
      <c r="E4022" t="s">
        <v>21</v>
      </c>
      <c r="F4022" t="s">
        <v>22</v>
      </c>
      <c r="G4022" t="s">
        <v>64</v>
      </c>
      <c r="H4022" t="s">
        <v>719</v>
      </c>
      <c r="I4022" t="s">
        <v>7914</v>
      </c>
      <c r="J4022">
        <v>10.406386230000001</v>
      </c>
      <c r="K4022">
        <v>-84.143969190000007</v>
      </c>
      <c r="L4022" t="s">
        <v>1225</v>
      </c>
      <c r="M4022" t="s">
        <v>189</v>
      </c>
      <c r="N4022" t="s">
        <v>211</v>
      </c>
      <c r="O4022" t="s">
        <v>212</v>
      </c>
      <c r="P4022">
        <v>11</v>
      </c>
      <c r="Q4022" t="s">
        <v>108</v>
      </c>
      <c r="S4022" t="str">
        <f>_xlfn.XLOOKUP(UNIVERSO[[#This Row],[Ruta]],'[1]CUOTA RUTA'!A:A,'[1]CUOTA RUTA'!D:D)</f>
        <v>Cargar</v>
      </c>
    </row>
    <row r="4023" spans="1:19" x14ac:dyDescent="0.25">
      <c r="A4023">
        <v>1540056905</v>
      </c>
      <c r="B4023" t="s">
        <v>7915</v>
      </c>
      <c r="C4023" t="s">
        <v>19</v>
      </c>
      <c r="D4023" t="s">
        <v>186</v>
      </c>
      <c r="E4023" t="s">
        <v>21</v>
      </c>
      <c r="F4023" t="s">
        <v>22</v>
      </c>
      <c r="G4023" t="s">
        <v>64</v>
      </c>
      <c r="H4023" t="s">
        <v>420</v>
      </c>
      <c r="I4023" t="s">
        <v>7916</v>
      </c>
      <c r="J4023">
        <v>9.73156</v>
      </c>
      <c r="K4023">
        <v>-83.031414999999996</v>
      </c>
      <c r="L4023" t="s">
        <v>1225</v>
      </c>
      <c r="M4023" t="s">
        <v>189</v>
      </c>
      <c r="N4023" t="s">
        <v>190</v>
      </c>
      <c r="O4023" t="s">
        <v>191</v>
      </c>
      <c r="P4023">
        <v>18</v>
      </c>
      <c r="Q4023" t="s">
        <v>84</v>
      </c>
      <c r="S4023" t="str">
        <f>_xlfn.XLOOKUP(UNIVERSO[[#This Row],[Ruta]],'[1]CUOTA RUTA'!A:A,'[1]CUOTA RUTA'!D:D)</f>
        <v>Cargar</v>
      </c>
    </row>
    <row r="4024" spans="1:19" x14ac:dyDescent="0.25">
      <c r="A4024">
        <v>1540056913</v>
      </c>
      <c r="B4024" t="s">
        <v>7917</v>
      </c>
      <c r="C4024" t="s">
        <v>19</v>
      </c>
      <c r="D4024" t="s">
        <v>20</v>
      </c>
      <c r="E4024" t="s">
        <v>21</v>
      </c>
      <c r="F4024" t="s">
        <v>22</v>
      </c>
      <c r="G4024" t="s">
        <v>23</v>
      </c>
      <c r="H4024" t="s">
        <v>52</v>
      </c>
      <c r="I4024" t="s">
        <v>7918</v>
      </c>
      <c r="J4024">
        <v>9.9003999999999994</v>
      </c>
      <c r="K4024">
        <v>-84.154336000000001</v>
      </c>
      <c r="L4024" t="s">
        <v>1225</v>
      </c>
      <c r="M4024" t="s">
        <v>54</v>
      </c>
      <c r="N4024" t="s">
        <v>55</v>
      </c>
      <c r="O4024" t="s">
        <v>56</v>
      </c>
      <c r="P4024">
        <v>11</v>
      </c>
      <c r="Q4024" t="s">
        <v>108</v>
      </c>
      <c r="S4024" t="str">
        <f>_xlfn.XLOOKUP(UNIVERSO[[#This Row],[Ruta]],'[1]CUOTA RUTA'!A:A,'[1]CUOTA RUTA'!D:D)</f>
        <v>Cargar</v>
      </c>
    </row>
    <row r="4025" spans="1:19" x14ac:dyDescent="0.25">
      <c r="A4025">
        <v>1540056953</v>
      </c>
      <c r="B4025" t="s">
        <v>7919</v>
      </c>
      <c r="C4025" t="s">
        <v>19</v>
      </c>
      <c r="D4025" t="s">
        <v>201</v>
      </c>
      <c r="E4025" t="s">
        <v>21</v>
      </c>
      <c r="F4025" t="s">
        <v>22</v>
      </c>
      <c r="G4025" t="s">
        <v>33</v>
      </c>
      <c r="H4025" t="s">
        <v>593</v>
      </c>
      <c r="I4025" t="s">
        <v>7920</v>
      </c>
      <c r="J4025">
        <v>9.9797121000000004</v>
      </c>
      <c r="K4025">
        <v>-84.763314500000007</v>
      </c>
      <c r="L4025" t="s">
        <v>1225</v>
      </c>
      <c r="M4025" t="s">
        <v>204</v>
      </c>
      <c r="N4025" t="s">
        <v>205</v>
      </c>
      <c r="O4025" t="s">
        <v>206</v>
      </c>
      <c r="P4025">
        <v>10</v>
      </c>
      <c r="Q4025" t="s">
        <v>136</v>
      </c>
      <c r="S4025" t="str">
        <f>_xlfn.XLOOKUP(UNIVERSO[[#This Row],[Ruta]],'[1]CUOTA RUTA'!A:A,'[1]CUOTA RUTA'!D:D)</f>
        <v>Cargar</v>
      </c>
    </row>
    <row r="4026" spans="1:19" x14ac:dyDescent="0.25">
      <c r="A4026">
        <v>1540056984</v>
      </c>
      <c r="B4026" t="s">
        <v>4470</v>
      </c>
      <c r="C4026" t="s">
        <v>19</v>
      </c>
      <c r="D4026" t="s">
        <v>32</v>
      </c>
      <c r="E4026" t="s">
        <v>21</v>
      </c>
      <c r="F4026" t="s">
        <v>22</v>
      </c>
      <c r="G4026" t="s">
        <v>23</v>
      </c>
      <c r="H4026" t="s">
        <v>134</v>
      </c>
      <c r="I4026" t="s">
        <v>7921</v>
      </c>
      <c r="J4026">
        <v>9.9563299999999995</v>
      </c>
      <c r="K4026">
        <v>-84.090599999999995</v>
      </c>
      <c r="L4026" t="s">
        <v>1225</v>
      </c>
      <c r="M4026" t="s">
        <v>94</v>
      </c>
      <c r="N4026" t="s">
        <v>95</v>
      </c>
      <c r="O4026" t="s">
        <v>96</v>
      </c>
      <c r="P4026">
        <v>11</v>
      </c>
      <c r="Q4026" t="s">
        <v>108</v>
      </c>
      <c r="S4026" t="str">
        <f>_xlfn.XLOOKUP(UNIVERSO[[#This Row],[Ruta]],'[1]CUOTA RUTA'!A:A,'[1]CUOTA RUTA'!D:D)</f>
        <v>Cargar</v>
      </c>
    </row>
    <row r="4027" spans="1:19" x14ac:dyDescent="0.25">
      <c r="A4027">
        <v>1540056986</v>
      </c>
      <c r="B4027" t="s">
        <v>7922</v>
      </c>
      <c r="C4027" t="s">
        <v>19</v>
      </c>
      <c r="D4027" t="s">
        <v>32</v>
      </c>
      <c r="E4027" t="s">
        <v>21</v>
      </c>
      <c r="F4027" t="s">
        <v>22</v>
      </c>
      <c r="G4027" t="s">
        <v>33</v>
      </c>
      <c r="H4027" t="s">
        <v>69</v>
      </c>
      <c r="I4027" t="s">
        <v>7901</v>
      </c>
      <c r="J4027">
        <v>9.8805316666670002</v>
      </c>
      <c r="K4027">
        <v>-84.064311666660004</v>
      </c>
      <c r="L4027" t="s">
        <v>1225</v>
      </c>
      <c r="M4027" t="s">
        <v>71</v>
      </c>
      <c r="N4027" t="s">
        <v>72</v>
      </c>
      <c r="O4027" t="s">
        <v>73</v>
      </c>
      <c r="P4027">
        <v>19</v>
      </c>
      <c r="Q4027" t="s">
        <v>67</v>
      </c>
      <c r="S4027" t="str">
        <f>_xlfn.XLOOKUP(UNIVERSO[[#This Row],[Ruta]],'[1]CUOTA RUTA'!A:A,'[1]CUOTA RUTA'!D:D)</f>
        <v>Cargar</v>
      </c>
    </row>
    <row r="4028" spans="1:19" x14ac:dyDescent="0.25">
      <c r="A4028">
        <v>1540057002</v>
      </c>
      <c r="B4028" t="s">
        <v>3775</v>
      </c>
      <c r="C4028" t="s">
        <v>19</v>
      </c>
      <c r="D4028" t="s">
        <v>20</v>
      </c>
      <c r="E4028" t="s">
        <v>21</v>
      </c>
      <c r="F4028" t="s">
        <v>22</v>
      </c>
      <c r="G4028" t="s">
        <v>64</v>
      </c>
      <c r="H4028" t="s">
        <v>285</v>
      </c>
      <c r="I4028" t="s">
        <v>7923</v>
      </c>
      <c r="J4028">
        <v>10.067724999999999</v>
      </c>
      <c r="K4028">
        <v>-84.107054000000005</v>
      </c>
      <c r="L4028" t="s">
        <v>1225</v>
      </c>
      <c r="M4028" t="s">
        <v>54</v>
      </c>
      <c r="N4028" t="s">
        <v>55</v>
      </c>
      <c r="O4028" t="s">
        <v>56</v>
      </c>
      <c r="P4028">
        <v>19</v>
      </c>
      <c r="Q4028" t="s">
        <v>67</v>
      </c>
      <c r="S4028" t="str">
        <f>_xlfn.XLOOKUP(UNIVERSO[[#This Row],[Ruta]],'[1]CUOTA RUTA'!A:A,'[1]CUOTA RUTA'!D:D)</f>
        <v>Cargar</v>
      </c>
    </row>
    <row r="4029" spans="1:19" x14ac:dyDescent="0.25">
      <c r="A4029">
        <v>1540057131</v>
      </c>
      <c r="B4029" t="s">
        <v>7924</v>
      </c>
      <c r="C4029" t="s">
        <v>19</v>
      </c>
      <c r="D4029" t="s">
        <v>349</v>
      </c>
      <c r="E4029" t="s">
        <v>21</v>
      </c>
      <c r="F4029" t="s">
        <v>22</v>
      </c>
      <c r="G4029" t="s">
        <v>23</v>
      </c>
      <c r="H4029" t="s">
        <v>908</v>
      </c>
      <c r="I4029" t="s">
        <v>7925</v>
      </c>
      <c r="J4029">
        <v>9.9824099999999998</v>
      </c>
      <c r="K4029">
        <v>-85.650499999999994</v>
      </c>
      <c r="L4029" t="s">
        <v>1225</v>
      </c>
      <c r="M4029" t="s">
        <v>352</v>
      </c>
      <c r="N4029" t="s">
        <v>353</v>
      </c>
      <c r="O4029" t="s">
        <v>354</v>
      </c>
      <c r="P4029">
        <v>7</v>
      </c>
      <c r="Q4029" t="s">
        <v>39</v>
      </c>
      <c r="S4029" t="str">
        <f>_xlfn.XLOOKUP(UNIVERSO[[#This Row],[Ruta]],'[1]CUOTA RUTA'!A:A,'[1]CUOTA RUTA'!D:D)</f>
        <v>Cargar</v>
      </c>
    </row>
    <row r="4030" spans="1:19" x14ac:dyDescent="0.25">
      <c r="A4030">
        <v>1540057133</v>
      </c>
      <c r="B4030" t="s">
        <v>7926</v>
      </c>
      <c r="C4030" t="s">
        <v>19</v>
      </c>
      <c r="D4030" t="s">
        <v>201</v>
      </c>
      <c r="E4030" t="s">
        <v>21</v>
      </c>
      <c r="F4030" t="s">
        <v>22</v>
      </c>
      <c r="G4030" t="s">
        <v>33</v>
      </c>
      <c r="H4030" t="s">
        <v>491</v>
      </c>
      <c r="I4030" t="s">
        <v>7927</v>
      </c>
      <c r="J4030">
        <v>9.7176364999999993</v>
      </c>
      <c r="K4030">
        <v>-84.627805100000003</v>
      </c>
      <c r="L4030" t="s">
        <v>1225</v>
      </c>
      <c r="M4030" t="s">
        <v>204</v>
      </c>
      <c r="N4030" t="s">
        <v>205</v>
      </c>
      <c r="O4030" t="s">
        <v>206</v>
      </c>
      <c r="P4030">
        <v>4</v>
      </c>
      <c r="Q4030" t="s">
        <v>120</v>
      </c>
      <c r="S4030" t="str">
        <f>_xlfn.XLOOKUP(UNIVERSO[[#This Row],[Ruta]],'[1]CUOTA RUTA'!A:A,'[1]CUOTA RUTA'!D:D)</f>
        <v>Cargar</v>
      </c>
    </row>
    <row r="4031" spans="1:19" x14ac:dyDescent="0.25">
      <c r="A4031">
        <v>1540057137</v>
      </c>
      <c r="B4031" t="s">
        <v>7928</v>
      </c>
      <c r="C4031" t="s">
        <v>19</v>
      </c>
      <c r="D4031" t="s">
        <v>32</v>
      </c>
      <c r="E4031" t="s">
        <v>21</v>
      </c>
      <c r="F4031" t="s">
        <v>22</v>
      </c>
      <c r="G4031" t="s">
        <v>33</v>
      </c>
      <c r="H4031" t="s">
        <v>1383</v>
      </c>
      <c r="I4031" t="s">
        <v>7929</v>
      </c>
      <c r="J4031">
        <v>9.9239940000000004</v>
      </c>
      <c r="K4031">
        <v>-84.094444999999993</v>
      </c>
      <c r="L4031" t="s">
        <v>1225</v>
      </c>
      <c r="M4031" t="s">
        <v>71</v>
      </c>
      <c r="N4031" t="s">
        <v>72</v>
      </c>
      <c r="O4031" t="s">
        <v>73</v>
      </c>
      <c r="P4031">
        <v>3</v>
      </c>
      <c r="Q4031" t="s">
        <v>101</v>
      </c>
      <c r="S4031" t="str">
        <f>_xlfn.XLOOKUP(UNIVERSO[[#This Row],[Ruta]],'[1]CUOTA RUTA'!A:A,'[1]CUOTA RUTA'!D:D)</f>
        <v>Cargar</v>
      </c>
    </row>
    <row r="4032" spans="1:19" x14ac:dyDescent="0.25">
      <c r="A4032">
        <v>1540057193</v>
      </c>
      <c r="B4032" t="s">
        <v>7930</v>
      </c>
      <c r="C4032" t="s">
        <v>19</v>
      </c>
      <c r="D4032" t="s">
        <v>32</v>
      </c>
      <c r="E4032" t="s">
        <v>21</v>
      </c>
      <c r="F4032" t="s">
        <v>22</v>
      </c>
      <c r="G4032" t="s">
        <v>64</v>
      </c>
      <c r="H4032" t="s">
        <v>716</v>
      </c>
      <c r="I4032" t="s">
        <v>7931</v>
      </c>
      <c r="J4032">
        <v>9.9106909999999999</v>
      </c>
      <c r="K4032">
        <v>-84.069102999999998</v>
      </c>
      <c r="L4032" t="s">
        <v>1225</v>
      </c>
      <c r="M4032" t="s">
        <v>36</v>
      </c>
      <c r="N4032" t="s">
        <v>37</v>
      </c>
      <c r="O4032" t="s">
        <v>38</v>
      </c>
      <c r="P4032">
        <v>12</v>
      </c>
      <c r="Q4032" t="s">
        <v>42</v>
      </c>
      <c r="S4032" t="str">
        <f>_xlfn.XLOOKUP(UNIVERSO[[#This Row],[Ruta]],'[1]CUOTA RUTA'!A:A,'[1]CUOTA RUTA'!D:D)</f>
        <v>Cargar</v>
      </c>
    </row>
    <row r="4033" spans="1:19" x14ac:dyDescent="0.25">
      <c r="A4033">
        <v>1540057209</v>
      </c>
      <c r="B4033" t="s">
        <v>7932</v>
      </c>
      <c r="C4033" t="s">
        <v>19</v>
      </c>
      <c r="D4033" t="s">
        <v>244</v>
      </c>
      <c r="E4033" t="s">
        <v>21</v>
      </c>
      <c r="F4033" t="s">
        <v>22</v>
      </c>
      <c r="G4033" t="s">
        <v>64</v>
      </c>
      <c r="H4033" t="s">
        <v>436</v>
      </c>
      <c r="I4033" t="s">
        <v>7933</v>
      </c>
      <c r="J4033">
        <v>9.4324349999999999</v>
      </c>
      <c r="K4033">
        <v>-84.163619999999995</v>
      </c>
      <c r="L4033" t="s">
        <v>1225</v>
      </c>
      <c r="M4033" t="s">
        <v>46</v>
      </c>
      <c r="N4033" t="s">
        <v>247</v>
      </c>
      <c r="O4033" t="s">
        <v>248</v>
      </c>
      <c r="P4033">
        <v>21</v>
      </c>
      <c r="Q4033" t="s">
        <v>239</v>
      </c>
      <c r="S4033" t="str">
        <f>_xlfn.XLOOKUP(UNIVERSO[[#This Row],[Ruta]],'[1]CUOTA RUTA'!A:A,'[1]CUOTA RUTA'!D:D)</f>
        <v>Cargar</v>
      </c>
    </row>
    <row r="4034" spans="1:19" x14ac:dyDescent="0.25">
      <c r="A4034">
        <v>1540057230</v>
      </c>
      <c r="B4034" t="s">
        <v>7934</v>
      </c>
      <c r="C4034" t="s">
        <v>19</v>
      </c>
      <c r="D4034" t="s">
        <v>20</v>
      </c>
      <c r="E4034" t="s">
        <v>21</v>
      </c>
      <c r="F4034" t="s">
        <v>22</v>
      </c>
      <c r="G4034" t="s">
        <v>33</v>
      </c>
      <c r="H4034" t="s">
        <v>369</v>
      </c>
      <c r="I4034" t="s">
        <v>7935</v>
      </c>
      <c r="J4034">
        <v>10.02887638</v>
      </c>
      <c r="K4034">
        <v>-84.107251930000004</v>
      </c>
      <c r="L4034" t="s">
        <v>1225</v>
      </c>
      <c r="M4034" t="s">
        <v>27</v>
      </c>
      <c r="N4034" t="s">
        <v>28</v>
      </c>
      <c r="O4034" t="s">
        <v>29</v>
      </c>
      <c r="P4034">
        <v>22</v>
      </c>
      <c r="Q4034" t="s">
        <v>30</v>
      </c>
      <c r="S4034" t="str">
        <f>_xlfn.XLOOKUP(UNIVERSO[[#This Row],[Ruta]],'[1]CUOTA RUTA'!A:A,'[1]CUOTA RUTA'!D:D)</f>
        <v>Cargar</v>
      </c>
    </row>
    <row r="4035" spans="1:19" x14ac:dyDescent="0.25">
      <c r="A4035">
        <v>1540057238</v>
      </c>
      <c r="B4035" t="s">
        <v>7936</v>
      </c>
      <c r="C4035" t="s">
        <v>19</v>
      </c>
      <c r="D4035" t="s">
        <v>266</v>
      </c>
      <c r="E4035" t="s">
        <v>21</v>
      </c>
      <c r="F4035" t="s">
        <v>22</v>
      </c>
      <c r="G4035" t="s">
        <v>64</v>
      </c>
      <c r="H4035" t="s">
        <v>1011</v>
      </c>
      <c r="I4035" t="s">
        <v>7937</v>
      </c>
      <c r="J4035">
        <v>9.886082</v>
      </c>
      <c r="K4035">
        <v>-83.936563000000007</v>
      </c>
      <c r="L4035" t="s">
        <v>1225</v>
      </c>
      <c r="M4035" t="s">
        <v>54</v>
      </c>
      <c r="N4035" t="s">
        <v>274</v>
      </c>
      <c r="O4035" t="s">
        <v>275</v>
      </c>
      <c r="P4035">
        <v>23</v>
      </c>
      <c r="Q4035" t="s">
        <v>125</v>
      </c>
      <c r="S4035" t="str">
        <f>_xlfn.XLOOKUP(UNIVERSO[[#This Row],[Ruta]],'[1]CUOTA RUTA'!A:A,'[1]CUOTA RUTA'!D:D)</f>
        <v>Cargar</v>
      </c>
    </row>
    <row r="4036" spans="1:19" x14ac:dyDescent="0.25">
      <c r="A4036">
        <v>1540057303</v>
      </c>
      <c r="B4036" t="s">
        <v>4208</v>
      </c>
      <c r="C4036" t="s">
        <v>19</v>
      </c>
      <c r="D4036" t="s">
        <v>186</v>
      </c>
      <c r="E4036" t="s">
        <v>21</v>
      </c>
      <c r="F4036" t="s">
        <v>22</v>
      </c>
      <c r="G4036" t="s">
        <v>64</v>
      </c>
      <c r="H4036" t="s">
        <v>420</v>
      </c>
      <c r="I4036" t="s">
        <v>7938</v>
      </c>
      <c r="J4036">
        <v>9.7045530000000007</v>
      </c>
      <c r="K4036">
        <v>-83.034972999999994</v>
      </c>
      <c r="L4036" t="s">
        <v>1225</v>
      </c>
      <c r="M4036" t="s">
        <v>189</v>
      </c>
      <c r="N4036" t="s">
        <v>190</v>
      </c>
      <c r="O4036" t="s">
        <v>191</v>
      </c>
      <c r="P4036">
        <v>18</v>
      </c>
      <c r="Q4036" t="s">
        <v>84</v>
      </c>
      <c r="S4036" t="str">
        <f>_xlfn.XLOOKUP(UNIVERSO[[#This Row],[Ruta]],'[1]CUOTA RUTA'!A:A,'[1]CUOTA RUTA'!D:D)</f>
        <v>Cargar</v>
      </c>
    </row>
    <row r="4037" spans="1:19" x14ac:dyDescent="0.25">
      <c r="A4037">
        <v>1540057335</v>
      </c>
      <c r="B4037" t="s">
        <v>7939</v>
      </c>
      <c r="C4037" t="s">
        <v>19</v>
      </c>
      <c r="D4037" t="s">
        <v>32</v>
      </c>
      <c r="E4037" t="s">
        <v>21</v>
      </c>
      <c r="F4037" t="s">
        <v>22</v>
      </c>
      <c r="G4037" t="s">
        <v>64</v>
      </c>
      <c r="H4037" t="s">
        <v>115</v>
      </c>
      <c r="I4037" t="s">
        <v>7940</v>
      </c>
      <c r="J4037">
        <v>9.951238</v>
      </c>
      <c r="K4037">
        <v>-84.086561000000003</v>
      </c>
      <c r="L4037" t="s">
        <v>1225</v>
      </c>
      <c r="M4037" t="s">
        <v>36</v>
      </c>
      <c r="N4037" t="s">
        <v>37</v>
      </c>
      <c r="O4037" t="s">
        <v>38</v>
      </c>
      <c r="P4037">
        <v>5</v>
      </c>
      <c r="Q4037" t="s">
        <v>117</v>
      </c>
      <c r="S4037" t="str">
        <f>_xlfn.XLOOKUP(UNIVERSO[[#This Row],[Ruta]],'[1]CUOTA RUTA'!A:A,'[1]CUOTA RUTA'!D:D)</f>
        <v>Cargar</v>
      </c>
    </row>
    <row r="4038" spans="1:19" x14ac:dyDescent="0.25">
      <c r="A4038">
        <v>1540057348</v>
      </c>
      <c r="B4038" t="s">
        <v>7941</v>
      </c>
      <c r="C4038" t="s">
        <v>19</v>
      </c>
      <c r="D4038" t="s">
        <v>208</v>
      </c>
      <c r="E4038" t="s">
        <v>21</v>
      </c>
      <c r="F4038" t="s">
        <v>22</v>
      </c>
      <c r="G4038" t="s">
        <v>33</v>
      </c>
      <c r="H4038" t="s">
        <v>221</v>
      </c>
      <c r="I4038" t="s">
        <v>7942</v>
      </c>
      <c r="J4038">
        <v>10.28107</v>
      </c>
      <c r="K4038">
        <v>-83.750148999999993</v>
      </c>
      <c r="L4038" t="s">
        <v>1225</v>
      </c>
      <c r="M4038" t="s">
        <v>189</v>
      </c>
      <c r="N4038" t="s">
        <v>211</v>
      </c>
      <c r="O4038" t="s">
        <v>212</v>
      </c>
      <c r="P4038">
        <v>1</v>
      </c>
      <c r="Q4038" t="s">
        <v>155</v>
      </c>
      <c r="S4038" t="str">
        <f>_xlfn.XLOOKUP(UNIVERSO[[#This Row],[Ruta]],'[1]CUOTA RUTA'!A:A,'[1]CUOTA RUTA'!D:D)</f>
        <v>Cargar</v>
      </c>
    </row>
    <row r="4039" spans="1:19" x14ac:dyDescent="0.25">
      <c r="A4039">
        <v>1540057388</v>
      </c>
      <c r="B4039" t="s">
        <v>7943</v>
      </c>
      <c r="C4039" t="s">
        <v>19</v>
      </c>
      <c r="D4039" t="s">
        <v>32</v>
      </c>
      <c r="E4039" t="s">
        <v>21</v>
      </c>
      <c r="F4039" t="s">
        <v>22</v>
      </c>
      <c r="G4039" t="s">
        <v>64</v>
      </c>
      <c r="H4039" t="s">
        <v>76</v>
      </c>
      <c r="I4039" t="s">
        <v>7944</v>
      </c>
      <c r="J4039">
        <v>9.9602059999999994</v>
      </c>
      <c r="K4039">
        <v>-84.006484</v>
      </c>
      <c r="L4039" t="s">
        <v>1225</v>
      </c>
      <c r="M4039" t="s">
        <v>36</v>
      </c>
      <c r="N4039" t="s">
        <v>37</v>
      </c>
      <c r="O4039" t="s">
        <v>38</v>
      </c>
      <c r="P4039">
        <v>20</v>
      </c>
      <c r="Q4039" t="s">
        <v>74</v>
      </c>
      <c r="S4039" t="str">
        <f>_xlfn.XLOOKUP(UNIVERSO[[#This Row],[Ruta]],'[1]CUOTA RUTA'!A:A,'[1]CUOTA RUTA'!D:D)</f>
        <v>Cargar</v>
      </c>
    </row>
    <row r="4040" spans="1:19" x14ac:dyDescent="0.25">
      <c r="A4040">
        <v>1540057448</v>
      </c>
      <c r="B4040" t="s">
        <v>7945</v>
      </c>
      <c r="C4040" t="s">
        <v>19</v>
      </c>
      <c r="D4040" t="s">
        <v>208</v>
      </c>
      <c r="E4040" t="s">
        <v>21</v>
      </c>
      <c r="F4040" t="s">
        <v>22</v>
      </c>
      <c r="G4040" t="s">
        <v>64</v>
      </c>
      <c r="H4040" t="s">
        <v>719</v>
      </c>
      <c r="I4040" t="s">
        <v>7946</v>
      </c>
      <c r="J4040">
        <v>10.09913639</v>
      </c>
      <c r="K4040">
        <v>-83.501715820000001</v>
      </c>
      <c r="L4040" t="s">
        <v>1225</v>
      </c>
      <c r="M4040" t="s">
        <v>189</v>
      </c>
      <c r="N4040" t="s">
        <v>211</v>
      </c>
      <c r="O4040" t="s">
        <v>212</v>
      </c>
      <c r="P4040">
        <v>8</v>
      </c>
      <c r="Q4040" t="s">
        <v>97</v>
      </c>
      <c r="S4040" t="str">
        <f>_xlfn.XLOOKUP(UNIVERSO[[#This Row],[Ruta]],'[1]CUOTA RUTA'!A:A,'[1]CUOTA RUTA'!D:D)</f>
        <v>Cargar</v>
      </c>
    </row>
    <row r="4041" spans="1:19" x14ac:dyDescent="0.25">
      <c r="A4041">
        <v>1540057452</v>
      </c>
      <c r="B4041" t="s">
        <v>7947</v>
      </c>
      <c r="C4041" t="s">
        <v>19</v>
      </c>
      <c r="D4041" t="s">
        <v>208</v>
      </c>
      <c r="E4041" t="s">
        <v>21</v>
      </c>
      <c r="F4041" t="s">
        <v>22</v>
      </c>
      <c r="G4041" t="s">
        <v>64</v>
      </c>
      <c r="H4041" t="s">
        <v>502</v>
      </c>
      <c r="I4041" t="s">
        <v>6865</v>
      </c>
      <c r="J4041">
        <v>10.2744406</v>
      </c>
      <c r="K4041">
        <v>-83.778503700000002</v>
      </c>
      <c r="L4041" t="s">
        <v>1225</v>
      </c>
      <c r="M4041" t="s">
        <v>189</v>
      </c>
      <c r="N4041" t="s">
        <v>211</v>
      </c>
      <c r="O4041" t="s">
        <v>212</v>
      </c>
      <c r="P4041">
        <v>2</v>
      </c>
      <c r="Q4041" t="s">
        <v>150</v>
      </c>
      <c r="S4041" t="str">
        <f>_xlfn.XLOOKUP(UNIVERSO[[#This Row],[Ruta]],'[1]CUOTA RUTA'!A:A,'[1]CUOTA RUTA'!D:D)</f>
        <v>Cargar</v>
      </c>
    </row>
    <row r="4042" spans="1:19" x14ac:dyDescent="0.25">
      <c r="A4042">
        <v>1540057473</v>
      </c>
      <c r="B4042" t="s">
        <v>7948</v>
      </c>
      <c r="C4042" t="s">
        <v>19</v>
      </c>
      <c r="D4042" t="s">
        <v>20</v>
      </c>
      <c r="E4042" t="s">
        <v>21</v>
      </c>
      <c r="F4042" t="s">
        <v>22</v>
      </c>
      <c r="G4042" t="s">
        <v>33</v>
      </c>
      <c r="H4042" t="s">
        <v>774</v>
      </c>
      <c r="I4042" t="s">
        <v>7949</v>
      </c>
      <c r="J4042">
        <v>9.9314940000000007</v>
      </c>
      <c r="K4042">
        <v>-84.232339999999994</v>
      </c>
      <c r="L4042" t="s">
        <v>1225</v>
      </c>
      <c r="M4042" t="s">
        <v>54</v>
      </c>
      <c r="N4042" t="s">
        <v>55</v>
      </c>
      <c r="O4042" t="s">
        <v>56</v>
      </c>
      <c r="P4042">
        <v>10</v>
      </c>
      <c r="Q4042" t="s">
        <v>136</v>
      </c>
      <c r="S4042" t="str">
        <f>_xlfn.XLOOKUP(UNIVERSO[[#This Row],[Ruta]],'[1]CUOTA RUTA'!A:A,'[1]CUOTA RUTA'!D:D)</f>
        <v>Cargar</v>
      </c>
    </row>
    <row r="4043" spans="1:19" x14ac:dyDescent="0.25">
      <c r="A4043">
        <v>1540057491</v>
      </c>
      <c r="B4043" t="s">
        <v>7950</v>
      </c>
      <c r="C4043" t="s">
        <v>19</v>
      </c>
      <c r="D4043" t="s">
        <v>20</v>
      </c>
      <c r="E4043" t="s">
        <v>21</v>
      </c>
      <c r="F4043" t="s">
        <v>22</v>
      </c>
      <c r="G4043" t="s">
        <v>33</v>
      </c>
      <c r="H4043" t="s">
        <v>143</v>
      </c>
      <c r="I4043" t="s">
        <v>7951</v>
      </c>
      <c r="J4043">
        <v>9.9413666099999993</v>
      </c>
      <c r="K4043">
        <v>-84.132174930000005</v>
      </c>
      <c r="L4043" t="s">
        <v>1225</v>
      </c>
      <c r="M4043" t="s">
        <v>27</v>
      </c>
      <c r="N4043" t="s">
        <v>28</v>
      </c>
      <c r="O4043" t="s">
        <v>29</v>
      </c>
      <c r="P4043">
        <v>22</v>
      </c>
      <c r="Q4043" t="s">
        <v>30</v>
      </c>
      <c r="S4043" t="str">
        <f>_xlfn.XLOOKUP(UNIVERSO[[#This Row],[Ruta]],'[1]CUOTA RUTA'!A:A,'[1]CUOTA RUTA'!D:D)</f>
        <v>Cargar</v>
      </c>
    </row>
    <row r="4044" spans="1:19" x14ac:dyDescent="0.25">
      <c r="A4044">
        <v>1540057547</v>
      </c>
      <c r="B4044" t="s">
        <v>601</v>
      </c>
      <c r="C4044" t="s">
        <v>19</v>
      </c>
      <c r="D4044" t="s">
        <v>266</v>
      </c>
      <c r="E4044" t="s">
        <v>21</v>
      </c>
      <c r="F4044" t="s">
        <v>51</v>
      </c>
      <c r="G4044" t="s">
        <v>23</v>
      </c>
      <c r="H4044" t="s">
        <v>703</v>
      </c>
      <c r="I4044" t="s">
        <v>7952</v>
      </c>
      <c r="J4044">
        <v>9.8454049999999995</v>
      </c>
      <c r="K4044">
        <v>-83.96508333333</v>
      </c>
      <c r="L4044" t="s">
        <v>1225</v>
      </c>
      <c r="M4044" t="s">
        <v>36</v>
      </c>
      <c r="N4044" t="s">
        <v>316</v>
      </c>
      <c r="O4044" t="s">
        <v>317</v>
      </c>
      <c r="P4044">
        <v>20</v>
      </c>
      <c r="Q4044" t="s">
        <v>74</v>
      </c>
      <c r="S4044" t="str">
        <f>_xlfn.XLOOKUP(UNIVERSO[[#This Row],[Ruta]],'[1]CUOTA RUTA'!A:A,'[1]CUOTA RUTA'!D:D)</f>
        <v>Cargar</v>
      </c>
    </row>
    <row r="4045" spans="1:19" x14ac:dyDescent="0.25">
      <c r="A4045">
        <v>1540057587</v>
      </c>
      <c r="B4045" t="s">
        <v>7953</v>
      </c>
      <c r="C4045" t="s">
        <v>19</v>
      </c>
      <c r="D4045" t="s">
        <v>349</v>
      </c>
      <c r="E4045" t="s">
        <v>21</v>
      </c>
      <c r="F4045" t="s">
        <v>22</v>
      </c>
      <c r="G4045" t="s">
        <v>33</v>
      </c>
      <c r="H4045" t="s">
        <v>496</v>
      </c>
      <c r="I4045" t="s">
        <v>7954</v>
      </c>
      <c r="J4045">
        <v>9.9610850000000006</v>
      </c>
      <c r="K4045">
        <v>-85.107422</v>
      </c>
      <c r="L4045" t="s">
        <v>1225</v>
      </c>
      <c r="M4045" t="s">
        <v>352</v>
      </c>
      <c r="N4045" t="s">
        <v>353</v>
      </c>
      <c r="O4045" t="s">
        <v>354</v>
      </c>
      <c r="P4045">
        <v>10</v>
      </c>
      <c r="Q4045" t="s">
        <v>136</v>
      </c>
      <c r="S4045" t="str">
        <f>_xlfn.XLOOKUP(UNIVERSO[[#This Row],[Ruta]],'[1]CUOTA RUTA'!A:A,'[1]CUOTA RUTA'!D:D)</f>
        <v>Cargar</v>
      </c>
    </row>
    <row r="4046" spans="1:19" x14ac:dyDescent="0.25">
      <c r="A4046">
        <v>1540057641</v>
      </c>
      <c r="B4046" t="s">
        <v>7955</v>
      </c>
      <c r="C4046" t="s">
        <v>19</v>
      </c>
      <c r="D4046" t="s">
        <v>208</v>
      </c>
      <c r="E4046" t="s">
        <v>21</v>
      </c>
      <c r="F4046" t="s">
        <v>22</v>
      </c>
      <c r="G4046" t="s">
        <v>64</v>
      </c>
      <c r="H4046" t="s">
        <v>502</v>
      </c>
      <c r="I4046" t="s">
        <v>7956</v>
      </c>
      <c r="J4046">
        <v>10.216950000000001</v>
      </c>
      <c r="K4046">
        <v>-83.783259999999999</v>
      </c>
      <c r="L4046" t="s">
        <v>1225</v>
      </c>
      <c r="M4046" t="s">
        <v>189</v>
      </c>
      <c r="N4046" t="s">
        <v>211</v>
      </c>
      <c r="O4046" t="s">
        <v>212</v>
      </c>
      <c r="P4046">
        <v>5</v>
      </c>
      <c r="Q4046" t="s">
        <v>117</v>
      </c>
      <c r="S4046" t="str">
        <f>_xlfn.XLOOKUP(UNIVERSO[[#This Row],[Ruta]],'[1]CUOTA RUTA'!A:A,'[1]CUOTA RUTA'!D:D)</f>
        <v>Cargar</v>
      </c>
    </row>
    <row r="4047" spans="1:19" x14ac:dyDescent="0.25">
      <c r="A4047">
        <v>1540057713</v>
      </c>
      <c r="B4047" t="s">
        <v>7957</v>
      </c>
      <c r="C4047" t="s">
        <v>19</v>
      </c>
      <c r="D4047" t="s">
        <v>20</v>
      </c>
      <c r="E4047" t="s">
        <v>21</v>
      </c>
      <c r="F4047" t="s">
        <v>22</v>
      </c>
      <c r="G4047" t="s">
        <v>64</v>
      </c>
      <c r="H4047" t="s">
        <v>198</v>
      </c>
      <c r="I4047" t="s">
        <v>7958</v>
      </c>
      <c r="J4047">
        <v>9.9434319999999996</v>
      </c>
      <c r="K4047">
        <v>-84.184252700000002</v>
      </c>
      <c r="L4047" t="s">
        <v>1225</v>
      </c>
      <c r="M4047" t="s">
        <v>54</v>
      </c>
      <c r="N4047" t="s">
        <v>55</v>
      </c>
      <c r="O4047" t="s">
        <v>56</v>
      </c>
      <c r="P4047">
        <v>14</v>
      </c>
      <c r="Q4047" t="s">
        <v>181</v>
      </c>
      <c r="S4047" t="str">
        <f>_xlfn.XLOOKUP(UNIVERSO[[#This Row],[Ruta]],'[1]CUOTA RUTA'!A:A,'[1]CUOTA RUTA'!D:D)</f>
        <v>Cargar</v>
      </c>
    </row>
    <row r="4048" spans="1:19" x14ac:dyDescent="0.25">
      <c r="A4048">
        <v>1540057720</v>
      </c>
      <c r="B4048" t="s">
        <v>7959</v>
      </c>
      <c r="C4048" t="s">
        <v>19</v>
      </c>
      <c r="D4048" t="s">
        <v>20</v>
      </c>
      <c r="E4048" t="s">
        <v>21</v>
      </c>
      <c r="F4048" t="s">
        <v>22</v>
      </c>
      <c r="G4048" t="s">
        <v>23</v>
      </c>
      <c r="H4048" t="s">
        <v>308</v>
      </c>
      <c r="I4048" t="s">
        <v>7960</v>
      </c>
      <c r="J4048">
        <v>9.8468470000000003</v>
      </c>
      <c r="K4048">
        <v>-84.313778999999997</v>
      </c>
      <c r="L4048" t="s">
        <v>1225</v>
      </c>
      <c r="M4048" t="s">
        <v>54</v>
      </c>
      <c r="N4048" t="s">
        <v>55</v>
      </c>
      <c r="O4048" t="s">
        <v>56</v>
      </c>
      <c r="P4048">
        <v>22</v>
      </c>
      <c r="Q4048" t="s">
        <v>30</v>
      </c>
      <c r="S4048" t="str">
        <f>_xlfn.XLOOKUP(UNIVERSO[[#This Row],[Ruta]],'[1]CUOTA RUTA'!A:A,'[1]CUOTA RUTA'!D:D)</f>
        <v>Cargar</v>
      </c>
    </row>
    <row r="4049" spans="1:19" x14ac:dyDescent="0.25">
      <c r="A4049">
        <v>1540057737</v>
      </c>
      <c r="B4049" t="s">
        <v>7961</v>
      </c>
      <c r="C4049" t="s">
        <v>19</v>
      </c>
      <c r="D4049" t="s">
        <v>20</v>
      </c>
      <c r="E4049" t="s">
        <v>21</v>
      </c>
      <c r="F4049" t="s">
        <v>22</v>
      </c>
      <c r="G4049" t="s">
        <v>64</v>
      </c>
      <c r="H4049" t="s">
        <v>1143</v>
      </c>
      <c r="I4049" t="s">
        <v>7962</v>
      </c>
      <c r="J4049">
        <v>10.034393</v>
      </c>
      <c r="K4049">
        <v>-84.204656999999997</v>
      </c>
      <c r="L4049" t="s">
        <v>1225</v>
      </c>
      <c r="M4049" t="s">
        <v>54</v>
      </c>
      <c r="N4049" t="s">
        <v>55</v>
      </c>
      <c r="O4049" t="s">
        <v>56</v>
      </c>
      <c r="P4049">
        <v>16</v>
      </c>
      <c r="Q4049" t="s">
        <v>60</v>
      </c>
      <c r="S4049" t="str">
        <f>_xlfn.XLOOKUP(UNIVERSO[[#This Row],[Ruta]],'[1]CUOTA RUTA'!A:A,'[1]CUOTA RUTA'!D:D)</f>
        <v>Cargar</v>
      </c>
    </row>
    <row r="4050" spans="1:19" x14ac:dyDescent="0.25">
      <c r="A4050">
        <v>1540057748</v>
      </c>
      <c r="B4050" t="s">
        <v>7963</v>
      </c>
      <c r="C4050" t="s">
        <v>19</v>
      </c>
      <c r="D4050" t="s">
        <v>32</v>
      </c>
      <c r="E4050" t="s">
        <v>21</v>
      </c>
      <c r="F4050" t="s">
        <v>22</v>
      </c>
      <c r="G4050" t="s">
        <v>64</v>
      </c>
      <c r="H4050" t="s">
        <v>1191</v>
      </c>
      <c r="I4050" t="s">
        <v>7964</v>
      </c>
      <c r="J4050">
        <v>9.9024049999999999</v>
      </c>
      <c r="K4050">
        <v>-83.999009000000001</v>
      </c>
      <c r="L4050" t="s">
        <v>1225</v>
      </c>
      <c r="M4050" t="s">
        <v>36</v>
      </c>
      <c r="N4050" t="s">
        <v>37</v>
      </c>
      <c r="O4050" t="s">
        <v>38</v>
      </c>
      <c r="P4050">
        <v>18</v>
      </c>
      <c r="Q4050" t="s">
        <v>84</v>
      </c>
      <c r="S4050" t="str">
        <f>_xlfn.XLOOKUP(UNIVERSO[[#This Row],[Ruta]],'[1]CUOTA RUTA'!A:A,'[1]CUOTA RUTA'!D:D)</f>
        <v>Cargar</v>
      </c>
    </row>
    <row r="4051" spans="1:19" x14ac:dyDescent="0.25">
      <c r="A4051">
        <v>1540057753</v>
      </c>
      <c r="B4051" t="s">
        <v>7965</v>
      </c>
      <c r="C4051" t="s">
        <v>19</v>
      </c>
      <c r="D4051" t="s">
        <v>266</v>
      </c>
      <c r="E4051" t="s">
        <v>21</v>
      </c>
      <c r="F4051" t="s">
        <v>22</v>
      </c>
      <c r="G4051" t="s">
        <v>64</v>
      </c>
      <c r="H4051" t="s">
        <v>272</v>
      </c>
      <c r="I4051" t="s">
        <v>7966</v>
      </c>
      <c r="J4051">
        <v>9.8739749999999997</v>
      </c>
      <c r="K4051">
        <v>-83.820324999999997</v>
      </c>
      <c r="L4051" t="s">
        <v>1225</v>
      </c>
      <c r="M4051" t="s">
        <v>54</v>
      </c>
      <c r="N4051" t="s">
        <v>274</v>
      </c>
      <c r="O4051" t="s">
        <v>275</v>
      </c>
      <c r="P4051">
        <v>21</v>
      </c>
      <c r="Q4051" t="s">
        <v>239</v>
      </c>
      <c r="S4051" t="str">
        <f>_xlfn.XLOOKUP(UNIVERSO[[#This Row],[Ruta]],'[1]CUOTA RUTA'!A:A,'[1]CUOTA RUTA'!D:D)</f>
        <v>Cargar</v>
      </c>
    </row>
    <row r="4052" spans="1:19" x14ac:dyDescent="0.25">
      <c r="A4052">
        <v>1540057806</v>
      </c>
      <c r="B4052" t="s">
        <v>7967</v>
      </c>
      <c r="C4052" t="s">
        <v>19</v>
      </c>
      <c r="D4052" t="s">
        <v>32</v>
      </c>
      <c r="E4052" t="s">
        <v>21</v>
      </c>
      <c r="F4052" t="s">
        <v>22</v>
      </c>
      <c r="G4052" t="s">
        <v>64</v>
      </c>
      <c r="H4052" t="s">
        <v>76</v>
      </c>
      <c r="I4052" t="s">
        <v>7968</v>
      </c>
      <c r="J4052">
        <v>9.9582499999999996</v>
      </c>
      <c r="K4052">
        <v>-84.006699999999995</v>
      </c>
      <c r="L4052" t="s">
        <v>1225</v>
      </c>
      <c r="M4052" t="s">
        <v>36</v>
      </c>
      <c r="N4052" t="s">
        <v>37</v>
      </c>
      <c r="O4052" t="s">
        <v>38</v>
      </c>
      <c r="P4052">
        <v>20</v>
      </c>
      <c r="Q4052" t="s">
        <v>74</v>
      </c>
      <c r="S4052" t="str">
        <f>_xlfn.XLOOKUP(UNIVERSO[[#This Row],[Ruta]],'[1]CUOTA RUTA'!A:A,'[1]CUOTA RUTA'!D:D)</f>
        <v>Cargar</v>
      </c>
    </row>
    <row r="4053" spans="1:19" x14ac:dyDescent="0.25">
      <c r="A4053">
        <v>1540057812</v>
      </c>
      <c r="B4053" t="s">
        <v>7969</v>
      </c>
      <c r="C4053" t="s">
        <v>19</v>
      </c>
      <c r="D4053" t="s">
        <v>32</v>
      </c>
      <c r="E4053" t="s">
        <v>21</v>
      </c>
      <c r="F4053" t="s">
        <v>22</v>
      </c>
      <c r="G4053" t="s">
        <v>33</v>
      </c>
      <c r="H4053" t="s">
        <v>89</v>
      </c>
      <c r="I4053" t="s">
        <v>7970</v>
      </c>
      <c r="J4053">
        <v>9.8913320000000002</v>
      </c>
      <c r="K4053">
        <v>-84.086727999999994</v>
      </c>
      <c r="L4053" t="s">
        <v>1225</v>
      </c>
      <c r="M4053" t="s">
        <v>71</v>
      </c>
      <c r="N4053" t="s">
        <v>72</v>
      </c>
      <c r="O4053" t="s">
        <v>73</v>
      </c>
      <c r="P4053">
        <v>8</v>
      </c>
      <c r="Q4053" t="s">
        <v>97</v>
      </c>
      <c r="S4053" t="str">
        <f>_xlfn.XLOOKUP(UNIVERSO[[#This Row],[Ruta]],'[1]CUOTA RUTA'!A:A,'[1]CUOTA RUTA'!D:D)</f>
        <v>Cargar</v>
      </c>
    </row>
    <row r="4054" spans="1:19" x14ac:dyDescent="0.25">
      <c r="A4054">
        <v>1540057845</v>
      </c>
      <c r="B4054" t="s">
        <v>7971</v>
      </c>
      <c r="C4054" t="s">
        <v>19</v>
      </c>
      <c r="D4054" t="s">
        <v>208</v>
      </c>
      <c r="E4054" t="s">
        <v>21</v>
      </c>
      <c r="F4054" t="s">
        <v>22</v>
      </c>
      <c r="G4054" t="s">
        <v>33</v>
      </c>
      <c r="H4054" t="s">
        <v>1794</v>
      </c>
      <c r="I4054" t="s">
        <v>7972</v>
      </c>
      <c r="J4054">
        <v>10.332456000000001</v>
      </c>
      <c r="K4054">
        <v>-83.950115999999994</v>
      </c>
      <c r="L4054" t="s">
        <v>1225</v>
      </c>
      <c r="M4054" t="s">
        <v>189</v>
      </c>
      <c r="N4054" t="s">
        <v>211</v>
      </c>
      <c r="O4054" t="s">
        <v>212</v>
      </c>
      <c r="P4054">
        <v>3</v>
      </c>
      <c r="Q4054" t="s">
        <v>101</v>
      </c>
      <c r="S4054" t="str">
        <f>_xlfn.XLOOKUP(UNIVERSO[[#This Row],[Ruta]],'[1]CUOTA RUTA'!A:A,'[1]CUOTA RUTA'!D:D)</f>
        <v>Cargar</v>
      </c>
    </row>
    <row r="4055" spans="1:19" x14ac:dyDescent="0.25">
      <c r="A4055">
        <v>1540057851</v>
      </c>
      <c r="B4055" t="s">
        <v>7973</v>
      </c>
      <c r="C4055" t="s">
        <v>19</v>
      </c>
      <c r="D4055" t="s">
        <v>266</v>
      </c>
      <c r="E4055" t="s">
        <v>21</v>
      </c>
      <c r="F4055" t="s">
        <v>22</v>
      </c>
      <c r="G4055" t="s">
        <v>64</v>
      </c>
      <c r="H4055" t="s">
        <v>267</v>
      </c>
      <c r="I4055" t="s">
        <v>7974</v>
      </c>
      <c r="J4055">
        <v>9.9064093</v>
      </c>
      <c r="K4055">
        <v>-83.682916599999999</v>
      </c>
      <c r="L4055" t="s">
        <v>1225</v>
      </c>
      <c r="M4055" t="s">
        <v>189</v>
      </c>
      <c r="N4055" t="s">
        <v>269</v>
      </c>
      <c r="O4055" t="s">
        <v>270</v>
      </c>
      <c r="P4055">
        <v>20</v>
      </c>
      <c r="Q4055" t="s">
        <v>74</v>
      </c>
      <c r="S4055" t="str">
        <f>_xlfn.XLOOKUP(UNIVERSO[[#This Row],[Ruta]],'[1]CUOTA RUTA'!A:A,'[1]CUOTA RUTA'!D:D)</f>
        <v>Cargar</v>
      </c>
    </row>
    <row r="4056" spans="1:19" x14ac:dyDescent="0.25">
      <c r="A4056">
        <v>1540057880</v>
      </c>
      <c r="B4056" t="s">
        <v>7975</v>
      </c>
      <c r="C4056" t="s">
        <v>19</v>
      </c>
      <c r="D4056" t="s">
        <v>32</v>
      </c>
      <c r="E4056" t="s">
        <v>21</v>
      </c>
      <c r="F4056" t="s">
        <v>51</v>
      </c>
      <c r="G4056" t="s">
        <v>23</v>
      </c>
      <c r="H4056" t="s">
        <v>138</v>
      </c>
      <c r="I4056" t="s">
        <v>7976</v>
      </c>
      <c r="J4056">
        <v>9.9023886000000001</v>
      </c>
      <c r="K4056">
        <v>-84.068553300000005</v>
      </c>
      <c r="L4056" t="s">
        <v>1225</v>
      </c>
      <c r="M4056" t="s">
        <v>36</v>
      </c>
      <c r="N4056" t="s">
        <v>37</v>
      </c>
      <c r="O4056" t="s">
        <v>38</v>
      </c>
      <c r="P4056">
        <v>13</v>
      </c>
      <c r="Q4056" t="s">
        <v>161</v>
      </c>
      <c r="S4056" t="str">
        <f>_xlfn.XLOOKUP(UNIVERSO[[#This Row],[Ruta]],'[1]CUOTA RUTA'!A:A,'[1]CUOTA RUTA'!D:D)</f>
        <v>Cargar</v>
      </c>
    </row>
    <row r="4057" spans="1:19" x14ac:dyDescent="0.25">
      <c r="A4057">
        <v>1540057959</v>
      </c>
      <c r="B4057" t="s">
        <v>7977</v>
      </c>
      <c r="C4057" t="s">
        <v>19</v>
      </c>
      <c r="D4057" t="s">
        <v>201</v>
      </c>
      <c r="E4057" t="s">
        <v>21</v>
      </c>
      <c r="F4057" t="s">
        <v>22</v>
      </c>
      <c r="G4057" t="s">
        <v>33</v>
      </c>
      <c r="H4057" t="s">
        <v>593</v>
      </c>
      <c r="I4057" t="s">
        <v>7978</v>
      </c>
      <c r="J4057">
        <v>9.9760492999999997</v>
      </c>
      <c r="K4057">
        <v>-84.836049099999997</v>
      </c>
      <c r="L4057" t="s">
        <v>1225</v>
      </c>
      <c r="M4057" t="s">
        <v>204</v>
      </c>
      <c r="N4057" t="s">
        <v>205</v>
      </c>
      <c r="O4057" t="s">
        <v>206</v>
      </c>
      <c r="P4057">
        <v>11</v>
      </c>
      <c r="Q4057" t="s">
        <v>108</v>
      </c>
      <c r="S4057" t="str">
        <f>_xlfn.XLOOKUP(UNIVERSO[[#This Row],[Ruta]],'[1]CUOTA RUTA'!A:A,'[1]CUOTA RUTA'!D:D)</f>
        <v>Cargar</v>
      </c>
    </row>
    <row r="4058" spans="1:19" x14ac:dyDescent="0.25">
      <c r="A4058">
        <v>1540057983</v>
      </c>
      <c r="B4058" t="s">
        <v>7979</v>
      </c>
      <c r="C4058" t="s">
        <v>19</v>
      </c>
      <c r="D4058" t="s">
        <v>20</v>
      </c>
      <c r="E4058" t="s">
        <v>21</v>
      </c>
      <c r="F4058" t="s">
        <v>22</v>
      </c>
      <c r="G4058" t="s">
        <v>64</v>
      </c>
      <c r="H4058" t="s">
        <v>308</v>
      </c>
      <c r="I4058" t="s">
        <v>6212</v>
      </c>
      <c r="J4058">
        <v>9.8451880000000003</v>
      </c>
      <c r="K4058">
        <v>-84.316418999999996</v>
      </c>
      <c r="L4058" t="s">
        <v>1225</v>
      </c>
      <c r="M4058" t="s">
        <v>54</v>
      </c>
      <c r="N4058" t="s">
        <v>55</v>
      </c>
      <c r="O4058" t="s">
        <v>56</v>
      </c>
      <c r="P4058">
        <v>22</v>
      </c>
      <c r="Q4058" t="s">
        <v>30</v>
      </c>
      <c r="S4058" t="str">
        <f>_xlfn.XLOOKUP(UNIVERSO[[#This Row],[Ruta]],'[1]CUOTA RUTA'!A:A,'[1]CUOTA RUTA'!D:D)</f>
        <v>Cargar</v>
      </c>
    </row>
    <row r="4059" spans="1:19" x14ac:dyDescent="0.25">
      <c r="A4059">
        <v>1540058006</v>
      </c>
      <c r="B4059" t="s">
        <v>7980</v>
      </c>
      <c r="C4059" t="s">
        <v>19</v>
      </c>
      <c r="D4059" t="s">
        <v>201</v>
      </c>
      <c r="E4059" t="s">
        <v>21</v>
      </c>
      <c r="F4059" t="s">
        <v>22</v>
      </c>
      <c r="G4059" t="s">
        <v>33</v>
      </c>
      <c r="H4059" t="s">
        <v>202</v>
      </c>
      <c r="I4059" t="s">
        <v>7981</v>
      </c>
      <c r="J4059">
        <v>9.9821030000000004</v>
      </c>
      <c r="K4059">
        <v>-84.730099999999993</v>
      </c>
      <c r="L4059" t="s">
        <v>1225</v>
      </c>
      <c r="M4059" t="s">
        <v>204</v>
      </c>
      <c r="N4059" t="s">
        <v>205</v>
      </c>
      <c r="O4059" t="s">
        <v>206</v>
      </c>
      <c r="P4059">
        <v>9</v>
      </c>
      <c r="Q4059" t="s">
        <v>80</v>
      </c>
      <c r="S4059" t="str">
        <f>_xlfn.XLOOKUP(UNIVERSO[[#This Row],[Ruta]],'[1]CUOTA RUTA'!A:A,'[1]CUOTA RUTA'!D:D)</f>
        <v>Cargar</v>
      </c>
    </row>
    <row r="4060" spans="1:19" x14ac:dyDescent="0.25">
      <c r="A4060">
        <v>1540058035</v>
      </c>
      <c r="B4060" t="s">
        <v>7982</v>
      </c>
      <c r="C4060" t="s">
        <v>19</v>
      </c>
      <c r="D4060" t="s">
        <v>266</v>
      </c>
      <c r="E4060" t="s">
        <v>21</v>
      </c>
      <c r="F4060" t="s">
        <v>22</v>
      </c>
      <c r="G4060" t="s">
        <v>64</v>
      </c>
      <c r="H4060" t="s">
        <v>1011</v>
      </c>
      <c r="I4060" t="s">
        <v>7983</v>
      </c>
      <c r="J4060">
        <v>9.8251878000000001</v>
      </c>
      <c r="K4060">
        <v>-83.801085799999996</v>
      </c>
      <c r="L4060" t="s">
        <v>1225</v>
      </c>
      <c r="M4060" t="s">
        <v>54</v>
      </c>
      <c r="N4060" t="s">
        <v>274</v>
      </c>
      <c r="O4060" t="s">
        <v>275</v>
      </c>
      <c r="P4060">
        <v>21</v>
      </c>
      <c r="Q4060" t="s">
        <v>239</v>
      </c>
      <c r="S4060" t="str">
        <f>_xlfn.XLOOKUP(UNIVERSO[[#This Row],[Ruta]],'[1]CUOTA RUTA'!A:A,'[1]CUOTA RUTA'!D:D)</f>
        <v>Cargar</v>
      </c>
    </row>
    <row r="4061" spans="1:19" x14ac:dyDescent="0.25">
      <c r="A4061">
        <v>1540058052</v>
      </c>
      <c r="B4061" t="s">
        <v>7984</v>
      </c>
      <c r="C4061" t="s">
        <v>19</v>
      </c>
      <c r="D4061" t="s">
        <v>32</v>
      </c>
      <c r="E4061" t="s">
        <v>21</v>
      </c>
      <c r="F4061" t="s">
        <v>22</v>
      </c>
      <c r="G4061" t="s">
        <v>64</v>
      </c>
      <c r="H4061" t="s">
        <v>82</v>
      </c>
      <c r="I4061" t="s">
        <v>7985</v>
      </c>
      <c r="J4061">
        <v>9.8922109999999996</v>
      </c>
      <c r="K4061">
        <v>-84.072331000000005</v>
      </c>
      <c r="L4061" t="s">
        <v>1225</v>
      </c>
      <c r="M4061" t="s">
        <v>71</v>
      </c>
      <c r="N4061" t="s">
        <v>72</v>
      </c>
      <c r="O4061" t="s">
        <v>73</v>
      </c>
      <c r="P4061">
        <v>7</v>
      </c>
      <c r="Q4061" t="s">
        <v>39</v>
      </c>
      <c r="S4061" t="str">
        <f>_xlfn.XLOOKUP(UNIVERSO[[#This Row],[Ruta]],'[1]CUOTA RUTA'!A:A,'[1]CUOTA RUTA'!D:D)</f>
        <v>Cargar</v>
      </c>
    </row>
    <row r="4062" spans="1:19" x14ac:dyDescent="0.25">
      <c r="A4062">
        <v>1540058060</v>
      </c>
      <c r="B4062" t="s">
        <v>7986</v>
      </c>
      <c r="C4062" t="s">
        <v>19</v>
      </c>
      <c r="D4062" t="s">
        <v>266</v>
      </c>
      <c r="E4062" t="s">
        <v>21</v>
      </c>
      <c r="F4062" t="s">
        <v>22</v>
      </c>
      <c r="G4062" t="s">
        <v>64</v>
      </c>
      <c r="H4062" t="s">
        <v>267</v>
      </c>
      <c r="I4062" t="s">
        <v>7987</v>
      </c>
      <c r="J4062">
        <v>9.8380960000000002</v>
      </c>
      <c r="K4062">
        <v>-83.581820399999998</v>
      </c>
      <c r="L4062" t="s">
        <v>1225</v>
      </c>
      <c r="M4062" t="s">
        <v>189</v>
      </c>
      <c r="N4062" t="s">
        <v>269</v>
      </c>
      <c r="O4062" t="s">
        <v>270</v>
      </c>
      <c r="P4062">
        <v>23</v>
      </c>
      <c r="Q4062" t="s">
        <v>125</v>
      </c>
      <c r="S4062" t="str">
        <f>_xlfn.XLOOKUP(UNIVERSO[[#This Row],[Ruta]],'[1]CUOTA RUTA'!A:A,'[1]CUOTA RUTA'!D:D)</f>
        <v>Cargar</v>
      </c>
    </row>
    <row r="4063" spans="1:19" x14ac:dyDescent="0.25">
      <c r="A4063">
        <v>1540058066</v>
      </c>
      <c r="B4063" t="s">
        <v>7988</v>
      </c>
      <c r="C4063" t="s">
        <v>19</v>
      </c>
      <c r="D4063" t="s">
        <v>208</v>
      </c>
      <c r="E4063" t="s">
        <v>21</v>
      </c>
      <c r="F4063" t="s">
        <v>22</v>
      </c>
      <c r="G4063" t="s">
        <v>64</v>
      </c>
      <c r="H4063" t="s">
        <v>616</v>
      </c>
      <c r="I4063" t="s">
        <v>7989</v>
      </c>
      <c r="J4063">
        <v>10.497439</v>
      </c>
      <c r="K4063">
        <v>-84.026342</v>
      </c>
      <c r="L4063" t="s">
        <v>1225</v>
      </c>
      <c r="M4063" t="s">
        <v>189</v>
      </c>
      <c r="N4063" t="s">
        <v>211</v>
      </c>
      <c r="O4063" t="s">
        <v>212</v>
      </c>
      <c r="P4063">
        <v>10</v>
      </c>
      <c r="Q4063" t="s">
        <v>136</v>
      </c>
      <c r="S4063" t="str">
        <f>_xlfn.XLOOKUP(UNIVERSO[[#This Row],[Ruta]],'[1]CUOTA RUTA'!A:A,'[1]CUOTA RUTA'!D:D)</f>
        <v>Cargar</v>
      </c>
    </row>
    <row r="4064" spans="1:19" x14ac:dyDescent="0.25">
      <c r="A4064">
        <v>1540058163</v>
      </c>
      <c r="B4064" t="s">
        <v>7990</v>
      </c>
      <c r="C4064" t="s">
        <v>19</v>
      </c>
      <c r="D4064" t="s">
        <v>32</v>
      </c>
      <c r="E4064" t="s">
        <v>21</v>
      </c>
      <c r="F4064" t="s">
        <v>22</v>
      </c>
      <c r="G4064" t="s">
        <v>64</v>
      </c>
      <c r="H4064" t="s">
        <v>183</v>
      </c>
      <c r="I4064" t="s">
        <v>7991</v>
      </c>
      <c r="J4064">
        <v>9.9671099999999999</v>
      </c>
      <c r="K4064">
        <v>-84.051656666659994</v>
      </c>
      <c r="L4064" t="s">
        <v>1225</v>
      </c>
      <c r="M4064" t="s">
        <v>36</v>
      </c>
      <c r="N4064" t="s">
        <v>37</v>
      </c>
      <c r="O4064" t="s">
        <v>38</v>
      </c>
      <c r="P4064">
        <v>22</v>
      </c>
      <c r="Q4064" t="s">
        <v>30</v>
      </c>
      <c r="S4064" t="str">
        <f>_xlfn.XLOOKUP(UNIVERSO[[#This Row],[Ruta]],'[1]CUOTA RUTA'!A:A,'[1]CUOTA RUTA'!D:D)</f>
        <v>Cargar</v>
      </c>
    </row>
    <row r="4065" spans="1:19" x14ac:dyDescent="0.25">
      <c r="A4065">
        <v>1540058182</v>
      </c>
      <c r="B4065" t="s">
        <v>7992</v>
      </c>
      <c r="C4065" t="s">
        <v>19</v>
      </c>
      <c r="D4065" t="s">
        <v>32</v>
      </c>
      <c r="E4065" t="s">
        <v>21</v>
      </c>
      <c r="F4065" t="s">
        <v>22</v>
      </c>
      <c r="G4065" t="s">
        <v>33</v>
      </c>
      <c r="H4065" t="s">
        <v>92</v>
      </c>
      <c r="I4065" t="s">
        <v>7993</v>
      </c>
      <c r="J4065">
        <v>9.9587280000000007</v>
      </c>
      <c r="K4065">
        <v>-84.020044999999996</v>
      </c>
      <c r="L4065" t="s">
        <v>1225</v>
      </c>
      <c r="M4065" t="s">
        <v>94</v>
      </c>
      <c r="N4065" t="s">
        <v>95</v>
      </c>
      <c r="O4065" t="s">
        <v>96</v>
      </c>
      <c r="P4065">
        <v>8</v>
      </c>
      <c r="Q4065" t="s">
        <v>97</v>
      </c>
      <c r="S4065" t="str">
        <f>_xlfn.XLOOKUP(UNIVERSO[[#This Row],[Ruta]],'[1]CUOTA RUTA'!A:A,'[1]CUOTA RUTA'!D:D)</f>
        <v>Cargar</v>
      </c>
    </row>
    <row r="4066" spans="1:19" x14ac:dyDescent="0.25">
      <c r="A4066">
        <v>1540058203</v>
      </c>
      <c r="B4066" t="s">
        <v>7994</v>
      </c>
      <c r="C4066" t="s">
        <v>19</v>
      </c>
      <c r="D4066" t="s">
        <v>244</v>
      </c>
      <c r="E4066" t="s">
        <v>62</v>
      </c>
      <c r="F4066" t="s">
        <v>63</v>
      </c>
      <c r="G4066" t="s">
        <v>33</v>
      </c>
      <c r="H4066" t="s">
        <v>436</v>
      </c>
      <c r="I4066" t="s">
        <v>7995</v>
      </c>
      <c r="J4066">
        <v>9.4309740000000009</v>
      </c>
      <c r="K4066">
        <v>-84.163023999999993</v>
      </c>
      <c r="L4066" t="s">
        <v>1225</v>
      </c>
      <c r="M4066" t="s">
        <v>46</v>
      </c>
      <c r="N4066" t="s">
        <v>247</v>
      </c>
      <c r="O4066" t="s">
        <v>248</v>
      </c>
      <c r="P4066">
        <v>21</v>
      </c>
      <c r="Q4066" t="s">
        <v>239</v>
      </c>
      <c r="S4066" t="str">
        <f>_xlfn.XLOOKUP(UNIVERSO[[#This Row],[Ruta]],'[1]CUOTA RUTA'!A:A,'[1]CUOTA RUTA'!D:D)</f>
        <v>Cargar</v>
      </c>
    </row>
    <row r="4067" spans="1:19" x14ac:dyDescent="0.25">
      <c r="A4067">
        <v>1540058215</v>
      </c>
      <c r="B4067" t="s">
        <v>1123</v>
      </c>
      <c r="C4067" t="s">
        <v>19</v>
      </c>
      <c r="D4067" t="s">
        <v>20</v>
      </c>
      <c r="E4067" t="s">
        <v>21</v>
      </c>
      <c r="F4067" t="s">
        <v>22</v>
      </c>
      <c r="G4067" t="s">
        <v>33</v>
      </c>
      <c r="H4067" t="s">
        <v>743</v>
      </c>
      <c r="I4067" t="s">
        <v>7996</v>
      </c>
      <c r="J4067">
        <v>9.9994449999999997</v>
      </c>
      <c r="K4067">
        <v>-84.396811</v>
      </c>
      <c r="L4067" t="s">
        <v>1225</v>
      </c>
      <c r="M4067" t="s">
        <v>46</v>
      </c>
      <c r="N4067" t="s">
        <v>47</v>
      </c>
      <c r="O4067" t="s">
        <v>48</v>
      </c>
      <c r="P4067">
        <v>9</v>
      </c>
      <c r="Q4067" t="s">
        <v>80</v>
      </c>
      <c r="S4067" t="str">
        <f>_xlfn.XLOOKUP(UNIVERSO[[#This Row],[Ruta]],'[1]CUOTA RUTA'!A:A,'[1]CUOTA RUTA'!D:D)</f>
        <v>Cargar</v>
      </c>
    </row>
    <row r="4068" spans="1:19" x14ac:dyDescent="0.25">
      <c r="A4068">
        <v>1540058282</v>
      </c>
      <c r="B4068" t="s">
        <v>7997</v>
      </c>
      <c r="C4068" t="s">
        <v>19</v>
      </c>
      <c r="D4068" t="s">
        <v>208</v>
      </c>
      <c r="E4068" t="s">
        <v>21</v>
      </c>
      <c r="F4068" t="s">
        <v>22</v>
      </c>
      <c r="G4068" t="s">
        <v>64</v>
      </c>
      <c r="H4068" t="s">
        <v>417</v>
      </c>
      <c r="I4068" t="s">
        <v>7998</v>
      </c>
      <c r="J4068">
        <v>10.32048668</v>
      </c>
      <c r="K4068">
        <v>-83.879442800000007</v>
      </c>
      <c r="L4068" t="s">
        <v>1225</v>
      </c>
      <c r="M4068" t="s">
        <v>189</v>
      </c>
      <c r="N4068" t="s">
        <v>211</v>
      </c>
      <c r="O4068" t="s">
        <v>212</v>
      </c>
      <c r="P4068">
        <v>3</v>
      </c>
      <c r="Q4068" t="s">
        <v>101</v>
      </c>
      <c r="S4068" t="str">
        <f>_xlfn.XLOOKUP(UNIVERSO[[#This Row],[Ruta]],'[1]CUOTA RUTA'!A:A,'[1]CUOTA RUTA'!D:D)</f>
        <v>Cargar</v>
      </c>
    </row>
    <row r="4069" spans="1:19" x14ac:dyDescent="0.25">
      <c r="A4069">
        <v>1540058284</v>
      </c>
      <c r="B4069" t="s">
        <v>7999</v>
      </c>
      <c r="C4069" t="s">
        <v>19</v>
      </c>
      <c r="D4069" t="s">
        <v>266</v>
      </c>
      <c r="E4069" t="s">
        <v>21</v>
      </c>
      <c r="F4069" t="s">
        <v>22</v>
      </c>
      <c r="G4069" t="s">
        <v>33</v>
      </c>
      <c r="H4069" t="s">
        <v>267</v>
      </c>
      <c r="I4069" t="s">
        <v>8000</v>
      </c>
      <c r="J4069">
        <v>9.8506894000000003</v>
      </c>
      <c r="K4069">
        <v>-83.612966</v>
      </c>
      <c r="L4069" t="s">
        <v>1225</v>
      </c>
      <c r="M4069" t="s">
        <v>189</v>
      </c>
      <c r="N4069" t="s">
        <v>269</v>
      </c>
      <c r="O4069" t="s">
        <v>270</v>
      </c>
      <c r="P4069">
        <v>20</v>
      </c>
      <c r="Q4069" t="s">
        <v>74</v>
      </c>
      <c r="S4069" t="str">
        <f>_xlfn.XLOOKUP(UNIVERSO[[#This Row],[Ruta]],'[1]CUOTA RUTA'!A:A,'[1]CUOTA RUTA'!D:D)</f>
        <v>Cargar</v>
      </c>
    </row>
    <row r="4070" spans="1:19" x14ac:dyDescent="0.25">
      <c r="A4070">
        <v>1540058441</v>
      </c>
      <c r="B4070" t="s">
        <v>8001</v>
      </c>
      <c r="C4070" t="s">
        <v>19</v>
      </c>
      <c r="D4070" t="s">
        <v>32</v>
      </c>
      <c r="E4070" t="s">
        <v>21</v>
      </c>
      <c r="F4070" t="s">
        <v>22</v>
      </c>
      <c r="G4070" t="s">
        <v>64</v>
      </c>
      <c r="H4070" t="s">
        <v>65</v>
      </c>
      <c r="I4070" t="s">
        <v>8002</v>
      </c>
      <c r="J4070">
        <v>9.9062199999999994</v>
      </c>
      <c r="K4070">
        <v>-83.988020000000006</v>
      </c>
      <c r="L4070" t="s">
        <v>1225</v>
      </c>
      <c r="M4070" t="s">
        <v>36</v>
      </c>
      <c r="N4070" t="s">
        <v>37</v>
      </c>
      <c r="O4070" t="s">
        <v>38</v>
      </c>
      <c r="P4070">
        <v>18</v>
      </c>
      <c r="Q4070" t="s">
        <v>84</v>
      </c>
      <c r="S4070" t="str">
        <f>_xlfn.XLOOKUP(UNIVERSO[[#This Row],[Ruta]],'[1]CUOTA RUTA'!A:A,'[1]CUOTA RUTA'!D:D)</f>
        <v>Cargar</v>
      </c>
    </row>
    <row r="4071" spans="1:19" x14ac:dyDescent="0.25">
      <c r="A4071">
        <v>1540058464</v>
      </c>
      <c r="B4071" t="s">
        <v>8003</v>
      </c>
      <c r="C4071" t="s">
        <v>19</v>
      </c>
      <c r="D4071" t="s">
        <v>32</v>
      </c>
      <c r="E4071" t="s">
        <v>21</v>
      </c>
      <c r="F4071" t="s">
        <v>22</v>
      </c>
      <c r="G4071" t="s">
        <v>64</v>
      </c>
      <c r="H4071" t="s">
        <v>625</v>
      </c>
      <c r="I4071" t="s">
        <v>8004</v>
      </c>
      <c r="J4071">
        <v>10.019745</v>
      </c>
      <c r="K4071">
        <v>-84.038169999999994</v>
      </c>
      <c r="L4071" t="s">
        <v>1225</v>
      </c>
      <c r="M4071" t="s">
        <v>94</v>
      </c>
      <c r="N4071" t="s">
        <v>95</v>
      </c>
      <c r="O4071" t="s">
        <v>96</v>
      </c>
      <c r="P4071">
        <v>5</v>
      </c>
      <c r="Q4071" t="s">
        <v>117</v>
      </c>
      <c r="S4071" t="str">
        <f>_xlfn.XLOOKUP(UNIVERSO[[#This Row],[Ruta]],'[1]CUOTA RUTA'!A:A,'[1]CUOTA RUTA'!D:D)</f>
        <v>Cargar</v>
      </c>
    </row>
    <row r="4072" spans="1:19" x14ac:dyDescent="0.25">
      <c r="A4072">
        <v>1540058537</v>
      </c>
      <c r="B4072" t="s">
        <v>8005</v>
      </c>
      <c r="C4072" t="s">
        <v>19</v>
      </c>
      <c r="D4072" t="s">
        <v>569</v>
      </c>
      <c r="E4072" t="s">
        <v>21</v>
      </c>
      <c r="F4072" t="s">
        <v>22</v>
      </c>
      <c r="G4072" t="s">
        <v>64</v>
      </c>
      <c r="H4072" t="s">
        <v>570</v>
      </c>
      <c r="I4072" t="s">
        <v>8006</v>
      </c>
      <c r="J4072">
        <v>8.9702160000000006</v>
      </c>
      <c r="K4072">
        <v>-83.526622000000003</v>
      </c>
      <c r="L4072" t="s">
        <v>1225</v>
      </c>
      <c r="M4072" t="s">
        <v>572</v>
      </c>
      <c r="N4072" t="s">
        <v>573</v>
      </c>
      <c r="O4072" t="s">
        <v>574</v>
      </c>
      <c r="P4072">
        <v>22</v>
      </c>
      <c r="Q4072" t="s">
        <v>30</v>
      </c>
      <c r="S4072" t="str">
        <f>_xlfn.XLOOKUP(UNIVERSO[[#This Row],[Ruta]],'[1]CUOTA RUTA'!A:A,'[1]CUOTA RUTA'!D:D)</f>
        <v>Cargar</v>
      </c>
    </row>
    <row r="4073" spans="1:19" x14ac:dyDescent="0.25">
      <c r="A4073">
        <v>1540058586</v>
      </c>
      <c r="B4073" t="s">
        <v>8007</v>
      </c>
      <c r="C4073" t="s">
        <v>19</v>
      </c>
      <c r="D4073" t="s">
        <v>32</v>
      </c>
      <c r="E4073" t="s">
        <v>21</v>
      </c>
      <c r="F4073" t="s">
        <v>22</v>
      </c>
      <c r="G4073" t="s">
        <v>64</v>
      </c>
      <c r="H4073" t="s">
        <v>92</v>
      </c>
      <c r="I4073" t="s">
        <v>8008</v>
      </c>
      <c r="J4073">
        <v>9.9610079999999996</v>
      </c>
      <c r="K4073">
        <v>-84.011666000000005</v>
      </c>
      <c r="L4073" t="s">
        <v>1225</v>
      </c>
      <c r="M4073" t="s">
        <v>94</v>
      </c>
      <c r="N4073" t="s">
        <v>95</v>
      </c>
      <c r="O4073" t="s">
        <v>96</v>
      </c>
      <c r="P4073">
        <v>4</v>
      </c>
      <c r="Q4073" t="s">
        <v>120</v>
      </c>
      <c r="S4073" t="str">
        <f>_xlfn.XLOOKUP(UNIVERSO[[#This Row],[Ruta]],'[1]CUOTA RUTA'!A:A,'[1]CUOTA RUTA'!D:D)</f>
        <v>Cargar</v>
      </c>
    </row>
    <row r="4074" spans="1:19" x14ac:dyDescent="0.25">
      <c r="A4074">
        <v>1540058633</v>
      </c>
      <c r="B4074" t="s">
        <v>8009</v>
      </c>
      <c r="C4074" t="s">
        <v>19</v>
      </c>
      <c r="D4074" t="s">
        <v>32</v>
      </c>
      <c r="E4074" t="s">
        <v>21</v>
      </c>
      <c r="F4074" t="s">
        <v>22</v>
      </c>
      <c r="G4074" t="s">
        <v>64</v>
      </c>
      <c r="H4074" t="s">
        <v>148</v>
      </c>
      <c r="I4074" t="s">
        <v>8010</v>
      </c>
      <c r="J4074">
        <v>10.002000000000001</v>
      </c>
      <c r="K4074">
        <v>-83.958299999999994</v>
      </c>
      <c r="L4074" t="s">
        <v>1225</v>
      </c>
      <c r="M4074" t="s">
        <v>94</v>
      </c>
      <c r="N4074" t="s">
        <v>95</v>
      </c>
      <c r="O4074" t="s">
        <v>96</v>
      </c>
      <c r="P4074">
        <v>12</v>
      </c>
      <c r="Q4074" t="s">
        <v>42</v>
      </c>
      <c r="S4074" t="str">
        <f>_xlfn.XLOOKUP(UNIVERSO[[#This Row],[Ruta]],'[1]CUOTA RUTA'!A:A,'[1]CUOTA RUTA'!D:D)</f>
        <v>Cargar</v>
      </c>
    </row>
    <row r="4075" spans="1:19" x14ac:dyDescent="0.25">
      <c r="A4075">
        <v>1540058655</v>
      </c>
      <c r="B4075" t="s">
        <v>8011</v>
      </c>
      <c r="C4075" t="s">
        <v>19</v>
      </c>
      <c r="D4075" t="s">
        <v>201</v>
      </c>
      <c r="E4075" t="s">
        <v>21</v>
      </c>
      <c r="F4075" t="s">
        <v>22</v>
      </c>
      <c r="G4075" t="s">
        <v>64</v>
      </c>
      <c r="H4075" t="s">
        <v>528</v>
      </c>
      <c r="I4075" t="s">
        <v>8012</v>
      </c>
      <c r="J4075">
        <v>10.275097000000001</v>
      </c>
      <c r="K4075">
        <v>-84.973731000000001</v>
      </c>
      <c r="L4075" t="s">
        <v>1225</v>
      </c>
      <c r="M4075" t="s">
        <v>327</v>
      </c>
      <c r="N4075" t="s">
        <v>530</v>
      </c>
      <c r="O4075" t="s">
        <v>531</v>
      </c>
      <c r="P4075">
        <v>1</v>
      </c>
      <c r="Q4075" t="s">
        <v>155</v>
      </c>
      <c r="S4075" t="str">
        <f>_xlfn.XLOOKUP(UNIVERSO[[#This Row],[Ruta]],'[1]CUOTA RUTA'!A:A,'[1]CUOTA RUTA'!D:D)</f>
        <v>Cargar</v>
      </c>
    </row>
    <row r="4076" spans="1:19" x14ac:dyDescent="0.25">
      <c r="A4076">
        <v>1540058665</v>
      </c>
      <c r="B4076" t="s">
        <v>8013</v>
      </c>
      <c r="C4076" t="s">
        <v>19</v>
      </c>
      <c r="D4076" t="s">
        <v>337</v>
      </c>
      <c r="E4076" t="s">
        <v>21</v>
      </c>
      <c r="F4076" t="s">
        <v>22</v>
      </c>
      <c r="G4076" t="s">
        <v>64</v>
      </c>
      <c r="H4076" t="s">
        <v>346</v>
      </c>
      <c r="I4076" t="s">
        <v>8014</v>
      </c>
      <c r="J4076">
        <v>10.406829</v>
      </c>
      <c r="K4076">
        <v>-85.788737999999995</v>
      </c>
      <c r="L4076" t="s">
        <v>1225</v>
      </c>
      <c r="M4076" t="s">
        <v>327</v>
      </c>
      <c r="N4076" t="s">
        <v>340</v>
      </c>
      <c r="O4076" t="s">
        <v>341</v>
      </c>
      <c r="P4076">
        <v>18</v>
      </c>
      <c r="Q4076" t="s">
        <v>84</v>
      </c>
      <c r="S4076" t="str">
        <f>_xlfn.XLOOKUP(UNIVERSO[[#This Row],[Ruta]],'[1]CUOTA RUTA'!A:A,'[1]CUOTA RUTA'!D:D)</f>
        <v>Cargar</v>
      </c>
    </row>
    <row r="4077" spans="1:19" x14ac:dyDescent="0.25">
      <c r="A4077">
        <v>1540058720</v>
      </c>
      <c r="B4077" t="s">
        <v>8015</v>
      </c>
      <c r="C4077" t="s">
        <v>19</v>
      </c>
      <c r="D4077" t="s">
        <v>20</v>
      </c>
      <c r="E4077" t="s">
        <v>21</v>
      </c>
      <c r="F4077" t="s">
        <v>22</v>
      </c>
      <c r="G4077" t="s">
        <v>33</v>
      </c>
      <c r="H4077" t="s">
        <v>638</v>
      </c>
      <c r="I4077" t="s">
        <v>8016</v>
      </c>
      <c r="J4077">
        <v>10.007417999999999</v>
      </c>
      <c r="K4077">
        <v>-84.243596999999994</v>
      </c>
      <c r="L4077" t="s">
        <v>1225</v>
      </c>
      <c r="M4077" t="s">
        <v>54</v>
      </c>
      <c r="N4077" t="s">
        <v>55</v>
      </c>
      <c r="O4077" t="s">
        <v>56</v>
      </c>
      <c r="P4077">
        <v>7</v>
      </c>
      <c r="Q4077" t="s">
        <v>39</v>
      </c>
      <c r="S4077" t="str">
        <f>_xlfn.XLOOKUP(UNIVERSO[[#This Row],[Ruta]],'[1]CUOTA RUTA'!A:A,'[1]CUOTA RUTA'!D:D)</f>
        <v>Cargar</v>
      </c>
    </row>
    <row r="4078" spans="1:19" x14ac:dyDescent="0.25">
      <c r="A4078">
        <v>1540058745</v>
      </c>
      <c r="B4078" t="s">
        <v>8017</v>
      </c>
      <c r="C4078" t="s">
        <v>19</v>
      </c>
      <c r="D4078" t="s">
        <v>569</v>
      </c>
      <c r="E4078" t="s">
        <v>21</v>
      </c>
      <c r="F4078" t="s">
        <v>22</v>
      </c>
      <c r="G4078" t="s">
        <v>64</v>
      </c>
      <c r="H4078" t="s">
        <v>2023</v>
      </c>
      <c r="I4078" t="s">
        <v>8018</v>
      </c>
      <c r="J4078">
        <v>8.9764774000000003</v>
      </c>
      <c r="K4078">
        <v>-83.527584599999997</v>
      </c>
      <c r="L4078" t="s">
        <v>1225</v>
      </c>
      <c r="M4078" t="s">
        <v>572</v>
      </c>
      <c r="N4078" t="s">
        <v>573</v>
      </c>
      <c r="O4078" t="s">
        <v>574</v>
      </c>
      <c r="P4078">
        <v>22</v>
      </c>
      <c r="Q4078" t="s">
        <v>30</v>
      </c>
      <c r="S4078" t="str">
        <f>_xlfn.XLOOKUP(UNIVERSO[[#This Row],[Ruta]],'[1]CUOTA RUTA'!A:A,'[1]CUOTA RUTA'!D:D)</f>
        <v>Cargar</v>
      </c>
    </row>
    <row r="4079" spans="1:19" x14ac:dyDescent="0.25">
      <c r="A4079">
        <v>1540058811</v>
      </c>
      <c r="B4079" t="s">
        <v>8019</v>
      </c>
      <c r="C4079" t="s">
        <v>19</v>
      </c>
      <c r="D4079" t="s">
        <v>244</v>
      </c>
      <c r="E4079" t="s">
        <v>21</v>
      </c>
      <c r="F4079" t="s">
        <v>22</v>
      </c>
      <c r="G4079" t="s">
        <v>64</v>
      </c>
      <c r="H4079" t="s">
        <v>1233</v>
      </c>
      <c r="I4079" t="s">
        <v>8020</v>
      </c>
      <c r="J4079">
        <v>9.3375310000000002</v>
      </c>
      <c r="K4079">
        <v>-83.685643999999996</v>
      </c>
      <c r="L4079" t="s">
        <v>1225</v>
      </c>
      <c r="M4079" t="s">
        <v>46</v>
      </c>
      <c r="N4079" t="s">
        <v>247</v>
      </c>
      <c r="O4079" t="s">
        <v>248</v>
      </c>
      <c r="P4079">
        <v>13</v>
      </c>
      <c r="Q4079" t="s">
        <v>161</v>
      </c>
      <c r="S4079" t="str">
        <f>_xlfn.XLOOKUP(UNIVERSO[[#This Row],[Ruta]],'[1]CUOTA RUTA'!A:A,'[1]CUOTA RUTA'!D:D)</f>
        <v>Cargar</v>
      </c>
    </row>
    <row r="4080" spans="1:19" x14ac:dyDescent="0.25">
      <c r="A4080">
        <v>1540058823</v>
      </c>
      <c r="B4080" t="s">
        <v>8021</v>
      </c>
      <c r="C4080" t="s">
        <v>19</v>
      </c>
      <c r="D4080" t="s">
        <v>208</v>
      </c>
      <c r="E4080" t="s">
        <v>21</v>
      </c>
      <c r="F4080" t="s">
        <v>51</v>
      </c>
      <c r="G4080" t="s">
        <v>23</v>
      </c>
      <c r="H4080" t="s">
        <v>224</v>
      </c>
      <c r="I4080" t="s">
        <v>8022</v>
      </c>
      <c r="J4080">
        <v>10.358280000000001</v>
      </c>
      <c r="K4080">
        <v>-83.735100000000003</v>
      </c>
      <c r="L4080" t="s">
        <v>1225</v>
      </c>
      <c r="M4080" t="s">
        <v>189</v>
      </c>
      <c r="N4080" t="s">
        <v>211</v>
      </c>
      <c r="O4080" t="s">
        <v>212</v>
      </c>
      <c r="P4080">
        <v>1</v>
      </c>
      <c r="Q4080" t="s">
        <v>155</v>
      </c>
      <c r="S4080" t="str">
        <f>_xlfn.XLOOKUP(UNIVERSO[[#This Row],[Ruta]],'[1]CUOTA RUTA'!A:A,'[1]CUOTA RUTA'!D:D)</f>
        <v>Cargar</v>
      </c>
    </row>
    <row r="4081" spans="1:19" x14ac:dyDescent="0.25">
      <c r="A4081">
        <v>1540058857</v>
      </c>
      <c r="B4081" t="s">
        <v>8023</v>
      </c>
      <c r="C4081" t="s">
        <v>19</v>
      </c>
      <c r="D4081" t="s">
        <v>201</v>
      </c>
      <c r="E4081" t="s">
        <v>21</v>
      </c>
      <c r="F4081" t="s">
        <v>22</v>
      </c>
      <c r="G4081" t="s">
        <v>64</v>
      </c>
      <c r="H4081" t="s">
        <v>499</v>
      </c>
      <c r="I4081" t="s">
        <v>8024</v>
      </c>
      <c r="J4081">
        <v>9.9166357999999999</v>
      </c>
      <c r="K4081">
        <v>-84.542430499999995</v>
      </c>
      <c r="L4081" t="s">
        <v>1225</v>
      </c>
      <c r="M4081" t="s">
        <v>204</v>
      </c>
      <c r="N4081" t="s">
        <v>205</v>
      </c>
      <c r="O4081" t="s">
        <v>206</v>
      </c>
      <c r="P4081">
        <v>3</v>
      </c>
      <c r="Q4081" t="s">
        <v>101</v>
      </c>
      <c r="S4081" t="str">
        <f>_xlfn.XLOOKUP(UNIVERSO[[#This Row],[Ruta]],'[1]CUOTA RUTA'!A:A,'[1]CUOTA RUTA'!D:D)</f>
        <v>Cargar</v>
      </c>
    </row>
    <row r="4082" spans="1:19" x14ac:dyDescent="0.25">
      <c r="A4082">
        <v>1540058962</v>
      </c>
      <c r="B4082" t="s">
        <v>8025</v>
      </c>
      <c r="C4082" t="s">
        <v>19</v>
      </c>
      <c r="D4082" t="s">
        <v>208</v>
      </c>
      <c r="E4082" t="s">
        <v>21</v>
      </c>
      <c r="F4082" t="s">
        <v>22</v>
      </c>
      <c r="G4082" t="s">
        <v>64</v>
      </c>
      <c r="H4082" t="s">
        <v>218</v>
      </c>
      <c r="I4082" t="s">
        <v>8026</v>
      </c>
      <c r="J4082">
        <v>10.218541399999999</v>
      </c>
      <c r="K4082">
        <v>-83.670206289999996</v>
      </c>
      <c r="L4082" t="s">
        <v>1225</v>
      </c>
      <c r="M4082" t="s">
        <v>189</v>
      </c>
      <c r="N4082" t="s">
        <v>211</v>
      </c>
      <c r="O4082" t="s">
        <v>212</v>
      </c>
      <c r="P4082">
        <v>6</v>
      </c>
      <c r="Q4082" t="s">
        <v>49</v>
      </c>
      <c r="S4082" t="str">
        <f>_xlfn.XLOOKUP(UNIVERSO[[#This Row],[Ruta]],'[1]CUOTA RUTA'!A:A,'[1]CUOTA RUTA'!D:D)</f>
        <v>Cargar</v>
      </c>
    </row>
    <row r="4083" spans="1:19" x14ac:dyDescent="0.25">
      <c r="A4083">
        <v>1540059036</v>
      </c>
      <c r="B4083" t="s">
        <v>8027</v>
      </c>
      <c r="C4083" t="s">
        <v>19</v>
      </c>
      <c r="D4083" t="s">
        <v>201</v>
      </c>
      <c r="E4083" t="s">
        <v>21</v>
      </c>
      <c r="F4083" t="s">
        <v>51</v>
      </c>
      <c r="G4083" t="s">
        <v>23</v>
      </c>
      <c r="H4083" t="s">
        <v>202</v>
      </c>
      <c r="I4083" t="s">
        <v>8028</v>
      </c>
      <c r="J4083">
        <v>9.9797820000000002</v>
      </c>
      <c r="K4083">
        <v>-84.734092000000004</v>
      </c>
      <c r="L4083" t="s">
        <v>1225</v>
      </c>
      <c r="M4083" t="s">
        <v>204</v>
      </c>
      <c r="N4083" t="s">
        <v>205</v>
      </c>
      <c r="O4083" t="s">
        <v>206</v>
      </c>
      <c r="P4083">
        <v>9</v>
      </c>
      <c r="Q4083" t="s">
        <v>80</v>
      </c>
      <c r="S4083" t="str">
        <f>_xlfn.XLOOKUP(UNIVERSO[[#This Row],[Ruta]],'[1]CUOTA RUTA'!A:A,'[1]CUOTA RUTA'!D:D)</f>
        <v>Cargar</v>
      </c>
    </row>
    <row r="4084" spans="1:19" x14ac:dyDescent="0.25">
      <c r="A4084">
        <v>1540059159</v>
      </c>
      <c r="B4084" t="s">
        <v>8029</v>
      </c>
      <c r="C4084" t="s">
        <v>19</v>
      </c>
      <c r="D4084" t="s">
        <v>20</v>
      </c>
      <c r="E4084" t="s">
        <v>21</v>
      </c>
      <c r="F4084" t="s">
        <v>22</v>
      </c>
      <c r="G4084" t="s">
        <v>64</v>
      </c>
      <c r="H4084" t="s">
        <v>674</v>
      </c>
      <c r="I4084" t="s">
        <v>8030</v>
      </c>
      <c r="J4084">
        <v>10.11730176</v>
      </c>
      <c r="K4084">
        <v>-84.367218410000007</v>
      </c>
      <c r="L4084" t="s">
        <v>1225</v>
      </c>
      <c r="M4084" t="s">
        <v>46</v>
      </c>
      <c r="N4084" t="s">
        <v>47</v>
      </c>
      <c r="O4084" t="s">
        <v>48</v>
      </c>
      <c r="P4084">
        <v>2</v>
      </c>
      <c r="Q4084" t="s">
        <v>150</v>
      </c>
      <c r="S4084" t="str">
        <f>_xlfn.XLOOKUP(UNIVERSO[[#This Row],[Ruta]],'[1]CUOTA RUTA'!A:A,'[1]CUOTA RUTA'!D:D)</f>
        <v>Cargar</v>
      </c>
    </row>
    <row r="4085" spans="1:19" x14ac:dyDescent="0.25">
      <c r="A4085">
        <v>1540059169</v>
      </c>
      <c r="B4085" t="s">
        <v>8031</v>
      </c>
      <c r="C4085" t="s">
        <v>19</v>
      </c>
      <c r="D4085" t="s">
        <v>20</v>
      </c>
      <c r="E4085" t="s">
        <v>21</v>
      </c>
      <c r="F4085" t="s">
        <v>22</v>
      </c>
      <c r="G4085" t="s">
        <v>33</v>
      </c>
      <c r="H4085" t="s">
        <v>1143</v>
      </c>
      <c r="I4085" t="s">
        <v>8032</v>
      </c>
      <c r="J4085">
        <v>10.024587</v>
      </c>
      <c r="K4085">
        <v>-84.179430999999994</v>
      </c>
      <c r="L4085" t="s">
        <v>1225</v>
      </c>
      <c r="M4085" t="s">
        <v>54</v>
      </c>
      <c r="N4085" t="s">
        <v>55</v>
      </c>
      <c r="O4085" t="s">
        <v>56</v>
      </c>
      <c r="P4085">
        <v>15</v>
      </c>
      <c r="Q4085" t="s">
        <v>231</v>
      </c>
      <c r="S4085" t="str">
        <f>_xlfn.XLOOKUP(UNIVERSO[[#This Row],[Ruta]],'[1]CUOTA RUTA'!A:A,'[1]CUOTA RUTA'!D:D)</f>
        <v>Cargar</v>
      </c>
    </row>
    <row r="4086" spans="1:19" x14ac:dyDescent="0.25">
      <c r="A4086">
        <v>1540059220</v>
      </c>
      <c r="B4086" t="s">
        <v>8033</v>
      </c>
      <c r="C4086" t="s">
        <v>19</v>
      </c>
      <c r="D4086" t="s">
        <v>201</v>
      </c>
      <c r="E4086" t="s">
        <v>21</v>
      </c>
      <c r="F4086" t="s">
        <v>22</v>
      </c>
      <c r="G4086" t="s">
        <v>33</v>
      </c>
      <c r="H4086" t="s">
        <v>334</v>
      </c>
      <c r="I4086" t="s">
        <v>8034</v>
      </c>
      <c r="J4086">
        <v>9.9917835000000004</v>
      </c>
      <c r="K4086">
        <v>-84.667389600000007</v>
      </c>
      <c r="L4086" t="s">
        <v>1225</v>
      </c>
      <c r="M4086" t="s">
        <v>204</v>
      </c>
      <c r="N4086" t="s">
        <v>205</v>
      </c>
      <c r="O4086" t="s">
        <v>206</v>
      </c>
      <c r="P4086">
        <v>13</v>
      </c>
      <c r="Q4086" t="s">
        <v>161</v>
      </c>
      <c r="S4086" t="str">
        <f>_xlfn.XLOOKUP(UNIVERSO[[#This Row],[Ruta]],'[1]CUOTA RUTA'!A:A,'[1]CUOTA RUTA'!D:D)</f>
        <v>Cargar</v>
      </c>
    </row>
    <row r="4087" spans="1:19" x14ac:dyDescent="0.25">
      <c r="A4087">
        <v>1540059315</v>
      </c>
      <c r="B4087" t="s">
        <v>8035</v>
      </c>
      <c r="C4087" t="s">
        <v>19</v>
      </c>
      <c r="D4087" t="s">
        <v>208</v>
      </c>
      <c r="E4087" t="s">
        <v>21</v>
      </c>
      <c r="F4087" t="s">
        <v>22</v>
      </c>
      <c r="G4087" t="s">
        <v>64</v>
      </c>
      <c r="H4087" t="s">
        <v>209</v>
      </c>
      <c r="I4087" t="s">
        <v>8036</v>
      </c>
      <c r="J4087">
        <v>10.182528</v>
      </c>
      <c r="K4087">
        <v>-83.680070999999998</v>
      </c>
      <c r="L4087" t="s">
        <v>1225</v>
      </c>
      <c r="M4087" t="s">
        <v>189</v>
      </c>
      <c r="N4087" t="s">
        <v>211</v>
      </c>
      <c r="O4087" t="s">
        <v>212</v>
      </c>
      <c r="P4087">
        <v>7</v>
      </c>
      <c r="Q4087" t="s">
        <v>39</v>
      </c>
      <c r="S4087" t="str">
        <f>_xlfn.XLOOKUP(UNIVERSO[[#This Row],[Ruta]],'[1]CUOTA RUTA'!A:A,'[1]CUOTA RUTA'!D:D)</f>
        <v>Cargar</v>
      </c>
    </row>
    <row r="4088" spans="1:19" x14ac:dyDescent="0.25">
      <c r="A4088">
        <v>1540059410</v>
      </c>
      <c r="B4088" t="s">
        <v>8037</v>
      </c>
      <c r="C4088" t="s">
        <v>19</v>
      </c>
      <c r="D4088" t="s">
        <v>201</v>
      </c>
      <c r="E4088" t="s">
        <v>21</v>
      </c>
      <c r="F4088" t="s">
        <v>22</v>
      </c>
      <c r="G4088" t="s">
        <v>64</v>
      </c>
      <c r="H4088" t="s">
        <v>334</v>
      </c>
      <c r="I4088" t="s">
        <v>8038</v>
      </c>
      <c r="J4088">
        <v>9.9900502000000007</v>
      </c>
      <c r="K4088">
        <v>-84.673040799999995</v>
      </c>
      <c r="L4088" t="s">
        <v>1225</v>
      </c>
      <c r="M4088" t="s">
        <v>204</v>
      </c>
      <c r="N4088" t="s">
        <v>205</v>
      </c>
      <c r="O4088" t="s">
        <v>206</v>
      </c>
      <c r="P4088">
        <v>13</v>
      </c>
      <c r="Q4088" t="s">
        <v>161</v>
      </c>
      <c r="S4088" t="str">
        <f>_xlfn.XLOOKUP(UNIVERSO[[#This Row],[Ruta]],'[1]CUOTA RUTA'!A:A,'[1]CUOTA RUTA'!D:D)</f>
        <v>Cargar</v>
      </c>
    </row>
    <row r="4089" spans="1:19" x14ac:dyDescent="0.25">
      <c r="A4089">
        <v>1540059479</v>
      </c>
      <c r="B4089" t="s">
        <v>8039</v>
      </c>
      <c r="C4089" t="s">
        <v>19</v>
      </c>
      <c r="D4089" t="s">
        <v>20</v>
      </c>
      <c r="E4089" t="s">
        <v>21</v>
      </c>
      <c r="F4089" t="s">
        <v>22</v>
      </c>
      <c r="G4089" t="s">
        <v>64</v>
      </c>
      <c r="H4089" t="s">
        <v>250</v>
      </c>
      <c r="I4089" t="s">
        <v>8040</v>
      </c>
      <c r="J4089">
        <v>10.017761999999999</v>
      </c>
      <c r="K4089">
        <v>-84.243427999999994</v>
      </c>
      <c r="L4089" t="s">
        <v>1225</v>
      </c>
      <c r="M4089" t="s">
        <v>46</v>
      </c>
      <c r="N4089" t="s">
        <v>47</v>
      </c>
      <c r="O4089" t="s">
        <v>48</v>
      </c>
      <c r="P4089">
        <v>3</v>
      </c>
      <c r="Q4089" t="s">
        <v>101</v>
      </c>
      <c r="S4089" t="str">
        <f>_xlfn.XLOOKUP(UNIVERSO[[#This Row],[Ruta]],'[1]CUOTA RUTA'!A:A,'[1]CUOTA RUTA'!D:D)</f>
        <v>Cargar</v>
      </c>
    </row>
    <row r="4090" spans="1:19" x14ac:dyDescent="0.25">
      <c r="A4090">
        <v>1540059509</v>
      </c>
      <c r="B4090" t="s">
        <v>8041</v>
      </c>
      <c r="C4090" t="s">
        <v>19</v>
      </c>
      <c r="D4090" t="s">
        <v>20</v>
      </c>
      <c r="E4090" t="s">
        <v>21</v>
      </c>
      <c r="F4090" t="s">
        <v>22</v>
      </c>
      <c r="G4090" t="s">
        <v>33</v>
      </c>
      <c r="H4090" t="s">
        <v>638</v>
      </c>
      <c r="I4090" t="s">
        <v>8042</v>
      </c>
      <c r="J4090">
        <v>10.012238999999999</v>
      </c>
      <c r="K4090">
        <v>-84.214827999999997</v>
      </c>
      <c r="L4090" t="s">
        <v>1225</v>
      </c>
      <c r="M4090" t="s">
        <v>54</v>
      </c>
      <c r="N4090" t="s">
        <v>55</v>
      </c>
      <c r="O4090" t="s">
        <v>56</v>
      </c>
      <c r="P4090">
        <v>4</v>
      </c>
      <c r="Q4090" t="s">
        <v>120</v>
      </c>
      <c r="S4090" t="str">
        <f>_xlfn.XLOOKUP(UNIVERSO[[#This Row],[Ruta]],'[1]CUOTA RUTA'!A:A,'[1]CUOTA RUTA'!D:D)</f>
        <v>Cargar</v>
      </c>
    </row>
    <row r="4091" spans="1:19" x14ac:dyDescent="0.25">
      <c r="A4091">
        <v>1540059551</v>
      </c>
      <c r="B4091" t="s">
        <v>8043</v>
      </c>
      <c r="C4091" t="s">
        <v>19</v>
      </c>
      <c r="D4091" t="s">
        <v>20</v>
      </c>
      <c r="E4091" t="s">
        <v>62</v>
      </c>
      <c r="F4091" t="s">
        <v>63</v>
      </c>
      <c r="G4091" t="s">
        <v>23</v>
      </c>
      <c r="H4091" t="s">
        <v>722</v>
      </c>
      <c r="I4091" t="s">
        <v>8044</v>
      </c>
      <c r="J4091">
        <v>9.9340209999999995</v>
      </c>
      <c r="K4091">
        <v>-84.130166000000003</v>
      </c>
      <c r="L4091" t="s">
        <v>1225</v>
      </c>
      <c r="M4091" t="s">
        <v>27</v>
      </c>
      <c r="N4091" t="s">
        <v>28</v>
      </c>
      <c r="O4091" t="s">
        <v>29</v>
      </c>
      <c r="P4091">
        <v>22</v>
      </c>
      <c r="Q4091" t="s">
        <v>30</v>
      </c>
      <c r="S4091" t="str">
        <f>_xlfn.XLOOKUP(UNIVERSO[[#This Row],[Ruta]],'[1]CUOTA RUTA'!A:A,'[1]CUOTA RUTA'!D:D)</f>
        <v>Cargar</v>
      </c>
    </row>
    <row r="4092" spans="1:19" x14ac:dyDescent="0.25">
      <c r="A4092">
        <v>1540059565</v>
      </c>
      <c r="B4092" t="s">
        <v>3019</v>
      </c>
      <c r="C4092" t="s">
        <v>19</v>
      </c>
      <c r="D4092" t="s">
        <v>201</v>
      </c>
      <c r="E4092" t="s">
        <v>21</v>
      </c>
      <c r="F4092" t="s">
        <v>22</v>
      </c>
      <c r="G4092" t="s">
        <v>33</v>
      </c>
      <c r="H4092" t="s">
        <v>334</v>
      </c>
      <c r="I4092" t="s">
        <v>8045</v>
      </c>
      <c r="J4092">
        <v>9.9630460000000003</v>
      </c>
      <c r="K4092">
        <v>-84.6301761</v>
      </c>
      <c r="L4092" t="s">
        <v>1225</v>
      </c>
      <c r="M4092" t="s">
        <v>204</v>
      </c>
      <c r="N4092" t="s">
        <v>205</v>
      </c>
      <c r="O4092" t="s">
        <v>206</v>
      </c>
      <c r="P4092">
        <v>14</v>
      </c>
      <c r="Q4092" t="s">
        <v>181</v>
      </c>
      <c r="S4092" t="str">
        <f>_xlfn.XLOOKUP(UNIVERSO[[#This Row],[Ruta]],'[1]CUOTA RUTA'!A:A,'[1]CUOTA RUTA'!D:D)</f>
        <v>Cargar</v>
      </c>
    </row>
    <row r="4093" spans="1:19" x14ac:dyDescent="0.25">
      <c r="A4093">
        <v>1540059605</v>
      </c>
      <c r="B4093" t="s">
        <v>8046</v>
      </c>
      <c r="C4093" t="s">
        <v>19</v>
      </c>
      <c r="D4093" t="s">
        <v>32</v>
      </c>
      <c r="E4093" t="s">
        <v>21</v>
      </c>
      <c r="F4093" t="s">
        <v>22</v>
      </c>
      <c r="G4093" t="s">
        <v>64</v>
      </c>
      <c r="H4093" t="s">
        <v>716</v>
      </c>
      <c r="I4093" t="s">
        <v>8047</v>
      </c>
      <c r="J4093">
        <v>9.9139160000000004</v>
      </c>
      <c r="K4093">
        <v>-84.060149999999993</v>
      </c>
      <c r="L4093" t="s">
        <v>1225</v>
      </c>
      <c r="M4093" t="s">
        <v>36</v>
      </c>
      <c r="N4093" t="s">
        <v>37</v>
      </c>
      <c r="O4093" t="s">
        <v>38</v>
      </c>
      <c r="P4093">
        <v>11</v>
      </c>
      <c r="Q4093" t="s">
        <v>108</v>
      </c>
      <c r="S4093" t="str">
        <f>_xlfn.XLOOKUP(UNIVERSO[[#This Row],[Ruta]],'[1]CUOTA RUTA'!A:A,'[1]CUOTA RUTA'!D:D)</f>
        <v>Cargar</v>
      </c>
    </row>
    <row r="4094" spans="1:19" x14ac:dyDescent="0.25">
      <c r="A4094">
        <v>1540059641</v>
      </c>
      <c r="B4094" t="s">
        <v>8048</v>
      </c>
      <c r="C4094" t="s">
        <v>19</v>
      </c>
      <c r="D4094" t="s">
        <v>20</v>
      </c>
      <c r="E4094" t="s">
        <v>21</v>
      </c>
      <c r="F4094" t="s">
        <v>51</v>
      </c>
      <c r="G4094" t="s">
        <v>23</v>
      </c>
      <c r="H4094" t="s">
        <v>263</v>
      </c>
      <c r="I4094" t="s">
        <v>8049</v>
      </c>
      <c r="J4094">
        <v>10.0833043</v>
      </c>
      <c r="K4094">
        <v>-84.362912699999995</v>
      </c>
      <c r="L4094" t="s">
        <v>1225</v>
      </c>
      <c r="M4094" t="s">
        <v>46</v>
      </c>
      <c r="N4094" t="s">
        <v>47</v>
      </c>
      <c r="O4094" t="s">
        <v>48</v>
      </c>
      <c r="P4094">
        <v>5</v>
      </c>
      <c r="Q4094" t="s">
        <v>117</v>
      </c>
      <c r="S4094" t="str">
        <f>_xlfn.XLOOKUP(UNIVERSO[[#This Row],[Ruta]],'[1]CUOTA RUTA'!A:A,'[1]CUOTA RUTA'!D:D)</f>
        <v>Cargar</v>
      </c>
    </row>
    <row r="4095" spans="1:19" x14ac:dyDescent="0.25">
      <c r="A4095">
        <v>1540059790</v>
      </c>
      <c r="B4095" t="s">
        <v>8050</v>
      </c>
      <c r="C4095" t="s">
        <v>19</v>
      </c>
      <c r="D4095" t="s">
        <v>201</v>
      </c>
      <c r="E4095" t="s">
        <v>21</v>
      </c>
      <c r="F4095" t="s">
        <v>22</v>
      </c>
      <c r="G4095" t="s">
        <v>33</v>
      </c>
      <c r="H4095" t="s">
        <v>794</v>
      </c>
      <c r="I4095" t="s">
        <v>8051</v>
      </c>
      <c r="J4095">
        <v>9.6204590000000003</v>
      </c>
      <c r="K4095">
        <v>-84.635104499999997</v>
      </c>
      <c r="L4095" t="s">
        <v>1225</v>
      </c>
      <c r="M4095" t="s">
        <v>204</v>
      </c>
      <c r="N4095" t="s">
        <v>205</v>
      </c>
      <c r="O4095" t="s">
        <v>206</v>
      </c>
      <c r="P4095">
        <v>5</v>
      </c>
      <c r="Q4095" t="s">
        <v>117</v>
      </c>
      <c r="S4095" t="str">
        <f>_xlfn.XLOOKUP(UNIVERSO[[#This Row],[Ruta]],'[1]CUOTA RUTA'!A:A,'[1]CUOTA RUTA'!D:D)</f>
        <v>Cargar</v>
      </c>
    </row>
    <row r="4096" spans="1:19" x14ac:dyDescent="0.25">
      <c r="A4096">
        <v>1540059819</v>
      </c>
      <c r="B4096" t="s">
        <v>8052</v>
      </c>
      <c r="C4096" t="s">
        <v>19</v>
      </c>
      <c r="D4096" t="s">
        <v>32</v>
      </c>
      <c r="E4096" t="s">
        <v>21</v>
      </c>
      <c r="F4096" t="s">
        <v>22</v>
      </c>
      <c r="G4096" t="s">
        <v>64</v>
      </c>
      <c r="H4096" t="s">
        <v>92</v>
      </c>
      <c r="I4096" t="s">
        <v>8053</v>
      </c>
      <c r="J4096">
        <v>9.9757359999999995</v>
      </c>
      <c r="K4096">
        <v>-84.000198999999995</v>
      </c>
      <c r="L4096" t="s">
        <v>1225</v>
      </c>
      <c r="M4096" t="s">
        <v>94</v>
      </c>
      <c r="N4096" t="s">
        <v>95</v>
      </c>
      <c r="O4096" t="s">
        <v>96</v>
      </c>
      <c r="P4096">
        <v>4</v>
      </c>
      <c r="Q4096" t="s">
        <v>120</v>
      </c>
      <c r="S4096" t="str">
        <f>_xlfn.XLOOKUP(UNIVERSO[[#This Row],[Ruta]],'[1]CUOTA RUTA'!A:A,'[1]CUOTA RUTA'!D:D)</f>
        <v>Cargar</v>
      </c>
    </row>
    <row r="4097" spans="1:19" x14ac:dyDescent="0.25">
      <c r="A4097">
        <v>1540059853</v>
      </c>
      <c r="B4097" t="s">
        <v>8054</v>
      </c>
      <c r="C4097" t="s">
        <v>19</v>
      </c>
      <c r="D4097" t="s">
        <v>20</v>
      </c>
      <c r="E4097" t="s">
        <v>21</v>
      </c>
      <c r="F4097" t="s">
        <v>22</v>
      </c>
      <c r="G4097" t="s">
        <v>33</v>
      </c>
      <c r="H4097" t="s">
        <v>260</v>
      </c>
      <c r="I4097" t="s">
        <v>8055</v>
      </c>
      <c r="J4097">
        <v>10.086550058154</v>
      </c>
      <c r="K4097">
        <v>-84.475659802110002</v>
      </c>
      <c r="L4097" t="s">
        <v>1225</v>
      </c>
      <c r="M4097" t="s">
        <v>46</v>
      </c>
      <c r="N4097" t="s">
        <v>47</v>
      </c>
      <c r="O4097" t="s">
        <v>48</v>
      </c>
      <c r="P4097">
        <v>7</v>
      </c>
      <c r="Q4097" t="s">
        <v>39</v>
      </c>
      <c r="S4097" t="str">
        <f>_xlfn.XLOOKUP(UNIVERSO[[#This Row],[Ruta]],'[1]CUOTA RUTA'!A:A,'[1]CUOTA RUTA'!D:D)</f>
        <v>Cargar</v>
      </c>
    </row>
    <row r="4098" spans="1:19" x14ac:dyDescent="0.25">
      <c r="A4098">
        <v>1540059877</v>
      </c>
      <c r="B4098" t="s">
        <v>8056</v>
      </c>
      <c r="C4098" t="s">
        <v>19</v>
      </c>
      <c r="D4098" t="s">
        <v>201</v>
      </c>
      <c r="E4098" t="s">
        <v>21</v>
      </c>
      <c r="F4098" t="s">
        <v>22</v>
      </c>
      <c r="G4098" t="s">
        <v>64</v>
      </c>
      <c r="H4098" t="s">
        <v>794</v>
      </c>
      <c r="I4098" t="s">
        <v>8057</v>
      </c>
      <c r="J4098">
        <v>9.6120786999999996</v>
      </c>
      <c r="K4098">
        <v>-84.627682899999996</v>
      </c>
      <c r="L4098" t="s">
        <v>1225</v>
      </c>
      <c r="M4098" t="s">
        <v>204</v>
      </c>
      <c r="N4098" t="s">
        <v>205</v>
      </c>
      <c r="O4098" t="s">
        <v>206</v>
      </c>
      <c r="P4098">
        <v>6</v>
      </c>
      <c r="Q4098" t="s">
        <v>49</v>
      </c>
      <c r="S4098" t="str">
        <f>_xlfn.XLOOKUP(UNIVERSO[[#This Row],[Ruta]],'[1]CUOTA RUTA'!A:A,'[1]CUOTA RUTA'!D:D)</f>
        <v>Cargar</v>
      </c>
    </row>
    <row r="4099" spans="1:19" x14ac:dyDescent="0.25">
      <c r="A4099">
        <v>1540059909</v>
      </c>
      <c r="B4099" t="s">
        <v>8058</v>
      </c>
      <c r="C4099" t="s">
        <v>19</v>
      </c>
      <c r="D4099" t="s">
        <v>20</v>
      </c>
      <c r="E4099" t="s">
        <v>21</v>
      </c>
      <c r="F4099" t="s">
        <v>22</v>
      </c>
      <c r="G4099" t="s">
        <v>64</v>
      </c>
      <c r="H4099" t="s">
        <v>1506</v>
      </c>
      <c r="I4099" t="s">
        <v>8059</v>
      </c>
      <c r="J4099">
        <v>9.9822769999999998</v>
      </c>
      <c r="K4099">
        <v>-84.158702000000005</v>
      </c>
      <c r="L4099" t="s">
        <v>1225</v>
      </c>
      <c r="M4099" t="s">
        <v>27</v>
      </c>
      <c r="N4099" t="s">
        <v>28</v>
      </c>
      <c r="O4099" t="s">
        <v>29</v>
      </c>
      <c r="P4099">
        <v>3</v>
      </c>
      <c r="Q4099" t="s">
        <v>101</v>
      </c>
      <c r="S4099" t="str">
        <f>_xlfn.XLOOKUP(UNIVERSO[[#This Row],[Ruta]],'[1]CUOTA RUTA'!A:A,'[1]CUOTA RUTA'!D:D)</f>
        <v>Cargar</v>
      </c>
    </row>
    <row r="4100" spans="1:19" x14ac:dyDescent="0.25">
      <c r="A4100">
        <v>1540060021</v>
      </c>
      <c r="B4100" t="s">
        <v>8060</v>
      </c>
      <c r="C4100" t="s">
        <v>19</v>
      </c>
      <c r="D4100" t="s">
        <v>324</v>
      </c>
      <c r="E4100" t="s">
        <v>21</v>
      </c>
      <c r="F4100" t="s">
        <v>22</v>
      </c>
      <c r="G4100" t="s">
        <v>33</v>
      </c>
      <c r="H4100" t="s">
        <v>6220</v>
      </c>
      <c r="I4100" t="s">
        <v>8061</v>
      </c>
      <c r="J4100">
        <v>10.512762</v>
      </c>
      <c r="K4100">
        <v>-84.435209</v>
      </c>
      <c r="L4100" t="s">
        <v>1225</v>
      </c>
      <c r="M4100" t="s">
        <v>327</v>
      </c>
      <c r="N4100" t="s">
        <v>328</v>
      </c>
      <c r="O4100" t="s">
        <v>329</v>
      </c>
      <c r="P4100">
        <v>20</v>
      </c>
      <c r="Q4100" t="s">
        <v>74</v>
      </c>
      <c r="S4100" t="str">
        <f>_xlfn.XLOOKUP(UNIVERSO[[#This Row],[Ruta]],'[1]CUOTA RUTA'!A:A,'[1]CUOTA RUTA'!D:D)</f>
        <v>Cargar</v>
      </c>
    </row>
    <row r="4101" spans="1:19" x14ac:dyDescent="0.25">
      <c r="A4101">
        <v>1540060061</v>
      </c>
      <c r="B4101" t="s">
        <v>8062</v>
      </c>
      <c r="C4101" t="s">
        <v>19</v>
      </c>
      <c r="D4101" t="s">
        <v>569</v>
      </c>
      <c r="E4101" t="s">
        <v>21</v>
      </c>
      <c r="F4101" t="s">
        <v>22</v>
      </c>
      <c r="G4101" t="s">
        <v>64</v>
      </c>
      <c r="H4101" t="s">
        <v>570</v>
      </c>
      <c r="I4101" t="s">
        <v>8063</v>
      </c>
      <c r="J4101">
        <v>8.9603120000000001</v>
      </c>
      <c r="K4101">
        <v>-83.457397</v>
      </c>
      <c r="L4101" t="s">
        <v>1225</v>
      </c>
      <c r="M4101" t="s">
        <v>572</v>
      </c>
      <c r="N4101" t="s">
        <v>573</v>
      </c>
      <c r="O4101" t="s">
        <v>574</v>
      </c>
      <c r="P4101">
        <v>21</v>
      </c>
      <c r="Q4101" t="s">
        <v>239</v>
      </c>
      <c r="S4101" t="str">
        <f>_xlfn.XLOOKUP(UNIVERSO[[#This Row],[Ruta]],'[1]CUOTA RUTA'!A:A,'[1]CUOTA RUTA'!D:D)</f>
        <v>Cargar</v>
      </c>
    </row>
    <row r="4102" spans="1:19" x14ac:dyDescent="0.25">
      <c r="A4102">
        <v>1540060249</v>
      </c>
      <c r="B4102" t="s">
        <v>8064</v>
      </c>
      <c r="C4102" t="s">
        <v>19</v>
      </c>
      <c r="D4102" t="s">
        <v>20</v>
      </c>
      <c r="E4102" t="s">
        <v>21</v>
      </c>
      <c r="F4102" t="s">
        <v>22</v>
      </c>
      <c r="G4102" t="s">
        <v>64</v>
      </c>
      <c r="H4102" t="s">
        <v>24</v>
      </c>
      <c r="I4102" t="s">
        <v>8065</v>
      </c>
      <c r="J4102">
        <v>9.9811499999999995</v>
      </c>
      <c r="K4102">
        <v>-84.119</v>
      </c>
      <c r="L4102" t="s">
        <v>1225</v>
      </c>
      <c r="M4102" t="s">
        <v>27</v>
      </c>
      <c r="N4102" t="s">
        <v>28</v>
      </c>
      <c r="O4102" t="s">
        <v>29</v>
      </c>
      <c r="P4102">
        <v>7</v>
      </c>
      <c r="Q4102" t="s">
        <v>39</v>
      </c>
      <c r="S4102" t="str">
        <f>_xlfn.XLOOKUP(UNIVERSO[[#This Row],[Ruta]],'[1]CUOTA RUTA'!A:A,'[1]CUOTA RUTA'!D:D)</f>
        <v>Cargar</v>
      </c>
    </row>
    <row r="4103" spans="1:19" x14ac:dyDescent="0.25">
      <c r="A4103">
        <v>1540060448</v>
      </c>
      <c r="B4103" t="s">
        <v>8066</v>
      </c>
      <c r="C4103" t="s">
        <v>19</v>
      </c>
      <c r="D4103" t="s">
        <v>32</v>
      </c>
      <c r="E4103" t="s">
        <v>21</v>
      </c>
      <c r="F4103" t="s">
        <v>22</v>
      </c>
      <c r="G4103" t="s">
        <v>64</v>
      </c>
      <c r="H4103" t="s">
        <v>174</v>
      </c>
      <c r="I4103" t="s">
        <v>8067</v>
      </c>
      <c r="J4103">
        <v>9.9363700000000001</v>
      </c>
      <c r="K4103">
        <v>-84.081500000000005</v>
      </c>
      <c r="L4103" t="s">
        <v>1225</v>
      </c>
      <c r="M4103" t="s">
        <v>71</v>
      </c>
      <c r="N4103" t="s">
        <v>72</v>
      </c>
      <c r="O4103" t="s">
        <v>73</v>
      </c>
      <c r="P4103">
        <v>2</v>
      </c>
      <c r="Q4103" t="s">
        <v>150</v>
      </c>
      <c r="S4103" t="str">
        <f>_xlfn.XLOOKUP(UNIVERSO[[#This Row],[Ruta]],'[1]CUOTA RUTA'!A:A,'[1]CUOTA RUTA'!D:D)</f>
        <v>Cargar</v>
      </c>
    </row>
    <row r="4104" spans="1:19" x14ac:dyDescent="0.25">
      <c r="A4104">
        <v>1540060475</v>
      </c>
      <c r="B4104" t="s">
        <v>8068</v>
      </c>
      <c r="C4104" t="s">
        <v>19</v>
      </c>
      <c r="D4104" t="s">
        <v>324</v>
      </c>
      <c r="E4104" t="s">
        <v>21</v>
      </c>
      <c r="F4104" t="s">
        <v>51</v>
      </c>
      <c r="G4104" t="s">
        <v>23</v>
      </c>
      <c r="H4104" t="s">
        <v>396</v>
      </c>
      <c r="I4104" t="s">
        <v>8069</v>
      </c>
      <c r="J4104">
        <v>10.322881000000001</v>
      </c>
      <c r="K4104">
        <v>-84.427374999999998</v>
      </c>
      <c r="L4104" t="s">
        <v>1225</v>
      </c>
      <c r="M4104" t="s">
        <v>327</v>
      </c>
      <c r="N4104" t="s">
        <v>328</v>
      </c>
      <c r="O4104" t="s">
        <v>329</v>
      </c>
      <c r="P4104">
        <v>22</v>
      </c>
      <c r="Q4104" t="s">
        <v>30</v>
      </c>
      <c r="S4104" t="str">
        <f>_xlfn.XLOOKUP(UNIVERSO[[#This Row],[Ruta]],'[1]CUOTA RUTA'!A:A,'[1]CUOTA RUTA'!D:D)</f>
        <v>Cargar</v>
      </c>
    </row>
    <row r="4105" spans="1:19" x14ac:dyDescent="0.25">
      <c r="A4105">
        <v>1540060511</v>
      </c>
      <c r="B4105" t="s">
        <v>8070</v>
      </c>
      <c r="C4105" t="s">
        <v>19</v>
      </c>
      <c r="D4105" t="s">
        <v>266</v>
      </c>
      <c r="E4105" t="s">
        <v>21</v>
      </c>
      <c r="F4105" t="s">
        <v>22</v>
      </c>
      <c r="G4105" t="s">
        <v>64</v>
      </c>
      <c r="H4105" t="s">
        <v>314</v>
      </c>
      <c r="I4105" t="s">
        <v>8071</v>
      </c>
      <c r="J4105">
        <v>9.8810382000000008</v>
      </c>
      <c r="K4105">
        <v>-83.936327399999996</v>
      </c>
      <c r="L4105" t="s">
        <v>1225</v>
      </c>
      <c r="M4105" t="s">
        <v>36</v>
      </c>
      <c r="N4105" t="s">
        <v>316</v>
      </c>
      <c r="O4105" t="s">
        <v>317</v>
      </c>
      <c r="P4105">
        <v>21</v>
      </c>
      <c r="Q4105" t="s">
        <v>239</v>
      </c>
      <c r="S4105" t="str">
        <f>_xlfn.XLOOKUP(UNIVERSO[[#This Row],[Ruta]],'[1]CUOTA RUTA'!A:A,'[1]CUOTA RUTA'!D:D)</f>
        <v>Cargar</v>
      </c>
    </row>
    <row r="4106" spans="1:19" x14ac:dyDescent="0.25">
      <c r="A4106">
        <v>1540060617</v>
      </c>
      <c r="B4106" t="s">
        <v>8072</v>
      </c>
      <c r="C4106" t="s">
        <v>19</v>
      </c>
      <c r="D4106" t="s">
        <v>20</v>
      </c>
      <c r="E4106" t="s">
        <v>21</v>
      </c>
      <c r="F4106" t="s">
        <v>22</v>
      </c>
      <c r="G4106" t="s">
        <v>23</v>
      </c>
      <c r="H4106" t="s">
        <v>743</v>
      </c>
      <c r="I4106" t="s">
        <v>8073</v>
      </c>
      <c r="J4106">
        <v>9.9874109999999998</v>
      </c>
      <c r="K4106">
        <v>-84.401576000000006</v>
      </c>
      <c r="L4106" t="s">
        <v>1225</v>
      </c>
      <c r="M4106" t="s">
        <v>46</v>
      </c>
      <c r="N4106" t="s">
        <v>47</v>
      </c>
      <c r="O4106" t="s">
        <v>48</v>
      </c>
      <c r="P4106">
        <v>9</v>
      </c>
      <c r="Q4106" t="s">
        <v>80</v>
      </c>
      <c r="S4106" t="str">
        <f>_xlfn.XLOOKUP(UNIVERSO[[#This Row],[Ruta]],'[1]CUOTA RUTA'!A:A,'[1]CUOTA RUTA'!D:D)</f>
        <v>Cargar</v>
      </c>
    </row>
    <row r="4107" spans="1:19" x14ac:dyDescent="0.25">
      <c r="A4107">
        <v>1540060625</v>
      </c>
      <c r="B4107" t="s">
        <v>8074</v>
      </c>
      <c r="C4107" t="s">
        <v>19</v>
      </c>
      <c r="D4107" t="s">
        <v>337</v>
      </c>
      <c r="E4107" t="s">
        <v>21</v>
      </c>
      <c r="F4107" t="s">
        <v>22</v>
      </c>
      <c r="G4107" t="s">
        <v>33</v>
      </c>
      <c r="H4107" t="s">
        <v>338</v>
      </c>
      <c r="I4107" t="s">
        <v>8075</v>
      </c>
      <c r="J4107">
        <v>10.592700000000001</v>
      </c>
      <c r="K4107">
        <v>-85.536299999999997</v>
      </c>
      <c r="L4107" t="s">
        <v>1225</v>
      </c>
      <c r="M4107" t="s">
        <v>327</v>
      </c>
      <c r="N4107" t="s">
        <v>340</v>
      </c>
      <c r="O4107" t="s">
        <v>341</v>
      </c>
      <c r="P4107">
        <v>16</v>
      </c>
      <c r="Q4107" t="s">
        <v>60</v>
      </c>
      <c r="S4107" t="str">
        <f>_xlfn.XLOOKUP(UNIVERSO[[#This Row],[Ruta]],'[1]CUOTA RUTA'!A:A,'[1]CUOTA RUTA'!D:D)</f>
        <v>Cargar</v>
      </c>
    </row>
    <row r="4108" spans="1:19" x14ac:dyDescent="0.25">
      <c r="A4108">
        <v>1540061026</v>
      </c>
      <c r="B4108" t="s">
        <v>8076</v>
      </c>
      <c r="C4108" t="s">
        <v>19</v>
      </c>
      <c r="D4108" t="s">
        <v>20</v>
      </c>
      <c r="E4108" t="s">
        <v>21</v>
      </c>
      <c r="F4108" t="s">
        <v>51</v>
      </c>
      <c r="G4108" t="s">
        <v>23</v>
      </c>
      <c r="H4108" t="s">
        <v>198</v>
      </c>
      <c r="I4108" t="s">
        <v>8077</v>
      </c>
      <c r="J4108">
        <v>9.9435771000000006</v>
      </c>
      <c r="K4108">
        <v>-84.185679300000004</v>
      </c>
      <c r="L4108" t="s">
        <v>1225</v>
      </c>
      <c r="M4108" t="s">
        <v>54</v>
      </c>
      <c r="N4108" t="s">
        <v>55</v>
      </c>
      <c r="O4108" t="s">
        <v>56</v>
      </c>
      <c r="P4108">
        <v>14</v>
      </c>
      <c r="Q4108" t="s">
        <v>181</v>
      </c>
      <c r="S4108" t="str">
        <f>_xlfn.XLOOKUP(UNIVERSO[[#This Row],[Ruta]],'[1]CUOTA RUTA'!A:A,'[1]CUOTA RUTA'!D:D)</f>
        <v>Cargar</v>
      </c>
    </row>
    <row r="4109" spans="1:19" x14ac:dyDescent="0.25">
      <c r="A4109">
        <v>1540061128</v>
      </c>
      <c r="B4109" t="s">
        <v>8078</v>
      </c>
      <c r="C4109" t="s">
        <v>19</v>
      </c>
      <c r="D4109" t="s">
        <v>20</v>
      </c>
      <c r="E4109" t="s">
        <v>21</v>
      </c>
      <c r="F4109" t="s">
        <v>22</v>
      </c>
      <c r="G4109" t="s">
        <v>33</v>
      </c>
      <c r="H4109" t="s">
        <v>458</v>
      </c>
      <c r="I4109" t="s">
        <v>8079</v>
      </c>
      <c r="J4109">
        <v>9.9820510000000002</v>
      </c>
      <c r="K4109">
        <v>-84.258146999999994</v>
      </c>
      <c r="L4109" t="s">
        <v>1225</v>
      </c>
      <c r="M4109" t="s">
        <v>54</v>
      </c>
      <c r="N4109" t="s">
        <v>55</v>
      </c>
      <c r="O4109" t="s">
        <v>56</v>
      </c>
      <c r="P4109">
        <v>5</v>
      </c>
      <c r="Q4109" t="s">
        <v>117</v>
      </c>
      <c r="S4109" t="str">
        <f>_xlfn.XLOOKUP(UNIVERSO[[#This Row],[Ruta]],'[1]CUOTA RUTA'!A:A,'[1]CUOTA RUTA'!D:D)</f>
        <v>Cargar</v>
      </c>
    </row>
    <row r="4110" spans="1:19" x14ac:dyDescent="0.25">
      <c r="A4110">
        <v>1540061248</v>
      </c>
      <c r="B4110" t="s">
        <v>8080</v>
      </c>
      <c r="C4110" t="s">
        <v>19</v>
      </c>
      <c r="D4110" t="s">
        <v>208</v>
      </c>
      <c r="E4110" t="s">
        <v>21</v>
      </c>
      <c r="F4110" t="s">
        <v>22</v>
      </c>
      <c r="G4110" t="s">
        <v>64</v>
      </c>
      <c r="H4110" t="s">
        <v>1794</v>
      </c>
      <c r="I4110" t="s">
        <v>8081</v>
      </c>
      <c r="J4110">
        <v>10.117015</v>
      </c>
      <c r="K4110">
        <v>-83.577392000000003</v>
      </c>
      <c r="L4110" t="s">
        <v>1225</v>
      </c>
      <c r="M4110" t="s">
        <v>189</v>
      </c>
      <c r="N4110" t="s">
        <v>211</v>
      </c>
      <c r="O4110" t="s">
        <v>212</v>
      </c>
      <c r="P4110">
        <v>9</v>
      </c>
      <c r="Q4110" t="s">
        <v>80</v>
      </c>
      <c r="S4110" t="str">
        <f>_xlfn.XLOOKUP(UNIVERSO[[#This Row],[Ruta]],'[1]CUOTA RUTA'!A:A,'[1]CUOTA RUTA'!D:D)</f>
        <v>Cargar</v>
      </c>
    </row>
    <row r="4111" spans="1:19" x14ac:dyDescent="0.25">
      <c r="A4111">
        <v>1540061462</v>
      </c>
      <c r="B4111" t="s">
        <v>8082</v>
      </c>
      <c r="C4111" t="s">
        <v>19</v>
      </c>
      <c r="D4111" t="s">
        <v>324</v>
      </c>
      <c r="E4111" t="s">
        <v>21</v>
      </c>
      <c r="F4111" t="s">
        <v>22</v>
      </c>
      <c r="G4111" t="s">
        <v>64</v>
      </c>
      <c r="H4111" t="s">
        <v>6220</v>
      </c>
      <c r="I4111" t="s">
        <v>8083</v>
      </c>
      <c r="J4111">
        <v>10.527189</v>
      </c>
      <c r="K4111">
        <v>-84.464624000000001</v>
      </c>
      <c r="L4111" t="s">
        <v>1225</v>
      </c>
      <c r="M4111" t="s">
        <v>327</v>
      </c>
      <c r="N4111" t="s">
        <v>328</v>
      </c>
      <c r="O4111" t="s">
        <v>329</v>
      </c>
      <c r="P4111">
        <v>20</v>
      </c>
      <c r="Q4111" t="s">
        <v>74</v>
      </c>
      <c r="S4111" t="str">
        <f>_xlfn.XLOOKUP(UNIVERSO[[#This Row],[Ruta]],'[1]CUOTA RUTA'!A:A,'[1]CUOTA RUTA'!D:D)</f>
        <v>Cargar</v>
      </c>
    </row>
    <row r="4112" spans="1:19" x14ac:dyDescent="0.25">
      <c r="A4112">
        <v>1540061903</v>
      </c>
      <c r="B4112" t="s">
        <v>2895</v>
      </c>
      <c r="C4112" t="s">
        <v>19</v>
      </c>
      <c r="D4112" t="s">
        <v>20</v>
      </c>
      <c r="E4112" t="s">
        <v>21</v>
      </c>
      <c r="F4112" t="s">
        <v>22</v>
      </c>
      <c r="G4112" t="s">
        <v>64</v>
      </c>
      <c r="H4112" t="s">
        <v>198</v>
      </c>
      <c r="I4112" t="s">
        <v>8084</v>
      </c>
      <c r="J4112">
        <v>9.9438280999999993</v>
      </c>
      <c r="K4112">
        <v>-84.1829793</v>
      </c>
      <c r="L4112" t="s">
        <v>1225</v>
      </c>
      <c r="M4112" t="s">
        <v>54</v>
      </c>
      <c r="N4112" t="s">
        <v>55</v>
      </c>
      <c r="O4112" t="s">
        <v>56</v>
      </c>
      <c r="P4112">
        <v>14</v>
      </c>
      <c r="Q4112" t="s">
        <v>181</v>
      </c>
      <c r="S4112" t="str">
        <f>_xlfn.XLOOKUP(UNIVERSO[[#This Row],[Ruta]],'[1]CUOTA RUTA'!A:A,'[1]CUOTA RUTA'!D:D)</f>
        <v>Cargar</v>
      </c>
    </row>
    <row r="4113" spans="1:19" x14ac:dyDescent="0.25">
      <c r="A4113">
        <v>1540061951</v>
      </c>
      <c r="B4113" t="s">
        <v>8085</v>
      </c>
      <c r="C4113" t="s">
        <v>19</v>
      </c>
      <c r="D4113" t="s">
        <v>201</v>
      </c>
      <c r="E4113" t="s">
        <v>21</v>
      </c>
      <c r="F4113" t="s">
        <v>22</v>
      </c>
      <c r="G4113" t="s">
        <v>23</v>
      </c>
      <c r="H4113" t="s">
        <v>533</v>
      </c>
      <c r="I4113" t="s">
        <v>8086</v>
      </c>
      <c r="J4113">
        <v>9.9348519999999994</v>
      </c>
      <c r="K4113">
        <v>-84.521293999999997</v>
      </c>
      <c r="L4113" t="s">
        <v>1225</v>
      </c>
      <c r="M4113" t="s">
        <v>204</v>
      </c>
      <c r="N4113" t="s">
        <v>205</v>
      </c>
      <c r="O4113" t="s">
        <v>206</v>
      </c>
      <c r="P4113">
        <v>1</v>
      </c>
      <c r="Q4113" t="s">
        <v>155</v>
      </c>
      <c r="S4113" t="str">
        <f>_xlfn.XLOOKUP(UNIVERSO[[#This Row],[Ruta]],'[1]CUOTA RUTA'!A:A,'[1]CUOTA RUTA'!D:D)</f>
        <v>Cargar</v>
      </c>
    </row>
    <row r="4114" spans="1:19" x14ac:dyDescent="0.25">
      <c r="A4114">
        <v>1540061987</v>
      </c>
      <c r="B4114" t="s">
        <v>8087</v>
      </c>
      <c r="C4114" t="s">
        <v>19</v>
      </c>
      <c r="D4114" t="s">
        <v>569</v>
      </c>
      <c r="E4114" t="s">
        <v>21</v>
      </c>
      <c r="F4114" t="s">
        <v>22</v>
      </c>
      <c r="G4114" t="s">
        <v>64</v>
      </c>
      <c r="H4114" t="s">
        <v>570</v>
      </c>
      <c r="I4114" t="s">
        <v>8088</v>
      </c>
      <c r="J4114">
        <v>8.9625599999999999</v>
      </c>
      <c r="K4114">
        <v>-83.522191000000007</v>
      </c>
      <c r="L4114" t="s">
        <v>1225</v>
      </c>
      <c r="M4114" t="s">
        <v>572</v>
      </c>
      <c r="N4114" t="s">
        <v>573</v>
      </c>
      <c r="O4114" t="s">
        <v>574</v>
      </c>
      <c r="P4114">
        <v>21</v>
      </c>
      <c r="Q4114" t="s">
        <v>239</v>
      </c>
      <c r="S4114" t="str">
        <f>_xlfn.XLOOKUP(UNIVERSO[[#This Row],[Ruta]],'[1]CUOTA RUTA'!A:A,'[1]CUOTA RUTA'!D:D)</f>
        <v>Cargar</v>
      </c>
    </row>
    <row r="4115" spans="1:19" x14ac:dyDescent="0.25">
      <c r="A4115">
        <v>1540062121</v>
      </c>
      <c r="B4115" t="s">
        <v>8089</v>
      </c>
      <c r="C4115" t="s">
        <v>19</v>
      </c>
      <c r="D4115" t="s">
        <v>20</v>
      </c>
      <c r="E4115" t="s">
        <v>21</v>
      </c>
      <c r="F4115" t="s">
        <v>51</v>
      </c>
      <c r="G4115" t="s">
        <v>23</v>
      </c>
      <c r="H4115" t="s">
        <v>277</v>
      </c>
      <c r="I4115" t="s">
        <v>8090</v>
      </c>
      <c r="J4115">
        <v>9.9472919999999991</v>
      </c>
      <c r="K4115">
        <v>-84.290194999999997</v>
      </c>
      <c r="L4115" t="s">
        <v>1225</v>
      </c>
      <c r="M4115" t="s">
        <v>54</v>
      </c>
      <c r="N4115" t="s">
        <v>55</v>
      </c>
      <c r="O4115" t="s">
        <v>56</v>
      </c>
      <c r="P4115">
        <v>6</v>
      </c>
      <c r="Q4115" t="s">
        <v>49</v>
      </c>
      <c r="S4115" t="str">
        <f>_xlfn.XLOOKUP(UNIVERSO[[#This Row],[Ruta]],'[1]CUOTA RUTA'!A:A,'[1]CUOTA RUTA'!D:D)</f>
        <v>Cargar</v>
      </c>
    </row>
    <row r="4116" spans="1:19" x14ac:dyDescent="0.25">
      <c r="A4116">
        <v>1540062219</v>
      </c>
      <c r="B4116" t="s">
        <v>5123</v>
      </c>
      <c r="C4116" t="s">
        <v>19</v>
      </c>
      <c r="D4116" t="s">
        <v>201</v>
      </c>
      <c r="E4116" t="s">
        <v>21</v>
      </c>
      <c r="F4116" t="s">
        <v>22</v>
      </c>
      <c r="G4116" t="s">
        <v>23</v>
      </c>
      <c r="H4116" t="s">
        <v>528</v>
      </c>
      <c r="I4116" t="s">
        <v>8091</v>
      </c>
      <c r="J4116">
        <v>10.281867</v>
      </c>
      <c r="K4116">
        <v>-84.945338000000007</v>
      </c>
      <c r="L4116" t="s">
        <v>1225</v>
      </c>
      <c r="M4116" t="s">
        <v>327</v>
      </c>
      <c r="N4116" t="s">
        <v>530</v>
      </c>
      <c r="O4116" t="s">
        <v>531</v>
      </c>
      <c r="P4116">
        <v>1</v>
      </c>
      <c r="Q4116" t="s">
        <v>155</v>
      </c>
      <c r="S4116" t="str">
        <f>_xlfn.XLOOKUP(UNIVERSO[[#This Row],[Ruta]],'[1]CUOTA RUTA'!A:A,'[1]CUOTA RUTA'!D:D)</f>
        <v>Cargar</v>
      </c>
    </row>
    <row r="4117" spans="1:19" x14ac:dyDescent="0.25">
      <c r="A4117">
        <v>1540062461</v>
      </c>
      <c r="B4117" t="s">
        <v>8092</v>
      </c>
      <c r="C4117" t="s">
        <v>19</v>
      </c>
      <c r="D4117" t="s">
        <v>201</v>
      </c>
      <c r="E4117" t="s">
        <v>21</v>
      </c>
      <c r="F4117" t="s">
        <v>22</v>
      </c>
      <c r="G4117" t="s">
        <v>64</v>
      </c>
      <c r="H4117" t="s">
        <v>528</v>
      </c>
      <c r="I4117" t="s">
        <v>8093</v>
      </c>
      <c r="J4117">
        <v>10.264844999999999</v>
      </c>
      <c r="K4117">
        <v>-84.946629999999999</v>
      </c>
      <c r="L4117" t="s">
        <v>1225</v>
      </c>
      <c r="M4117" t="s">
        <v>327</v>
      </c>
      <c r="N4117" t="s">
        <v>530</v>
      </c>
      <c r="O4117" t="s">
        <v>531</v>
      </c>
      <c r="P4117">
        <v>1</v>
      </c>
      <c r="Q4117" t="s">
        <v>155</v>
      </c>
      <c r="S4117" t="str">
        <f>_xlfn.XLOOKUP(UNIVERSO[[#This Row],[Ruta]],'[1]CUOTA RUTA'!A:A,'[1]CUOTA RUTA'!D:D)</f>
        <v>Cargar</v>
      </c>
    </row>
    <row r="4118" spans="1:19" x14ac:dyDescent="0.25">
      <c r="A4118">
        <v>1540062484</v>
      </c>
      <c r="B4118" t="s">
        <v>8094</v>
      </c>
      <c r="C4118" t="s">
        <v>19</v>
      </c>
      <c r="D4118" t="s">
        <v>349</v>
      </c>
      <c r="E4118" t="s">
        <v>21</v>
      </c>
      <c r="F4118" t="s">
        <v>22</v>
      </c>
      <c r="G4118" t="s">
        <v>64</v>
      </c>
      <c r="H4118" t="s">
        <v>496</v>
      </c>
      <c r="I4118" t="s">
        <v>8095</v>
      </c>
      <c r="J4118">
        <v>10.2689079</v>
      </c>
      <c r="K4118">
        <v>-85.582238000000004</v>
      </c>
      <c r="L4118" t="s">
        <v>1225</v>
      </c>
      <c r="M4118" t="s">
        <v>352</v>
      </c>
      <c r="N4118" t="s">
        <v>353</v>
      </c>
      <c r="O4118" t="s">
        <v>354</v>
      </c>
      <c r="P4118">
        <v>2</v>
      </c>
      <c r="Q4118" t="s">
        <v>150</v>
      </c>
      <c r="S4118" t="str">
        <f>_xlfn.XLOOKUP(UNIVERSO[[#This Row],[Ruta]],'[1]CUOTA RUTA'!A:A,'[1]CUOTA RUTA'!D:D)</f>
        <v>Cargar</v>
      </c>
    </row>
    <row r="4119" spans="1:19" x14ac:dyDescent="0.25">
      <c r="A4119">
        <v>1540062557</v>
      </c>
      <c r="B4119" t="s">
        <v>8096</v>
      </c>
      <c r="C4119" t="s">
        <v>19</v>
      </c>
      <c r="D4119" t="s">
        <v>20</v>
      </c>
      <c r="E4119" t="s">
        <v>21</v>
      </c>
      <c r="F4119" t="s">
        <v>22</v>
      </c>
      <c r="G4119" t="s">
        <v>23</v>
      </c>
      <c r="H4119" t="s">
        <v>311</v>
      </c>
      <c r="I4119" t="s">
        <v>8097</v>
      </c>
      <c r="J4119">
        <v>9.953163</v>
      </c>
      <c r="K4119">
        <v>-84.229838999999998</v>
      </c>
      <c r="L4119" t="s">
        <v>1225</v>
      </c>
      <c r="M4119" t="s">
        <v>54</v>
      </c>
      <c r="N4119" t="s">
        <v>55</v>
      </c>
      <c r="O4119" t="s">
        <v>56</v>
      </c>
      <c r="P4119">
        <v>9</v>
      </c>
      <c r="Q4119" t="s">
        <v>80</v>
      </c>
      <c r="S4119" t="str">
        <f>_xlfn.XLOOKUP(UNIVERSO[[#This Row],[Ruta]],'[1]CUOTA RUTA'!A:A,'[1]CUOTA RUTA'!D:D)</f>
        <v>Cargar</v>
      </c>
    </row>
    <row r="4120" spans="1:19" x14ac:dyDescent="0.25">
      <c r="A4120">
        <v>1540062884</v>
      </c>
      <c r="B4120" t="s">
        <v>8098</v>
      </c>
      <c r="C4120" t="s">
        <v>19</v>
      </c>
      <c r="D4120" t="s">
        <v>349</v>
      </c>
      <c r="E4120" t="s">
        <v>21</v>
      </c>
      <c r="F4120" t="s">
        <v>22</v>
      </c>
      <c r="G4120" t="s">
        <v>64</v>
      </c>
      <c r="H4120" t="s">
        <v>359</v>
      </c>
      <c r="I4120" t="s">
        <v>8099</v>
      </c>
      <c r="J4120">
        <v>10.261891</v>
      </c>
      <c r="K4120">
        <v>-85.710476</v>
      </c>
      <c r="L4120" t="s">
        <v>1225</v>
      </c>
      <c r="M4120" t="s">
        <v>352</v>
      </c>
      <c r="N4120" t="s">
        <v>353</v>
      </c>
      <c r="O4120" t="s">
        <v>354</v>
      </c>
      <c r="P4120">
        <v>4</v>
      </c>
      <c r="Q4120" t="s">
        <v>120</v>
      </c>
      <c r="S4120" t="str">
        <f>_xlfn.XLOOKUP(UNIVERSO[[#This Row],[Ruta]],'[1]CUOTA RUTA'!A:A,'[1]CUOTA RUTA'!D:D)</f>
        <v>Cargar</v>
      </c>
    </row>
    <row r="4121" spans="1:19" x14ac:dyDescent="0.25">
      <c r="A4121">
        <v>1540062958</v>
      </c>
      <c r="B4121" t="s">
        <v>8100</v>
      </c>
      <c r="C4121" t="s">
        <v>19</v>
      </c>
      <c r="D4121" t="s">
        <v>20</v>
      </c>
      <c r="E4121" t="s">
        <v>21</v>
      </c>
      <c r="F4121" t="s">
        <v>22</v>
      </c>
      <c r="G4121" t="s">
        <v>33</v>
      </c>
      <c r="H4121" t="s">
        <v>250</v>
      </c>
      <c r="I4121" t="s">
        <v>8101</v>
      </c>
      <c r="J4121">
        <v>10.0215</v>
      </c>
      <c r="K4121">
        <v>-84.261200000000002</v>
      </c>
      <c r="L4121" t="s">
        <v>1225</v>
      </c>
      <c r="M4121" t="s">
        <v>46</v>
      </c>
      <c r="N4121" t="s">
        <v>47</v>
      </c>
      <c r="O4121" t="s">
        <v>48</v>
      </c>
      <c r="P4121">
        <v>3</v>
      </c>
      <c r="Q4121" t="s">
        <v>101</v>
      </c>
      <c r="S4121" t="str">
        <f>_xlfn.XLOOKUP(UNIVERSO[[#This Row],[Ruta]],'[1]CUOTA RUTA'!A:A,'[1]CUOTA RUTA'!D:D)</f>
        <v>Cargar</v>
      </c>
    </row>
    <row r="4122" spans="1:19" x14ac:dyDescent="0.25">
      <c r="A4122">
        <v>1540063026</v>
      </c>
      <c r="B4122" t="s">
        <v>8102</v>
      </c>
      <c r="C4122" t="s">
        <v>19</v>
      </c>
      <c r="D4122" t="s">
        <v>349</v>
      </c>
      <c r="E4122" t="s">
        <v>21</v>
      </c>
      <c r="F4122" t="s">
        <v>22</v>
      </c>
      <c r="G4122" t="s">
        <v>33</v>
      </c>
      <c r="H4122" t="s">
        <v>359</v>
      </c>
      <c r="I4122" t="s">
        <v>8103</v>
      </c>
      <c r="J4122">
        <v>9.9952699999999997</v>
      </c>
      <c r="K4122">
        <v>-85.252887999999999</v>
      </c>
      <c r="L4122" t="s">
        <v>1225</v>
      </c>
      <c r="M4122" t="s">
        <v>352</v>
      </c>
      <c r="N4122" t="s">
        <v>353</v>
      </c>
      <c r="O4122" t="s">
        <v>354</v>
      </c>
      <c r="P4122">
        <v>15</v>
      </c>
      <c r="Q4122" t="s">
        <v>231</v>
      </c>
      <c r="S4122" t="str">
        <f>_xlfn.XLOOKUP(UNIVERSO[[#This Row],[Ruta]],'[1]CUOTA RUTA'!A:A,'[1]CUOTA RUTA'!D:D)</f>
        <v>Cargar</v>
      </c>
    </row>
    <row r="4123" spans="1:19" x14ac:dyDescent="0.25">
      <c r="A4123">
        <v>1540063221</v>
      </c>
      <c r="B4123" t="s">
        <v>8104</v>
      </c>
      <c r="C4123" t="s">
        <v>19</v>
      </c>
      <c r="D4123" t="s">
        <v>324</v>
      </c>
      <c r="E4123" t="s">
        <v>21</v>
      </c>
      <c r="F4123" t="s">
        <v>22</v>
      </c>
      <c r="G4123" t="s">
        <v>64</v>
      </c>
      <c r="H4123" t="s">
        <v>6220</v>
      </c>
      <c r="I4123" t="s">
        <v>8105</v>
      </c>
      <c r="J4123">
        <v>10.957897000000001</v>
      </c>
      <c r="K4123">
        <v>-84.619883000000002</v>
      </c>
      <c r="L4123" t="s">
        <v>1225</v>
      </c>
      <c r="M4123" t="s">
        <v>327</v>
      </c>
      <c r="N4123" t="s">
        <v>328</v>
      </c>
      <c r="O4123" t="s">
        <v>329</v>
      </c>
      <c r="P4123">
        <v>23</v>
      </c>
      <c r="Q4123" t="s">
        <v>125</v>
      </c>
      <c r="S4123" t="str">
        <f>_xlfn.XLOOKUP(UNIVERSO[[#This Row],[Ruta]],'[1]CUOTA RUTA'!A:A,'[1]CUOTA RUTA'!D:D)</f>
        <v>Cargar</v>
      </c>
    </row>
    <row r="4124" spans="1:19" x14ac:dyDescent="0.25">
      <c r="A4124">
        <v>1540063270</v>
      </c>
      <c r="B4124" t="s">
        <v>8106</v>
      </c>
      <c r="C4124" t="s">
        <v>19</v>
      </c>
      <c r="D4124" t="s">
        <v>337</v>
      </c>
      <c r="E4124" t="s">
        <v>21</v>
      </c>
      <c r="F4124" t="s">
        <v>22</v>
      </c>
      <c r="G4124" t="s">
        <v>64</v>
      </c>
      <c r="H4124" t="s">
        <v>346</v>
      </c>
      <c r="I4124" t="s">
        <v>8107</v>
      </c>
      <c r="J4124">
        <v>10.611208</v>
      </c>
      <c r="K4124">
        <v>-85.425461999999996</v>
      </c>
      <c r="L4124" t="s">
        <v>1225</v>
      </c>
      <c r="M4124" t="s">
        <v>327</v>
      </c>
      <c r="N4124" t="s">
        <v>340</v>
      </c>
      <c r="O4124" t="s">
        <v>341</v>
      </c>
      <c r="P4124">
        <v>14</v>
      </c>
      <c r="Q4124" t="s">
        <v>181</v>
      </c>
      <c r="S4124" t="str">
        <f>_xlfn.XLOOKUP(UNIVERSO[[#This Row],[Ruta]],'[1]CUOTA RUTA'!A:A,'[1]CUOTA RUTA'!D:D)</f>
        <v>Cargar</v>
      </c>
    </row>
    <row r="4125" spans="1:19" x14ac:dyDescent="0.25">
      <c r="A4125">
        <v>1540063586</v>
      </c>
      <c r="B4125" t="s">
        <v>8108</v>
      </c>
      <c r="C4125" t="s">
        <v>19</v>
      </c>
      <c r="D4125" t="s">
        <v>20</v>
      </c>
      <c r="E4125" t="s">
        <v>21</v>
      </c>
      <c r="F4125" t="s">
        <v>22</v>
      </c>
      <c r="G4125" t="s">
        <v>23</v>
      </c>
      <c r="H4125" t="s">
        <v>280</v>
      </c>
      <c r="I4125" t="s">
        <v>8109</v>
      </c>
      <c r="J4125">
        <v>10.0139</v>
      </c>
      <c r="K4125">
        <v>-84.214600000000004</v>
      </c>
      <c r="L4125" t="s">
        <v>1225</v>
      </c>
      <c r="M4125" t="s">
        <v>54</v>
      </c>
      <c r="N4125" t="s">
        <v>55</v>
      </c>
      <c r="O4125" t="s">
        <v>56</v>
      </c>
      <c r="P4125">
        <v>4</v>
      </c>
      <c r="Q4125" t="s">
        <v>120</v>
      </c>
      <c r="S4125" t="str">
        <f>_xlfn.XLOOKUP(UNIVERSO[[#This Row],[Ruta]],'[1]CUOTA RUTA'!A:A,'[1]CUOTA RUTA'!D:D)</f>
        <v>Cargar</v>
      </c>
    </row>
    <row r="4126" spans="1:19" x14ac:dyDescent="0.25">
      <c r="A4126">
        <v>1540063602</v>
      </c>
      <c r="B4126" t="s">
        <v>8110</v>
      </c>
      <c r="C4126" t="s">
        <v>19</v>
      </c>
      <c r="D4126" t="s">
        <v>20</v>
      </c>
      <c r="E4126" t="s">
        <v>62</v>
      </c>
      <c r="F4126" t="s">
        <v>63</v>
      </c>
      <c r="G4126" t="s">
        <v>33</v>
      </c>
      <c r="H4126" t="s">
        <v>260</v>
      </c>
      <c r="I4126" t="s">
        <v>8111</v>
      </c>
      <c r="J4126">
        <v>10.088691000000001</v>
      </c>
      <c r="K4126">
        <v>-84.471098699999999</v>
      </c>
      <c r="L4126" t="s">
        <v>1225</v>
      </c>
      <c r="M4126" t="s">
        <v>46</v>
      </c>
      <c r="N4126" t="s">
        <v>47</v>
      </c>
      <c r="O4126" t="s">
        <v>48</v>
      </c>
      <c r="P4126">
        <v>6</v>
      </c>
      <c r="Q4126" t="s">
        <v>49</v>
      </c>
      <c r="S4126" t="str">
        <f>_xlfn.XLOOKUP(UNIVERSO[[#This Row],[Ruta]],'[1]CUOTA RUTA'!A:A,'[1]CUOTA RUTA'!D:D)</f>
        <v>Cargar</v>
      </c>
    </row>
    <row r="4127" spans="1:19" x14ac:dyDescent="0.25">
      <c r="A4127">
        <v>1540063778</v>
      </c>
      <c r="B4127" t="s">
        <v>8112</v>
      </c>
      <c r="C4127" t="s">
        <v>19</v>
      </c>
      <c r="D4127" t="s">
        <v>337</v>
      </c>
      <c r="E4127" t="s">
        <v>21</v>
      </c>
      <c r="F4127" t="s">
        <v>22</v>
      </c>
      <c r="G4127" t="s">
        <v>64</v>
      </c>
      <c r="H4127" t="s">
        <v>346</v>
      </c>
      <c r="I4127" t="s">
        <v>8113</v>
      </c>
      <c r="J4127">
        <v>10.430917300000001</v>
      </c>
      <c r="K4127">
        <v>-85.261419700000005</v>
      </c>
      <c r="L4127" t="s">
        <v>1225</v>
      </c>
      <c r="M4127" t="s">
        <v>327</v>
      </c>
      <c r="N4127" t="s">
        <v>340</v>
      </c>
      <c r="O4127" t="s">
        <v>341</v>
      </c>
      <c r="P4127">
        <v>21</v>
      </c>
      <c r="Q4127" t="s">
        <v>239</v>
      </c>
      <c r="S4127" t="str">
        <f>_xlfn.XLOOKUP(UNIVERSO[[#This Row],[Ruta]],'[1]CUOTA RUTA'!A:A,'[1]CUOTA RUTA'!D:D)</f>
        <v>Cargar</v>
      </c>
    </row>
    <row r="4128" spans="1:19" x14ac:dyDescent="0.25">
      <c r="A4128">
        <v>1540063785</v>
      </c>
      <c r="B4128" t="s">
        <v>4703</v>
      </c>
      <c r="C4128" t="s">
        <v>19</v>
      </c>
      <c r="D4128" t="s">
        <v>337</v>
      </c>
      <c r="E4128" t="s">
        <v>21</v>
      </c>
      <c r="F4128" t="s">
        <v>22</v>
      </c>
      <c r="G4128" t="s">
        <v>64</v>
      </c>
      <c r="H4128" t="s">
        <v>401</v>
      </c>
      <c r="I4128" t="s">
        <v>8114</v>
      </c>
      <c r="J4128">
        <v>10.631625570000001</v>
      </c>
      <c r="K4128">
        <v>-85.445615770000003</v>
      </c>
      <c r="L4128" t="s">
        <v>1225</v>
      </c>
      <c r="M4128" t="s">
        <v>327</v>
      </c>
      <c r="N4128" t="s">
        <v>340</v>
      </c>
      <c r="O4128" t="s">
        <v>341</v>
      </c>
      <c r="P4128">
        <v>14</v>
      </c>
      <c r="Q4128" t="s">
        <v>181</v>
      </c>
      <c r="S4128" t="str">
        <f>_xlfn.XLOOKUP(UNIVERSO[[#This Row],[Ruta]],'[1]CUOTA RUTA'!A:A,'[1]CUOTA RUTA'!D:D)</f>
        <v>Cargar</v>
      </c>
    </row>
    <row r="4129" spans="1:19" x14ac:dyDescent="0.25">
      <c r="A4129">
        <v>1540063914</v>
      </c>
      <c r="B4129" t="s">
        <v>8115</v>
      </c>
      <c r="C4129" t="s">
        <v>19</v>
      </c>
      <c r="D4129" t="s">
        <v>324</v>
      </c>
      <c r="E4129" t="s">
        <v>21</v>
      </c>
      <c r="F4129" t="s">
        <v>22</v>
      </c>
      <c r="G4129" t="s">
        <v>33</v>
      </c>
      <c r="H4129" t="s">
        <v>325</v>
      </c>
      <c r="I4129" t="s">
        <v>8116</v>
      </c>
      <c r="J4129">
        <v>10.363</v>
      </c>
      <c r="K4129">
        <v>-84.476900000000001</v>
      </c>
      <c r="L4129" t="s">
        <v>1225</v>
      </c>
      <c r="M4129" t="s">
        <v>327</v>
      </c>
      <c r="N4129" t="s">
        <v>328</v>
      </c>
      <c r="O4129" t="s">
        <v>329</v>
      </c>
      <c r="P4129">
        <v>15</v>
      </c>
      <c r="Q4129" t="s">
        <v>231</v>
      </c>
      <c r="S4129" t="str">
        <f>_xlfn.XLOOKUP(UNIVERSO[[#This Row],[Ruta]],'[1]CUOTA RUTA'!A:A,'[1]CUOTA RUTA'!D:D)</f>
        <v>Cargar</v>
      </c>
    </row>
    <row r="4130" spans="1:19" x14ac:dyDescent="0.25">
      <c r="A4130">
        <v>1540063999</v>
      </c>
      <c r="B4130" t="s">
        <v>8117</v>
      </c>
      <c r="C4130" t="s">
        <v>19</v>
      </c>
      <c r="D4130" t="s">
        <v>324</v>
      </c>
      <c r="E4130" t="s">
        <v>21</v>
      </c>
      <c r="F4130" t="s">
        <v>22</v>
      </c>
      <c r="G4130" t="s">
        <v>64</v>
      </c>
      <c r="H4130" t="s">
        <v>325</v>
      </c>
      <c r="I4130" t="s">
        <v>8116</v>
      </c>
      <c r="J4130">
        <v>10.358599999999999</v>
      </c>
      <c r="K4130">
        <v>-84.480099999999993</v>
      </c>
      <c r="L4130" t="s">
        <v>1225</v>
      </c>
      <c r="M4130" t="s">
        <v>327</v>
      </c>
      <c r="N4130" t="s">
        <v>328</v>
      </c>
      <c r="O4130" t="s">
        <v>329</v>
      </c>
      <c r="P4130">
        <v>15</v>
      </c>
      <c r="Q4130" t="s">
        <v>231</v>
      </c>
      <c r="S4130" t="str">
        <f>_xlfn.XLOOKUP(UNIVERSO[[#This Row],[Ruta]],'[1]CUOTA RUTA'!A:A,'[1]CUOTA RUTA'!D:D)</f>
        <v>Cargar</v>
      </c>
    </row>
    <row r="4131" spans="1:19" x14ac:dyDescent="0.25">
      <c r="A4131">
        <v>1540064057</v>
      </c>
      <c r="B4131" t="s">
        <v>8118</v>
      </c>
      <c r="C4131" t="s">
        <v>19</v>
      </c>
      <c r="D4131" t="s">
        <v>20</v>
      </c>
      <c r="E4131" t="s">
        <v>21</v>
      </c>
      <c r="F4131" t="s">
        <v>22</v>
      </c>
      <c r="G4131" t="s">
        <v>33</v>
      </c>
      <c r="H4131" t="s">
        <v>674</v>
      </c>
      <c r="I4131" t="s">
        <v>8119</v>
      </c>
      <c r="J4131">
        <v>10.166028107571</v>
      </c>
      <c r="K4131">
        <v>-84.419377993609999</v>
      </c>
      <c r="L4131" t="s">
        <v>1225</v>
      </c>
      <c r="M4131" t="s">
        <v>46</v>
      </c>
      <c r="N4131" t="s">
        <v>47</v>
      </c>
      <c r="O4131" t="s">
        <v>48</v>
      </c>
      <c r="P4131">
        <v>1</v>
      </c>
      <c r="Q4131" t="s">
        <v>155</v>
      </c>
      <c r="S4131" t="str">
        <f>_xlfn.XLOOKUP(UNIVERSO[[#This Row],[Ruta]],'[1]CUOTA RUTA'!A:A,'[1]CUOTA RUTA'!D:D)</f>
        <v>Cargar</v>
      </c>
    </row>
    <row r="4132" spans="1:19" x14ac:dyDescent="0.25">
      <c r="A4132">
        <v>1540064471</v>
      </c>
      <c r="B4132" t="s">
        <v>8120</v>
      </c>
      <c r="C4132" t="s">
        <v>19</v>
      </c>
      <c r="D4132" t="s">
        <v>324</v>
      </c>
      <c r="E4132" t="s">
        <v>21</v>
      </c>
      <c r="F4132" t="s">
        <v>22</v>
      </c>
      <c r="G4132" t="s">
        <v>64</v>
      </c>
      <c r="H4132" t="s">
        <v>393</v>
      </c>
      <c r="I4132" t="s">
        <v>8121</v>
      </c>
      <c r="J4132">
        <v>10.367000000000001</v>
      </c>
      <c r="K4132">
        <v>-84.436400000000006</v>
      </c>
      <c r="L4132" t="s">
        <v>1225</v>
      </c>
      <c r="M4132" t="s">
        <v>327</v>
      </c>
      <c r="N4132" t="s">
        <v>328</v>
      </c>
      <c r="O4132" t="s">
        <v>329</v>
      </c>
      <c r="P4132">
        <v>15</v>
      </c>
      <c r="Q4132" t="s">
        <v>231</v>
      </c>
      <c r="S4132" t="str">
        <f>_xlfn.XLOOKUP(UNIVERSO[[#This Row],[Ruta]],'[1]CUOTA RUTA'!A:A,'[1]CUOTA RUTA'!D:D)</f>
        <v>Cargar</v>
      </c>
    </row>
    <row r="4133" spans="1:19" x14ac:dyDescent="0.25">
      <c r="A4133">
        <v>1540064488</v>
      </c>
      <c r="B4133" t="s">
        <v>8122</v>
      </c>
      <c r="C4133" t="s">
        <v>19</v>
      </c>
      <c r="D4133" t="s">
        <v>349</v>
      </c>
      <c r="E4133" t="s">
        <v>21</v>
      </c>
      <c r="F4133" t="s">
        <v>51</v>
      </c>
      <c r="G4133" t="s">
        <v>23</v>
      </c>
      <c r="H4133" t="s">
        <v>359</v>
      </c>
      <c r="I4133" t="s">
        <v>8123</v>
      </c>
      <c r="J4133">
        <v>10.0672</v>
      </c>
      <c r="K4133">
        <v>-85.473200000000006</v>
      </c>
      <c r="L4133" t="s">
        <v>1225</v>
      </c>
      <c r="M4133" t="s">
        <v>352</v>
      </c>
      <c r="N4133" t="s">
        <v>353</v>
      </c>
      <c r="O4133" t="s">
        <v>354</v>
      </c>
      <c r="P4133">
        <v>14</v>
      </c>
      <c r="Q4133" t="s">
        <v>181</v>
      </c>
      <c r="S4133" t="str">
        <f>_xlfn.XLOOKUP(UNIVERSO[[#This Row],[Ruta]],'[1]CUOTA RUTA'!A:A,'[1]CUOTA RUTA'!D:D)</f>
        <v>Cargar</v>
      </c>
    </row>
    <row r="4134" spans="1:19" x14ac:dyDescent="0.25">
      <c r="A4134">
        <v>1540064499</v>
      </c>
      <c r="B4134" t="s">
        <v>8124</v>
      </c>
      <c r="C4134" t="s">
        <v>19</v>
      </c>
      <c r="D4134" t="s">
        <v>324</v>
      </c>
      <c r="E4134" t="s">
        <v>21</v>
      </c>
      <c r="F4134" t="s">
        <v>22</v>
      </c>
      <c r="G4134" t="s">
        <v>64</v>
      </c>
      <c r="H4134" t="s">
        <v>331</v>
      </c>
      <c r="I4134" t="s">
        <v>8125</v>
      </c>
      <c r="J4134">
        <v>10.4608311</v>
      </c>
      <c r="K4134">
        <v>-84.290839500000004</v>
      </c>
      <c r="L4134" t="s">
        <v>1225</v>
      </c>
      <c r="M4134" t="s">
        <v>327</v>
      </c>
      <c r="N4134" t="s">
        <v>328</v>
      </c>
      <c r="O4134" t="s">
        <v>329</v>
      </c>
      <c r="P4134">
        <v>18</v>
      </c>
      <c r="Q4134" t="s">
        <v>84</v>
      </c>
      <c r="S4134" t="str">
        <f>_xlfn.XLOOKUP(UNIVERSO[[#This Row],[Ruta]],'[1]CUOTA RUTA'!A:A,'[1]CUOTA RUTA'!D:D)</f>
        <v>Cargar</v>
      </c>
    </row>
    <row r="4135" spans="1:19" x14ac:dyDescent="0.25">
      <c r="A4135">
        <v>1540064501</v>
      </c>
      <c r="B4135" t="s">
        <v>8126</v>
      </c>
      <c r="C4135" t="s">
        <v>19</v>
      </c>
      <c r="D4135" t="s">
        <v>324</v>
      </c>
      <c r="E4135" t="s">
        <v>21</v>
      </c>
      <c r="F4135" t="s">
        <v>22</v>
      </c>
      <c r="G4135" t="s">
        <v>64</v>
      </c>
      <c r="H4135" t="s">
        <v>393</v>
      </c>
      <c r="I4135" t="s">
        <v>8127</v>
      </c>
      <c r="J4135">
        <v>10.343999999999999</v>
      </c>
      <c r="K4135">
        <v>-84.415099999999995</v>
      </c>
      <c r="L4135" t="s">
        <v>1225</v>
      </c>
      <c r="M4135" t="s">
        <v>327</v>
      </c>
      <c r="N4135" t="s">
        <v>328</v>
      </c>
      <c r="O4135" t="s">
        <v>329</v>
      </c>
      <c r="P4135">
        <v>15</v>
      </c>
      <c r="Q4135" t="s">
        <v>231</v>
      </c>
      <c r="S4135" t="str">
        <f>_xlfn.XLOOKUP(UNIVERSO[[#This Row],[Ruta]],'[1]CUOTA RUTA'!A:A,'[1]CUOTA RUTA'!D:D)</f>
        <v>Cargar</v>
      </c>
    </row>
    <row r="4136" spans="1:19" x14ac:dyDescent="0.25">
      <c r="A4136">
        <v>1540064536</v>
      </c>
      <c r="B4136" t="s">
        <v>8128</v>
      </c>
      <c r="C4136" t="s">
        <v>19</v>
      </c>
      <c r="D4136" t="s">
        <v>20</v>
      </c>
      <c r="E4136" t="s">
        <v>21</v>
      </c>
      <c r="F4136" t="s">
        <v>22</v>
      </c>
      <c r="G4136" t="s">
        <v>64</v>
      </c>
      <c r="H4136" t="s">
        <v>638</v>
      </c>
      <c r="I4136" t="s">
        <v>8129</v>
      </c>
      <c r="J4136">
        <v>10.010929000000001</v>
      </c>
      <c r="K4136">
        <v>-84.215760000000003</v>
      </c>
      <c r="L4136" t="s">
        <v>1225</v>
      </c>
      <c r="M4136" t="s">
        <v>54</v>
      </c>
      <c r="N4136" t="s">
        <v>55</v>
      </c>
      <c r="O4136" t="s">
        <v>56</v>
      </c>
      <c r="P4136">
        <v>4</v>
      </c>
      <c r="Q4136" t="s">
        <v>120</v>
      </c>
      <c r="S4136" t="str">
        <f>_xlfn.XLOOKUP(UNIVERSO[[#This Row],[Ruta]],'[1]CUOTA RUTA'!A:A,'[1]CUOTA RUTA'!D:D)</f>
        <v>Cargar</v>
      </c>
    </row>
    <row r="4137" spans="1:19" x14ac:dyDescent="0.25">
      <c r="A4137">
        <v>1540064689</v>
      </c>
      <c r="B4137" t="s">
        <v>8130</v>
      </c>
      <c r="C4137" t="s">
        <v>19</v>
      </c>
      <c r="D4137" t="s">
        <v>266</v>
      </c>
      <c r="E4137" t="s">
        <v>21</v>
      </c>
      <c r="F4137" t="s">
        <v>22</v>
      </c>
      <c r="G4137" t="s">
        <v>23</v>
      </c>
      <c r="H4137" t="s">
        <v>267</v>
      </c>
      <c r="I4137" t="s">
        <v>8131</v>
      </c>
      <c r="J4137">
        <v>9.9664029999999997</v>
      </c>
      <c r="K4137">
        <v>-83.614001000000002</v>
      </c>
      <c r="L4137" t="s">
        <v>1225</v>
      </c>
      <c r="M4137" t="s">
        <v>189</v>
      </c>
      <c r="N4137" t="s">
        <v>269</v>
      </c>
      <c r="O4137" t="s">
        <v>270</v>
      </c>
      <c r="P4137">
        <v>23</v>
      </c>
      <c r="Q4137" t="s">
        <v>125</v>
      </c>
      <c r="S4137" t="str">
        <f>_xlfn.XLOOKUP(UNIVERSO[[#This Row],[Ruta]],'[1]CUOTA RUTA'!A:A,'[1]CUOTA RUTA'!D:D)</f>
        <v>Cargar</v>
      </c>
    </row>
    <row r="4138" spans="1:19" x14ac:dyDescent="0.25">
      <c r="A4138">
        <v>1540064761</v>
      </c>
      <c r="B4138" t="s">
        <v>8132</v>
      </c>
      <c r="C4138" t="s">
        <v>19</v>
      </c>
      <c r="D4138" t="s">
        <v>32</v>
      </c>
      <c r="E4138" t="s">
        <v>21</v>
      </c>
      <c r="F4138" t="s">
        <v>22</v>
      </c>
      <c r="G4138" t="s">
        <v>64</v>
      </c>
      <c r="H4138" t="s">
        <v>92</v>
      </c>
      <c r="I4138" t="s">
        <v>8133</v>
      </c>
      <c r="J4138">
        <v>9.9649400000000004</v>
      </c>
      <c r="K4138">
        <v>-84.006</v>
      </c>
      <c r="L4138" t="s">
        <v>1225</v>
      </c>
      <c r="M4138" t="s">
        <v>94</v>
      </c>
      <c r="N4138" t="s">
        <v>95</v>
      </c>
      <c r="O4138" t="s">
        <v>96</v>
      </c>
      <c r="P4138">
        <v>4</v>
      </c>
      <c r="Q4138" t="s">
        <v>120</v>
      </c>
      <c r="S4138" t="str">
        <f>_xlfn.XLOOKUP(UNIVERSO[[#This Row],[Ruta]],'[1]CUOTA RUTA'!A:A,'[1]CUOTA RUTA'!D:D)</f>
        <v>Cargar</v>
      </c>
    </row>
    <row r="4139" spans="1:19" x14ac:dyDescent="0.25">
      <c r="A4139">
        <v>1540064782</v>
      </c>
      <c r="B4139" t="s">
        <v>8134</v>
      </c>
      <c r="C4139" t="s">
        <v>19</v>
      </c>
      <c r="D4139" t="s">
        <v>349</v>
      </c>
      <c r="E4139" t="s">
        <v>21</v>
      </c>
      <c r="F4139" t="s">
        <v>22</v>
      </c>
      <c r="G4139" t="s">
        <v>33</v>
      </c>
      <c r="H4139" t="s">
        <v>359</v>
      </c>
      <c r="I4139" t="s">
        <v>8135</v>
      </c>
      <c r="J4139">
        <v>9.9905600000000003</v>
      </c>
      <c r="K4139">
        <v>-85.253600000000006</v>
      </c>
      <c r="L4139" t="s">
        <v>1225</v>
      </c>
      <c r="M4139" t="s">
        <v>352</v>
      </c>
      <c r="N4139" t="s">
        <v>353</v>
      </c>
      <c r="O4139" t="s">
        <v>354</v>
      </c>
      <c r="P4139">
        <v>15</v>
      </c>
      <c r="Q4139" t="s">
        <v>231</v>
      </c>
      <c r="S4139" t="str">
        <f>_xlfn.XLOOKUP(UNIVERSO[[#This Row],[Ruta]],'[1]CUOTA RUTA'!A:A,'[1]CUOTA RUTA'!D:D)</f>
        <v>Cargar</v>
      </c>
    </row>
    <row r="4140" spans="1:19" x14ac:dyDescent="0.25">
      <c r="A4140">
        <v>1540064786</v>
      </c>
      <c r="B4140" t="s">
        <v>8136</v>
      </c>
      <c r="C4140" t="s">
        <v>19</v>
      </c>
      <c r="D4140" t="s">
        <v>349</v>
      </c>
      <c r="E4140" t="s">
        <v>21</v>
      </c>
      <c r="F4140" t="s">
        <v>22</v>
      </c>
      <c r="G4140" t="s">
        <v>64</v>
      </c>
      <c r="H4140" t="s">
        <v>496</v>
      </c>
      <c r="I4140" t="s">
        <v>8137</v>
      </c>
      <c r="J4140">
        <v>9.9500309999999992</v>
      </c>
      <c r="K4140">
        <v>-85.032740000000004</v>
      </c>
      <c r="L4140" t="s">
        <v>1225</v>
      </c>
      <c r="M4140" t="s">
        <v>352</v>
      </c>
      <c r="N4140" t="s">
        <v>353</v>
      </c>
      <c r="O4140" t="s">
        <v>354</v>
      </c>
      <c r="P4140">
        <v>15</v>
      </c>
      <c r="Q4140" t="s">
        <v>231</v>
      </c>
      <c r="S4140" t="str">
        <f>_xlfn.XLOOKUP(UNIVERSO[[#This Row],[Ruta]],'[1]CUOTA RUTA'!A:A,'[1]CUOTA RUTA'!D:D)</f>
        <v>Cargar</v>
      </c>
    </row>
    <row r="4141" spans="1:19" x14ac:dyDescent="0.25">
      <c r="A4141">
        <v>1540064789</v>
      </c>
      <c r="B4141" t="s">
        <v>8138</v>
      </c>
      <c r="C4141" t="s">
        <v>19</v>
      </c>
      <c r="D4141" t="s">
        <v>20</v>
      </c>
      <c r="E4141" t="s">
        <v>21</v>
      </c>
      <c r="F4141" t="s">
        <v>22</v>
      </c>
      <c r="G4141" t="s">
        <v>23</v>
      </c>
      <c r="H4141" t="s">
        <v>311</v>
      </c>
      <c r="I4141" t="s">
        <v>8139</v>
      </c>
      <c r="J4141">
        <v>9.9647170000000003</v>
      </c>
      <c r="K4141">
        <v>-84.248457999999999</v>
      </c>
      <c r="L4141" t="s">
        <v>1225</v>
      </c>
      <c r="M4141" t="s">
        <v>54</v>
      </c>
      <c r="N4141" t="s">
        <v>55</v>
      </c>
      <c r="O4141" t="s">
        <v>56</v>
      </c>
      <c r="P4141">
        <v>9</v>
      </c>
      <c r="Q4141" t="s">
        <v>80</v>
      </c>
      <c r="S4141" t="str">
        <f>_xlfn.XLOOKUP(UNIVERSO[[#This Row],[Ruta]],'[1]CUOTA RUTA'!A:A,'[1]CUOTA RUTA'!D:D)</f>
        <v>Cargar</v>
      </c>
    </row>
    <row r="4142" spans="1:19" x14ac:dyDescent="0.25">
      <c r="A4142">
        <v>1540064806</v>
      </c>
      <c r="B4142" t="s">
        <v>8140</v>
      </c>
      <c r="C4142" t="s">
        <v>19</v>
      </c>
      <c r="D4142" t="s">
        <v>20</v>
      </c>
      <c r="E4142" t="s">
        <v>21</v>
      </c>
      <c r="F4142" t="s">
        <v>22</v>
      </c>
      <c r="G4142" t="s">
        <v>33</v>
      </c>
      <c r="H4142" t="s">
        <v>311</v>
      </c>
      <c r="I4142" t="s">
        <v>8141</v>
      </c>
      <c r="J4142">
        <v>9.9696619999999996</v>
      </c>
      <c r="K4142">
        <v>-84.228016999999994</v>
      </c>
      <c r="L4142" t="s">
        <v>1225</v>
      </c>
      <c r="M4142" t="s">
        <v>54</v>
      </c>
      <c r="N4142" t="s">
        <v>55</v>
      </c>
      <c r="O4142" t="s">
        <v>56</v>
      </c>
      <c r="P4142">
        <v>8</v>
      </c>
      <c r="Q4142" t="s">
        <v>97</v>
      </c>
      <c r="S4142" t="str">
        <f>_xlfn.XLOOKUP(UNIVERSO[[#This Row],[Ruta]],'[1]CUOTA RUTA'!A:A,'[1]CUOTA RUTA'!D:D)</f>
        <v>Cargar</v>
      </c>
    </row>
    <row r="4143" spans="1:19" x14ac:dyDescent="0.25">
      <c r="A4143">
        <v>1540064896</v>
      </c>
      <c r="B4143" t="s">
        <v>8142</v>
      </c>
      <c r="C4143" t="s">
        <v>19</v>
      </c>
      <c r="D4143" t="s">
        <v>349</v>
      </c>
      <c r="E4143" t="s">
        <v>21</v>
      </c>
      <c r="F4143" t="s">
        <v>22</v>
      </c>
      <c r="G4143" t="s">
        <v>64</v>
      </c>
      <c r="H4143" t="s">
        <v>496</v>
      </c>
      <c r="I4143" t="s">
        <v>8143</v>
      </c>
      <c r="J4143">
        <v>9.9287755700000009</v>
      </c>
      <c r="K4143">
        <v>-84.957486619999997</v>
      </c>
      <c r="L4143" t="s">
        <v>1225</v>
      </c>
      <c r="M4143" t="s">
        <v>352</v>
      </c>
      <c r="N4143" t="s">
        <v>353</v>
      </c>
      <c r="O4143" t="s">
        <v>354</v>
      </c>
      <c r="P4143">
        <v>15</v>
      </c>
      <c r="Q4143" t="s">
        <v>231</v>
      </c>
      <c r="S4143" t="str">
        <f>_xlfn.XLOOKUP(UNIVERSO[[#This Row],[Ruta]],'[1]CUOTA RUTA'!A:A,'[1]CUOTA RUTA'!D:D)</f>
        <v>Cargar</v>
      </c>
    </row>
    <row r="4144" spans="1:19" x14ac:dyDescent="0.25">
      <c r="A4144">
        <v>1540065042</v>
      </c>
      <c r="B4144" t="s">
        <v>8144</v>
      </c>
      <c r="C4144" t="s">
        <v>19</v>
      </c>
      <c r="D4144" t="s">
        <v>337</v>
      </c>
      <c r="E4144" t="s">
        <v>21</v>
      </c>
      <c r="F4144" t="s">
        <v>22</v>
      </c>
      <c r="G4144" t="s">
        <v>33</v>
      </c>
      <c r="H4144" t="s">
        <v>346</v>
      </c>
      <c r="I4144" t="s">
        <v>1105</v>
      </c>
      <c r="J4144">
        <v>10.382307000000001</v>
      </c>
      <c r="K4144">
        <v>-85.787943999999996</v>
      </c>
      <c r="L4144" t="s">
        <v>1225</v>
      </c>
      <c r="M4144" t="s">
        <v>327</v>
      </c>
      <c r="N4144" t="s">
        <v>340</v>
      </c>
      <c r="O4144" t="s">
        <v>341</v>
      </c>
      <c r="P4144">
        <v>17</v>
      </c>
      <c r="Q4144" t="s">
        <v>287</v>
      </c>
      <c r="S4144" t="str">
        <f>_xlfn.XLOOKUP(UNIVERSO[[#This Row],[Ruta]],'[1]CUOTA RUTA'!A:A,'[1]CUOTA RUTA'!D:D)</f>
        <v>Cargar</v>
      </c>
    </row>
    <row r="4145" spans="1:19" x14ac:dyDescent="0.25">
      <c r="A4145">
        <v>1540065121</v>
      </c>
      <c r="B4145" t="s">
        <v>8145</v>
      </c>
      <c r="C4145" t="s">
        <v>19</v>
      </c>
      <c r="D4145" t="s">
        <v>324</v>
      </c>
      <c r="E4145" t="s">
        <v>62</v>
      </c>
      <c r="F4145" t="s">
        <v>63</v>
      </c>
      <c r="G4145" t="s">
        <v>33</v>
      </c>
      <c r="H4145" t="s">
        <v>331</v>
      </c>
      <c r="I4145" t="s">
        <v>8146</v>
      </c>
      <c r="J4145">
        <v>10.339209</v>
      </c>
      <c r="K4145">
        <v>-84.220185000000001</v>
      </c>
      <c r="L4145" t="s">
        <v>1225</v>
      </c>
      <c r="M4145" t="s">
        <v>327</v>
      </c>
      <c r="N4145" t="s">
        <v>328</v>
      </c>
      <c r="O4145" t="s">
        <v>329</v>
      </c>
      <c r="P4145">
        <v>16</v>
      </c>
      <c r="Q4145" t="s">
        <v>60</v>
      </c>
      <c r="S4145" t="str">
        <f>_xlfn.XLOOKUP(UNIVERSO[[#This Row],[Ruta]],'[1]CUOTA RUTA'!A:A,'[1]CUOTA RUTA'!D:D)</f>
        <v>Cargar</v>
      </c>
    </row>
    <row r="4146" spans="1:19" x14ac:dyDescent="0.25">
      <c r="A4146">
        <v>1540065157</v>
      </c>
      <c r="B4146" t="s">
        <v>8147</v>
      </c>
      <c r="C4146" t="s">
        <v>19</v>
      </c>
      <c r="D4146" t="s">
        <v>324</v>
      </c>
      <c r="E4146" t="s">
        <v>21</v>
      </c>
      <c r="F4146" t="s">
        <v>22</v>
      </c>
      <c r="G4146" t="s">
        <v>33</v>
      </c>
      <c r="H4146" t="s">
        <v>325</v>
      </c>
      <c r="I4146" t="s">
        <v>8148</v>
      </c>
      <c r="J4146">
        <v>10.358442</v>
      </c>
      <c r="K4146">
        <v>-84.514730999999998</v>
      </c>
      <c r="L4146" t="s">
        <v>1225</v>
      </c>
      <c r="M4146" t="s">
        <v>327</v>
      </c>
      <c r="N4146" t="s">
        <v>328</v>
      </c>
      <c r="O4146" t="s">
        <v>329</v>
      </c>
      <c r="P4146">
        <v>14</v>
      </c>
      <c r="Q4146" t="s">
        <v>181</v>
      </c>
      <c r="S4146" t="str">
        <f>_xlfn.XLOOKUP(UNIVERSO[[#This Row],[Ruta]],'[1]CUOTA RUTA'!A:A,'[1]CUOTA RUTA'!D:D)</f>
        <v>Cargar</v>
      </c>
    </row>
    <row r="4147" spans="1:19" x14ac:dyDescent="0.25">
      <c r="A4147">
        <v>1540065164</v>
      </c>
      <c r="B4147" t="s">
        <v>8149</v>
      </c>
      <c r="C4147" t="s">
        <v>19</v>
      </c>
      <c r="D4147" t="s">
        <v>337</v>
      </c>
      <c r="E4147" t="s">
        <v>21</v>
      </c>
      <c r="F4147" t="s">
        <v>22</v>
      </c>
      <c r="G4147" t="s">
        <v>33</v>
      </c>
      <c r="H4147" t="s">
        <v>346</v>
      </c>
      <c r="I4147" t="s">
        <v>8150</v>
      </c>
      <c r="J4147">
        <v>10.41278513</v>
      </c>
      <c r="K4147">
        <v>-85.793829680000002</v>
      </c>
      <c r="L4147" t="s">
        <v>1225</v>
      </c>
      <c r="M4147" t="s">
        <v>327</v>
      </c>
      <c r="N4147" t="s">
        <v>340</v>
      </c>
      <c r="O4147" t="s">
        <v>341</v>
      </c>
      <c r="P4147">
        <v>18</v>
      </c>
      <c r="Q4147" t="s">
        <v>84</v>
      </c>
      <c r="S4147" t="str">
        <f>_xlfn.XLOOKUP(UNIVERSO[[#This Row],[Ruta]],'[1]CUOTA RUTA'!A:A,'[1]CUOTA RUTA'!D:D)</f>
        <v>Cargar</v>
      </c>
    </row>
    <row r="4148" spans="1:19" x14ac:dyDescent="0.25">
      <c r="A4148">
        <v>1540065193</v>
      </c>
      <c r="B4148" t="s">
        <v>8151</v>
      </c>
      <c r="C4148" t="s">
        <v>19</v>
      </c>
      <c r="D4148" t="s">
        <v>208</v>
      </c>
      <c r="E4148" t="s">
        <v>21</v>
      </c>
      <c r="F4148" t="s">
        <v>22</v>
      </c>
      <c r="G4148" t="s">
        <v>33</v>
      </c>
      <c r="H4148" t="s">
        <v>218</v>
      </c>
      <c r="I4148" t="s">
        <v>8152</v>
      </c>
      <c r="J4148">
        <v>10.193044</v>
      </c>
      <c r="K4148">
        <v>-83.796322000000004</v>
      </c>
      <c r="L4148" t="s">
        <v>1225</v>
      </c>
      <c r="M4148" t="s">
        <v>189</v>
      </c>
      <c r="N4148" t="s">
        <v>211</v>
      </c>
      <c r="O4148" t="s">
        <v>212</v>
      </c>
      <c r="P4148">
        <v>5</v>
      </c>
      <c r="Q4148" t="s">
        <v>117</v>
      </c>
      <c r="S4148" t="str">
        <f>_xlfn.XLOOKUP(UNIVERSO[[#This Row],[Ruta]],'[1]CUOTA RUTA'!A:A,'[1]CUOTA RUTA'!D:D)</f>
        <v>Cargar</v>
      </c>
    </row>
    <row r="4149" spans="1:19" x14ac:dyDescent="0.25">
      <c r="A4149">
        <v>1540065218</v>
      </c>
      <c r="B4149" t="s">
        <v>8153</v>
      </c>
      <c r="C4149" t="s">
        <v>19</v>
      </c>
      <c r="D4149" t="s">
        <v>32</v>
      </c>
      <c r="E4149" t="s">
        <v>21</v>
      </c>
      <c r="F4149" t="s">
        <v>22</v>
      </c>
      <c r="G4149" t="s">
        <v>64</v>
      </c>
      <c r="H4149" t="s">
        <v>1191</v>
      </c>
      <c r="I4149" t="s">
        <v>8154</v>
      </c>
      <c r="J4149">
        <v>9.8992900000000006</v>
      </c>
      <c r="K4149">
        <v>-84.025400000000005</v>
      </c>
      <c r="L4149" t="s">
        <v>1225</v>
      </c>
      <c r="M4149" t="s">
        <v>36</v>
      </c>
      <c r="N4149" t="s">
        <v>37</v>
      </c>
      <c r="O4149" t="s">
        <v>38</v>
      </c>
      <c r="P4149">
        <v>15</v>
      </c>
      <c r="Q4149" t="s">
        <v>231</v>
      </c>
      <c r="S4149" t="str">
        <f>_xlfn.XLOOKUP(UNIVERSO[[#This Row],[Ruta]],'[1]CUOTA RUTA'!A:A,'[1]CUOTA RUTA'!D:D)</f>
        <v>Cargar</v>
      </c>
    </row>
    <row r="4150" spans="1:19" x14ac:dyDescent="0.25">
      <c r="A4150">
        <v>1540065335</v>
      </c>
      <c r="B4150" t="s">
        <v>8155</v>
      </c>
      <c r="C4150" t="s">
        <v>19</v>
      </c>
      <c r="D4150" t="s">
        <v>337</v>
      </c>
      <c r="E4150" t="s">
        <v>21</v>
      </c>
      <c r="F4150" t="s">
        <v>22</v>
      </c>
      <c r="G4150" t="s">
        <v>33</v>
      </c>
      <c r="H4150" t="s">
        <v>346</v>
      </c>
      <c r="I4150" t="s">
        <v>7757</v>
      </c>
      <c r="J4150">
        <v>10.5259</v>
      </c>
      <c r="K4150">
        <v>-85.253900000000002</v>
      </c>
      <c r="L4150" t="s">
        <v>1225</v>
      </c>
      <c r="M4150" t="s">
        <v>327</v>
      </c>
      <c r="N4150" t="s">
        <v>340</v>
      </c>
      <c r="O4150" t="s">
        <v>341</v>
      </c>
      <c r="P4150">
        <v>20</v>
      </c>
      <c r="Q4150" t="s">
        <v>74</v>
      </c>
      <c r="S4150" t="str">
        <f>_xlfn.XLOOKUP(UNIVERSO[[#This Row],[Ruta]],'[1]CUOTA RUTA'!A:A,'[1]CUOTA RUTA'!D:D)</f>
        <v>Cargar</v>
      </c>
    </row>
    <row r="4151" spans="1:19" x14ac:dyDescent="0.25">
      <c r="A4151">
        <v>1540065492</v>
      </c>
      <c r="B4151" t="s">
        <v>8156</v>
      </c>
      <c r="C4151" t="s">
        <v>19</v>
      </c>
      <c r="D4151" t="s">
        <v>324</v>
      </c>
      <c r="E4151" t="s">
        <v>21</v>
      </c>
      <c r="F4151" t="s">
        <v>22</v>
      </c>
      <c r="G4151" t="s">
        <v>64</v>
      </c>
      <c r="H4151" t="s">
        <v>557</v>
      </c>
      <c r="I4151" t="s">
        <v>8157</v>
      </c>
      <c r="J4151">
        <v>10.467599999999999</v>
      </c>
      <c r="K4151">
        <v>-84.662999999999997</v>
      </c>
      <c r="L4151" t="s">
        <v>1225</v>
      </c>
      <c r="M4151" t="s">
        <v>327</v>
      </c>
      <c r="N4151" t="s">
        <v>328</v>
      </c>
      <c r="O4151" t="s">
        <v>329</v>
      </c>
      <c r="P4151">
        <v>21</v>
      </c>
      <c r="Q4151" t="s">
        <v>239</v>
      </c>
      <c r="S4151" t="str">
        <f>_xlfn.XLOOKUP(UNIVERSO[[#This Row],[Ruta]],'[1]CUOTA RUTA'!A:A,'[1]CUOTA RUTA'!D:D)</f>
        <v>Cargar</v>
      </c>
    </row>
    <row r="4152" spans="1:19" x14ac:dyDescent="0.25">
      <c r="A4152">
        <v>1540065497</v>
      </c>
      <c r="B4152" t="s">
        <v>8158</v>
      </c>
      <c r="C4152" t="s">
        <v>19</v>
      </c>
      <c r="D4152" t="s">
        <v>20</v>
      </c>
      <c r="E4152" t="s">
        <v>21</v>
      </c>
      <c r="F4152" t="s">
        <v>22</v>
      </c>
      <c r="G4152" t="s">
        <v>64</v>
      </c>
      <c r="H4152" t="s">
        <v>263</v>
      </c>
      <c r="I4152" t="s">
        <v>8159</v>
      </c>
      <c r="J4152">
        <v>10.102416</v>
      </c>
      <c r="K4152">
        <v>-84.383437999999998</v>
      </c>
      <c r="L4152" t="s">
        <v>1225</v>
      </c>
      <c r="M4152" t="s">
        <v>46</v>
      </c>
      <c r="N4152" t="s">
        <v>47</v>
      </c>
      <c r="O4152" t="s">
        <v>48</v>
      </c>
      <c r="P4152">
        <v>1</v>
      </c>
      <c r="Q4152" t="s">
        <v>155</v>
      </c>
      <c r="S4152" t="str">
        <f>_xlfn.XLOOKUP(UNIVERSO[[#This Row],[Ruta]],'[1]CUOTA RUTA'!A:A,'[1]CUOTA RUTA'!D:D)</f>
        <v>Cargar</v>
      </c>
    </row>
    <row r="4153" spans="1:19" x14ac:dyDescent="0.25">
      <c r="A4153">
        <v>1540065587</v>
      </c>
      <c r="B4153" t="s">
        <v>8160</v>
      </c>
      <c r="C4153" t="s">
        <v>19</v>
      </c>
      <c r="D4153" t="s">
        <v>20</v>
      </c>
      <c r="E4153" t="s">
        <v>21</v>
      </c>
      <c r="F4153" t="s">
        <v>22</v>
      </c>
      <c r="G4153" t="s">
        <v>33</v>
      </c>
      <c r="H4153" t="s">
        <v>280</v>
      </c>
      <c r="I4153" t="s">
        <v>8161</v>
      </c>
      <c r="J4153">
        <v>10.021884999999999</v>
      </c>
      <c r="K4153">
        <v>-84.220720999999998</v>
      </c>
      <c r="L4153" t="s">
        <v>1225</v>
      </c>
      <c r="M4153" t="s">
        <v>54</v>
      </c>
      <c r="N4153" t="s">
        <v>55</v>
      </c>
      <c r="O4153" t="s">
        <v>56</v>
      </c>
      <c r="P4153">
        <v>2</v>
      </c>
      <c r="Q4153" t="s">
        <v>150</v>
      </c>
      <c r="S4153" t="str">
        <f>_xlfn.XLOOKUP(UNIVERSO[[#This Row],[Ruta]],'[1]CUOTA RUTA'!A:A,'[1]CUOTA RUTA'!D:D)</f>
        <v>Cargar</v>
      </c>
    </row>
    <row r="4154" spans="1:19" x14ac:dyDescent="0.25">
      <c r="A4154">
        <v>1540065673</v>
      </c>
      <c r="B4154" t="s">
        <v>8162</v>
      </c>
      <c r="C4154" t="s">
        <v>19</v>
      </c>
      <c r="D4154" t="s">
        <v>20</v>
      </c>
      <c r="E4154" t="s">
        <v>21</v>
      </c>
      <c r="F4154" t="s">
        <v>22</v>
      </c>
      <c r="G4154" t="s">
        <v>64</v>
      </c>
      <c r="H4154" t="s">
        <v>143</v>
      </c>
      <c r="I4154" t="s">
        <v>8163</v>
      </c>
      <c r="J4154">
        <v>9.9574999999999996</v>
      </c>
      <c r="K4154">
        <v>-84.132599999999996</v>
      </c>
      <c r="L4154" t="s">
        <v>1225</v>
      </c>
      <c r="M4154" t="s">
        <v>27</v>
      </c>
      <c r="N4154" t="s">
        <v>28</v>
      </c>
      <c r="O4154" t="s">
        <v>29</v>
      </c>
      <c r="P4154">
        <v>8</v>
      </c>
      <c r="Q4154" t="s">
        <v>97</v>
      </c>
      <c r="S4154" t="str">
        <f>_xlfn.XLOOKUP(UNIVERSO[[#This Row],[Ruta]],'[1]CUOTA RUTA'!A:A,'[1]CUOTA RUTA'!D:D)</f>
        <v>Cargar</v>
      </c>
    </row>
    <row r="4155" spans="1:19" x14ac:dyDescent="0.25">
      <c r="A4155">
        <v>1540065689</v>
      </c>
      <c r="B4155" t="s">
        <v>8164</v>
      </c>
      <c r="C4155" t="s">
        <v>19</v>
      </c>
      <c r="D4155" t="s">
        <v>20</v>
      </c>
      <c r="E4155" t="s">
        <v>21</v>
      </c>
      <c r="F4155" t="s">
        <v>22</v>
      </c>
      <c r="G4155" t="s">
        <v>33</v>
      </c>
      <c r="H4155" t="s">
        <v>280</v>
      </c>
      <c r="I4155" t="s">
        <v>8165</v>
      </c>
      <c r="J4155">
        <v>10.014870999999999</v>
      </c>
      <c r="K4155">
        <v>-84.209079000000003</v>
      </c>
      <c r="L4155" t="s">
        <v>1225</v>
      </c>
      <c r="M4155" t="s">
        <v>54</v>
      </c>
      <c r="N4155" t="s">
        <v>55</v>
      </c>
      <c r="O4155" t="s">
        <v>56</v>
      </c>
      <c r="P4155">
        <v>4</v>
      </c>
      <c r="Q4155" t="s">
        <v>120</v>
      </c>
      <c r="S4155" t="str">
        <f>_xlfn.XLOOKUP(UNIVERSO[[#This Row],[Ruta]],'[1]CUOTA RUTA'!A:A,'[1]CUOTA RUTA'!D:D)</f>
        <v>Cargar</v>
      </c>
    </row>
    <row r="4156" spans="1:19" x14ac:dyDescent="0.25">
      <c r="A4156">
        <v>1540065848</v>
      </c>
      <c r="B4156" t="s">
        <v>8166</v>
      </c>
      <c r="C4156" t="s">
        <v>19</v>
      </c>
      <c r="D4156" t="s">
        <v>20</v>
      </c>
      <c r="E4156" t="s">
        <v>21</v>
      </c>
      <c r="F4156" t="s">
        <v>22</v>
      </c>
      <c r="G4156" t="s">
        <v>33</v>
      </c>
      <c r="H4156" t="s">
        <v>638</v>
      </c>
      <c r="I4156" t="s">
        <v>8167</v>
      </c>
      <c r="J4156">
        <v>10.0116</v>
      </c>
      <c r="K4156">
        <v>-84.214100000000002</v>
      </c>
      <c r="L4156" t="s">
        <v>1225</v>
      </c>
      <c r="M4156" t="s">
        <v>54</v>
      </c>
      <c r="N4156" t="s">
        <v>55</v>
      </c>
      <c r="O4156" t="s">
        <v>56</v>
      </c>
      <c r="P4156">
        <v>4</v>
      </c>
      <c r="Q4156" t="s">
        <v>120</v>
      </c>
      <c r="S4156" t="str">
        <f>_xlfn.XLOOKUP(UNIVERSO[[#This Row],[Ruta]],'[1]CUOTA RUTA'!A:A,'[1]CUOTA RUTA'!D:D)</f>
        <v>Cargar</v>
      </c>
    </row>
    <row r="4157" spans="1:19" x14ac:dyDescent="0.25">
      <c r="A4157">
        <v>1540065851</v>
      </c>
      <c r="B4157" t="s">
        <v>8168</v>
      </c>
      <c r="C4157" t="s">
        <v>19</v>
      </c>
      <c r="D4157" t="s">
        <v>266</v>
      </c>
      <c r="E4157" t="s">
        <v>21</v>
      </c>
      <c r="F4157" t="s">
        <v>22</v>
      </c>
      <c r="G4157" t="s">
        <v>23</v>
      </c>
      <c r="H4157" t="s">
        <v>272</v>
      </c>
      <c r="I4157" t="s">
        <v>8169</v>
      </c>
      <c r="J4157">
        <v>9.8904888999999994</v>
      </c>
      <c r="K4157">
        <v>-83.854141200000001</v>
      </c>
      <c r="L4157" t="s">
        <v>1225</v>
      </c>
      <c r="M4157" t="s">
        <v>54</v>
      </c>
      <c r="N4157" t="s">
        <v>274</v>
      </c>
      <c r="O4157" t="s">
        <v>275</v>
      </c>
      <c r="P4157">
        <v>23</v>
      </c>
      <c r="Q4157" t="s">
        <v>125</v>
      </c>
      <c r="S4157" t="str">
        <f>_xlfn.XLOOKUP(UNIVERSO[[#This Row],[Ruta]],'[1]CUOTA RUTA'!A:A,'[1]CUOTA RUTA'!D:D)</f>
        <v>Cargar</v>
      </c>
    </row>
    <row r="4158" spans="1:19" x14ac:dyDescent="0.25">
      <c r="A4158">
        <v>1540065906</v>
      </c>
      <c r="B4158" t="s">
        <v>8170</v>
      </c>
      <c r="C4158" t="s">
        <v>19</v>
      </c>
      <c r="D4158" t="s">
        <v>266</v>
      </c>
      <c r="E4158" t="s">
        <v>21</v>
      </c>
      <c r="F4158" t="s">
        <v>22</v>
      </c>
      <c r="G4158" t="s">
        <v>64</v>
      </c>
      <c r="H4158" t="s">
        <v>703</v>
      </c>
      <c r="I4158" t="s">
        <v>8171</v>
      </c>
      <c r="J4158">
        <v>9.839855</v>
      </c>
      <c r="K4158">
        <v>-83.941670070000001</v>
      </c>
      <c r="L4158" t="s">
        <v>1225</v>
      </c>
      <c r="M4158" t="s">
        <v>36</v>
      </c>
      <c r="N4158" t="s">
        <v>316</v>
      </c>
      <c r="O4158" t="s">
        <v>317</v>
      </c>
      <c r="P4158">
        <v>19</v>
      </c>
      <c r="Q4158" t="s">
        <v>67</v>
      </c>
      <c r="S4158" t="str">
        <f>_xlfn.XLOOKUP(UNIVERSO[[#This Row],[Ruta]],'[1]CUOTA RUTA'!A:A,'[1]CUOTA RUTA'!D:D)</f>
        <v>Cargar</v>
      </c>
    </row>
    <row r="4159" spans="1:19" x14ac:dyDescent="0.25">
      <c r="A4159">
        <v>1540065920</v>
      </c>
      <c r="B4159" t="s">
        <v>8172</v>
      </c>
      <c r="C4159" t="s">
        <v>19</v>
      </c>
      <c r="D4159" t="s">
        <v>337</v>
      </c>
      <c r="E4159" t="s">
        <v>21</v>
      </c>
      <c r="F4159" t="s">
        <v>22</v>
      </c>
      <c r="G4159" t="s">
        <v>64</v>
      </c>
      <c r="H4159" t="s">
        <v>346</v>
      </c>
      <c r="I4159" t="s">
        <v>8107</v>
      </c>
      <c r="J4159">
        <v>10.60960773</v>
      </c>
      <c r="K4159">
        <v>-85.422127880000005</v>
      </c>
      <c r="L4159" t="s">
        <v>1225</v>
      </c>
      <c r="M4159" t="s">
        <v>327</v>
      </c>
      <c r="N4159" t="s">
        <v>340</v>
      </c>
      <c r="O4159" t="s">
        <v>341</v>
      </c>
      <c r="P4159">
        <v>14</v>
      </c>
      <c r="Q4159" t="s">
        <v>181</v>
      </c>
      <c r="S4159" t="str">
        <f>_xlfn.XLOOKUP(UNIVERSO[[#This Row],[Ruta]],'[1]CUOTA RUTA'!A:A,'[1]CUOTA RUTA'!D:D)</f>
        <v>Cargar</v>
      </c>
    </row>
    <row r="4160" spans="1:19" x14ac:dyDescent="0.25">
      <c r="A4160">
        <v>1540065932</v>
      </c>
      <c r="B4160" t="s">
        <v>8173</v>
      </c>
      <c r="C4160" t="s">
        <v>19</v>
      </c>
      <c r="D4160" t="s">
        <v>349</v>
      </c>
      <c r="E4160" t="s">
        <v>62</v>
      </c>
      <c r="F4160" t="s">
        <v>63</v>
      </c>
      <c r="G4160" t="s">
        <v>64</v>
      </c>
      <c r="H4160" t="s">
        <v>448</v>
      </c>
      <c r="I4160" t="s">
        <v>7523</v>
      </c>
      <c r="J4160">
        <v>10.073499999999999</v>
      </c>
      <c r="K4160">
        <v>-85.470799999999997</v>
      </c>
      <c r="L4160" t="s">
        <v>1225</v>
      </c>
      <c r="M4160" t="s">
        <v>352</v>
      </c>
      <c r="N4160" t="s">
        <v>353</v>
      </c>
      <c r="O4160" t="s">
        <v>354</v>
      </c>
      <c r="P4160">
        <v>14</v>
      </c>
      <c r="Q4160" t="s">
        <v>181</v>
      </c>
      <c r="S4160" t="str">
        <f>_xlfn.XLOOKUP(UNIVERSO[[#This Row],[Ruta]],'[1]CUOTA RUTA'!A:A,'[1]CUOTA RUTA'!D:D)</f>
        <v>Cargar</v>
      </c>
    </row>
    <row r="4161" spans="1:19" x14ac:dyDescent="0.25">
      <c r="A4161">
        <v>1540065953</v>
      </c>
      <c r="B4161" t="s">
        <v>8174</v>
      </c>
      <c r="C4161" t="s">
        <v>19</v>
      </c>
      <c r="D4161" t="s">
        <v>337</v>
      </c>
      <c r="E4161" t="s">
        <v>21</v>
      </c>
      <c r="F4161" t="s">
        <v>22</v>
      </c>
      <c r="G4161" t="s">
        <v>33</v>
      </c>
      <c r="H4161" t="s">
        <v>1732</v>
      </c>
      <c r="I4161" t="s">
        <v>8175</v>
      </c>
      <c r="J4161">
        <v>10.46926094</v>
      </c>
      <c r="K4161">
        <v>-84.967467740000004</v>
      </c>
      <c r="L4161" t="s">
        <v>1225</v>
      </c>
      <c r="M4161" t="s">
        <v>327</v>
      </c>
      <c r="N4161" t="s">
        <v>340</v>
      </c>
      <c r="O4161" t="s">
        <v>341</v>
      </c>
      <c r="P4161">
        <v>23</v>
      </c>
      <c r="Q4161" t="s">
        <v>125</v>
      </c>
      <c r="S4161" t="str">
        <f>_xlfn.XLOOKUP(UNIVERSO[[#This Row],[Ruta]],'[1]CUOTA RUTA'!A:A,'[1]CUOTA RUTA'!D:D)</f>
        <v>Cargar</v>
      </c>
    </row>
    <row r="4162" spans="1:19" x14ac:dyDescent="0.25">
      <c r="A4162">
        <v>1540066069</v>
      </c>
      <c r="B4162" t="s">
        <v>8176</v>
      </c>
      <c r="C4162" t="s">
        <v>19</v>
      </c>
      <c r="D4162" t="s">
        <v>244</v>
      </c>
      <c r="E4162" t="s">
        <v>21</v>
      </c>
      <c r="F4162" t="s">
        <v>22</v>
      </c>
      <c r="G4162" t="s">
        <v>64</v>
      </c>
      <c r="H4162" t="s">
        <v>245</v>
      </c>
      <c r="I4162" t="s">
        <v>8177</v>
      </c>
      <c r="J4162">
        <v>9.2363625999999996</v>
      </c>
      <c r="K4162">
        <v>-83.657964100000001</v>
      </c>
      <c r="L4162" t="s">
        <v>1225</v>
      </c>
      <c r="M4162" t="s">
        <v>46</v>
      </c>
      <c r="N4162" t="s">
        <v>247</v>
      </c>
      <c r="O4162" t="s">
        <v>248</v>
      </c>
      <c r="P4162">
        <v>13</v>
      </c>
      <c r="Q4162" t="s">
        <v>161</v>
      </c>
      <c r="S4162" t="str">
        <f>_xlfn.XLOOKUP(UNIVERSO[[#This Row],[Ruta]],'[1]CUOTA RUTA'!A:A,'[1]CUOTA RUTA'!D:D)</f>
        <v>Cargar</v>
      </c>
    </row>
    <row r="4163" spans="1:19" x14ac:dyDescent="0.25">
      <c r="A4163">
        <v>1540066070</v>
      </c>
      <c r="B4163" t="s">
        <v>8178</v>
      </c>
      <c r="C4163" t="s">
        <v>19</v>
      </c>
      <c r="D4163" t="s">
        <v>324</v>
      </c>
      <c r="E4163" t="s">
        <v>21</v>
      </c>
      <c r="F4163" t="s">
        <v>22</v>
      </c>
      <c r="G4163" t="s">
        <v>64</v>
      </c>
      <c r="H4163" t="s">
        <v>331</v>
      </c>
      <c r="I4163" t="s">
        <v>8179</v>
      </c>
      <c r="J4163">
        <v>10.457700000000001</v>
      </c>
      <c r="K4163">
        <v>-84.391900000000007</v>
      </c>
      <c r="L4163" t="s">
        <v>1225</v>
      </c>
      <c r="M4163" t="s">
        <v>327</v>
      </c>
      <c r="N4163" t="s">
        <v>328</v>
      </c>
      <c r="O4163" t="s">
        <v>329</v>
      </c>
      <c r="P4163">
        <v>19</v>
      </c>
      <c r="Q4163" t="s">
        <v>67</v>
      </c>
      <c r="S4163" t="str">
        <f>_xlfn.XLOOKUP(UNIVERSO[[#This Row],[Ruta]],'[1]CUOTA RUTA'!A:A,'[1]CUOTA RUTA'!D:D)</f>
        <v>Cargar</v>
      </c>
    </row>
    <row r="4164" spans="1:19" x14ac:dyDescent="0.25">
      <c r="A4164">
        <v>1540066189</v>
      </c>
      <c r="B4164" t="s">
        <v>8180</v>
      </c>
      <c r="C4164" t="s">
        <v>19</v>
      </c>
      <c r="D4164" t="s">
        <v>337</v>
      </c>
      <c r="E4164" t="s">
        <v>21</v>
      </c>
      <c r="F4164" t="s">
        <v>22</v>
      </c>
      <c r="G4164" t="s">
        <v>33</v>
      </c>
      <c r="H4164" t="s">
        <v>824</v>
      </c>
      <c r="I4164" t="s">
        <v>8181</v>
      </c>
      <c r="J4164">
        <v>10.427979280000001</v>
      </c>
      <c r="K4164">
        <v>-85.091924899999995</v>
      </c>
      <c r="L4164" t="s">
        <v>1225</v>
      </c>
      <c r="M4164" t="s">
        <v>327</v>
      </c>
      <c r="N4164" t="s">
        <v>340</v>
      </c>
      <c r="O4164" t="s">
        <v>341</v>
      </c>
      <c r="P4164">
        <v>21</v>
      </c>
      <c r="Q4164" t="s">
        <v>239</v>
      </c>
      <c r="S4164" t="str">
        <f>_xlfn.XLOOKUP(UNIVERSO[[#This Row],[Ruta]],'[1]CUOTA RUTA'!A:A,'[1]CUOTA RUTA'!D:D)</f>
        <v>Cargar</v>
      </c>
    </row>
    <row r="4165" spans="1:19" x14ac:dyDescent="0.25">
      <c r="A4165">
        <v>1540066242</v>
      </c>
      <c r="B4165" t="s">
        <v>8182</v>
      </c>
      <c r="C4165" t="s">
        <v>19</v>
      </c>
      <c r="D4165" t="s">
        <v>20</v>
      </c>
      <c r="E4165" t="s">
        <v>21</v>
      </c>
      <c r="F4165" t="s">
        <v>22</v>
      </c>
      <c r="G4165" t="s">
        <v>33</v>
      </c>
      <c r="H4165" t="s">
        <v>285</v>
      </c>
      <c r="I4165" t="s">
        <v>8183</v>
      </c>
      <c r="J4165">
        <v>10.005995</v>
      </c>
      <c r="K4165">
        <v>-84.181094999999999</v>
      </c>
      <c r="L4165" t="s">
        <v>1225</v>
      </c>
      <c r="M4165" t="s">
        <v>54</v>
      </c>
      <c r="N4165" t="s">
        <v>55</v>
      </c>
      <c r="O4165" t="s">
        <v>56</v>
      </c>
      <c r="P4165">
        <v>15</v>
      </c>
      <c r="Q4165" t="s">
        <v>231</v>
      </c>
      <c r="S4165" t="str">
        <f>_xlfn.XLOOKUP(UNIVERSO[[#This Row],[Ruta]],'[1]CUOTA RUTA'!A:A,'[1]CUOTA RUTA'!D:D)</f>
        <v>Cargar</v>
      </c>
    </row>
    <row r="4166" spans="1:19" x14ac:dyDescent="0.25">
      <c r="A4166">
        <v>1540066248</v>
      </c>
      <c r="B4166" t="s">
        <v>8184</v>
      </c>
      <c r="C4166" t="s">
        <v>19</v>
      </c>
      <c r="D4166" t="s">
        <v>324</v>
      </c>
      <c r="E4166" t="s">
        <v>21</v>
      </c>
      <c r="F4166" t="s">
        <v>22</v>
      </c>
      <c r="G4166" t="s">
        <v>64</v>
      </c>
      <c r="H4166" t="s">
        <v>331</v>
      </c>
      <c r="I4166" t="s">
        <v>8185</v>
      </c>
      <c r="J4166">
        <v>10.3474</v>
      </c>
      <c r="K4166">
        <v>-84.222700000000003</v>
      </c>
      <c r="L4166" t="s">
        <v>1225</v>
      </c>
      <c r="M4166" t="s">
        <v>327</v>
      </c>
      <c r="N4166" t="s">
        <v>328</v>
      </c>
      <c r="O4166" t="s">
        <v>329</v>
      </c>
      <c r="P4166">
        <v>16</v>
      </c>
      <c r="Q4166" t="s">
        <v>60</v>
      </c>
      <c r="S4166" t="str">
        <f>_xlfn.XLOOKUP(UNIVERSO[[#This Row],[Ruta]],'[1]CUOTA RUTA'!A:A,'[1]CUOTA RUTA'!D:D)</f>
        <v>Cargar</v>
      </c>
    </row>
    <row r="4167" spans="1:19" x14ac:dyDescent="0.25">
      <c r="A4167">
        <v>1540066258</v>
      </c>
      <c r="B4167" t="s">
        <v>7764</v>
      </c>
      <c r="C4167" t="s">
        <v>19</v>
      </c>
      <c r="D4167" t="s">
        <v>266</v>
      </c>
      <c r="E4167" t="s">
        <v>21</v>
      </c>
      <c r="F4167" t="s">
        <v>22</v>
      </c>
      <c r="G4167" t="s">
        <v>33</v>
      </c>
      <c r="H4167" t="s">
        <v>1011</v>
      </c>
      <c r="I4167" t="s">
        <v>8186</v>
      </c>
      <c r="J4167">
        <v>9.8264154000000001</v>
      </c>
      <c r="K4167">
        <v>-83.803261699999993</v>
      </c>
      <c r="L4167" t="s">
        <v>1225</v>
      </c>
      <c r="M4167" t="s">
        <v>54</v>
      </c>
      <c r="N4167" t="s">
        <v>274</v>
      </c>
      <c r="O4167" t="s">
        <v>275</v>
      </c>
      <c r="P4167">
        <v>21</v>
      </c>
      <c r="Q4167" t="s">
        <v>239</v>
      </c>
      <c r="S4167" t="str">
        <f>_xlfn.XLOOKUP(UNIVERSO[[#This Row],[Ruta]],'[1]CUOTA RUTA'!A:A,'[1]CUOTA RUTA'!D:D)</f>
        <v>Cargar</v>
      </c>
    </row>
    <row r="4168" spans="1:19" x14ac:dyDescent="0.25">
      <c r="A4168">
        <v>1540066363</v>
      </c>
      <c r="B4168" t="s">
        <v>8187</v>
      </c>
      <c r="C4168" t="s">
        <v>19</v>
      </c>
      <c r="D4168" t="s">
        <v>349</v>
      </c>
      <c r="E4168" t="s">
        <v>62</v>
      </c>
      <c r="F4168" t="s">
        <v>63</v>
      </c>
      <c r="G4168" t="s">
        <v>64</v>
      </c>
      <c r="H4168" t="s">
        <v>359</v>
      </c>
      <c r="I4168" t="s">
        <v>8188</v>
      </c>
      <c r="J4168">
        <v>10.30563776</v>
      </c>
      <c r="K4168">
        <v>-85.804210400000002</v>
      </c>
      <c r="L4168" t="s">
        <v>1225</v>
      </c>
      <c r="M4168" t="s">
        <v>352</v>
      </c>
      <c r="N4168" t="s">
        <v>353</v>
      </c>
      <c r="O4168" t="s">
        <v>354</v>
      </c>
      <c r="P4168">
        <v>5</v>
      </c>
      <c r="Q4168" t="s">
        <v>117</v>
      </c>
      <c r="S4168" t="str">
        <f>_xlfn.XLOOKUP(UNIVERSO[[#This Row],[Ruta]],'[1]CUOTA RUTA'!A:A,'[1]CUOTA RUTA'!D:D)</f>
        <v>Cargar</v>
      </c>
    </row>
    <row r="4169" spans="1:19" x14ac:dyDescent="0.25">
      <c r="A4169">
        <v>1540066438</v>
      </c>
      <c r="B4169" t="s">
        <v>8189</v>
      </c>
      <c r="C4169" t="s">
        <v>19</v>
      </c>
      <c r="D4169" t="s">
        <v>324</v>
      </c>
      <c r="E4169" t="s">
        <v>21</v>
      </c>
      <c r="F4169" t="s">
        <v>22</v>
      </c>
      <c r="G4169" t="s">
        <v>64</v>
      </c>
      <c r="H4169" t="s">
        <v>557</v>
      </c>
      <c r="I4169" t="s">
        <v>8190</v>
      </c>
      <c r="J4169">
        <v>10.4687</v>
      </c>
      <c r="K4169">
        <v>-84.648600000000002</v>
      </c>
      <c r="L4169" t="s">
        <v>1225</v>
      </c>
      <c r="M4169" t="s">
        <v>327</v>
      </c>
      <c r="N4169" t="s">
        <v>328</v>
      </c>
      <c r="O4169" t="s">
        <v>329</v>
      </c>
      <c r="P4169">
        <v>21</v>
      </c>
      <c r="Q4169" t="s">
        <v>239</v>
      </c>
      <c r="S4169" t="str">
        <f>_xlfn.XLOOKUP(UNIVERSO[[#This Row],[Ruta]],'[1]CUOTA RUTA'!A:A,'[1]CUOTA RUTA'!D:D)</f>
        <v>Cargar</v>
      </c>
    </row>
    <row r="4170" spans="1:19" x14ac:dyDescent="0.25">
      <c r="A4170">
        <v>1540066441</v>
      </c>
      <c r="B4170" t="s">
        <v>8191</v>
      </c>
      <c r="C4170" t="s">
        <v>19</v>
      </c>
      <c r="D4170" t="s">
        <v>337</v>
      </c>
      <c r="E4170" t="s">
        <v>62</v>
      </c>
      <c r="F4170" t="s">
        <v>63</v>
      </c>
      <c r="G4170" t="s">
        <v>33</v>
      </c>
      <c r="H4170" t="s">
        <v>451</v>
      </c>
      <c r="I4170" t="s">
        <v>8192</v>
      </c>
      <c r="J4170">
        <v>10.641781</v>
      </c>
      <c r="K4170">
        <v>-85.446140999999997</v>
      </c>
      <c r="L4170" t="s">
        <v>1225</v>
      </c>
      <c r="M4170" t="s">
        <v>327</v>
      </c>
      <c r="N4170" t="s">
        <v>340</v>
      </c>
      <c r="O4170" t="s">
        <v>341</v>
      </c>
      <c r="P4170">
        <v>13</v>
      </c>
      <c r="Q4170" t="s">
        <v>161</v>
      </c>
      <c r="S4170" t="str">
        <f>_xlfn.XLOOKUP(UNIVERSO[[#This Row],[Ruta]],'[1]CUOTA RUTA'!A:A,'[1]CUOTA RUTA'!D:D)</f>
        <v>Cargar</v>
      </c>
    </row>
    <row r="4171" spans="1:19" x14ac:dyDescent="0.25">
      <c r="A4171">
        <v>1540066549</v>
      </c>
      <c r="B4171" t="s">
        <v>8193</v>
      </c>
      <c r="C4171" t="s">
        <v>19</v>
      </c>
      <c r="D4171" t="s">
        <v>20</v>
      </c>
      <c r="E4171" t="s">
        <v>21</v>
      </c>
      <c r="F4171" t="s">
        <v>22</v>
      </c>
      <c r="G4171" t="s">
        <v>33</v>
      </c>
      <c r="H4171" t="s">
        <v>901</v>
      </c>
      <c r="I4171" t="s">
        <v>8194</v>
      </c>
      <c r="J4171">
        <v>10.056931951591</v>
      </c>
      <c r="K4171">
        <v>-84.445054955979998</v>
      </c>
      <c r="L4171" t="s">
        <v>1225</v>
      </c>
      <c r="M4171" t="s">
        <v>46</v>
      </c>
      <c r="N4171" t="s">
        <v>47</v>
      </c>
      <c r="O4171" t="s">
        <v>48</v>
      </c>
      <c r="P4171">
        <v>8</v>
      </c>
      <c r="Q4171" t="s">
        <v>97</v>
      </c>
      <c r="S4171" t="str">
        <f>_xlfn.XLOOKUP(UNIVERSO[[#This Row],[Ruta]],'[1]CUOTA RUTA'!A:A,'[1]CUOTA RUTA'!D:D)</f>
        <v>Cargar</v>
      </c>
    </row>
    <row r="4172" spans="1:19" x14ac:dyDescent="0.25">
      <c r="A4172">
        <v>1540066572</v>
      </c>
      <c r="B4172" t="s">
        <v>8195</v>
      </c>
      <c r="C4172" t="s">
        <v>19</v>
      </c>
      <c r="D4172" t="s">
        <v>201</v>
      </c>
      <c r="E4172" t="s">
        <v>21</v>
      </c>
      <c r="F4172" t="s">
        <v>22</v>
      </c>
      <c r="G4172" t="s">
        <v>23</v>
      </c>
      <c r="H4172" t="s">
        <v>533</v>
      </c>
      <c r="I4172" t="s">
        <v>8196</v>
      </c>
      <c r="J4172">
        <v>9.9206939999999992</v>
      </c>
      <c r="K4172">
        <v>-84.493054000000001</v>
      </c>
      <c r="L4172" t="s">
        <v>1225</v>
      </c>
      <c r="M4172" t="s">
        <v>204</v>
      </c>
      <c r="N4172" t="s">
        <v>205</v>
      </c>
      <c r="O4172" t="s">
        <v>206</v>
      </c>
      <c r="P4172">
        <v>2</v>
      </c>
      <c r="Q4172" t="s">
        <v>150</v>
      </c>
      <c r="S4172" t="str">
        <f>_xlfn.XLOOKUP(UNIVERSO[[#This Row],[Ruta]],'[1]CUOTA RUTA'!A:A,'[1]CUOTA RUTA'!D:D)</f>
        <v>Cargar</v>
      </c>
    </row>
    <row r="4173" spans="1:19" x14ac:dyDescent="0.25">
      <c r="A4173">
        <v>1540066576</v>
      </c>
      <c r="B4173" t="s">
        <v>8197</v>
      </c>
      <c r="C4173" t="s">
        <v>19</v>
      </c>
      <c r="D4173" t="s">
        <v>32</v>
      </c>
      <c r="E4173" t="s">
        <v>21</v>
      </c>
      <c r="F4173" t="s">
        <v>22</v>
      </c>
      <c r="G4173" t="s">
        <v>64</v>
      </c>
      <c r="H4173" t="s">
        <v>1383</v>
      </c>
      <c r="I4173" t="s">
        <v>8198</v>
      </c>
      <c r="J4173">
        <v>9.9066849999999995</v>
      </c>
      <c r="K4173">
        <v>-84.096924000000001</v>
      </c>
      <c r="L4173" t="s">
        <v>1225</v>
      </c>
      <c r="M4173" t="s">
        <v>71</v>
      </c>
      <c r="N4173" t="s">
        <v>72</v>
      </c>
      <c r="O4173" t="s">
        <v>73</v>
      </c>
      <c r="P4173">
        <v>9</v>
      </c>
      <c r="Q4173" t="s">
        <v>80</v>
      </c>
      <c r="S4173" t="str">
        <f>_xlfn.XLOOKUP(UNIVERSO[[#This Row],[Ruta]],'[1]CUOTA RUTA'!A:A,'[1]CUOTA RUTA'!D:D)</f>
        <v>Cargar</v>
      </c>
    </row>
    <row r="4174" spans="1:19" x14ac:dyDescent="0.25">
      <c r="A4174">
        <v>1540066581</v>
      </c>
      <c r="B4174" t="s">
        <v>8199</v>
      </c>
      <c r="C4174" t="s">
        <v>19</v>
      </c>
      <c r="D4174" t="s">
        <v>20</v>
      </c>
      <c r="E4174" t="s">
        <v>21</v>
      </c>
      <c r="F4174" t="s">
        <v>22</v>
      </c>
      <c r="G4174" t="s">
        <v>23</v>
      </c>
      <c r="H4174" t="s">
        <v>901</v>
      </c>
      <c r="I4174" t="s">
        <v>8200</v>
      </c>
      <c r="J4174">
        <v>10.053807000000001</v>
      </c>
      <c r="K4174">
        <v>-84.438520999999994</v>
      </c>
      <c r="L4174" t="s">
        <v>1225</v>
      </c>
      <c r="M4174" t="s">
        <v>46</v>
      </c>
      <c r="N4174" t="s">
        <v>47</v>
      </c>
      <c r="O4174" t="s">
        <v>48</v>
      </c>
      <c r="P4174">
        <v>8</v>
      </c>
      <c r="Q4174" t="s">
        <v>97</v>
      </c>
      <c r="S4174" t="str">
        <f>_xlfn.XLOOKUP(UNIVERSO[[#This Row],[Ruta]],'[1]CUOTA RUTA'!A:A,'[1]CUOTA RUTA'!D:D)</f>
        <v>Cargar</v>
      </c>
    </row>
    <row r="4175" spans="1:19" x14ac:dyDescent="0.25">
      <c r="A4175">
        <v>1540066702</v>
      </c>
      <c r="B4175" t="s">
        <v>8201</v>
      </c>
      <c r="C4175" t="s">
        <v>19</v>
      </c>
      <c r="D4175" t="s">
        <v>20</v>
      </c>
      <c r="E4175" t="s">
        <v>21</v>
      </c>
      <c r="F4175" t="s">
        <v>22</v>
      </c>
      <c r="G4175" t="s">
        <v>64</v>
      </c>
      <c r="H4175" t="s">
        <v>250</v>
      </c>
      <c r="I4175" t="s">
        <v>8202</v>
      </c>
      <c r="J4175">
        <v>10.016508999999999</v>
      </c>
      <c r="K4175">
        <v>-84.245999999999995</v>
      </c>
      <c r="L4175" t="s">
        <v>1225</v>
      </c>
      <c r="M4175" t="s">
        <v>46</v>
      </c>
      <c r="N4175" t="s">
        <v>47</v>
      </c>
      <c r="O4175" t="s">
        <v>48</v>
      </c>
      <c r="P4175">
        <v>3</v>
      </c>
      <c r="Q4175" t="s">
        <v>101</v>
      </c>
      <c r="S4175" t="str">
        <f>_xlfn.XLOOKUP(UNIVERSO[[#This Row],[Ruta]],'[1]CUOTA RUTA'!A:A,'[1]CUOTA RUTA'!D:D)</f>
        <v>Cargar</v>
      </c>
    </row>
    <row r="4176" spans="1:19" x14ac:dyDescent="0.25">
      <c r="A4176">
        <v>1540066737</v>
      </c>
      <c r="B4176" t="s">
        <v>8203</v>
      </c>
      <c r="C4176" t="s">
        <v>19</v>
      </c>
      <c r="D4176" t="s">
        <v>349</v>
      </c>
      <c r="E4176" t="s">
        <v>21</v>
      </c>
      <c r="F4176" t="s">
        <v>22</v>
      </c>
      <c r="G4176" t="s">
        <v>64</v>
      </c>
      <c r="H4176" t="s">
        <v>356</v>
      </c>
      <c r="I4176" t="s">
        <v>8204</v>
      </c>
      <c r="J4176">
        <v>10.09567</v>
      </c>
      <c r="K4176">
        <v>-85.155299999999997</v>
      </c>
      <c r="L4176" t="s">
        <v>1225</v>
      </c>
      <c r="M4176" t="s">
        <v>352</v>
      </c>
      <c r="N4176" t="s">
        <v>353</v>
      </c>
      <c r="O4176" t="s">
        <v>354</v>
      </c>
      <c r="P4176">
        <v>16</v>
      </c>
      <c r="Q4176" t="s">
        <v>60</v>
      </c>
      <c r="S4176" t="str">
        <f>_xlfn.XLOOKUP(UNIVERSO[[#This Row],[Ruta]],'[1]CUOTA RUTA'!A:A,'[1]CUOTA RUTA'!D:D)</f>
        <v>Cargar</v>
      </c>
    </row>
    <row r="4177" spans="1:19" x14ac:dyDescent="0.25">
      <c r="A4177">
        <v>1540066746</v>
      </c>
      <c r="B4177" t="s">
        <v>8205</v>
      </c>
      <c r="C4177" t="s">
        <v>19</v>
      </c>
      <c r="D4177" t="s">
        <v>244</v>
      </c>
      <c r="E4177" t="s">
        <v>21</v>
      </c>
      <c r="F4177" t="s">
        <v>22</v>
      </c>
      <c r="G4177" t="s">
        <v>33</v>
      </c>
      <c r="H4177" t="s">
        <v>767</v>
      </c>
      <c r="I4177" t="s">
        <v>8206</v>
      </c>
      <c r="J4177">
        <v>9.4015799999999992</v>
      </c>
      <c r="K4177">
        <v>-83.671800000000005</v>
      </c>
      <c r="L4177" t="s">
        <v>1225</v>
      </c>
      <c r="M4177" t="s">
        <v>46</v>
      </c>
      <c r="N4177" t="s">
        <v>247</v>
      </c>
      <c r="O4177" t="s">
        <v>248</v>
      </c>
      <c r="P4177">
        <v>17</v>
      </c>
      <c r="Q4177" t="s">
        <v>287</v>
      </c>
      <c r="S4177" t="str">
        <f>_xlfn.XLOOKUP(UNIVERSO[[#This Row],[Ruta]],'[1]CUOTA RUTA'!A:A,'[1]CUOTA RUTA'!D:D)</f>
        <v>Cargar</v>
      </c>
    </row>
    <row r="4178" spans="1:19" x14ac:dyDescent="0.25">
      <c r="A4178">
        <v>1540066756</v>
      </c>
      <c r="B4178" t="s">
        <v>8207</v>
      </c>
      <c r="C4178" t="s">
        <v>19</v>
      </c>
      <c r="D4178" t="s">
        <v>20</v>
      </c>
      <c r="E4178" t="s">
        <v>21</v>
      </c>
      <c r="F4178" t="s">
        <v>22</v>
      </c>
      <c r="G4178" t="s">
        <v>33</v>
      </c>
      <c r="H4178" t="s">
        <v>674</v>
      </c>
      <c r="I4178" t="s">
        <v>8208</v>
      </c>
      <c r="J4178">
        <v>10.129800523831999</v>
      </c>
      <c r="K4178">
        <v>-84.456322106689996</v>
      </c>
      <c r="L4178" t="s">
        <v>1225</v>
      </c>
      <c r="M4178" t="s">
        <v>46</v>
      </c>
      <c r="N4178" t="s">
        <v>47</v>
      </c>
      <c r="O4178" t="s">
        <v>48</v>
      </c>
      <c r="P4178">
        <v>6</v>
      </c>
      <c r="Q4178" t="s">
        <v>49</v>
      </c>
      <c r="S4178" t="str">
        <f>_xlfn.XLOOKUP(UNIVERSO[[#This Row],[Ruta]],'[1]CUOTA RUTA'!A:A,'[1]CUOTA RUTA'!D:D)</f>
        <v>Cargar</v>
      </c>
    </row>
    <row r="4179" spans="1:19" x14ac:dyDescent="0.25">
      <c r="A4179">
        <v>1540066763</v>
      </c>
      <c r="B4179" t="s">
        <v>8209</v>
      </c>
      <c r="C4179" t="s">
        <v>19</v>
      </c>
      <c r="D4179" t="s">
        <v>20</v>
      </c>
      <c r="E4179" t="s">
        <v>21</v>
      </c>
      <c r="F4179" t="s">
        <v>22</v>
      </c>
      <c r="G4179" t="s">
        <v>64</v>
      </c>
      <c r="H4179" t="s">
        <v>674</v>
      </c>
      <c r="I4179" t="s">
        <v>8210</v>
      </c>
      <c r="J4179">
        <v>10.165474</v>
      </c>
      <c r="K4179">
        <v>-84.408873999999997</v>
      </c>
      <c r="L4179" t="s">
        <v>1225</v>
      </c>
      <c r="M4179" t="s">
        <v>46</v>
      </c>
      <c r="N4179" t="s">
        <v>47</v>
      </c>
      <c r="O4179" t="s">
        <v>48</v>
      </c>
      <c r="P4179">
        <v>1</v>
      </c>
      <c r="Q4179" t="s">
        <v>155</v>
      </c>
      <c r="S4179" t="str">
        <f>_xlfn.XLOOKUP(UNIVERSO[[#This Row],[Ruta]],'[1]CUOTA RUTA'!A:A,'[1]CUOTA RUTA'!D:D)</f>
        <v>Cargar</v>
      </c>
    </row>
    <row r="4180" spans="1:19" x14ac:dyDescent="0.25">
      <c r="A4180">
        <v>1540066783</v>
      </c>
      <c r="B4180" t="s">
        <v>8211</v>
      </c>
      <c r="C4180" t="s">
        <v>19</v>
      </c>
      <c r="D4180" t="s">
        <v>337</v>
      </c>
      <c r="E4180" t="s">
        <v>21</v>
      </c>
      <c r="F4180" t="s">
        <v>22</v>
      </c>
      <c r="G4180" t="s">
        <v>23</v>
      </c>
      <c r="H4180" t="s">
        <v>1732</v>
      </c>
      <c r="I4180" t="s">
        <v>8212</v>
      </c>
      <c r="J4180">
        <v>10.47210396</v>
      </c>
      <c r="K4180">
        <v>-84.967639550000001</v>
      </c>
      <c r="L4180" t="s">
        <v>1225</v>
      </c>
      <c r="M4180" t="s">
        <v>327</v>
      </c>
      <c r="N4180" t="s">
        <v>340</v>
      </c>
      <c r="O4180" t="s">
        <v>341</v>
      </c>
      <c r="P4180">
        <v>23</v>
      </c>
      <c r="Q4180" t="s">
        <v>125</v>
      </c>
      <c r="S4180" t="str">
        <f>_xlfn.XLOOKUP(UNIVERSO[[#This Row],[Ruta]],'[1]CUOTA RUTA'!A:A,'[1]CUOTA RUTA'!D:D)</f>
        <v>Cargar</v>
      </c>
    </row>
    <row r="4181" spans="1:19" x14ac:dyDescent="0.25">
      <c r="A4181">
        <v>1540066931</v>
      </c>
      <c r="B4181" t="s">
        <v>1829</v>
      </c>
      <c r="C4181" t="s">
        <v>19</v>
      </c>
      <c r="D4181" t="s">
        <v>324</v>
      </c>
      <c r="E4181" t="s">
        <v>21</v>
      </c>
      <c r="F4181" t="s">
        <v>22</v>
      </c>
      <c r="G4181" t="s">
        <v>64</v>
      </c>
      <c r="H4181" t="s">
        <v>331</v>
      </c>
      <c r="I4181" t="s">
        <v>8213</v>
      </c>
      <c r="J4181">
        <v>10.3474</v>
      </c>
      <c r="K4181">
        <v>-84.211200000000005</v>
      </c>
      <c r="L4181" t="s">
        <v>1225</v>
      </c>
      <c r="M4181" t="s">
        <v>327</v>
      </c>
      <c r="N4181" t="s">
        <v>328</v>
      </c>
      <c r="O4181" t="s">
        <v>329</v>
      </c>
      <c r="P4181">
        <v>16</v>
      </c>
      <c r="Q4181" t="s">
        <v>60</v>
      </c>
      <c r="S4181" t="str">
        <f>_xlfn.XLOOKUP(UNIVERSO[[#This Row],[Ruta]],'[1]CUOTA RUTA'!A:A,'[1]CUOTA RUTA'!D:D)</f>
        <v>Cargar</v>
      </c>
    </row>
    <row r="4182" spans="1:19" x14ac:dyDescent="0.25">
      <c r="A4182">
        <v>1540066945</v>
      </c>
      <c r="B4182" t="s">
        <v>8214</v>
      </c>
      <c r="C4182" t="s">
        <v>19</v>
      </c>
      <c r="D4182" t="s">
        <v>324</v>
      </c>
      <c r="E4182" t="s">
        <v>21</v>
      </c>
      <c r="F4182" t="s">
        <v>22</v>
      </c>
      <c r="G4182" t="s">
        <v>33</v>
      </c>
      <c r="H4182" t="s">
        <v>511</v>
      </c>
      <c r="I4182" t="s">
        <v>8215</v>
      </c>
      <c r="J4182">
        <v>10.451636000000001</v>
      </c>
      <c r="K4182">
        <v>-84.563481999999993</v>
      </c>
      <c r="L4182" t="s">
        <v>1225</v>
      </c>
      <c r="M4182" t="s">
        <v>327</v>
      </c>
      <c r="N4182" t="s">
        <v>328</v>
      </c>
      <c r="O4182" t="s">
        <v>329</v>
      </c>
      <c r="P4182">
        <v>12</v>
      </c>
      <c r="Q4182" t="s">
        <v>42</v>
      </c>
      <c r="S4182" t="str">
        <f>_xlfn.XLOOKUP(UNIVERSO[[#This Row],[Ruta]],'[1]CUOTA RUTA'!A:A,'[1]CUOTA RUTA'!D:D)</f>
        <v>Cargar</v>
      </c>
    </row>
    <row r="4183" spans="1:19" x14ac:dyDescent="0.25">
      <c r="A4183">
        <v>1540067004</v>
      </c>
      <c r="B4183" t="s">
        <v>8216</v>
      </c>
      <c r="C4183" t="s">
        <v>19</v>
      </c>
      <c r="D4183" t="s">
        <v>32</v>
      </c>
      <c r="E4183" t="s">
        <v>21</v>
      </c>
      <c r="F4183" t="s">
        <v>22</v>
      </c>
      <c r="G4183" t="s">
        <v>64</v>
      </c>
      <c r="H4183" t="s">
        <v>99</v>
      </c>
      <c r="I4183" t="s">
        <v>8217</v>
      </c>
      <c r="J4183">
        <v>9.9356139999999993</v>
      </c>
      <c r="K4183">
        <v>-84.085751000000002</v>
      </c>
      <c r="L4183" t="s">
        <v>1225</v>
      </c>
      <c r="M4183" t="s">
        <v>71</v>
      </c>
      <c r="N4183" t="s">
        <v>72</v>
      </c>
      <c r="O4183" t="s">
        <v>73</v>
      </c>
      <c r="P4183">
        <v>1</v>
      </c>
      <c r="Q4183" t="s">
        <v>155</v>
      </c>
      <c r="S4183" t="str">
        <f>_xlfn.XLOOKUP(UNIVERSO[[#This Row],[Ruta]],'[1]CUOTA RUTA'!A:A,'[1]CUOTA RUTA'!D:D)</f>
        <v>Cargar</v>
      </c>
    </row>
    <row r="4184" spans="1:19" x14ac:dyDescent="0.25">
      <c r="A4184">
        <v>1540067058</v>
      </c>
      <c r="B4184" t="s">
        <v>8218</v>
      </c>
      <c r="C4184" t="s">
        <v>19</v>
      </c>
      <c r="D4184" t="s">
        <v>20</v>
      </c>
      <c r="E4184" t="s">
        <v>21</v>
      </c>
      <c r="F4184" t="s">
        <v>22</v>
      </c>
      <c r="G4184" t="s">
        <v>23</v>
      </c>
      <c r="H4184" t="s">
        <v>1143</v>
      </c>
      <c r="I4184" t="s">
        <v>8219</v>
      </c>
      <c r="J4184">
        <v>10.017989</v>
      </c>
      <c r="K4184">
        <v>-84.186655999999999</v>
      </c>
      <c r="L4184" t="s">
        <v>1225</v>
      </c>
      <c r="M4184" t="s">
        <v>54</v>
      </c>
      <c r="N4184" t="s">
        <v>55</v>
      </c>
      <c r="O4184" t="s">
        <v>56</v>
      </c>
      <c r="P4184">
        <v>15</v>
      </c>
      <c r="Q4184" t="s">
        <v>231</v>
      </c>
      <c r="S4184" t="str">
        <f>_xlfn.XLOOKUP(UNIVERSO[[#This Row],[Ruta]],'[1]CUOTA RUTA'!A:A,'[1]CUOTA RUTA'!D:D)</f>
        <v>Cargar</v>
      </c>
    </row>
    <row r="4185" spans="1:19" x14ac:dyDescent="0.25">
      <c r="A4185">
        <v>1540067220</v>
      </c>
      <c r="B4185" t="s">
        <v>8220</v>
      </c>
      <c r="C4185" t="s">
        <v>19</v>
      </c>
      <c r="D4185" t="s">
        <v>337</v>
      </c>
      <c r="E4185" t="s">
        <v>21</v>
      </c>
      <c r="F4185" t="s">
        <v>22</v>
      </c>
      <c r="G4185" t="s">
        <v>64</v>
      </c>
      <c r="H4185" t="s">
        <v>824</v>
      </c>
      <c r="I4185" t="s">
        <v>8221</v>
      </c>
      <c r="J4185">
        <v>10.545952</v>
      </c>
      <c r="K4185">
        <v>-85.088279999999997</v>
      </c>
      <c r="L4185" t="s">
        <v>1225</v>
      </c>
      <c r="M4185" t="s">
        <v>327</v>
      </c>
      <c r="N4185" t="s">
        <v>340</v>
      </c>
      <c r="O4185" t="s">
        <v>341</v>
      </c>
      <c r="P4185">
        <v>23</v>
      </c>
      <c r="Q4185" t="s">
        <v>125</v>
      </c>
      <c r="S4185" t="str">
        <f>_xlfn.XLOOKUP(UNIVERSO[[#This Row],[Ruta]],'[1]CUOTA RUTA'!A:A,'[1]CUOTA RUTA'!D:D)</f>
        <v>Cargar</v>
      </c>
    </row>
    <row r="4186" spans="1:19" x14ac:dyDescent="0.25">
      <c r="A4186">
        <v>1540067451</v>
      </c>
      <c r="B4186" t="s">
        <v>8222</v>
      </c>
      <c r="C4186" t="s">
        <v>19</v>
      </c>
      <c r="D4186" t="s">
        <v>20</v>
      </c>
      <c r="E4186" t="s">
        <v>21</v>
      </c>
      <c r="F4186" t="s">
        <v>22</v>
      </c>
      <c r="G4186" t="s">
        <v>23</v>
      </c>
      <c r="H4186" t="s">
        <v>285</v>
      </c>
      <c r="I4186" t="s">
        <v>8223</v>
      </c>
      <c r="J4186">
        <v>10.0006</v>
      </c>
      <c r="K4186">
        <v>-84.197599999999994</v>
      </c>
      <c r="L4186" t="s">
        <v>1225</v>
      </c>
      <c r="M4186" t="s">
        <v>54</v>
      </c>
      <c r="N4186" t="s">
        <v>55</v>
      </c>
      <c r="O4186" t="s">
        <v>56</v>
      </c>
      <c r="P4186">
        <v>17</v>
      </c>
      <c r="Q4186" t="s">
        <v>287</v>
      </c>
      <c r="S4186" t="str">
        <f>_xlfn.XLOOKUP(UNIVERSO[[#This Row],[Ruta]],'[1]CUOTA RUTA'!A:A,'[1]CUOTA RUTA'!D:D)</f>
        <v>Cargar</v>
      </c>
    </row>
    <row r="4187" spans="1:19" x14ac:dyDescent="0.25">
      <c r="A4187">
        <v>1540067478</v>
      </c>
      <c r="B4187" t="s">
        <v>8224</v>
      </c>
      <c r="C4187" t="s">
        <v>19</v>
      </c>
      <c r="D4187" t="s">
        <v>201</v>
      </c>
      <c r="E4187" t="s">
        <v>21</v>
      </c>
      <c r="F4187" t="s">
        <v>22</v>
      </c>
      <c r="G4187" t="s">
        <v>33</v>
      </c>
      <c r="H4187" t="s">
        <v>334</v>
      </c>
      <c r="I4187" t="s">
        <v>8225</v>
      </c>
      <c r="J4187">
        <v>9.9826774999999994</v>
      </c>
      <c r="K4187">
        <v>-84.720508600000002</v>
      </c>
      <c r="L4187" t="s">
        <v>1225</v>
      </c>
      <c r="M4187" t="s">
        <v>204</v>
      </c>
      <c r="N4187" t="s">
        <v>205</v>
      </c>
      <c r="O4187" t="s">
        <v>206</v>
      </c>
      <c r="P4187">
        <v>8</v>
      </c>
      <c r="Q4187" t="s">
        <v>97</v>
      </c>
      <c r="S4187" t="str">
        <f>_xlfn.XLOOKUP(UNIVERSO[[#This Row],[Ruta]],'[1]CUOTA RUTA'!A:A,'[1]CUOTA RUTA'!D:D)</f>
        <v>Cargar</v>
      </c>
    </row>
    <row r="4188" spans="1:19" x14ac:dyDescent="0.25">
      <c r="A4188">
        <v>1540067508</v>
      </c>
      <c r="B4188" t="s">
        <v>8226</v>
      </c>
      <c r="C4188" t="s">
        <v>19</v>
      </c>
      <c r="D4188" t="s">
        <v>32</v>
      </c>
      <c r="E4188" t="s">
        <v>21</v>
      </c>
      <c r="F4188" t="s">
        <v>22</v>
      </c>
      <c r="G4188" t="s">
        <v>23</v>
      </c>
      <c r="H4188" t="s">
        <v>86</v>
      </c>
      <c r="I4188" t="s">
        <v>8227</v>
      </c>
      <c r="J4188">
        <v>9.9004999999999992</v>
      </c>
      <c r="K4188">
        <v>-84.095215800000005</v>
      </c>
      <c r="L4188" t="s">
        <v>1225</v>
      </c>
      <c r="M4188" t="s">
        <v>71</v>
      </c>
      <c r="N4188" t="s">
        <v>72</v>
      </c>
      <c r="O4188" t="s">
        <v>73</v>
      </c>
      <c r="P4188">
        <v>9</v>
      </c>
      <c r="Q4188" t="s">
        <v>80</v>
      </c>
      <c r="S4188" t="str">
        <f>_xlfn.XLOOKUP(UNIVERSO[[#This Row],[Ruta]],'[1]CUOTA RUTA'!A:A,'[1]CUOTA RUTA'!D:D)</f>
        <v>Cargar</v>
      </c>
    </row>
    <row r="4189" spans="1:19" x14ac:dyDescent="0.25">
      <c r="A4189">
        <v>1540067527</v>
      </c>
      <c r="B4189" t="s">
        <v>8228</v>
      </c>
      <c r="C4189" t="s">
        <v>19</v>
      </c>
      <c r="D4189" t="s">
        <v>32</v>
      </c>
      <c r="E4189" t="s">
        <v>21</v>
      </c>
      <c r="F4189" t="s">
        <v>22</v>
      </c>
      <c r="G4189" t="s">
        <v>33</v>
      </c>
      <c r="H4189" t="s">
        <v>1383</v>
      </c>
      <c r="I4189" t="s">
        <v>8229</v>
      </c>
      <c r="J4189">
        <v>9.918469</v>
      </c>
      <c r="K4189">
        <v>-84.084211999999994</v>
      </c>
      <c r="L4189" t="s">
        <v>1225</v>
      </c>
      <c r="M4189" t="s">
        <v>71</v>
      </c>
      <c r="N4189" t="s">
        <v>72</v>
      </c>
      <c r="O4189" t="s">
        <v>73</v>
      </c>
      <c r="P4189">
        <v>10</v>
      </c>
      <c r="Q4189" t="s">
        <v>136</v>
      </c>
      <c r="S4189" t="str">
        <f>_xlfn.XLOOKUP(UNIVERSO[[#This Row],[Ruta]],'[1]CUOTA RUTA'!A:A,'[1]CUOTA RUTA'!D:D)</f>
        <v>Cargar</v>
      </c>
    </row>
    <row r="4190" spans="1:19" x14ac:dyDescent="0.25">
      <c r="A4190">
        <v>1540067626</v>
      </c>
      <c r="B4190" t="s">
        <v>8230</v>
      </c>
      <c r="C4190" t="s">
        <v>19</v>
      </c>
      <c r="D4190" t="s">
        <v>20</v>
      </c>
      <c r="E4190" t="s">
        <v>21</v>
      </c>
      <c r="F4190" t="s">
        <v>22</v>
      </c>
      <c r="G4190" t="s">
        <v>33</v>
      </c>
      <c r="H4190" t="s">
        <v>311</v>
      </c>
      <c r="I4190" t="s">
        <v>8231</v>
      </c>
      <c r="J4190">
        <v>9.9756049999999998</v>
      </c>
      <c r="K4190">
        <v>-84.219695999999999</v>
      </c>
      <c r="L4190" t="s">
        <v>1225</v>
      </c>
      <c r="M4190" t="s">
        <v>54</v>
      </c>
      <c r="N4190" t="s">
        <v>55</v>
      </c>
      <c r="O4190" t="s">
        <v>56</v>
      </c>
      <c r="P4190">
        <v>8</v>
      </c>
      <c r="Q4190" t="s">
        <v>97</v>
      </c>
      <c r="S4190" t="str">
        <f>_xlfn.XLOOKUP(UNIVERSO[[#This Row],[Ruta]],'[1]CUOTA RUTA'!A:A,'[1]CUOTA RUTA'!D:D)</f>
        <v>Cargar</v>
      </c>
    </row>
    <row r="4191" spans="1:19" x14ac:dyDescent="0.25">
      <c r="A4191">
        <v>1540067654</v>
      </c>
      <c r="B4191" t="s">
        <v>8232</v>
      </c>
      <c r="C4191" t="s">
        <v>19</v>
      </c>
      <c r="D4191" t="s">
        <v>20</v>
      </c>
      <c r="E4191" t="s">
        <v>21</v>
      </c>
      <c r="F4191" t="s">
        <v>22</v>
      </c>
      <c r="G4191" t="s">
        <v>64</v>
      </c>
      <c r="H4191" t="s">
        <v>518</v>
      </c>
      <c r="I4191" t="s">
        <v>8233</v>
      </c>
      <c r="J4191">
        <v>10.001172</v>
      </c>
      <c r="K4191">
        <v>-84.093293000000003</v>
      </c>
      <c r="L4191" t="s">
        <v>1225</v>
      </c>
      <c r="M4191" t="s">
        <v>27</v>
      </c>
      <c r="N4191" t="s">
        <v>28</v>
      </c>
      <c r="O4191" t="s">
        <v>29</v>
      </c>
      <c r="P4191">
        <v>22</v>
      </c>
      <c r="Q4191" t="s">
        <v>30</v>
      </c>
      <c r="S4191" t="str">
        <f>_xlfn.XLOOKUP(UNIVERSO[[#This Row],[Ruta]],'[1]CUOTA RUTA'!A:A,'[1]CUOTA RUTA'!D:D)</f>
        <v>Cargar</v>
      </c>
    </row>
    <row r="4192" spans="1:19" x14ac:dyDescent="0.25">
      <c r="A4192">
        <v>1540067727</v>
      </c>
      <c r="B4192" t="s">
        <v>8234</v>
      </c>
      <c r="C4192" t="s">
        <v>19</v>
      </c>
      <c r="D4192" t="s">
        <v>324</v>
      </c>
      <c r="E4192" t="s">
        <v>21</v>
      </c>
      <c r="F4192" t="s">
        <v>22</v>
      </c>
      <c r="G4192" t="s">
        <v>33</v>
      </c>
      <c r="H4192" t="s">
        <v>6220</v>
      </c>
      <c r="I4192" t="s">
        <v>8235</v>
      </c>
      <c r="J4192">
        <v>10.5802</v>
      </c>
      <c r="K4192">
        <v>-84.518500000000003</v>
      </c>
      <c r="L4192" t="s">
        <v>1225</v>
      </c>
      <c r="M4192" t="s">
        <v>327</v>
      </c>
      <c r="N4192" t="s">
        <v>328</v>
      </c>
      <c r="O4192" t="s">
        <v>329</v>
      </c>
      <c r="P4192">
        <v>20</v>
      </c>
      <c r="Q4192" t="s">
        <v>74</v>
      </c>
      <c r="S4192" t="str">
        <f>_xlfn.XLOOKUP(UNIVERSO[[#This Row],[Ruta]],'[1]CUOTA RUTA'!A:A,'[1]CUOTA RUTA'!D:D)</f>
        <v>Cargar</v>
      </c>
    </row>
    <row r="4193" spans="1:19" x14ac:dyDescent="0.25">
      <c r="A4193">
        <v>1540067751</v>
      </c>
      <c r="B4193" t="s">
        <v>8236</v>
      </c>
      <c r="C4193" t="s">
        <v>19</v>
      </c>
      <c r="D4193" t="s">
        <v>244</v>
      </c>
      <c r="E4193" t="s">
        <v>21</v>
      </c>
      <c r="F4193" t="s">
        <v>22</v>
      </c>
      <c r="G4193" t="s">
        <v>64</v>
      </c>
      <c r="H4193" t="s">
        <v>245</v>
      </c>
      <c r="I4193" t="s">
        <v>8237</v>
      </c>
      <c r="J4193">
        <v>9.1820269999999997</v>
      </c>
      <c r="K4193">
        <v>-83.521109999999993</v>
      </c>
      <c r="L4193" t="s">
        <v>1225</v>
      </c>
      <c r="M4193" t="s">
        <v>46</v>
      </c>
      <c r="N4193" t="s">
        <v>247</v>
      </c>
      <c r="O4193" t="s">
        <v>248</v>
      </c>
      <c r="P4193">
        <v>12</v>
      </c>
      <c r="Q4193" t="s">
        <v>42</v>
      </c>
      <c r="S4193" t="str">
        <f>_xlfn.XLOOKUP(UNIVERSO[[#This Row],[Ruta]],'[1]CUOTA RUTA'!A:A,'[1]CUOTA RUTA'!D:D)</f>
        <v>Cargar</v>
      </c>
    </row>
    <row r="4194" spans="1:19" x14ac:dyDescent="0.25">
      <c r="A4194">
        <v>1540067776</v>
      </c>
      <c r="B4194" t="s">
        <v>8238</v>
      </c>
      <c r="C4194" t="s">
        <v>19</v>
      </c>
      <c r="D4194" t="s">
        <v>32</v>
      </c>
      <c r="E4194" t="s">
        <v>21</v>
      </c>
      <c r="F4194" t="s">
        <v>22</v>
      </c>
      <c r="G4194" t="s">
        <v>33</v>
      </c>
      <c r="H4194" t="s">
        <v>127</v>
      </c>
      <c r="I4194" t="s">
        <v>8239</v>
      </c>
      <c r="J4194">
        <v>9.8107620000000004</v>
      </c>
      <c r="K4194">
        <v>-84.170350999999997</v>
      </c>
      <c r="L4194" t="s">
        <v>1225</v>
      </c>
      <c r="M4194" t="s">
        <v>54</v>
      </c>
      <c r="N4194" t="s">
        <v>129</v>
      </c>
      <c r="O4194" t="s">
        <v>130</v>
      </c>
      <c r="P4194">
        <v>23</v>
      </c>
      <c r="Q4194" t="s">
        <v>125</v>
      </c>
      <c r="S4194" t="str">
        <f>_xlfn.XLOOKUP(UNIVERSO[[#This Row],[Ruta]],'[1]CUOTA RUTA'!A:A,'[1]CUOTA RUTA'!D:D)</f>
        <v>Cargar</v>
      </c>
    </row>
    <row r="4195" spans="1:19" x14ac:dyDescent="0.25">
      <c r="A4195">
        <v>1540067790</v>
      </c>
      <c r="B4195" t="s">
        <v>8240</v>
      </c>
      <c r="C4195" t="s">
        <v>19</v>
      </c>
      <c r="D4195" t="s">
        <v>32</v>
      </c>
      <c r="E4195" t="s">
        <v>21</v>
      </c>
      <c r="F4195" t="s">
        <v>22</v>
      </c>
      <c r="G4195" t="s">
        <v>33</v>
      </c>
      <c r="H4195" t="s">
        <v>127</v>
      </c>
      <c r="I4195" t="s">
        <v>8241</v>
      </c>
      <c r="J4195">
        <v>9.7923991000000008</v>
      </c>
      <c r="K4195">
        <v>-84.164093899999997</v>
      </c>
      <c r="L4195" t="s">
        <v>1225</v>
      </c>
      <c r="M4195" t="s">
        <v>54</v>
      </c>
      <c r="N4195" t="s">
        <v>129</v>
      </c>
      <c r="O4195" t="s">
        <v>130</v>
      </c>
      <c r="P4195">
        <v>23</v>
      </c>
      <c r="Q4195" t="s">
        <v>125</v>
      </c>
      <c r="S4195" t="str">
        <f>_xlfn.XLOOKUP(UNIVERSO[[#This Row],[Ruta]],'[1]CUOTA RUTA'!A:A,'[1]CUOTA RUTA'!D:D)</f>
        <v>Cargar</v>
      </c>
    </row>
    <row r="4196" spans="1:19" x14ac:dyDescent="0.25">
      <c r="A4196">
        <v>1540067799</v>
      </c>
      <c r="B4196" t="s">
        <v>8242</v>
      </c>
      <c r="C4196" t="s">
        <v>19</v>
      </c>
      <c r="D4196" t="s">
        <v>208</v>
      </c>
      <c r="E4196" t="s">
        <v>62</v>
      </c>
      <c r="F4196" t="s">
        <v>63</v>
      </c>
      <c r="G4196" t="s">
        <v>64</v>
      </c>
      <c r="H4196" t="s">
        <v>209</v>
      </c>
      <c r="I4196" t="s">
        <v>8243</v>
      </c>
      <c r="J4196">
        <v>10.216041499999999</v>
      </c>
      <c r="K4196">
        <v>-83.788605399999994</v>
      </c>
      <c r="L4196" t="s">
        <v>1225</v>
      </c>
      <c r="M4196" t="s">
        <v>189</v>
      </c>
      <c r="N4196" t="s">
        <v>211</v>
      </c>
      <c r="O4196" t="s">
        <v>212</v>
      </c>
      <c r="P4196">
        <v>4</v>
      </c>
      <c r="Q4196" t="s">
        <v>120</v>
      </c>
      <c r="S4196" t="str">
        <f>_xlfn.XLOOKUP(UNIVERSO[[#This Row],[Ruta]],'[1]CUOTA RUTA'!A:A,'[1]CUOTA RUTA'!D:D)</f>
        <v>Cargar</v>
      </c>
    </row>
    <row r="4197" spans="1:19" x14ac:dyDescent="0.25">
      <c r="A4197">
        <v>1540067830</v>
      </c>
      <c r="B4197" t="s">
        <v>8244</v>
      </c>
      <c r="C4197" t="s">
        <v>19</v>
      </c>
      <c r="D4197" t="s">
        <v>208</v>
      </c>
      <c r="E4197" t="s">
        <v>21</v>
      </c>
      <c r="F4197" t="s">
        <v>22</v>
      </c>
      <c r="G4197" t="s">
        <v>64</v>
      </c>
      <c r="H4197" t="s">
        <v>1794</v>
      </c>
      <c r="I4197" t="s">
        <v>8245</v>
      </c>
      <c r="J4197">
        <v>10.426216</v>
      </c>
      <c r="K4197">
        <v>-83.951516999999996</v>
      </c>
      <c r="L4197" t="s">
        <v>1225</v>
      </c>
      <c r="M4197" t="s">
        <v>189</v>
      </c>
      <c r="N4197" t="s">
        <v>211</v>
      </c>
      <c r="O4197" t="s">
        <v>212</v>
      </c>
      <c r="P4197">
        <v>10</v>
      </c>
      <c r="Q4197" t="s">
        <v>136</v>
      </c>
      <c r="S4197" t="str">
        <f>_xlfn.XLOOKUP(UNIVERSO[[#This Row],[Ruta]],'[1]CUOTA RUTA'!A:A,'[1]CUOTA RUTA'!D:D)</f>
        <v>Cargar</v>
      </c>
    </row>
    <row r="4198" spans="1:19" x14ac:dyDescent="0.25">
      <c r="A4198">
        <v>1540067967</v>
      </c>
      <c r="B4198" t="s">
        <v>8246</v>
      </c>
      <c r="C4198" t="s">
        <v>19</v>
      </c>
      <c r="D4198" t="s">
        <v>324</v>
      </c>
      <c r="E4198" t="s">
        <v>21</v>
      </c>
      <c r="F4198" t="s">
        <v>22</v>
      </c>
      <c r="G4198" t="s">
        <v>23</v>
      </c>
      <c r="H4198" t="s">
        <v>396</v>
      </c>
      <c r="I4198" t="s">
        <v>8247</v>
      </c>
      <c r="J4198">
        <v>10.40546</v>
      </c>
      <c r="K4198">
        <v>-84.598507999999995</v>
      </c>
      <c r="L4198" t="s">
        <v>1225</v>
      </c>
      <c r="M4198" t="s">
        <v>327</v>
      </c>
      <c r="N4198" t="s">
        <v>328</v>
      </c>
      <c r="O4198" t="s">
        <v>329</v>
      </c>
      <c r="P4198">
        <v>12</v>
      </c>
      <c r="Q4198" t="s">
        <v>42</v>
      </c>
      <c r="S4198" t="str">
        <f>_xlfn.XLOOKUP(UNIVERSO[[#This Row],[Ruta]],'[1]CUOTA RUTA'!A:A,'[1]CUOTA RUTA'!D:D)</f>
        <v>Cargar</v>
      </c>
    </row>
    <row r="4199" spans="1:19" x14ac:dyDescent="0.25">
      <c r="A4199">
        <v>1540067981</v>
      </c>
      <c r="B4199" t="s">
        <v>8248</v>
      </c>
      <c r="C4199" t="s">
        <v>19</v>
      </c>
      <c r="D4199" t="s">
        <v>324</v>
      </c>
      <c r="E4199" t="s">
        <v>21</v>
      </c>
      <c r="F4199" t="s">
        <v>22</v>
      </c>
      <c r="G4199" t="s">
        <v>33</v>
      </c>
      <c r="H4199" t="s">
        <v>511</v>
      </c>
      <c r="I4199" t="s">
        <v>8249</v>
      </c>
      <c r="J4199">
        <v>10.4267</v>
      </c>
      <c r="K4199">
        <v>-84.595100000000002</v>
      </c>
      <c r="L4199" t="s">
        <v>1225</v>
      </c>
      <c r="M4199" t="s">
        <v>327</v>
      </c>
      <c r="N4199" t="s">
        <v>328</v>
      </c>
      <c r="O4199" t="s">
        <v>329</v>
      </c>
      <c r="P4199">
        <v>12</v>
      </c>
      <c r="Q4199" t="s">
        <v>42</v>
      </c>
      <c r="S4199" t="str">
        <f>_xlfn.XLOOKUP(UNIVERSO[[#This Row],[Ruta]],'[1]CUOTA RUTA'!A:A,'[1]CUOTA RUTA'!D:D)</f>
        <v>Cargar</v>
      </c>
    </row>
    <row r="4200" spans="1:19" x14ac:dyDescent="0.25">
      <c r="A4200">
        <v>1540068041</v>
      </c>
      <c r="B4200" t="s">
        <v>8250</v>
      </c>
      <c r="C4200" t="s">
        <v>19</v>
      </c>
      <c r="D4200" t="s">
        <v>208</v>
      </c>
      <c r="E4200" t="s">
        <v>21</v>
      </c>
      <c r="F4200" t="s">
        <v>22</v>
      </c>
      <c r="G4200" t="s">
        <v>64</v>
      </c>
      <c r="H4200" t="s">
        <v>218</v>
      </c>
      <c r="I4200" t="s">
        <v>8251</v>
      </c>
      <c r="J4200">
        <v>10.211681</v>
      </c>
      <c r="K4200">
        <v>-83.796026999999995</v>
      </c>
      <c r="L4200" t="s">
        <v>1225</v>
      </c>
      <c r="M4200" t="s">
        <v>189</v>
      </c>
      <c r="N4200" t="s">
        <v>211</v>
      </c>
      <c r="O4200" t="s">
        <v>212</v>
      </c>
      <c r="P4200">
        <v>4</v>
      </c>
      <c r="Q4200" t="s">
        <v>120</v>
      </c>
      <c r="S4200" t="str">
        <f>_xlfn.XLOOKUP(UNIVERSO[[#This Row],[Ruta]],'[1]CUOTA RUTA'!A:A,'[1]CUOTA RUTA'!D:D)</f>
        <v>Cargar</v>
      </c>
    </row>
    <row r="4201" spans="1:19" x14ac:dyDescent="0.25">
      <c r="A4201">
        <v>1540068054</v>
      </c>
      <c r="B4201" t="s">
        <v>8252</v>
      </c>
      <c r="C4201" t="s">
        <v>19</v>
      </c>
      <c r="D4201" t="s">
        <v>324</v>
      </c>
      <c r="E4201" t="s">
        <v>21</v>
      </c>
      <c r="F4201" t="s">
        <v>22</v>
      </c>
      <c r="G4201" t="s">
        <v>33</v>
      </c>
      <c r="H4201" t="s">
        <v>6220</v>
      </c>
      <c r="I4201" t="s">
        <v>8253</v>
      </c>
      <c r="J4201">
        <v>10.908546571505999</v>
      </c>
      <c r="K4201">
        <v>-84.555520214010002</v>
      </c>
      <c r="L4201" t="s">
        <v>1225</v>
      </c>
      <c r="M4201" t="s">
        <v>327</v>
      </c>
      <c r="N4201" t="s">
        <v>328</v>
      </c>
      <c r="O4201" t="s">
        <v>329</v>
      </c>
      <c r="P4201">
        <v>23</v>
      </c>
      <c r="Q4201" t="s">
        <v>125</v>
      </c>
      <c r="S4201" t="str">
        <f>_xlfn.XLOOKUP(UNIVERSO[[#This Row],[Ruta]],'[1]CUOTA RUTA'!A:A,'[1]CUOTA RUTA'!D:D)</f>
        <v>Cargar</v>
      </c>
    </row>
    <row r="4202" spans="1:19" x14ac:dyDescent="0.25">
      <c r="A4202">
        <v>1540068111</v>
      </c>
      <c r="B4202" t="s">
        <v>8254</v>
      </c>
      <c r="C4202" t="s">
        <v>19</v>
      </c>
      <c r="D4202" t="s">
        <v>32</v>
      </c>
      <c r="E4202" t="s">
        <v>21</v>
      </c>
      <c r="F4202" t="s">
        <v>22</v>
      </c>
      <c r="G4202" t="s">
        <v>64</v>
      </c>
      <c r="H4202" t="s">
        <v>99</v>
      </c>
      <c r="I4202" t="s">
        <v>8255</v>
      </c>
      <c r="J4202">
        <v>9.93215</v>
      </c>
      <c r="K4202">
        <v>-84.085099999999997</v>
      </c>
      <c r="L4202" t="s">
        <v>1225</v>
      </c>
      <c r="M4202" t="s">
        <v>71</v>
      </c>
      <c r="N4202" t="s">
        <v>72</v>
      </c>
      <c r="O4202" t="s">
        <v>73</v>
      </c>
      <c r="P4202">
        <v>1</v>
      </c>
      <c r="Q4202" t="s">
        <v>155</v>
      </c>
      <c r="S4202" t="str">
        <f>_xlfn.XLOOKUP(UNIVERSO[[#This Row],[Ruta]],'[1]CUOTA RUTA'!A:A,'[1]CUOTA RUTA'!D:D)</f>
        <v>Cargar</v>
      </c>
    </row>
    <row r="4203" spans="1:19" x14ac:dyDescent="0.25">
      <c r="A4203">
        <v>1540068150</v>
      </c>
      <c r="B4203" t="s">
        <v>8256</v>
      </c>
      <c r="C4203" t="s">
        <v>19</v>
      </c>
      <c r="D4203" t="s">
        <v>324</v>
      </c>
      <c r="E4203" t="s">
        <v>21</v>
      </c>
      <c r="F4203" t="s">
        <v>22</v>
      </c>
      <c r="G4203" t="s">
        <v>33</v>
      </c>
      <c r="H4203" t="s">
        <v>325</v>
      </c>
      <c r="I4203" t="s">
        <v>8257</v>
      </c>
      <c r="J4203">
        <v>10.328567</v>
      </c>
      <c r="K4203">
        <v>-84.561563000000007</v>
      </c>
      <c r="L4203" t="s">
        <v>1225</v>
      </c>
      <c r="M4203" t="s">
        <v>327</v>
      </c>
      <c r="N4203" t="s">
        <v>328</v>
      </c>
      <c r="O4203" t="s">
        <v>329</v>
      </c>
      <c r="P4203">
        <v>20</v>
      </c>
      <c r="Q4203" t="s">
        <v>74</v>
      </c>
      <c r="S4203" t="str">
        <f>_xlfn.XLOOKUP(UNIVERSO[[#This Row],[Ruta]],'[1]CUOTA RUTA'!A:A,'[1]CUOTA RUTA'!D:D)</f>
        <v>Cargar</v>
      </c>
    </row>
    <row r="4204" spans="1:19" x14ac:dyDescent="0.25">
      <c r="A4204">
        <v>1540068163</v>
      </c>
      <c r="B4204" t="s">
        <v>8258</v>
      </c>
      <c r="C4204" t="s">
        <v>19</v>
      </c>
      <c r="D4204" t="s">
        <v>324</v>
      </c>
      <c r="E4204" t="s">
        <v>21</v>
      </c>
      <c r="F4204" t="s">
        <v>22</v>
      </c>
      <c r="G4204" t="s">
        <v>33</v>
      </c>
      <c r="H4204" t="s">
        <v>6220</v>
      </c>
      <c r="I4204" t="s">
        <v>8259</v>
      </c>
      <c r="J4204">
        <v>10.663758333333</v>
      </c>
      <c r="K4204">
        <v>-84.494288333330005</v>
      </c>
      <c r="L4204" t="s">
        <v>1225</v>
      </c>
      <c r="M4204" t="s">
        <v>327</v>
      </c>
      <c r="N4204" t="s">
        <v>328</v>
      </c>
      <c r="O4204" t="s">
        <v>329</v>
      </c>
      <c r="P4204">
        <v>20</v>
      </c>
      <c r="Q4204" t="s">
        <v>74</v>
      </c>
      <c r="S4204" t="str">
        <f>_xlfn.XLOOKUP(UNIVERSO[[#This Row],[Ruta]],'[1]CUOTA RUTA'!A:A,'[1]CUOTA RUTA'!D:D)</f>
        <v>Cargar</v>
      </c>
    </row>
    <row r="4205" spans="1:19" x14ac:dyDescent="0.25">
      <c r="A4205">
        <v>1540068174</v>
      </c>
      <c r="B4205" t="s">
        <v>8260</v>
      </c>
      <c r="C4205" t="s">
        <v>19</v>
      </c>
      <c r="D4205" t="s">
        <v>32</v>
      </c>
      <c r="E4205" t="s">
        <v>21</v>
      </c>
      <c r="F4205" t="s">
        <v>22</v>
      </c>
      <c r="G4205" t="s">
        <v>64</v>
      </c>
      <c r="H4205" t="s">
        <v>683</v>
      </c>
      <c r="I4205" t="s">
        <v>8261</v>
      </c>
      <c r="J4205">
        <v>9.9352400000000003</v>
      </c>
      <c r="K4205">
        <v>-84.089500000000001</v>
      </c>
      <c r="L4205" t="s">
        <v>1225</v>
      </c>
      <c r="M4205" t="s">
        <v>71</v>
      </c>
      <c r="N4205" t="s">
        <v>72</v>
      </c>
      <c r="O4205" t="s">
        <v>73</v>
      </c>
      <c r="P4205">
        <v>1</v>
      </c>
      <c r="Q4205" t="s">
        <v>155</v>
      </c>
      <c r="S4205" t="str">
        <f>_xlfn.XLOOKUP(UNIVERSO[[#This Row],[Ruta]],'[1]CUOTA RUTA'!A:A,'[1]CUOTA RUTA'!D:D)</f>
        <v>Cargar</v>
      </c>
    </row>
    <row r="4206" spans="1:19" x14ac:dyDescent="0.25">
      <c r="A4206">
        <v>1540068232</v>
      </c>
      <c r="B4206" t="s">
        <v>8262</v>
      </c>
      <c r="C4206" t="s">
        <v>19</v>
      </c>
      <c r="D4206" t="s">
        <v>324</v>
      </c>
      <c r="E4206" t="s">
        <v>62</v>
      </c>
      <c r="F4206" t="s">
        <v>63</v>
      </c>
      <c r="G4206" t="s">
        <v>64</v>
      </c>
      <c r="H4206" t="s">
        <v>511</v>
      </c>
      <c r="I4206" t="s">
        <v>8263</v>
      </c>
      <c r="J4206">
        <v>10.406927</v>
      </c>
      <c r="K4206">
        <v>-84.598332999999997</v>
      </c>
      <c r="L4206" t="s">
        <v>1225</v>
      </c>
      <c r="M4206" t="s">
        <v>327</v>
      </c>
      <c r="N4206" t="s">
        <v>328</v>
      </c>
      <c r="O4206" t="s">
        <v>329</v>
      </c>
      <c r="P4206">
        <v>12</v>
      </c>
      <c r="Q4206" t="s">
        <v>42</v>
      </c>
      <c r="S4206" t="str">
        <f>_xlfn.XLOOKUP(UNIVERSO[[#This Row],[Ruta]],'[1]CUOTA RUTA'!A:A,'[1]CUOTA RUTA'!D:D)</f>
        <v>Cargar</v>
      </c>
    </row>
    <row r="4207" spans="1:19" x14ac:dyDescent="0.25">
      <c r="A4207">
        <v>1540068234</v>
      </c>
      <c r="B4207" t="s">
        <v>8264</v>
      </c>
      <c r="C4207" t="s">
        <v>19</v>
      </c>
      <c r="D4207" t="s">
        <v>324</v>
      </c>
      <c r="E4207" t="s">
        <v>62</v>
      </c>
      <c r="F4207" t="s">
        <v>63</v>
      </c>
      <c r="G4207" t="s">
        <v>33</v>
      </c>
      <c r="H4207" t="s">
        <v>325</v>
      </c>
      <c r="I4207" t="s">
        <v>8265</v>
      </c>
      <c r="J4207">
        <v>10.360002</v>
      </c>
      <c r="K4207">
        <v>-84.508801000000005</v>
      </c>
      <c r="L4207" t="s">
        <v>1225</v>
      </c>
      <c r="M4207" t="s">
        <v>327</v>
      </c>
      <c r="N4207" t="s">
        <v>328</v>
      </c>
      <c r="O4207" t="s">
        <v>329</v>
      </c>
      <c r="P4207">
        <v>14</v>
      </c>
      <c r="Q4207" t="s">
        <v>181</v>
      </c>
      <c r="S4207" t="str">
        <f>_xlfn.XLOOKUP(UNIVERSO[[#This Row],[Ruta]],'[1]CUOTA RUTA'!A:A,'[1]CUOTA RUTA'!D:D)</f>
        <v>Cargar</v>
      </c>
    </row>
    <row r="4208" spans="1:19" x14ac:dyDescent="0.25">
      <c r="A4208">
        <v>1540068293</v>
      </c>
      <c r="B4208" t="s">
        <v>8266</v>
      </c>
      <c r="C4208" t="s">
        <v>19</v>
      </c>
      <c r="D4208" t="s">
        <v>20</v>
      </c>
      <c r="E4208" t="s">
        <v>21</v>
      </c>
      <c r="F4208" t="s">
        <v>22</v>
      </c>
      <c r="G4208" t="s">
        <v>33</v>
      </c>
      <c r="H4208" t="s">
        <v>311</v>
      </c>
      <c r="I4208" t="s">
        <v>8267</v>
      </c>
      <c r="J4208">
        <v>9.9770179999999993</v>
      </c>
      <c r="K4208">
        <v>-84.205681999999996</v>
      </c>
      <c r="L4208" t="s">
        <v>1225</v>
      </c>
      <c r="M4208" t="s">
        <v>54</v>
      </c>
      <c r="N4208" t="s">
        <v>55</v>
      </c>
      <c r="O4208" t="s">
        <v>56</v>
      </c>
      <c r="P4208">
        <v>14</v>
      </c>
      <c r="Q4208" t="s">
        <v>181</v>
      </c>
      <c r="S4208" t="str">
        <f>_xlfn.XLOOKUP(UNIVERSO[[#This Row],[Ruta]],'[1]CUOTA RUTA'!A:A,'[1]CUOTA RUTA'!D:D)</f>
        <v>Cargar</v>
      </c>
    </row>
    <row r="4209" spans="1:19" x14ac:dyDescent="0.25">
      <c r="A4209">
        <v>1540068298</v>
      </c>
      <c r="B4209" t="s">
        <v>8268</v>
      </c>
      <c r="C4209" t="s">
        <v>19</v>
      </c>
      <c r="D4209" t="s">
        <v>337</v>
      </c>
      <c r="E4209" t="s">
        <v>21</v>
      </c>
      <c r="F4209" t="s">
        <v>22</v>
      </c>
      <c r="G4209" t="s">
        <v>64</v>
      </c>
      <c r="H4209" t="s">
        <v>1732</v>
      </c>
      <c r="I4209" t="s">
        <v>8269</v>
      </c>
      <c r="J4209">
        <v>10.4482956</v>
      </c>
      <c r="K4209">
        <v>-85.760482699999997</v>
      </c>
      <c r="L4209" t="s">
        <v>1225</v>
      </c>
      <c r="M4209" t="s">
        <v>327</v>
      </c>
      <c r="N4209" t="s">
        <v>340</v>
      </c>
      <c r="O4209" t="s">
        <v>341</v>
      </c>
      <c r="P4209">
        <v>18</v>
      </c>
      <c r="Q4209" t="s">
        <v>84</v>
      </c>
      <c r="S4209" t="str">
        <f>_xlfn.XLOOKUP(UNIVERSO[[#This Row],[Ruta]],'[1]CUOTA RUTA'!A:A,'[1]CUOTA RUTA'!D:D)</f>
        <v>Cargar</v>
      </c>
    </row>
    <row r="4210" spans="1:19" x14ac:dyDescent="0.25">
      <c r="A4210">
        <v>1540068422</v>
      </c>
      <c r="B4210" t="s">
        <v>8270</v>
      </c>
      <c r="C4210" t="s">
        <v>19</v>
      </c>
      <c r="D4210" t="s">
        <v>324</v>
      </c>
      <c r="E4210" t="s">
        <v>21</v>
      </c>
      <c r="F4210" t="s">
        <v>22</v>
      </c>
      <c r="G4210" t="s">
        <v>64</v>
      </c>
      <c r="H4210" t="s">
        <v>511</v>
      </c>
      <c r="I4210" t="s">
        <v>8271</v>
      </c>
      <c r="J4210">
        <v>10.454964940538</v>
      </c>
      <c r="K4210">
        <v>-84.534988878980002</v>
      </c>
      <c r="L4210" t="s">
        <v>1225</v>
      </c>
      <c r="M4210" t="s">
        <v>327</v>
      </c>
      <c r="N4210" t="s">
        <v>328</v>
      </c>
      <c r="O4210" t="s">
        <v>329</v>
      </c>
      <c r="P4210">
        <v>12</v>
      </c>
      <c r="Q4210" t="s">
        <v>42</v>
      </c>
      <c r="S4210" t="str">
        <f>_xlfn.XLOOKUP(UNIVERSO[[#This Row],[Ruta]],'[1]CUOTA RUTA'!A:A,'[1]CUOTA RUTA'!D:D)</f>
        <v>Cargar</v>
      </c>
    </row>
    <row r="4211" spans="1:19" x14ac:dyDescent="0.25">
      <c r="A4211">
        <v>1540068438</v>
      </c>
      <c r="B4211" t="s">
        <v>7151</v>
      </c>
      <c r="C4211" t="s">
        <v>19</v>
      </c>
      <c r="D4211" t="s">
        <v>20</v>
      </c>
      <c r="E4211" t="s">
        <v>21</v>
      </c>
      <c r="F4211" t="s">
        <v>22</v>
      </c>
      <c r="G4211" t="s">
        <v>33</v>
      </c>
      <c r="H4211" t="s">
        <v>1021</v>
      </c>
      <c r="I4211" t="s">
        <v>8272</v>
      </c>
      <c r="J4211">
        <v>10.0289</v>
      </c>
      <c r="K4211">
        <v>-84.274299999999997</v>
      </c>
      <c r="L4211" t="s">
        <v>1225</v>
      </c>
      <c r="M4211" t="s">
        <v>46</v>
      </c>
      <c r="N4211" t="s">
        <v>47</v>
      </c>
      <c r="O4211" t="s">
        <v>48</v>
      </c>
      <c r="P4211">
        <v>3</v>
      </c>
      <c r="Q4211" t="s">
        <v>101</v>
      </c>
      <c r="S4211" t="str">
        <f>_xlfn.XLOOKUP(UNIVERSO[[#This Row],[Ruta]],'[1]CUOTA RUTA'!A:A,'[1]CUOTA RUTA'!D:D)</f>
        <v>Cargar</v>
      </c>
    </row>
    <row r="4212" spans="1:19" x14ac:dyDescent="0.25">
      <c r="A4212">
        <v>1540068577</v>
      </c>
      <c r="B4212" t="s">
        <v>8273</v>
      </c>
      <c r="C4212" t="s">
        <v>19</v>
      </c>
      <c r="D4212" t="s">
        <v>337</v>
      </c>
      <c r="E4212" t="s">
        <v>21</v>
      </c>
      <c r="F4212" t="s">
        <v>22</v>
      </c>
      <c r="G4212" t="s">
        <v>33</v>
      </c>
      <c r="H4212" t="s">
        <v>1732</v>
      </c>
      <c r="I4212" t="s">
        <v>8274</v>
      </c>
      <c r="J4212">
        <v>10.469908999999999</v>
      </c>
      <c r="K4212">
        <v>-84.969773000000004</v>
      </c>
      <c r="L4212" t="s">
        <v>1225</v>
      </c>
      <c r="M4212" t="s">
        <v>327</v>
      </c>
      <c r="N4212" t="s">
        <v>340</v>
      </c>
      <c r="O4212" t="s">
        <v>341</v>
      </c>
      <c r="P4212">
        <v>23</v>
      </c>
      <c r="Q4212" t="s">
        <v>125</v>
      </c>
      <c r="S4212" t="str">
        <f>_xlfn.XLOOKUP(UNIVERSO[[#This Row],[Ruta]],'[1]CUOTA RUTA'!A:A,'[1]CUOTA RUTA'!D:D)</f>
        <v>Cargar</v>
      </c>
    </row>
    <row r="4213" spans="1:19" x14ac:dyDescent="0.25">
      <c r="A4213">
        <v>1540068609</v>
      </c>
      <c r="B4213" t="s">
        <v>8275</v>
      </c>
      <c r="C4213" t="s">
        <v>19</v>
      </c>
      <c r="D4213" t="s">
        <v>266</v>
      </c>
      <c r="E4213" t="s">
        <v>21</v>
      </c>
      <c r="F4213" t="s">
        <v>22</v>
      </c>
      <c r="G4213" t="s">
        <v>64</v>
      </c>
      <c r="H4213" t="s">
        <v>272</v>
      </c>
      <c r="I4213" t="s">
        <v>8276</v>
      </c>
      <c r="J4213">
        <v>9.8906726999999997</v>
      </c>
      <c r="K4213">
        <v>-83.843208200000007</v>
      </c>
      <c r="L4213" t="s">
        <v>1225</v>
      </c>
      <c r="M4213" t="s">
        <v>54</v>
      </c>
      <c r="N4213" t="s">
        <v>274</v>
      </c>
      <c r="O4213" t="s">
        <v>275</v>
      </c>
      <c r="P4213">
        <v>21</v>
      </c>
      <c r="Q4213" t="s">
        <v>239</v>
      </c>
      <c r="S4213" t="str">
        <f>_xlfn.XLOOKUP(UNIVERSO[[#This Row],[Ruta]],'[1]CUOTA RUTA'!A:A,'[1]CUOTA RUTA'!D:D)</f>
        <v>Cargar</v>
      </c>
    </row>
    <row r="4214" spans="1:19" x14ac:dyDescent="0.25">
      <c r="A4214">
        <v>1540068622</v>
      </c>
      <c r="B4214" t="s">
        <v>8277</v>
      </c>
      <c r="C4214" t="s">
        <v>19</v>
      </c>
      <c r="D4214" t="s">
        <v>20</v>
      </c>
      <c r="E4214" t="s">
        <v>62</v>
      </c>
      <c r="F4214" t="s">
        <v>63</v>
      </c>
      <c r="G4214" t="s">
        <v>64</v>
      </c>
      <c r="H4214" t="s">
        <v>303</v>
      </c>
      <c r="I4214" t="s">
        <v>8278</v>
      </c>
      <c r="J4214">
        <v>9.9958519999999993</v>
      </c>
      <c r="K4214">
        <v>-84.227126999999996</v>
      </c>
      <c r="L4214" t="s">
        <v>1225</v>
      </c>
      <c r="M4214" t="s">
        <v>54</v>
      </c>
      <c r="N4214" t="s">
        <v>55</v>
      </c>
      <c r="O4214" t="s">
        <v>56</v>
      </c>
      <c r="P4214">
        <v>5</v>
      </c>
      <c r="Q4214" t="s">
        <v>117</v>
      </c>
      <c r="S4214" t="str">
        <f>_xlfn.XLOOKUP(UNIVERSO[[#This Row],[Ruta]],'[1]CUOTA RUTA'!A:A,'[1]CUOTA RUTA'!D:D)</f>
        <v>Cargar</v>
      </c>
    </row>
    <row r="4215" spans="1:19" x14ac:dyDescent="0.25">
      <c r="A4215">
        <v>1540068626</v>
      </c>
      <c r="B4215" t="s">
        <v>8279</v>
      </c>
      <c r="C4215" t="s">
        <v>19</v>
      </c>
      <c r="D4215" t="s">
        <v>20</v>
      </c>
      <c r="E4215" t="s">
        <v>21</v>
      </c>
      <c r="F4215" t="s">
        <v>22</v>
      </c>
      <c r="G4215" t="s">
        <v>64</v>
      </c>
      <c r="H4215" t="s">
        <v>458</v>
      </c>
      <c r="I4215" t="s">
        <v>8280</v>
      </c>
      <c r="J4215">
        <v>9.937144</v>
      </c>
      <c r="K4215">
        <v>-84.265547999999995</v>
      </c>
      <c r="L4215" t="s">
        <v>1225</v>
      </c>
      <c r="M4215" t="s">
        <v>54</v>
      </c>
      <c r="N4215" t="s">
        <v>55</v>
      </c>
      <c r="O4215" t="s">
        <v>56</v>
      </c>
      <c r="P4215">
        <v>20</v>
      </c>
      <c r="Q4215" t="s">
        <v>74</v>
      </c>
      <c r="S4215" t="str">
        <f>_xlfn.XLOOKUP(UNIVERSO[[#This Row],[Ruta]],'[1]CUOTA RUTA'!A:A,'[1]CUOTA RUTA'!D:D)</f>
        <v>Cargar</v>
      </c>
    </row>
    <row r="4216" spans="1:19" x14ac:dyDescent="0.25">
      <c r="A4216">
        <v>1540068700</v>
      </c>
      <c r="B4216" t="s">
        <v>8281</v>
      </c>
      <c r="C4216" t="s">
        <v>19</v>
      </c>
      <c r="D4216" t="s">
        <v>337</v>
      </c>
      <c r="E4216" t="s">
        <v>21</v>
      </c>
      <c r="F4216" t="s">
        <v>22</v>
      </c>
      <c r="G4216" t="s">
        <v>64</v>
      </c>
      <c r="H4216" t="s">
        <v>346</v>
      </c>
      <c r="I4216" t="s">
        <v>8282</v>
      </c>
      <c r="J4216">
        <v>10.518513</v>
      </c>
      <c r="K4216">
        <v>-85.238718000000006</v>
      </c>
      <c r="L4216" t="s">
        <v>1225</v>
      </c>
      <c r="M4216" t="s">
        <v>327</v>
      </c>
      <c r="N4216" t="s">
        <v>340</v>
      </c>
      <c r="O4216" t="s">
        <v>341</v>
      </c>
      <c r="P4216">
        <v>20</v>
      </c>
      <c r="Q4216" t="s">
        <v>74</v>
      </c>
      <c r="S4216" t="str">
        <f>_xlfn.XLOOKUP(UNIVERSO[[#This Row],[Ruta]],'[1]CUOTA RUTA'!A:A,'[1]CUOTA RUTA'!D:D)</f>
        <v>Cargar</v>
      </c>
    </row>
    <row r="4217" spans="1:19" x14ac:dyDescent="0.25">
      <c r="A4217">
        <v>1540068743</v>
      </c>
      <c r="B4217" t="s">
        <v>8283</v>
      </c>
      <c r="C4217" t="s">
        <v>19</v>
      </c>
      <c r="D4217" t="s">
        <v>32</v>
      </c>
      <c r="E4217" t="s">
        <v>21</v>
      </c>
      <c r="F4217" t="s">
        <v>22</v>
      </c>
      <c r="G4217" t="s">
        <v>33</v>
      </c>
      <c r="H4217" t="s">
        <v>159</v>
      </c>
      <c r="I4217" t="s">
        <v>8284</v>
      </c>
      <c r="J4217">
        <v>9.9250299999999996</v>
      </c>
      <c r="K4217">
        <v>-84.081800000000001</v>
      </c>
      <c r="L4217" t="s">
        <v>1225</v>
      </c>
      <c r="M4217" t="s">
        <v>71</v>
      </c>
      <c r="N4217" t="s">
        <v>72</v>
      </c>
      <c r="O4217" t="s">
        <v>73</v>
      </c>
      <c r="P4217">
        <v>5</v>
      </c>
      <c r="Q4217" t="s">
        <v>117</v>
      </c>
      <c r="S4217" t="str">
        <f>_xlfn.XLOOKUP(UNIVERSO[[#This Row],[Ruta]],'[1]CUOTA RUTA'!A:A,'[1]CUOTA RUTA'!D:D)</f>
        <v>Cargar</v>
      </c>
    </row>
    <row r="4218" spans="1:19" x14ac:dyDescent="0.25">
      <c r="A4218">
        <v>1540068780</v>
      </c>
      <c r="B4218" t="s">
        <v>8285</v>
      </c>
      <c r="C4218" t="s">
        <v>19</v>
      </c>
      <c r="D4218" t="s">
        <v>20</v>
      </c>
      <c r="E4218" t="s">
        <v>21</v>
      </c>
      <c r="F4218" t="s">
        <v>22</v>
      </c>
      <c r="G4218" t="s">
        <v>64</v>
      </c>
      <c r="H4218" t="s">
        <v>280</v>
      </c>
      <c r="I4218" t="s">
        <v>8286</v>
      </c>
      <c r="J4218">
        <v>10.025226999999999</v>
      </c>
      <c r="K4218">
        <v>-84.205500999999998</v>
      </c>
      <c r="L4218" t="s">
        <v>1225</v>
      </c>
      <c r="M4218" t="s">
        <v>54</v>
      </c>
      <c r="N4218" t="s">
        <v>55</v>
      </c>
      <c r="O4218" t="s">
        <v>56</v>
      </c>
      <c r="P4218">
        <v>16</v>
      </c>
      <c r="Q4218" t="s">
        <v>60</v>
      </c>
      <c r="S4218" t="str">
        <f>_xlfn.XLOOKUP(UNIVERSO[[#This Row],[Ruta]],'[1]CUOTA RUTA'!A:A,'[1]CUOTA RUTA'!D:D)</f>
        <v>Cargar</v>
      </c>
    </row>
    <row r="4219" spans="1:19" x14ac:dyDescent="0.25">
      <c r="A4219">
        <v>1540068798</v>
      </c>
      <c r="B4219" t="s">
        <v>8287</v>
      </c>
      <c r="C4219" t="s">
        <v>19</v>
      </c>
      <c r="D4219" t="s">
        <v>32</v>
      </c>
      <c r="E4219" t="s">
        <v>21</v>
      </c>
      <c r="F4219" t="s">
        <v>22</v>
      </c>
      <c r="G4219" t="s">
        <v>64</v>
      </c>
      <c r="H4219" t="s">
        <v>99</v>
      </c>
      <c r="I4219" t="s">
        <v>8288</v>
      </c>
      <c r="J4219">
        <v>9.93384</v>
      </c>
      <c r="K4219">
        <v>-84.084117000000006</v>
      </c>
      <c r="L4219" t="s">
        <v>1225</v>
      </c>
      <c r="M4219" t="s">
        <v>71</v>
      </c>
      <c r="N4219" t="s">
        <v>72</v>
      </c>
      <c r="O4219" t="s">
        <v>73</v>
      </c>
      <c r="P4219">
        <v>1</v>
      </c>
      <c r="Q4219" t="s">
        <v>155</v>
      </c>
      <c r="S4219" t="str">
        <f>_xlfn.XLOOKUP(UNIVERSO[[#This Row],[Ruta]],'[1]CUOTA RUTA'!A:A,'[1]CUOTA RUTA'!D:D)</f>
        <v>Cargar</v>
      </c>
    </row>
    <row r="4220" spans="1:19" x14ac:dyDescent="0.25">
      <c r="A4220">
        <v>1540068907</v>
      </c>
      <c r="B4220" t="s">
        <v>8289</v>
      </c>
      <c r="C4220" t="s">
        <v>19</v>
      </c>
      <c r="D4220" t="s">
        <v>337</v>
      </c>
      <c r="E4220" t="s">
        <v>21</v>
      </c>
      <c r="F4220" t="s">
        <v>22</v>
      </c>
      <c r="G4220" t="s">
        <v>64</v>
      </c>
      <c r="H4220" t="s">
        <v>824</v>
      </c>
      <c r="I4220" t="s">
        <v>8290</v>
      </c>
      <c r="J4220">
        <v>10.6126579</v>
      </c>
      <c r="K4220">
        <v>-85.435355799999996</v>
      </c>
      <c r="L4220" t="s">
        <v>1225</v>
      </c>
      <c r="M4220" t="s">
        <v>327</v>
      </c>
      <c r="N4220" t="s">
        <v>340</v>
      </c>
      <c r="O4220" t="s">
        <v>341</v>
      </c>
      <c r="P4220">
        <v>14</v>
      </c>
      <c r="Q4220" t="s">
        <v>181</v>
      </c>
      <c r="S4220" t="str">
        <f>_xlfn.XLOOKUP(UNIVERSO[[#This Row],[Ruta]],'[1]CUOTA RUTA'!A:A,'[1]CUOTA RUTA'!D:D)</f>
        <v>Cargar</v>
      </c>
    </row>
    <row r="4221" spans="1:19" x14ac:dyDescent="0.25">
      <c r="A4221">
        <v>1540069027</v>
      </c>
      <c r="B4221" t="s">
        <v>8291</v>
      </c>
      <c r="C4221" t="s">
        <v>19</v>
      </c>
      <c r="D4221" t="s">
        <v>266</v>
      </c>
      <c r="E4221" t="s">
        <v>21</v>
      </c>
      <c r="F4221" t="s">
        <v>22</v>
      </c>
      <c r="G4221" t="s">
        <v>64</v>
      </c>
      <c r="H4221" t="s">
        <v>314</v>
      </c>
      <c r="I4221" t="s">
        <v>8292</v>
      </c>
      <c r="J4221">
        <v>9.8807095999999994</v>
      </c>
      <c r="K4221">
        <v>-83.934649199999996</v>
      </c>
      <c r="L4221" t="s">
        <v>1225</v>
      </c>
      <c r="M4221" t="s">
        <v>36</v>
      </c>
      <c r="N4221" t="s">
        <v>316</v>
      </c>
      <c r="O4221" t="s">
        <v>317</v>
      </c>
      <c r="P4221">
        <v>21</v>
      </c>
      <c r="Q4221" t="s">
        <v>239</v>
      </c>
      <c r="S4221" t="str">
        <f>_xlfn.XLOOKUP(UNIVERSO[[#This Row],[Ruta]],'[1]CUOTA RUTA'!A:A,'[1]CUOTA RUTA'!D:D)</f>
        <v>Cargar</v>
      </c>
    </row>
    <row r="4222" spans="1:19" x14ac:dyDescent="0.25">
      <c r="A4222">
        <v>1540069051</v>
      </c>
      <c r="B4222" t="s">
        <v>8293</v>
      </c>
      <c r="C4222" t="s">
        <v>19</v>
      </c>
      <c r="D4222" t="s">
        <v>20</v>
      </c>
      <c r="E4222" t="s">
        <v>62</v>
      </c>
      <c r="F4222" t="s">
        <v>63</v>
      </c>
      <c r="G4222" t="s">
        <v>64</v>
      </c>
      <c r="H4222" t="s">
        <v>280</v>
      </c>
      <c r="I4222" t="s">
        <v>8294</v>
      </c>
      <c r="J4222">
        <v>10.017976000000001</v>
      </c>
      <c r="K4222">
        <v>-84.217478</v>
      </c>
      <c r="L4222" t="s">
        <v>1225</v>
      </c>
      <c r="M4222" t="s">
        <v>54</v>
      </c>
      <c r="N4222" t="s">
        <v>55</v>
      </c>
      <c r="O4222" t="s">
        <v>56</v>
      </c>
      <c r="P4222">
        <v>1</v>
      </c>
      <c r="Q4222" t="s">
        <v>155</v>
      </c>
      <c r="S4222" t="str">
        <f>_xlfn.XLOOKUP(UNIVERSO[[#This Row],[Ruta]],'[1]CUOTA RUTA'!A:A,'[1]CUOTA RUTA'!D:D)</f>
        <v>Cargar</v>
      </c>
    </row>
    <row r="4223" spans="1:19" x14ac:dyDescent="0.25">
      <c r="A4223">
        <v>1540069069</v>
      </c>
      <c r="B4223" t="s">
        <v>8295</v>
      </c>
      <c r="C4223" t="s">
        <v>19</v>
      </c>
      <c r="D4223" t="s">
        <v>20</v>
      </c>
      <c r="E4223" t="s">
        <v>21</v>
      </c>
      <c r="F4223" t="s">
        <v>22</v>
      </c>
      <c r="G4223" t="s">
        <v>23</v>
      </c>
      <c r="H4223" t="s">
        <v>518</v>
      </c>
      <c r="I4223" t="s">
        <v>8296</v>
      </c>
      <c r="J4223">
        <v>9.9968789999999998</v>
      </c>
      <c r="K4223">
        <v>-84.139784000000006</v>
      </c>
      <c r="L4223" t="s">
        <v>1225</v>
      </c>
      <c r="M4223" t="s">
        <v>27</v>
      </c>
      <c r="N4223" t="s">
        <v>28</v>
      </c>
      <c r="O4223" t="s">
        <v>29</v>
      </c>
      <c r="P4223">
        <v>11</v>
      </c>
      <c r="Q4223" t="s">
        <v>108</v>
      </c>
      <c r="S4223" t="str">
        <f>_xlfn.XLOOKUP(UNIVERSO[[#This Row],[Ruta]],'[1]CUOTA RUTA'!A:A,'[1]CUOTA RUTA'!D:D)</f>
        <v>Cargar</v>
      </c>
    </row>
    <row r="4224" spans="1:19" x14ac:dyDescent="0.25">
      <c r="A4224">
        <v>1540069106</v>
      </c>
      <c r="B4224" t="s">
        <v>8297</v>
      </c>
      <c r="C4224" t="s">
        <v>19</v>
      </c>
      <c r="D4224" t="s">
        <v>337</v>
      </c>
      <c r="E4224" t="s">
        <v>21</v>
      </c>
      <c r="F4224" t="s">
        <v>22</v>
      </c>
      <c r="G4224" t="s">
        <v>64</v>
      </c>
      <c r="H4224" t="s">
        <v>346</v>
      </c>
      <c r="I4224" t="s">
        <v>8298</v>
      </c>
      <c r="J4224">
        <v>10.515397999999999</v>
      </c>
      <c r="K4224">
        <v>-85.251852</v>
      </c>
      <c r="L4224" t="s">
        <v>1225</v>
      </c>
      <c r="M4224" t="s">
        <v>327</v>
      </c>
      <c r="N4224" t="s">
        <v>340</v>
      </c>
      <c r="O4224" t="s">
        <v>341</v>
      </c>
      <c r="P4224">
        <v>20</v>
      </c>
      <c r="Q4224" t="s">
        <v>74</v>
      </c>
      <c r="S4224" t="str">
        <f>_xlfn.XLOOKUP(UNIVERSO[[#This Row],[Ruta]],'[1]CUOTA RUTA'!A:A,'[1]CUOTA RUTA'!D:D)</f>
        <v>Cargar</v>
      </c>
    </row>
    <row r="4225" spans="1:19" x14ac:dyDescent="0.25">
      <c r="A4225">
        <v>1540069260</v>
      </c>
      <c r="B4225" t="s">
        <v>8299</v>
      </c>
      <c r="C4225" t="s">
        <v>19</v>
      </c>
      <c r="D4225" t="s">
        <v>337</v>
      </c>
      <c r="E4225" t="s">
        <v>21</v>
      </c>
      <c r="F4225" t="s">
        <v>22</v>
      </c>
      <c r="G4225" t="s">
        <v>33</v>
      </c>
      <c r="H4225" t="s">
        <v>1732</v>
      </c>
      <c r="I4225" t="s">
        <v>8300</v>
      </c>
      <c r="J4225">
        <v>10.4462455</v>
      </c>
      <c r="K4225">
        <v>-85.5521782</v>
      </c>
      <c r="L4225" t="s">
        <v>1225</v>
      </c>
      <c r="M4225" t="s">
        <v>327</v>
      </c>
      <c r="N4225" t="s">
        <v>340</v>
      </c>
      <c r="O4225" t="s">
        <v>341</v>
      </c>
      <c r="P4225">
        <v>16</v>
      </c>
      <c r="Q4225" t="s">
        <v>60</v>
      </c>
      <c r="S4225" t="str">
        <f>_xlfn.XLOOKUP(UNIVERSO[[#This Row],[Ruta]],'[1]CUOTA RUTA'!A:A,'[1]CUOTA RUTA'!D:D)</f>
        <v>Cargar</v>
      </c>
    </row>
    <row r="4226" spans="1:19" x14ac:dyDescent="0.25">
      <c r="A4226">
        <v>1540069308</v>
      </c>
      <c r="B4226" t="s">
        <v>8301</v>
      </c>
      <c r="C4226" t="s">
        <v>19</v>
      </c>
      <c r="D4226" t="s">
        <v>337</v>
      </c>
      <c r="E4226" t="s">
        <v>21</v>
      </c>
      <c r="F4226" t="s">
        <v>22</v>
      </c>
      <c r="G4226" t="s">
        <v>64</v>
      </c>
      <c r="H4226" t="s">
        <v>824</v>
      </c>
      <c r="I4226" t="s">
        <v>8302</v>
      </c>
      <c r="J4226">
        <v>10.942544</v>
      </c>
      <c r="K4226">
        <v>-85.680465999999996</v>
      </c>
      <c r="L4226" t="s">
        <v>1225</v>
      </c>
      <c r="M4226" t="s">
        <v>327</v>
      </c>
      <c r="N4226" t="s">
        <v>340</v>
      </c>
      <c r="O4226" t="s">
        <v>341</v>
      </c>
      <c r="P4226">
        <v>15</v>
      </c>
      <c r="Q4226" t="s">
        <v>231</v>
      </c>
      <c r="S4226" t="str">
        <f>_xlfn.XLOOKUP(UNIVERSO[[#This Row],[Ruta]],'[1]CUOTA RUTA'!A:A,'[1]CUOTA RUTA'!D:D)</f>
        <v>Cargar</v>
      </c>
    </row>
    <row r="4227" spans="1:19" x14ac:dyDescent="0.25">
      <c r="A4227">
        <v>1540069312</v>
      </c>
      <c r="B4227" t="s">
        <v>8303</v>
      </c>
      <c r="C4227" t="s">
        <v>19</v>
      </c>
      <c r="D4227" t="s">
        <v>337</v>
      </c>
      <c r="E4227" t="s">
        <v>21</v>
      </c>
      <c r="F4227" t="s">
        <v>22</v>
      </c>
      <c r="G4227" t="s">
        <v>64</v>
      </c>
      <c r="H4227" t="s">
        <v>824</v>
      </c>
      <c r="I4227" t="s">
        <v>8304</v>
      </c>
      <c r="J4227">
        <v>11.072773</v>
      </c>
      <c r="K4227">
        <v>-85.634015000000005</v>
      </c>
      <c r="L4227" t="s">
        <v>1225</v>
      </c>
      <c r="M4227" t="s">
        <v>327</v>
      </c>
      <c r="N4227" t="s">
        <v>340</v>
      </c>
      <c r="O4227" t="s">
        <v>341</v>
      </c>
      <c r="P4227">
        <v>15</v>
      </c>
      <c r="Q4227" t="s">
        <v>231</v>
      </c>
      <c r="S4227" t="str">
        <f>_xlfn.XLOOKUP(UNIVERSO[[#This Row],[Ruta]],'[1]CUOTA RUTA'!A:A,'[1]CUOTA RUTA'!D:D)</f>
        <v>Cargar</v>
      </c>
    </row>
    <row r="4228" spans="1:19" x14ac:dyDescent="0.25">
      <c r="A4228">
        <v>1540069339</v>
      </c>
      <c r="B4228" t="s">
        <v>8305</v>
      </c>
      <c r="C4228" t="s">
        <v>19</v>
      </c>
      <c r="D4228" t="s">
        <v>208</v>
      </c>
      <c r="E4228" t="s">
        <v>21</v>
      </c>
      <c r="F4228" t="s">
        <v>22</v>
      </c>
      <c r="G4228" t="s">
        <v>33</v>
      </c>
      <c r="H4228" t="s">
        <v>1794</v>
      </c>
      <c r="I4228" t="s">
        <v>8306</v>
      </c>
      <c r="J4228">
        <v>10.101100000000001</v>
      </c>
      <c r="K4228">
        <v>-83.584100000000007</v>
      </c>
      <c r="L4228" t="s">
        <v>1225</v>
      </c>
      <c r="M4228" t="s">
        <v>189</v>
      </c>
      <c r="N4228" t="s">
        <v>211</v>
      </c>
      <c r="O4228" t="s">
        <v>212</v>
      </c>
      <c r="P4228">
        <v>9</v>
      </c>
      <c r="Q4228" t="s">
        <v>80</v>
      </c>
      <c r="S4228" t="str">
        <f>_xlfn.XLOOKUP(UNIVERSO[[#This Row],[Ruta]],'[1]CUOTA RUTA'!A:A,'[1]CUOTA RUTA'!D:D)</f>
        <v>Cargar</v>
      </c>
    </row>
    <row r="4229" spans="1:19" x14ac:dyDescent="0.25">
      <c r="A4229">
        <v>1540069520</v>
      </c>
      <c r="B4229" t="s">
        <v>8307</v>
      </c>
      <c r="C4229" t="s">
        <v>19</v>
      </c>
      <c r="D4229" t="s">
        <v>32</v>
      </c>
      <c r="E4229" t="s">
        <v>21</v>
      </c>
      <c r="F4229" t="s">
        <v>22</v>
      </c>
      <c r="G4229" t="s">
        <v>64</v>
      </c>
      <c r="H4229" t="s">
        <v>174</v>
      </c>
      <c r="I4229" t="s">
        <v>8308</v>
      </c>
      <c r="J4229">
        <v>9.9378430000000009</v>
      </c>
      <c r="K4229">
        <v>-84.082380000000001</v>
      </c>
      <c r="L4229" t="s">
        <v>1225</v>
      </c>
      <c r="M4229" t="s">
        <v>71</v>
      </c>
      <c r="N4229" t="s">
        <v>72</v>
      </c>
      <c r="O4229" t="s">
        <v>73</v>
      </c>
      <c r="P4229">
        <v>2</v>
      </c>
      <c r="Q4229" t="s">
        <v>150</v>
      </c>
      <c r="S4229" t="str">
        <f>_xlfn.XLOOKUP(UNIVERSO[[#This Row],[Ruta]],'[1]CUOTA RUTA'!A:A,'[1]CUOTA RUTA'!D:D)</f>
        <v>Cargar</v>
      </c>
    </row>
    <row r="4230" spans="1:19" x14ac:dyDescent="0.25">
      <c r="A4230">
        <v>1540069631</v>
      </c>
      <c r="B4230" t="s">
        <v>8309</v>
      </c>
      <c r="C4230" t="s">
        <v>19</v>
      </c>
      <c r="D4230" t="s">
        <v>20</v>
      </c>
      <c r="E4230" t="s">
        <v>21</v>
      </c>
      <c r="F4230" t="s">
        <v>22</v>
      </c>
      <c r="G4230" t="s">
        <v>64</v>
      </c>
      <c r="H4230" t="s">
        <v>52</v>
      </c>
      <c r="I4230" t="s">
        <v>8310</v>
      </c>
      <c r="J4230">
        <v>9.9245999000000005</v>
      </c>
      <c r="K4230">
        <v>-84.125295800000004</v>
      </c>
      <c r="L4230" t="s">
        <v>1225</v>
      </c>
      <c r="M4230" t="s">
        <v>54</v>
      </c>
      <c r="N4230" t="s">
        <v>55</v>
      </c>
      <c r="O4230" t="s">
        <v>56</v>
      </c>
      <c r="P4230">
        <v>13</v>
      </c>
      <c r="Q4230" t="s">
        <v>161</v>
      </c>
      <c r="S4230" t="str">
        <f>_xlfn.XLOOKUP(UNIVERSO[[#This Row],[Ruta]],'[1]CUOTA RUTA'!A:A,'[1]CUOTA RUTA'!D:D)</f>
        <v>Cargar</v>
      </c>
    </row>
    <row r="4231" spans="1:19" x14ac:dyDescent="0.25">
      <c r="A4231">
        <v>1540069641</v>
      </c>
      <c r="B4231" t="s">
        <v>8311</v>
      </c>
      <c r="C4231" t="s">
        <v>19</v>
      </c>
      <c r="D4231" t="s">
        <v>32</v>
      </c>
      <c r="E4231" t="s">
        <v>21</v>
      </c>
      <c r="F4231" t="s">
        <v>22</v>
      </c>
      <c r="G4231" t="s">
        <v>33</v>
      </c>
      <c r="H4231" t="s">
        <v>1345</v>
      </c>
      <c r="I4231" t="s">
        <v>8312</v>
      </c>
      <c r="J4231">
        <v>9.9315409999999993</v>
      </c>
      <c r="K4231">
        <v>-84.041763000000003</v>
      </c>
      <c r="L4231" t="s">
        <v>1225</v>
      </c>
      <c r="M4231" t="s">
        <v>71</v>
      </c>
      <c r="N4231" t="s">
        <v>72</v>
      </c>
      <c r="O4231" t="s">
        <v>73</v>
      </c>
      <c r="P4231">
        <v>23</v>
      </c>
      <c r="Q4231" t="s">
        <v>125</v>
      </c>
      <c r="S4231" t="str">
        <f>_xlfn.XLOOKUP(UNIVERSO[[#This Row],[Ruta]],'[1]CUOTA RUTA'!A:A,'[1]CUOTA RUTA'!D:D)</f>
        <v>Cargar</v>
      </c>
    </row>
    <row r="4232" spans="1:19" x14ac:dyDescent="0.25">
      <c r="A4232">
        <v>1540069646</v>
      </c>
      <c r="B4232" t="s">
        <v>8313</v>
      </c>
      <c r="C4232" t="s">
        <v>19</v>
      </c>
      <c r="D4232" t="s">
        <v>32</v>
      </c>
      <c r="E4232" t="s">
        <v>21</v>
      </c>
      <c r="F4232" t="s">
        <v>22</v>
      </c>
      <c r="G4232" t="s">
        <v>64</v>
      </c>
      <c r="H4232" t="s">
        <v>1345</v>
      </c>
      <c r="I4232" t="s">
        <v>8314</v>
      </c>
      <c r="J4232">
        <v>9.9304179999999995</v>
      </c>
      <c r="K4232">
        <v>-84.067667</v>
      </c>
      <c r="L4232" t="s">
        <v>1225</v>
      </c>
      <c r="M4232" t="s">
        <v>71</v>
      </c>
      <c r="N4232" t="s">
        <v>72</v>
      </c>
      <c r="O4232" t="s">
        <v>73</v>
      </c>
      <c r="P4232">
        <v>5</v>
      </c>
      <c r="Q4232" t="s">
        <v>117</v>
      </c>
      <c r="S4232" t="str">
        <f>_xlfn.XLOOKUP(UNIVERSO[[#This Row],[Ruta]],'[1]CUOTA RUTA'!A:A,'[1]CUOTA RUTA'!D:D)</f>
        <v>Cargar</v>
      </c>
    </row>
    <row r="4233" spans="1:19" x14ac:dyDescent="0.25">
      <c r="A4233">
        <v>1540069694</v>
      </c>
      <c r="B4233" t="s">
        <v>8315</v>
      </c>
      <c r="C4233" t="s">
        <v>19</v>
      </c>
      <c r="D4233" t="s">
        <v>32</v>
      </c>
      <c r="E4233" t="s">
        <v>21</v>
      </c>
      <c r="F4233" t="s">
        <v>22</v>
      </c>
      <c r="G4233" t="s">
        <v>33</v>
      </c>
      <c r="H4233" t="s">
        <v>1383</v>
      </c>
      <c r="I4233" t="s">
        <v>8316</v>
      </c>
      <c r="J4233">
        <v>9.9155760218969995</v>
      </c>
      <c r="K4233">
        <v>-84.088127379599996</v>
      </c>
      <c r="L4233" t="s">
        <v>1225</v>
      </c>
      <c r="M4233" t="s">
        <v>71</v>
      </c>
      <c r="N4233" t="s">
        <v>72</v>
      </c>
      <c r="O4233" t="s">
        <v>73</v>
      </c>
      <c r="P4233">
        <v>3</v>
      </c>
      <c r="Q4233" t="s">
        <v>101</v>
      </c>
      <c r="S4233" t="str">
        <f>_xlfn.XLOOKUP(UNIVERSO[[#This Row],[Ruta]],'[1]CUOTA RUTA'!A:A,'[1]CUOTA RUTA'!D:D)</f>
        <v>Cargar</v>
      </c>
    </row>
    <row r="4234" spans="1:19" x14ac:dyDescent="0.25">
      <c r="A4234">
        <v>1540069742</v>
      </c>
      <c r="B4234" t="s">
        <v>8317</v>
      </c>
      <c r="C4234" t="s">
        <v>19</v>
      </c>
      <c r="D4234" t="s">
        <v>20</v>
      </c>
      <c r="E4234" t="s">
        <v>21</v>
      </c>
      <c r="F4234" t="s">
        <v>22</v>
      </c>
      <c r="G4234" t="s">
        <v>64</v>
      </c>
      <c r="H4234" t="s">
        <v>280</v>
      </c>
      <c r="I4234" t="s">
        <v>8318</v>
      </c>
      <c r="J4234">
        <v>10.016818000000001</v>
      </c>
      <c r="K4234">
        <v>-84.208022</v>
      </c>
      <c r="L4234" t="s">
        <v>1225</v>
      </c>
      <c r="M4234" t="s">
        <v>54</v>
      </c>
      <c r="N4234" t="s">
        <v>55</v>
      </c>
      <c r="O4234" t="s">
        <v>56</v>
      </c>
      <c r="P4234">
        <v>1</v>
      </c>
      <c r="Q4234" t="s">
        <v>155</v>
      </c>
      <c r="S4234" t="str">
        <f>_xlfn.XLOOKUP(UNIVERSO[[#This Row],[Ruta]],'[1]CUOTA RUTA'!A:A,'[1]CUOTA RUTA'!D:D)</f>
        <v>Cargar</v>
      </c>
    </row>
    <row r="4235" spans="1:19" x14ac:dyDescent="0.25">
      <c r="A4235">
        <v>1540069779</v>
      </c>
      <c r="B4235" t="s">
        <v>8319</v>
      </c>
      <c r="C4235" t="s">
        <v>19</v>
      </c>
      <c r="D4235" t="s">
        <v>244</v>
      </c>
      <c r="E4235" t="s">
        <v>21</v>
      </c>
      <c r="F4235" t="s">
        <v>22</v>
      </c>
      <c r="G4235" t="s">
        <v>23</v>
      </c>
      <c r="H4235" t="s">
        <v>1294</v>
      </c>
      <c r="I4235" t="s">
        <v>8320</v>
      </c>
      <c r="J4235">
        <v>9.3220237000000008</v>
      </c>
      <c r="K4235">
        <v>-83.667588899999998</v>
      </c>
      <c r="L4235" t="s">
        <v>1225</v>
      </c>
      <c r="M4235" t="s">
        <v>46</v>
      </c>
      <c r="N4235" t="s">
        <v>247</v>
      </c>
      <c r="O4235" t="s">
        <v>248</v>
      </c>
      <c r="P4235">
        <v>13</v>
      </c>
      <c r="Q4235" t="s">
        <v>161</v>
      </c>
      <c r="S4235" t="str">
        <f>_xlfn.XLOOKUP(UNIVERSO[[#This Row],[Ruta]],'[1]CUOTA RUTA'!A:A,'[1]CUOTA RUTA'!D:D)</f>
        <v>Cargar</v>
      </c>
    </row>
    <row r="4236" spans="1:19" x14ac:dyDescent="0.25">
      <c r="A4236">
        <v>1540069824</v>
      </c>
      <c r="B4236" t="s">
        <v>8321</v>
      </c>
      <c r="C4236" t="s">
        <v>19</v>
      </c>
      <c r="D4236" t="s">
        <v>266</v>
      </c>
      <c r="E4236" t="s">
        <v>21</v>
      </c>
      <c r="F4236" t="s">
        <v>22</v>
      </c>
      <c r="G4236" t="s">
        <v>33</v>
      </c>
      <c r="H4236" t="s">
        <v>404</v>
      </c>
      <c r="I4236" t="s">
        <v>8322</v>
      </c>
      <c r="J4236">
        <v>9.8391190000000002</v>
      </c>
      <c r="K4236">
        <v>-83.878437000000005</v>
      </c>
      <c r="L4236" t="s">
        <v>1225</v>
      </c>
      <c r="M4236" t="s">
        <v>36</v>
      </c>
      <c r="N4236" t="s">
        <v>316</v>
      </c>
      <c r="O4236" t="s">
        <v>317</v>
      </c>
      <c r="P4236">
        <v>22</v>
      </c>
      <c r="Q4236" t="s">
        <v>30</v>
      </c>
      <c r="S4236" t="str">
        <f>_xlfn.XLOOKUP(UNIVERSO[[#This Row],[Ruta]],'[1]CUOTA RUTA'!A:A,'[1]CUOTA RUTA'!D:D)</f>
        <v>Cargar</v>
      </c>
    </row>
    <row r="4237" spans="1:19" x14ac:dyDescent="0.25">
      <c r="A4237">
        <v>1540069861</v>
      </c>
      <c r="B4237" t="s">
        <v>8323</v>
      </c>
      <c r="C4237" t="s">
        <v>19</v>
      </c>
      <c r="D4237" t="s">
        <v>324</v>
      </c>
      <c r="E4237" t="s">
        <v>21</v>
      </c>
      <c r="F4237" t="s">
        <v>22</v>
      </c>
      <c r="G4237" t="s">
        <v>64</v>
      </c>
      <c r="H4237" t="s">
        <v>393</v>
      </c>
      <c r="I4237" t="s">
        <v>8324</v>
      </c>
      <c r="J4237">
        <v>10.373275700000001</v>
      </c>
      <c r="K4237">
        <v>-84.343923599999997</v>
      </c>
      <c r="L4237" t="s">
        <v>1225</v>
      </c>
      <c r="M4237" t="s">
        <v>327</v>
      </c>
      <c r="N4237" t="s">
        <v>328</v>
      </c>
      <c r="O4237" t="s">
        <v>329</v>
      </c>
      <c r="P4237">
        <v>15</v>
      </c>
      <c r="Q4237" t="s">
        <v>231</v>
      </c>
      <c r="S4237" t="str">
        <f>_xlfn.XLOOKUP(UNIVERSO[[#This Row],[Ruta]],'[1]CUOTA RUTA'!A:A,'[1]CUOTA RUTA'!D:D)</f>
        <v>Cargar</v>
      </c>
    </row>
    <row r="4238" spans="1:19" x14ac:dyDescent="0.25">
      <c r="A4238">
        <v>1540069876</v>
      </c>
      <c r="B4238" t="s">
        <v>7205</v>
      </c>
      <c r="C4238" t="s">
        <v>19</v>
      </c>
      <c r="D4238" t="s">
        <v>324</v>
      </c>
      <c r="E4238" t="s">
        <v>21</v>
      </c>
      <c r="F4238" t="s">
        <v>22</v>
      </c>
      <c r="G4238" t="s">
        <v>64</v>
      </c>
      <c r="H4238" t="s">
        <v>331</v>
      </c>
      <c r="I4238" t="s">
        <v>8325</v>
      </c>
      <c r="J4238">
        <v>10.454700000000001</v>
      </c>
      <c r="K4238">
        <v>-84.273499999999999</v>
      </c>
      <c r="L4238" t="s">
        <v>1225</v>
      </c>
      <c r="M4238" t="s">
        <v>327</v>
      </c>
      <c r="N4238" t="s">
        <v>328</v>
      </c>
      <c r="O4238" t="s">
        <v>329</v>
      </c>
      <c r="P4238">
        <v>17</v>
      </c>
      <c r="Q4238" t="s">
        <v>287</v>
      </c>
      <c r="S4238" t="str">
        <f>_xlfn.XLOOKUP(UNIVERSO[[#This Row],[Ruta]],'[1]CUOTA RUTA'!A:A,'[1]CUOTA RUTA'!D:D)</f>
        <v>Cargar</v>
      </c>
    </row>
    <row r="4239" spans="1:19" x14ac:dyDescent="0.25">
      <c r="A4239">
        <v>1540069894</v>
      </c>
      <c r="B4239" t="s">
        <v>3928</v>
      </c>
      <c r="C4239" t="s">
        <v>19</v>
      </c>
      <c r="D4239" t="s">
        <v>20</v>
      </c>
      <c r="E4239" t="s">
        <v>21</v>
      </c>
      <c r="F4239" t="s">
        <v>22</v>
      </c>
      <c r="G4239" t="s">
        <v>33</v>
      </c>
      <c r="H4239" t="s">
        <v>518</v>
      </c>
      <c r="I4239" t="s">
        <v>8326</v>
      </c>
      <c r="J4239">
        <v>9.998265</v>
      </c>
      <c r="K4239">
        <v>-84.090457000000001</v>
      </c>
      <c r="L4239" t="s">
        <v>1225</v>
      </c>
      <c r="M4239" t="s">
        <v>27</v>
      </c>
      <c r="N4239" t="s">
        <v>28</v>
      </c>
      <c r="O4239" t="s">
        <v>29</v>
      </c>
      <c r="P4239">
        <v>22</v>
      </c>
      <c r="Q4239" t="s">
        <v>30</v>
      </c>
      <c r="S4239" t="str">
        <f>_xlfn.XLOOKUP(UNIVERSO[[#This Row],[Ruta]],'[1]CUOTA RUTA'!A:A,'[1]CUOTA RUTA'!D:D)</f>
        <v>Cargar</v>
      </c>
    </row>
    <row r="4240" spans="1:19" x14ac:dyDescent="0.25">
      <c r="A4240">
        <v>1540069906</v>
      </c>
      <c r="B4240" t="s">
        <v>8327</v>
      </c>
      <c r="C4240" t="s">
        <v>19</v>
      </c>
      <c r="D4240" t="s">
        <v>208</v>
      </c>
      <c r="E4240" t="s">
        <v>21</v>
      </c>
      <c r="F4240" t="s">
        <v>22</v>
      </c>
      <c r="G4240" t="s">
        <v>64</v>
      </c>
      <c r="H4240" t="s">
        <v>218</v>
      </c>
      <c r="I4240" t="s">
        <v>8328</v>
      </c>
      <c r="J4240">
        <v>10.286686899999999</v>
      </c>
      <c r="K4240">
        <v>-83.784458799999996</v>
      </c>
      <c r="L4240" t="s">
        <v>1225</v>
      </c>
      <c r="M4240" t="s">
        <v>189</v>
      </c>
      <c r="N4240" t="s">
        <v>211</v>
      </c>
      <c r="O4240" t="s">
        <v>212</v>
      </c>
      <c r="P4240">
        <v>2</v>
      </c>
      <c r="Q4240" t="s">
        <v>150</v>
      </c>
      <c r="S4240" t="str">
        <f>_xlfn.XLOOKUP(UNIVERSO[[#This Row],[Ruta]],'[1]CUOTA RUTA'!A:A,'[1]CUOTA RUTA'!D:D)</f>
        <v>Cargar</v>
      </c>
    </row>
    <row r="4241" spans="1:19" x14ac:dyDescent="0.25">
      <c r="A4241">
        <v>1540069956</v>
      </c>
      <c r="B4241" t="s">
        <v>8329</v>
      </c>
      <c r="C4241" t="s">
        <v>19</v>
      </c>
      <c r="D4241" t="s">
        <v>20</v>
      </c>
      <c r="E4241" t="s">
        <v>21</v>
      </c>
      <c r="F4241" t="s">
        <v>22</v>
      </c>
      <c r="G4241" t="s">
        <v>33</v>
      </c>
      <c r="H4241" t="s">
        <v>280</v>
      </c>
      <c r="I4241" t="s">
        <v>8330</v>
      </c>
      <c r="J4241">
        <v>10.014965999999999</v>
      </c>
      <c r="K4241">
        <v>-84.204564000000005</v>
      </c>
      <c r="L4241" t="s">
        <v>1225</v>
      </c>
      <c r="M4241" t="s">
        <v>54</v>
      </c>
      <c r="N4241" t="s">
        <v>55</v>
      </c>
      <c r="O4241" t="s">
        <v>56</v>
      </c>
      <c r="P4241">
        <v>4</v>
      </c>
      <c r="Q4241" t="s">
        <v>120</v>
      </c>
      <c r="S4241" t="str">
        <f>_xlfn.XLOOKUP(UNIVERSO[[#This Row],[Ruta]],'[1]CUOTA RUTA'!A:A,'[1]CUOTA RUTA'!D:D)</f>
        <v>Cargar</v>
      </c>
    </row>
    <row r="4242" spans="1:19" x14ac:dyDescent="0.25">
      <c r="A4242">
        <v>1540069963</v>
      </c>
      <c r="B4242" t="s">
        <v>8331</v>
      </c>
      <c r="C4242" t="s">
        <v>19</v>
      </c>
      <c r="D4242" t="s">
        <v>324</v>
      </c>
      <c r="E4242" t="s">
        <v>21</v>
      </c>
      <c r="F4242" t="s">
        <v>22</v>
      </c>
      <c r="G4242" t="s">
        <v>33</v>
      </c>
      <c r="H4242" t="s">
        <v>511</v>
      </c>
      <c r="I4242" t="s">
        <v>8332</v>
      </c>
      <c r="J4242">
        <v>10.456295000000001</v>
      </c>
      <c r="K4242">
        <v>-84.583151999999998</v>
      </c>
      <c r="L4242" t="s">
        <v>1225</v>
      </c>
      <c r="M4242" t="s">
        <v>327</v>
      </c>
      <c r="N4242" t="s">
        <v>328</v>
      </c>
      <c r="O4242" t="s">
        <v>329</v>
      </c>
      <c r="P4242">
        <v>13</v>
      </c>
      <c r="Q4242" t="s">
        <v>161</v>
      </c>
      <c r="S4242" t="str">
        <f>_xlfn.XLOOKUP(UNIVERSO[[#This Row],[Ruta]],'[1]CUOTA RUTA'!A:A,'[1]CUOTA RUTA'!D:D)</f>
        <v>Cargar</v>
      </c>
    </row>
    <row r="4243" spans="1:19" x14ac:dyDescent="0.25">
      <c r="A4243">
        <v>1540070061</v>
      </c>
      <c r="B4243" t="s">
        <v>8333</v>
      </c>
      <c r="C4243" t="s">
        <v>19</v>
      </c>
      <c r="D4243" t="s">
        <v>337</v>
      </c>
      <c r="E4243" t="s">
        <v>21</v>
      </c>
      <c r="F4243" t="s">
        <v>22</v>
      </c>
      <c r="G4243" t="s">
        <v>33</v>
      </c>
      <c r="H4243" t="s">
        <v>343</v>
      </c>
      <c r="I4243" t="s">
        <v>8334</v>
      </c>
      <c r="J4243">
        <v>10.658175999999999</v>
      </c>
      <c r="K4243">
        <v>-85.422872999999996</v>
      </c>
      <c r="L4243" t="s">
        <v>1225</v>
      </c>
      <c r="M4243" t="s">
        <v>327</v>
      </c>
      <c r="N4243" t="s">
        <v>340</v>
      </c>
      <c r="O4243" t="s">
        <v>341</v>
      </c>
      <c r="P4243">
        <v>14</v>
      </c>
      <c r="Q4243" t="s">
        <v>181</v>
      </c>
      <c r="S4243" t="str">
        <f>_xlfn.XLOOKUP(UNIVERSO[[#This Row],[Ruta]],'[1]CUOTA RUTA'!A:A,'[1]CUOTA RUTA'!D:D)</f>
        <v>Cargar</v>
      </c>
    </row>
    <row r="4244" spans="1:19" x14ac:dyDescent="0.25">
      <c r="A4244">
        <v>1540070079</v>
      </c>
      <c r="B4244" t="s">
        <v>8335</v>
      </c>
      <c r="C4244" t="s">
        <v>19</v>
      </c>
      <c r="D4244" t="s">
        <v>324</v>
      </c>
      <c r="E4244" t="s">
        <v>62</v>
      </c>
      <c r="F4244" t="s">
        <v>63</v>
      </c>
      <c r="G4244" t="s">
        <v>23</v>
      </c>
      <c r="H4244" t="s">
        <v>325</v>
      </c>
      <c r="I4244" t="s">
        <v>8336</v>
      </c>
      <c r="J4244">
        <v>10.333299999999999</v>
      </c>
      <c r="K4244">
        <v>-84.530199999999994</v>
      </c>
      <c r="L4244" t="s">
        <v>1225</v>
      </c>
      <c r="M4244" t="s">
        <v>327</v>
      </c>
      <c r="N4244" t="s">
        <v>328</v>
      </c>
      <c r="O4244" t="s">
        <v>329</v>
      </c>
      <c r="P4244">
        <v>14</v>
      </c>
      <c r="Q4244" t="s">
        <v>181</v>
      </c>
      <c r="S4244" t="str">
        <f>_xlfn.XLOOKUP(UNIVERSO[[#This Row],[Ruta]],'[1]CUOTA RUTA'!A:A,'[1]CUOTA RUTA'!D:D)</f>
        <v>Cargar</v>
      </c>
    </row>
    <row r="4245" spans="1:19" x14ac:dyDescent="0.25">
      <c r="A4245">
        <v>1540070334</v>
      </c>
      <c r="B4245" t="s">
        <v>8337</v>
      </c>
      <c r="C4245" t="s">
        <v>19</v>
      </c>
      <c r="D4245" t="s">
        <v>20</v>
      </c>
      <c r="E4245" t="s">
        <v>21</v>
      </c>
      <c r="F4245" t="s">
        <v>22</v>
      </c>
      <c r="G4245" t="s">
        <v>64</v>
      </c>
      <c r="H4245" t="s">
        <v>285</v>
      </c>
      <c r="I4245" t="s">
        <v>8338</v>
      </c>
      <c r="J4245">
        <v>10.014810000000001</v>
      </c>
      <c r="K4245">
        <v>-84.212694999999997</v>
      </c>
      <c r="L4245" t="s">
        <v>1225</v>
      </c>
      <c r="M4245" t="s">
        <v>54</v>
      </c>
      <c r="N4245" t="s">
        <v>55</v>
      </c>
      <c r="O4245" t="s">
        <v>56</v>
      </c>
      <c r="P4245">
        <v>1</v>
      </c>
      <c r="Q4245" t="s">
        <v>155</v>
      </c>
      <c r="S4245" t="str">
        <f>_xlfn.XLOOKUP(UNIVERSO[[#This Row],[Ruta]],'[1]CUOTA RUTA'!A:A,'[1]CUOTA RUTA'!D:D)</f>
        <v>Cargar</v>
      </c>
    </row>
    <row r="4246" spans="1:19" x14ac:dyDescent="0.25">
      <c r="A4246">
        <v>1540070391</v>
      </c>
      <c r="B4246" t="s">
        <v>8339</v>
      </c>
      <c r="C4246" t="s">
        <v>19</v>
      </c>
      <c r="D4246" t="s">
        <v>324</v>
      </c>
      <c r="E4246" t="s">
        <v>21</v>
      </c>
      <c r="F4246" t="s">
        <v>22</v>
      </c>
      <c r="G4246" t="s">
        <v>64</v>
      </c>
      <c r="H4246" t="s">
        <v>557</v>
      </c>
      <c r="I4246" t="s">
        <v>8340</v>
      </c>
      <c r="J4246">
        <v>10.470573999999999</v>
      </c>
      <c r="K4246">
        <v>-84.649392000000006</v>
      </c>
      <c r="L4246" t="s">
        <v>1225</v>
      </c>
      <c r="M4246" t="s">
        <v>327</v>
      </c>
      <c r="N4246" t="s">
        <v>328</v>
      </c>
      <c r="O4246" t="s">
        <v>329</v>
      </c>
      <c r="P4246">
        <v>21</v>
      </c>
      <c r="Q4246" t="s">
        <v>239</v>
      </c>
      <c r="S4246" t="str">
        <f>_xlfn.XLOOKUP(UNIVERSO[[#This Row],[Ruta]],'[1]CUOTA RUTA'!A:A,'[1]CUOTA RUTA'!D:D)</f>
        <v>Cargar</v>
      </c>
    </row>
    <row r="4247" spans="1:19" x14ac:dyDescent="0.25">
      <c r="A4247">
        <v>1540070410</v>
      </c>
      <c r="B4247" t="s">
        <v>8341</v>
      </c>
      <c r="C4247" t="s">
        <v>19</v>
      </c>
      <c r="D4247" t="s">
        <v>20</v>
      </c>
      <c r="E4247" t="s">
        <v>21</v>
      </c>
      <c r="F4247" t="s">
        <v>22</v>
      </c>
      <c r="G4247" t="s">
        <v>23</v>
      </c>
      <c r="H4247" t="s">
        <v>255</v>
      </c>
      <c r="I4247" t="s">
        <v>8342</v>
      </c>
      <c r="J4247">
        <v>10.089972850396</v>
      </c>
      <c r="K4247">
        <v>-84.346207950600004</v>
      </c>
      <c r="L4247" t="s">
        <v>1225</v>
      </c>
      <c r="M4247" t="s">
        <v>46</v>
      </c>
      <c r="N4247" t="s">
        <v>47</v>
      </c>
      <c r="O4247" t="s">
        <v>48</v>
      </c>
      <c r="P4247">
        <v>5</v>
      </c>
      <c r="Q4247" t="s">
        <v>117</v>
      </c>
      <c r="S4247" t="str">
        <f>_xlfn.XLOOKUP(UNIVERSO[[#This Row],[Ruta]],'[1]CUOTA RUTA'!A:A,'[1]CUOTA RUTA'!D:D)</f>
        <v>Cargar</v>
      </c>
    </row>
    <row r="4248" spans="1:19" x14ac:dyDescent="0.25">
      <c r="A4248">
        <v>1540070438</v>
      </c>
      <c r="B4248" t="s">
        <v>8343</v>
      </c>
      <c r="C4248" t="s">
        <v>19</v>
      </c>
      <c r="D4248" t="s">
        <v>20</v>
      </c>
      <c r="E4248" t="s">
        <v>21</v>
      </c>
      <c r="F4248" t="s">
        <v>22</v>
      </c>
      <c r="G4248" t="s">
        <v>33</v>
      </c>
      <c r="H4248" t="s">
        <v>255</v>
      </c>
      <c r="I4248" t="s">
        <v>8344</v>
      </c>
      <c r="J4248">
        <v>10.084967065472</v>
      </c>
      <c r="K4248">
        <v>-84.469566951819999</v>
      </c>
      <c r="L4248" t="s">
        <v>1225</v>
      </c>
      <c r="M4248" t="s">
        <v>46</v>
      </c>
      <c r="N4248" t="s">
        <v>47</v>
      </c>
      <c r="O4248" t="s">
        <v>48</v>
      </c>
      <c r="P4248">
        <v>7</v>
      </c>
      <c r="Q4248" t="s">
        <v>39</v>
      </c>
      <c r="S4248" t="str">
        <f>_xlfn.XLOOKUP(UNIVERSO[[#This Row],[Ruta]],'[1]CUOTA RUTA'!A:A,'[1]CUOTA RUTA'!D:D)</f>
        <v>Cargar</v>
      </c>
    </row>
    <row r="4249" spans="1:19" x14ac:dyDescent="0.25">
      <c r="A4249">
        <v>1540070519</v>
      </c>
      <c r="B4249" t="s">
        <v>8345</v>
      </c>
      <c r="C4249" t="s">
        <v>19</v>
      </c>
      <c r="D4249" t="s">
        <v>349</v>
      </c>
      <c r="E4249" t="s">
        <v>21</v>
      </c>
      <c r="F4249" t="s">
        <v>22</v>
      </c>
      <c r="G4249" t="s">
        <v>64</v>
      </c>
      <c r="H4249" t="s">
        <v>359</v>
      </c>
      <c r="I4249" t="s">
        <v>8346</v>
      </c>
      <c r="J4249">
        <v>10.2742</v>
      </c>
      <c r="K4249">
        <v>-85.729200000000006</v>
      </c>
      <c r="L4249" t="s">
        <v>1225</v>
      </c>
      <c r="M4249" t="s">
        <v>352</v>
      </c>
      <c r="N4249" t="s">
        <v>353</v>
      </c>
      <c r="O4249" t="s">
        <v>354</v>
      </c>
      <c r="P4249">
        <v>4</v>
      </c>
      <c r="Q4249" t="s">
        <v>120</v>
      </c>
      <c r="S4249" t="str">
        <f>_xlfn.XLOOKUP(UNIVERSO[[#This Row],[Ruta]],'[1]CUOTA RUTA'!A:A,'[1]CUOTA RUTA'!D:D)</f>
        <v>Cargar</v>
      </c>
    </row>
    <row r="4250" spans="1:19" x14ac:dyDescent="0.25">
      <c r="A4250">
        <v>1540070549</v>
      </c>
      <c r="B4250" t="s">
        <v>8347</v>
      </c>
      <c r="C4250" t="s">
        <v>19</v>
      </c>
      <c r="D4250" t="s">
        <v>324</v>
      </c>
      <c r="E4250" t="s">
        <v>21</v>
      </c>
      <c r="F4250" t="s">
        <v>22</v>
      </c>
      <c r="G4250" t="s">
        <v>64</v>
      </c>
      <c r="H4250" t="s">
        <v>511</v>
      </c>
      <c r="I4250" t="s">
        <v>8348</v>
      </c>
      <c r="J4250">
        <v>10.445790000000001</v>
      </c>
      <c r="K4250">
        <v>-84.581030999999996</v>
      </c>
      <c r="L4250" t="s">
        <v>1225</v>
      </c>
      <c r="M4250" t="s">
        <v>327</v>
      </c>
      <c r="N4250" t="s">
        <v>328</v>
      </c>
      <c r="O4250" t="s">
        <v>329</v>
      </c>
      <c r="P4250">
        <v>12</v>
      </c>
      <c r="Q4250" t="s">
        <v>42</v>
      </c>
      <c r="S4250" t="str">
        <f>_xlfn.XLOOKUP(UNIVERSO[[#This Row],[Ruta]],'[1]CUOTA RUTA'!A:A,'[1]CUOTA RUTA'!D:D)</f>
        <v>Cargar</v>
      </c>
    </row>
    <row r="4251" spans="1:19" x14ac:dyDescent="0.25">
      <c r="A4251">
        <v>1540070557</v>
      </c>
      <c r="B4251" t="s">
        <v>8349</v>
      </c>
      <c r="C4251" t="s">
        <v>19</v>
      </c>
      <c r="D4251" t="s">
        <v>20</v>
      </c>
      <c r="E4251" t="s">
        <v>21</v>
      </c>
      <c r="F4251" t="s">
        <v>22</v>
      </c>
      <c r="G4251" t="s">
        <v>33</v>
      </c>
      <c r="H4251" t="s">
        <v>280</v>
      </c>
      <c r="I4251" t="s">
        <v>8350</v>
      </c>
      <c r="J4251">
        <v>10.020438</v>
      </c>
      <c r="K4251">
        <v>-84.210064000000003</v>
      </c>
      <c r="L4251" t="s">
        <v>1225</v>
      </c>
      <c r="M4251" t="s">
        <v>54</v>
      </c>
      <c r="N4251" t="s">
        <v>55</v>
      </c>
      <c r="O4251" t="s">
        <v>56</v>
      </c>
      <c r="P4251">
        <v>2</v>
      </c>
      <c r="Q4251" t="s">
        <v>150</v>
      </c>
      <c r="S4251" t="str">
        <f>_xlfn.XLOOKUP(UNIVERSO[[#This Row],[Ruta]],'[1]CUOTA RUTA'!A:A,'[1]CUOTA RUTA'!D:D)</f>
        <v>Cargar</v>
      </c>
    </row>
    <row r="4252" spans="1:19" x14ac:dyDescent="0.25">
      <c r="A4252">
        <v>1540070617</v>
      </c>
      <c r="B4252" t="s">
        <v>8351</v>
      </c>
      <c r="C4252" t="s">
        <v>19</v>
      </c>
      <c r="D4252" t="s">
        <v>324</v>
      </c>
      <c r="E4252" t="s">
        <v>21</v>
      </c>
      <c r="F4252" t="s">
        <v>22</v>
      </c>
      <c r="G4252" t="s">
        <v>23</v>
      </c>
      <c r="H4252" t="s">
        <v>393</v>
      </c>
      <c r="I4252" t="s">
        <v>8352</v>
      </c>
      <c r="J4252">
        <v>10.332139</v>
      </c>
      <c r="K4252">
        <v>-84.411433000000002</v>
      </c>
      <c r="L4252" t="s">
        <v>1225</v>
      </c>
      <c r="M4252" t="s">
        <v>327</v>
      </c>
      <c r="N4252" t="s">
        <v>328</v>
      </c>
      <c r="O4252" t="s">
        <v>329</v>
      </c>
      <c r="P4252">
        <v>23</v>
      </c>
      <c r="Q4252" t="s">
        <v>125</v>
      </c>
      <c r="S4252" t="str">
        <f>_xlfn.XLOOKUP(UNIVERSO[[#This Row],[Ruta]],'[1]CUOTA RUTA'!A:A,'[1]CUOTA RUTA'!D:D)</f>
        <v>Cargar</v>
      </c>
    </row>
    <row r="4253" spans="1:19" x14ac:dyDescent="0.25">
      <c r="A4253">
        <v>1540070694</v>
      </c>
      <c r="B4253" t="s">
        <v>8353</v>
      </c>
      <c r="C4253" t="s">
        <v>19</v>
      </c>
      <c r="D4253" t="s">
        <v>186</v>
      </c>
      <c r="E4253" t="s">
        <v>21</v>
      </c>
      <c r="F4253" t="s">
        <v>22</v>
      </c>
      <c r="G4253" t="s">
        <v>64</v>
      </c>
      <c r="H4253" t="s">
        <v>241</v>
      </c>
      <c r="I4253" t="s">
        <v>8354</v>
      </c>
      <c r="J4253">
        <v>10.022413999999999</v>
      </c>
      <c r="K4253">
        <v>-83.253984000000003</v>
      </c>
      <c r="L4253" t="s">
        <v>1225</v>
      </c>
      <c r="M4253" t="s">
        <v>189</v>
      </c>
      <c r="N4253" t="s">
        <v>190</v>
      </c>
      <c r="O4253" t="s">
        <v>191</v>
      </c>
      <c r="P4253">
        <v>20</v>
      </c>
      <c r="Q4253" t="s">
        <v>74</v>
      </c>
      <c r="S4253" t="str">
        <f>_xlfn.XLOOKUP(UNIVERSO[[#This Row],[Ruta]],'[1]CUOTA RUTA'!A:A,'[1]CUOTA RUTA'!D:D)</f>
        <v>Cargar</v>
      </c>
    </row>
    <row r="4254" spans="1:19" x14ac:dyDescent="0.25">
      <c r="A4254">
        <v>1540070729</v>
      </c>
      <c r="B4254" t="s">
        <v>460</v>
      </c>
      <c r="C4254" t="s">
        <v>19</v>
      </c>
      <c r="D4254" t="s">
        <v>349</v>
      </c>
      <c r="E4254" t="s">
        <v>21</v>
      </c>
      <c r="F4254" t="s">
        <v>22</v>
      </c>
      <c r="G4254" t="s">
        <v>64</v>
      </c>
      <c r="H4254" t="s">
        <v>359</v>
      </c>
      <c r="I4254" t="s">
        <v>8355</v>
      </c>
      <c r="J4254">
        <v>9.9981500000000008</v>
      </c>
      <c r="K4254">
        <v>-85.208100000000002</v>
      </c>
      <c r="L4254" t="s">
        <v>1225</v>
      </c>
      <c r="M4254" t="s">
        <v>352</v>
      </c>
      <c r="N4254" t="s">
        <v>353</v>
      </c>
      <c r="O4254" t="s">
        <v>354</v>
      </c>
      <c r="P4254">
        <v>11</v>
      </c>
      <c r="Q4254" t="s">
        <v>108</v>
      </c>
      <c r="S4254" t="str">
        <f>_xlfn.XLOOKUP(UNIVERSO[[#This Row],[Ruta]],'[1]CUOTA RUTA'!A:A,'[1]CUOTA RUTA'!D:D)</f>
        <v>Cargar</v>
      </c>
    </row>
    <row r="4255" spans="1:19" x14ac:dyDescent="0.25">
      <c r="A4255">
        <v>1540070812</v>
      </c>
      <c r="B4255" t="s">
        <v>8356</v>
      </c>
      <c r="C4255" t="s">
        <v>19</v>
      </c>
      <c r="D4255" t="s">
        <v>324</v>
      </c>
      <c r="E4255" t="s">
        <v>21</v>
      </c>
      <c r="F4255" t="s">
        <v>22</v>
      </c>
      <c r="G4255" t="s">
        <v>23</v>
      </c>
      <c r="H4255" t="s">
        <v>393</v>
      </c>
      <c r="I4255" t="s">
        <v>8357</v>
      </c>
      <c r="J4255">
        <v>10.376013</v>
      </c>
      <c r="K4255">
        <v>-84.351065000000006</v>
      </c>
      <c r="L4255" t="s">
        <v>1225</v>
      </c>
      <c r="M4255" t="s">
        <v>327</v>
      </c>
      <c r="N4255" t="s">
        <v>328</v>
      </c>
      <c r="O4255" t="s">
        <v>329</v>
      </c>
      <c r="P4255">
        <v>15</v>
      </c>
      <c r="Q4255" t="s">
        <v>231</v>
      </c>
      <c r="S4255" t="str">
        <f>_xlfn.XLOOKUP(UNIVERSO[[#This Row],[Ruta]],'[1]CUOTA RUTA'!A:A,'[1]CUOTA RUTA'!D:D)</f>
        <v>Cargar</v>
      </c>
    </row>
    <row r="4256" spans="1:19" x14ac:dyDescent="0.25">
      <c r="A4256">
        <v>1540070816</v>
      </c>
      <c r="B4256" t="s">
        <v>8358</v>
      </c>
      <c r="C4256" t="s">
        <v>19</v>
      </c>
      <c r="D4256" t="s">
        <v>324</v>
      </c>
      <c r="E4256" t="s">
        <v>21</v>
      </c>
      <c r="F4256" t="s">
        <v>22</v>
      </c>
      <c r="G4256" t="s">
        <v>23</v>
      </c>
      <c r="H4256" t="s">
        <v>393</v>
      </c>
      <c r="I4256" t="s">
        <v>8359</v>
      </c>
      <c r="J4256">
        <v>10.332100000000001</v>
      </c>
      <c r="K4256">
        <v>-84.4114</v>
      </c>
      <c r="L4256" t="s">
        <v>1225</v>
      </c>
      <c r="M4256" t="s">
        <v>327</v>
      </c>
      <c r="N4256" t="s">
        <v>328</v>
      </c>
      <c r="O4256" t="s">
        <v>329</v>
      </c>
      <c r="P4256">
        <v>23</v>
      </c>
      <c r="Q4256" t="s">
        <v>125</v>
      </c>
      <c r="S4256" t="str">
        <f>_xlfn.XLOOKUP(UNIVERSO[[#This Row],[Ruta]],'[1]CUOTA RUTA'!A:A,'[1]CUOTA RUTA'!D:D)</f>
        <v>Cargar</v>
      </c>
    </row>
    <row r="4257" spans="1:19" x14ac:dyDescent="0.25">
      <c r="A4257">
        <v>1540070879</v>
      </c>
      <c r="B4257" t="s">
        <v>8360</v>
      </c>
      <c r="C4257" t="s">
        <v>19</v>
      </c>
      <c r="D4257" t="s">
        <v>201</v>
      </c>
      <c r="E4257" t="s">
        <v>21</v>
      </c>
      <c r="F4257" t="s">
        <v>22</v>
      </c>
      <c r="G4257" t="s">
        <v>33</v>
      </c>
      <c r="H4257" t="s">
        <v>533</v>
      </c>
      <c r="I4257" t="s">
        <v>8361</v>
      </c>
      <c r="J4257">
        <v>9.9126499999999993</v>
      </c>
      <c r="K4257">
        <v>-84.510900000000007</v>
      </c>
      <c r="L4257" t="s">
        <v>1225</v>
      </c>
      <c r="M4257" t="s">
        <v>204</v>
      </c>
      <c r="N4257" t="s">
        <v>205</v>
      </c>
      <c r="O4257" t="s">
        <v>206</v>
      </c>
      <c r="P4257">
        <v>2</v>
      </c>
      <c r="Q4257" t="s">
        <v>150</v>
      </c>
      <c r="S4257" t="str">
        <f>_xlfn.XLOOKUP(UNIVERSO[[#This Row],[Ruta]],'[1]CUOTA RUTA'!A:A,'[1]CUOTA RUTA'!D:D)</f>
        <v>Cargar</v>
      </c>
    </row>
    <row r="4258" spans="1:19" x14ac:dyDescent="0.25">
      <c r="A4258">
        <v>1540070900</v>
      </c>
      <c r="B4258" t="s">
        <v>8362</v>
      </c>
      <c r="C4258" t="s">
        <v>19</v>
      </c>
      <c r="D4258" t="s">
        <v>32</v>
      </c>
      <c r="E4258" t="s">
        <v>21</v>
      </c>
      <c r="F4258" t="s">
        <v>22</v>
      </c>
      <c r="G4258" t="s">
        <v>23</v>
      </c>
      <c r="H4258" t="s">
        <v>1383</v>
      </c>
      <c r="I4258" t="s">
        <v>8363</v>
      </c>
      <c r="J4258">
        <v>9.9154215393849992</v>
      </c>
      <c r="K4258">
        <v>-84.092672680579994</v>
      </c>
      <c r="L4258" t="s">
        <v>1225</v>
      </c>
      <c r="M4258" t="s">
        <v>71</v>
      </c>
      <c r="N4258" t="s">
        <v>72</v>
      </c>
      <c r="O4258" t="s">
        <v>73</v>
      </c>
      <c r="P4258">
        <v>3</v>
      </c>
      <c r="Q4258" t="s">
        <v>101</v>
      </c>
      <c r="S4258" t="str">
        <f>_xlfn.XLOOKUP(UNIVERSO[[#This Row],[Ruta]],'[1]CUOTA RUTA'!A:A,'[1]CUOTA RUTA'!D:D)</f>
        <v>Cargar</v>
      </c>
    </row>
    <row r="4259" spans="1:19" x14ac:dyDescent="0.25">
      <c r="A4259">
        <v>1540070919</v>
      </c>
      <c r="B4259" t="s">
        <v>8364</v>
      </c>
      <c r="C4259" t="s">
        <v>19</v>
      </c>
      <c r="D4259" t="s">
        <v>349</v>
      </c>
      <c r="E4259" t="s">
        <v>21</v>
      </c>
      <c r="F4259" t="s">
        <v>22</v>
      </c>
      <c r="G4259" t="s">
        <v>23</v>
      </c>
      <c r="H4259" t="s">
        <v>356</v>
      </c>
      <c r="I4259" t="s">
        <v>8365</v>
      </c>
      <c r="J4259">
        <v>10.156033000000001</v>
      </c>
      <c r="K4259">
        <v>-85.459761999999998</v>
      </c>
      <c r="L4259" t="s">
        <v>1225</v>
      </c>
      <c r="M4259" t="s">
        <v>352</v>
      </c>
      <c r="N4259" t="s">
        <v>353</v>
      </c>
      <c r="O4259" t="s">
        <v>354</v>
      </c>
      <c r="P4259">
        <v>14</v>
      </c>
      <c r="Q4259" t="s">
        <v>181</v>
      </c>
      <c r="S4259" t="str">
        <f>_xlfn.XLOOKUP(UNIVERSO[[#This Row],[Ruta]],'[1]CUOTA RUTA'!A:A,'[1]CUOTA RUTA'!D:D)</f>
        <v>Cargar</v>
      </c>
    </row>
    <row r="4260" spans="1:19" x14ac:dyDescent="0.25">
      <c r="A4260">
        <v>1540070956</v>
      </c>
      <c r="B4260" t="s">
        <v>8366</v>
      </c>
      <c r="C4260" t="s">
        <v>19</v>
      </c>
      <c r="D4260" t="s">
        <v>32</v>
      </c>
      <c r="E4260" t="s">
        <v>21</v>
      </c>
      <c r="F4260" t="s">
        <v>22</v>
      </c>
      <c r="G4260" t="s">
        <v>33</v>
      </c>
      <c r="H4260" t="s">
        <v>92</v>
      </c>
      <c r="I4260" t="s">
        <v>8367</v>
      </c>
      <c r="J4260">
        <v>9.9620709000000005</v>
      </c>
      <c r="K4260">
        <v>-84.024180099999995</v>
      </c>
      <c r="L4260" t="s">
        <v>1225</v>
      </c>
      <c r="M4260" t="s">
        <v>94</v>
      </c>
      <c r="N4260" t="s">
        <v>95</v>
      </c>
      <c r="O4260" t="s">
        <v>96</v>
      </c>
      <c r="P4260">
        <v>8</v>
      </c>
      <c r="Q4260" t="s">
        <v>97</v>
      </c>
      <c r="S4260" t="str">
        <f>_xlfn.XLOOKUP(UNIVERSO[[#This Row],[Ruta]],'[1]CUOTA RUTA'!A:A,'[1]CUOTA RUTA'!D:D)</f>
        <v>Cargar</v>
      </c>
    </row>
    <row r="4261" spans="1:19" x14ac:dyDescent="0.25">
      <c r="A4261">
        <v>1540070970</v>
      </c>
      <c r="B4261" t="s">
        <v>8368</v>
      </c>
      <c r="C4261" t="s">
        <v>19</v>
      </c>
      <c r="D4261" t="s">
        <v>244</v>
      </c>
      <c r="E4261" t="s">
        <v>21</v>
      </c>
      <c r="F4261" t="s">
        <v>22</v>
      </c>
      <c r="G4261" t="s">
        <v>33</v>
      </c>
      <c r="H4261" t="s">
        <v>566</v>
      </c>
      <c r="I4261" t="s">
        <v>8369</v>
      </c>
      <c r="J4261">
        <v>9.3625428102479997</v>
      </c>
      <c r="K4261">
        <v>-83.690897419289996</v>
      </c>
      <c r="L4261" t="s">
        <v>1225</v>
      </c>
      <c r="M4261" t="s">
        <v>46</v>
      </c>
      <c r="N4261" t="s">
        <v>247</v>
      </c>
      <c r="O4261" t="s">
        <v>248</v>
      </c>
      <c r="P4261">
        <v>14</v>
      </c>
      <c r="Q4261" t="s">
        <v>181</v>
      </c>
      <c r="S4261" t="str">
        <f>_xlfn.XLOOKUP(UNIVERSO[[#This Row],[Ruta]],'[1]CUOTA RUTA'!A:A,'[1]CUOTA RUTA'!D:D)</f>
        <v>Cargar</v>
      </c>
    </row>
    <row r="4262" spans="1:19" x14ac:dyDescent="0.25">
      <c r="A4262">
        <v>1540071032</v>
      </c>
      <c r="B4262" t="s">
        <v>8370</v>
      </c>
      <c r="C4262" t="s">
        <v>19</v>
      </c>
      <c r="D4262" t="s">
        <v>20</v>
      </c>
      <c r="E4262" t="s">
        <v>21</v>
      </c>
      <c r="F4262" t="s">
        <v>22</v>
      </c>
      <c r="G4262" t="s">
        <v>64</v>
      </c>
      <c r="H4262" t="s">
        <v>263</v>
      </c>
      <c r="I4262" t="s">
        <v>8371</v>
      </c>
      <c r="J4262">
        <v>10.081304100000001</v>
      </c>
      <c r="K4262">
        <v>-84.367845099999997</v>
      </c>
      <c r="L4262" t="s">
        <v>1225</v>
      </c>
      <c r="M4262" t="s">
        <v>46</v>
      </c>
      <c r="N4262" t="s">
        <v>47</v>
      </c>
      <c r="O4262" t="s">
        <v>48</v>
      </c>
      <c r="P4262">
        <v>5</v>
      </c>
      <c r="Q4262" t="s">
        <v>117</v>
      </c>
      <c r="S4262" t="str">
        <f>_xlfn.XLOOKUP(UNIVERSO[[#This Row],[Ruta]],'[1]CUOTA RUTA'!A:A,'[1]CUOTA RUTA'!D:D)</f>
        <v>Cargar</v>
      </c>
    </row>
    <row r="4263" spans="1:19" x14ac:dyDescent="0.25">
      <c r="A4263">
        <v>1540071236</v>
      </c>
      <c r="B4263" t="s">
        <v>8372</v>
      </c>
      <c r="C4263" t="s">
        <v>19</v>
      </c>
      <c r="D4263" t="s">
        <v>349</v>
      </c>
      <c r="E4263" t="s">
        <v>21</v>
      </c>
      <c r="F4263" t="s">
        <v>22</v>
      </c>
      <c r="G4263" t="s">
        <v>64</v>
      </c>
      <c r="H4263" t="s">
        <v>356</v>
      </c>
      <c r="I4263" t="s">
        <v>8373</v>
      </c>
      <c r="J4263">
        <v>10.112382999999999</v>
      </c>
      <c r="K4263">
        <v>-85.313085999999998</v>
      </c>
      <c r="L4263" t="s">
        <v>1225</v>
      </c>
      <c r="M4263" t="s">
        <v>352</v>
      </c>
      <c r="N4263" t="s">
        <v>353</v>
      </c>
      <c r="O4263" t="s">
        <v>354</v>
      </c>
      <c r="P4263">
        <v>11</v>
      </c>
      <c r="Q4263" t="s">
        <v>108</v>
      </c>
      <c r="S4263" t="str">
        <f>_xlfn.XLOOKUP(UNIVERSO[[#This Row],[Ruta]],'[1]CUOTA RUTA'!A:A,'[1]CUOTA RUTA'!D:D)</f>
        <v>Cargar</v>
      </c>
    </row>
    <row r="4264" spans="1:19" x14ac:dyDescent="0.25">
      <c r="A4264">
        <v>1540071245</v>
      </c>
      <c r="B4264" t="s">
        <v>8374</v>
      </c>
      <c r="C4264" t="s">
        <v>19</v>
      </c>
      <c r="D4264" t="s">
        <v>324</v>
      </c>
      <c r="E4264" t="s">
        <v>21</v>
      </c>
      <c r="F4264" t="s">
        <v>22</v>
      </c>
      <c r="G4264" t="s">
        <v>33</v>
      </c>
      <c r="H4264" t="s">
        <v>325</v>
      </c>
      <c r="I4264" t="s">
        <v>8375</v>
      </c>
      <c r="J4264">
        <v>10.36032</v>
      </c>
      <c r="K4264">
        <v>-84.507189999999994</v>
      </c>
      <c r="L4264" t="s">
        <v>1225</v>
      </c>
      <c r="M4264" t="s">
        <v>327</v>
      </c>
      <c r="N4264" t="s">
        <v>328</v>
      </c>
      <c r="O4264" t="s">
        <v>329</v>
      </c>
      <c r="P4264">
        <v>14</v>
      </c>
      <c r="Q4264" t="s">
        <v>181</v>
      </c>
      <c r="S4264" t="str">
        <f>_xlfn.XLOOKUP(UNIVERSO[[#This Row],[Ruta]],'[1]CUOTA RUTA'!A:A,'[1]CUOTA RUTA'!D:D)</f>
        <v>Cargar</v>
      </c>
    </row>
    <row r="4265" spans="1:19" x14ac:dyDescent="0.25">
      <c r="A4265">
        <v>1540071256</v>
      </c>
      <c r="B4265" t="s">
        <v>8376</v>
      </c>
      <c r="C4265" t="s">
        <v>19</v>
      </c>
      <c r="D4265" t="s">
        <v>324</v>
      </c>
      <c r="E4265" t="s">
        <v>21</v>
      </c>
      <c r="F4265" t="s">
        <v>22</v>
      </c>
      <c r="G4265" t="s">
        <v>64</v>
      </c>
      <c r="H4265" t="s">
        <v>331</v>
      </c>
      <c r="I4265" t="s">
        <v>8377</v>
      </c>
      <c r="J4265">
        <v>10.3591</v>
      </c>
      <c r="K4265">
        <v>-84.274100000000004</v>
      </c>
      <c r="L4265" t="s">
        <v>1225</v>
      </c>
      <c r="M4265" t="s">
        <v>327</v>
      </c>
      <c r="N4265" t="s">
        <v>328</v>
      </c>
      <c r="O4265" t="s">
        <v>329</v>
      </c>
      <c r="P4265">
        <v>16</v>
      </c>
      <c r="Q4265" t="s">
        <v>60</v>
      </c>
      <c r="S4265" t="str">
        <f>_xlfn.XLOOKUP(UNIVERSO[[#This Row],[Ruta]],'[1]CUOTA RUTA'!A:A,'[1]CUOTA RUTA'!D:D)</f>
        <v>Cargar</v>
      </c>
    </row>
    <row r="4266" spans="1:19" x14ac:dyDescent="0.25">
      <c r="A4266">
        <v>1540071348</v>
      </c>
      <c r="B4266" t="s">
        <v>8378</v>
      </c>
      <c r="C4266" t="s">
        <v>19</v>
      </c>
      <c r="D4266" t="s">
        <v>20</v>
      </c>
      <c r="E4266" t="s">
        <v>21</v>
      </c>
      <c r="F4266" t="s">
        <v>22</v>
      </c>
      <c r="G4266" t="s">
        <v>64</v>
      </c>
      <c r="H4266" t="s">
        <v>743</v>
      </c>
      <c r="I4266" t="s">
        <v>8379</v>
      </c>
      <c r="J4266">
        <v>9.9971890000000005</v>
      </c>
      <c r="K4266">
        <v>-84.308903000000001</v>
      </c>
      <c r="L4266" t="s">
        <v>1225</v>
      </c>
      <c r="M4266" t="s">
        <v>46</v>
      </c>
      <c r="N4266" t="s">
        <v>47</v>
      </c>
      <c r="O4266" t="s">
        <v>48</v>
      </c>
      <c r="P4266">
        <v>11</v>
      </c>
      <c r="Q4266" t="s">
        <v>108</v>
      </c>
      <c r="S4266" t="str">
        <f>_xlfn.XLOOKUP(UNIVERSO[[#This Row],[Ruta]],'[1]CUOTA RUTA'!A:A,'[1]CUOTA RUTA'!D:D)</f>
        <v>Cargar</v>
      </c>
    </row>
    <row r="4267" spans="1:19" x14ac:dyDescent="0.25">
      <c r="A4267">
        <v>1540071426</v>
      </c>
      <c r="B4267" t="s">
        <v>8380</v>
      </c>
      <c r="C4267" t="s">
        <v>19</v>
      </c>
      <c r="D4267" t="s">
        <v>324</v>
      </c>
      <c r="E4267" t="s">
        <v>21</v>
      </c>
      <c r="F4267" t="s">
        <v>22</v>
      </c>
      <c r="G4267" t="s">
        <v>64</v>
      </c>
      <c r="H4267" t="s">
        <v>557</v>
      </c>
      <c r="I4267" t="s">
        <v>8381</v>
      </c>
      <c r="J4267">
        <v>10.471131</v>
      </c>
      <c r="K4267">
        <v>-84.648280999999997</v>
      </c>
      <c r="L4267" t="s">
        <v>1225</v>
      </c>
      <c r="M4267" t="s">
        <v>327</v>
      </c>
      <c r="N4267" t="s">
        <v>328</v>
      </c>
      <c r="O4267" t="s">
        <v>329</v>
      </c>
      <c r="P4267">
        <v>21</v>
      </c>
      <c r="Q4267" t="s">
        <v>239</v>
      </c>
      <c r="S4267" t="str">
        <f>_xlfn.XLOOKUP(UNIVERSO[[#This Row],[Ruta]],'[1]CUOTA RUTA'!A:A,'[1]CUOTA RUTA'!D:D)</f>
        <v>Cargar</v>
      </c>
    </row>
    <row r="4268" spans="1:19" x14ac:dyDescent="0.25">
      <c r="A4268">
        <v>1540071432</v>
      </c>
      <c r="B4268" t="s">
        <v>8382</v>
      </c>
      <c r="C4268" t="s">
        <v>19</v>
      </c>
      <c r="D4268" t="s">
        <v>208</v>
      </c>
      <c r="E4268" t="s">
        <v>21</v>
      </c>
      <c r="F4268" t="s">
        <v>22</v>
      </c>
      <c r="G4268" t="s">
        <v>64</v>
      </c>
      <c r="H4268" t="s">
        <v>1794</v>
      </c>
      <c r="I4268" t="s">
        <v>8383</v>
      </c>
      <c r="J4268">
        <v>10.147860100000001</v>
      </c>
      <c r="K4268">
        <v>-83.5742604</v>
      </c>
      <c r="L4268" t="s">
        <v>1225</v>
      </c>
      <c r="M4268" t="s">
        <v>189</v>
      </c>
      <c r="N4268" t="s">
        <v>211</v>
      </c>
      <c r="O4268" t="s">
        <v>212</v>
      </c>
      <c r="P4268">
        <v>7</v>
      </c>
      <c r="Q4268" t="s">
        <v>39</v>
      </c>
      <c r="S4268" t="str">
        <f>_xlfn.XLOOKUP(UNIVERSO[[#This Row],[Ruta]],'[1]CUOTA RUTA'!A:A,'[1]CUOTA RUTA'!D:D)</f>
        <v>Cargar</v>
      </c>
    </row>
    <row r="4269" spans="1:19" x14ac:dyDescent="0.25">
      <c r="A4269">
        <v>1540071441</v>
      </c>
      <c r="B4269" t="s">
        <v>8384</v>
      </c>
      <c r="C4269" t="s">
        <v>19</v>
      </c>
      <c r="D4269" t="s">
        <v>324</v>
      </c>
      <c r="E4269" t="s">
        <v>21</v>
      </c>
      <c r="F4269" t="s">
        <v>22</v>
      </c>
      <c r="G4269" t="s">
        <v>33</v>
      </c>
      <c r="H4269" t="s">
        <v>325</v>
      </c>
      <c r="I4269" t="s">
        <v>8385</v>
      </c>
      <c r="J4269">
        <v>10.360455</v>
      </c>
      <c r="K4269">
        <v>-84.507739999999998</v>
      </c>
      <c r="L4269" t="s">
        <v>1225</v>
      </c>
      <c r="M4269" t="s">
        <v>327</v>
      </c>
      <c r="N4269" t="s">
        <v>328</v>
      </c>
      <c r="O4269" t="s">
        <v>329</v>
      </c>
      <c r="P4269">
        <v>14</v>
      </c>
      <c r="Q4269" t="s">
        <v>181</v>
      </c>
      <c r="S4269" t="str">
        <f>_xlfn.XLOOKUP(UNIVERSO[[#This Row],[Ruta]],'[1]CUOTA RUTA'!A:A,'[1]CUOTA RUTA'!D:D)</f>
        <v>Cargar</v>
      </c>
    </row>
    <row r="4270" spans="1:19" x14ac:dyDescent="0.25">
      <c r="A4270">
        <v>1540071552</v>
      </c>
      <c r="B4270" t="s">
        <v>8386</v>
      </c>
      <c r="C4270" t="s">
        <v>19</v>
      </c>
      <c r="D4270" t="s">
        <v>32</v>
      </c>
      <c r="E4270" t="s">
        <v>21</v>
      </c>
      <c r="F4270" t="s">
        <v>22</v>
      </c>
      <c r="G4270" t="s">
        <v>33</v>
      </c>
      <c r="H4270" t="s">
        <v>1383</v>
      </c>
      <c r="I4270" t="s">
        <v>8387</v>
      </c>
      <c r="J4270">
        <v>9.9087972269489999</v>
      </c>
      <c r="K4270">
        <v>-84.087004871640005</v>
      </c>
      <c r="L4270" t="s">
        <v>1225</v>
      </c>
      <c r="M4270" t="s">
        <v>71</v>
      </c>
      <c r="N4270" t="s">
        <v>72</v>
      </c>
      <c r="O4270" t="s">
        <v>73</v>
      </c>
      <c r="P4270">
        <v>6</v>
      </c>
      <c r="Q4270" t="s">
        <v>49</v>
      </c>
      <c r="S4270" t="str">
        <f>_xlfn.XLOOKUP(UNIVERSO[[#This Row],[Ruta]],'[1]CUOTA RUTA'!A:A,'[1]CUOTA RUTA'!D:D)</f>
        <v>Cargar</v>
      </c>
    </row>
    <row r="4271" spans="1:19" x14ac:dyDescent="0.25">
      <c r="A4271">
        <v>1540071576</v>
      </c>
      <c r="B4271" t="s">
        <v>8388</v>
      </c>
      <c r="C4271" t="s">
        <v>19</v>
      </c>
      <c r="D4271" t="s">
        <v>324</v>
      </c>
      <c r="E4271" t="s">
        <v>21</v>
      </c>
      <c r="F4271" t="s">
        <v>22</v>
      </c>
      <c r="G4271" t="s">
        <v>64</v>
      </c>
      <c r="H4271" t="s">
        <v>6220</v>
      </c>
      <c r="I4271" t="s">
        <v>8389</v>
      </c>
      <c r="J4271">
        <v>10.825799999999999</v>
      </c>
      <c r="K4271">
        <v>-84.645399999999995</v>
      </c>
      <c r="L4271" t="s">
        <v>1225</v>
      </c>
      <c r="M4271" t="s">
        <v>327</v>
      </c>
      <c r="N4271" t="s">
        <v>328</v>
      </c>
      <c r="O4271" t="s">
        <v>329</v>
      </c>
      <c r="P4271">
        <v>23</v>
      </c>
      <c r="Q4271" t="s">
        <v>125</v>
      </c>
      <c r="S4271" t="str">
        <f>_xlfn.XLOOKUP(UNIVERSO[[#This Row],[Ruta]],'[1]CUOTA RUTA'!A:A,'[1]CUOTA RUTA'!D:D)</f>
        <v>Cargar</v>
      </c>
    </row>
    <row r="4272" spans="1:19" x14ac:dyDescent="0.25">
      <c r="A4272">
        <v>1540071602</v>
      </c>
      <c r="B4272" t="s">
        <v>8390</v>
      </c>
      <c r="C4272" t="s">
        <v>19</v>
      </c>
      <c r="D4272" t="s">
        <v>32</v>
      </c>
      <c r="E4272" t="s">
        <v>21</v>
      </c>
      <c r="F4272" t="s">
        <v>22</v>
      </c>
      <c r="G4272" t="s">
        <v>64</v>
      </c>
      <c r="H4272" t="s">
        <v>1383</v>
      </c>
      <c r="I4272" t="s">
        <v>8391</v>
      </c>
      <c r="J4272">
        <v>9.9250285199999997</v>
      </c>
      <c r="K4272">
        <v>-84.081845430000001</v>
      </c>
      <c r="L4272" t="s">
        <v>1225</v>
      </c>
      <c r="M4272" t="s">
        <v>71</v>
      </c>
      <c r="N4272" t="s">
        <v>72</v>
      </c>
      <c r="O4272" t="s">
        <v>73</v>
      </c>
      <c r="P4272">
        <v>5</v>
      </c>
      <c r="Q4272" t="s">
        <v>117</v>
      </c>
      <c r="S4272" t="str">
        <f>_xlfn.XLOOKUP(UNIVERSO[[#This Row],[Ruta]],'[1]CUOTA RUTA'!A:A,'[1]CUOTA RUTA'!D:D)</f>
        <v>Cargar</v>
      </c>
    </row>
    <row r="4273" spans="1:19" x14ac:dyDescent="0.25">
      <c r="A4273">
        <v>1540071635</v>
      </c>
      <c r="B4273" t="s">
        <v>8392</v>
      </c>
      <c r="C4273" t="s">
        <v>19</v>
      </c>
      <c r="D4273" t="s">
        <v>337</v>
      </c>
      <c r="E4273" t="s">
        <v>21</v>
      </c>
      <c r="F4273" t="s">
        <v>22</v>
      </c>
      <c r="G4273" t="s">
        <v>64</v>
      </c>
      <c r="H4273" t="s">
        <v>401</v>
      </c>
      <c r="I4273" t="s">
        <v>8393</v>
      </c>
      <c r="J4273">
        <v>10.633081600000001</v>
      </c>
      <c r="K4273">
        <v>-85.438157200000006</v>
      </c>
      <c r="L4273" t="s">
        <v>1225</v>
      </c>
      <c r="M4273" t="s">
        <v>327</v>
      </c>
      <c r="N4273" t="s">
        <v>340</v>
      </c>
      <c r="O4273" t="s">
        <v>341</v>
      </c>
      <c r="P4273">
        <v>12</v>
      </c>
      <c r="Q4273" t="s">
        <v>42</v>
      </c>
      <c r="S4273" t="str">
        <f>_xlfn.XLOOKUP(UNIVERSO[[#This Row],[Ruta]],'[1]CUOTA RUTA'!A:A,'[1]CUOTA RUTA'!D:D)</f>
        <v>Cargar</v>
      </c>
    </row>
    <row r="4274" spans="1:19" x14ac:dyDescent="0.25">
      <c r="A4274">
        <v>1540071735</v>
      </c>
      <c r="B4274" t="s">
        <v>2851</v>
      </c>
      <c r="C4274" t="s">
        <v>19</v>
      </c>
      <c r="D4274" t="s">
        <v>266</v>
      </c>
      <c r="E4274" t="s">
        <v>21</v>
      </c>
      <c r="F4274" t="s">
        <v>22</v>
      </c>
      <c r="G4274" t="s">
        <v>23</v>
      </c>
      <c r="H4274" t="s">
        <v>404</v>
      </c>
      <c r="I4274" t="s">
        <v>8394</v>
      </c>
      <c r="J4274">
        <v>9.8391300000000008</v>
      </c>
      <c r="K4274">
        <v>-83.878349999999998</v>
      </c>
      <c r="L4274" t="s">
        <v>1225</v>
      </c>
      <c r="M4274" t="s">
        <v>36</v>
      </c>
      <c r="N4274" t="s">
        <v>316</v>
      </c>
      <c r="O4274" t="s">
        <v>317</v>
      </c>
      <c r="P4274">
        <v>22</v>
      </c>
      <c r="Q4274" t="s">
        <v>30</v>
      </c>
      <c r="S4274" t="str">
        <f>_xlfn.XLOOKUP(UNIVERSO[[#This Row],[Ruta]],'[1]CUOTA RUTA'!A:A,'[1]CUOTA RUTA'!D:D)</f>
        <v>Cargar</v>
      </c>
    </row>
    <row r="4275" spans="1:19" x14ac:dyDescent="0.25">
      <c r="A4275">
        <v>1540071849</v>
      </c>
      <c r="B4275" t="s">
        <v>8395</v>
      </c>
      <c r="C4275" t="s">
        <v>19</v>
      </c>
      <c r="D4275" t="s">
        <v>20</v>
      </c>
      <c r="E4275" t="s">
        <v>21</v>
      </c>
      <c r="F4275" t="s">
        <v>22</v>
      </c>
      <c r="G4275" t="s">
        <v>23</v>
      </c>
      <c r="H4275" t="s">
        <v>888</v>
      </c>
      <c r="I4275" t="s">
        <v>8396</v>
      </c>
      <c r="J4275">
        <v>9.9988770000000002</v>
      </c>
      <c r="K4275">
        <v>-84.126169000000004</v>
      </c>
      <c r="L4275" t="s">
        <v>1225</v>
      </c>
      <c r="M4275" t="s">
        <v>27</v>
      </c>
      <c r="N4275" t="s">
        <v>28</v>
      </c>
      <c r="O4275" t="s">
        <v>29</v>
      </c>
      <c r="P4275">
        <v>12</v>
      </c>
      <c r="Q4275" t="s">
        <v>42</v>
      </c>
      <c r="S4275" t="str">
        <f>_xlfn.XLOOKUP(UNIVERSO[[#This Row],[Ruta]],'[1]CUOTA RUTA'!A:A,'[1]CUOTA RUTA'!D:D)</f>
        <v>Cargar</v>
      </c>
    </row>
    <row r="4276" spans="1:19" x14ac:dyDescent="0.25">
      <c r="A4276">
        <v>1540071956</v>
      </c>
      <c r="B4276" t="s">
        <v>8397</v>
      </c>
      <c r="C4276" t="s">
        <v>19</v>
      </c>
      <c r="D4276" t="s">
        <v>20</v>
      </c>
      <c r="E4276" t="s">
        <v>21</v>
      </c>
      <c r="F4276" t="s">
        <v>22</v>
      </c>
      <c r="G4276" t="s">
        <v>23</v>
      </c>
      <c r="H4276" t="s">
        <v>277</v>
      </c>
      <c r="I4276" t="s">
        <v>8398</v>
      </c>
      <c r="J4276">
        <v>9.9699179999999998</v>
      </c>
      <c r="K4276">
        <v>-84.205492000000007</v>
      </c>
      <c r="L4276" t="s">
        <v>1225</v>
      </c>
      <c r="M4276" t="s">
        <v>54</v>
      </c>
      <c r="N4276" t="s">
        <v>55</v>
      </c>
      <c r="O4276" t="s">
        <v>56</v>
      </c>
      <c r="P4276">
        <v>14</v>
      </c>
      <c r="Q4276" t="s">
        <v>181</v>
      </c>
      <c r="S4276" t="str">
        <f>_xlfn.XLOOKUP(UNIVERSO[[#This Row],[Ruta]],'[1]CUOTA RUTA'!A:A,'[1]CUOTA RUTA'!D:D)</f>
        <v>Cargar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D0B8A-8D61-4BA2-93A7-88C6D38FD8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UNIVERSO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Montoya</dc:creator>
  <cp:lastModifiedBy>Diego Montoya</cp:lastModifiedBy>
  <dcterms:created xsi:type="dcterms:W3CDTF">2026-07-23T20:00:10Z</dcterms:created>
  <dcterms:modified xsi:type="dcterms:W3CDTF">2026-07-24T17:56:59Z</dcterms:modified>
</cp:coreProperties>
</file>